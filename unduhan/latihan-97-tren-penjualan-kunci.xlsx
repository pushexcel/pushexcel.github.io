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<sst xmlns="http://schemas.openxmlformats.org/spreadsheetml/2006/main" count="225" uniqueCount="161">
  <si>
    <t xml:space="preserve">Kunci Jawaban: Tren Penjualan Bulanan dan Rata-rata Bergerak</t>
  </si>
  <si>
    <t xml:space="preserve">Latihan 97 dari 40  |  Tingkat: Lanjutan  |  Perkiraan waktu: 65 menit  |  pushexcel.github.io/Pushexcel</t>
  </si>
  <si>
    <t xml:space="preserve">Skenario</t>
  </si>
  <si>
    <t xml:space="preserve">Kamu analis penjualan Toko Sumber Rasa Nusantara. Data berisi unit terjual tiga produk selama 12 bulan (36 baris, diurut per produk lalu per bulan) beserta harga satuannya. Pertumbuhan adalah selisih unit bulan ini terhadap bulan lalu dibagi unit bulan lalu, dan untuk Januari diisi 0 karena tidak ada bulan sebelumnya. Rata-rata bergerak memakai unit bulan ini dan dua bulan sebelumnya (jendela 3 bulan), sehingga baru terisi mulai bulan ke-3, bulan sebelumnya diisi 0. Status tren: Naik bila pertumbuhan lebih dari batas stabil (3 persen), Turun bila kurang dari minus batas itu, selain itu Stabil, dan Januari berstatus Awal.</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</si>
  <si>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</si>
  <si>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</si>
  <si>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</si>
  <si>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</si>
  <si>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</si>
  <si>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</si>
  <si>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</si>
  <si>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</si>
  <si>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</si>
  <si>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</si>
  <si>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</si>
  <si>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</si>
  <si>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</si>
  <si>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</si>
  <si>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</si>
  <si>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</si>
  <si>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</si>
  <si>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</si>
  <si>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</si>
  <si>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</si>
  <si>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omzet tiap baris: unit terjual dikali harga satuan.</t>
  </si>
  <si>
    <t xml:space="preserve">Sheet Data, kolom F (Omzet), baris 2 sampai 37</t>
  </si>
  <si>
    <t xml:space="preserve">=D2*E2</t>
  </si>
  <si>
    <t xml:space="preserve">2</t>
  </si>
  <si>
    <t xml:space="preserve">Ambil unit terjual produk yang sama pada bulan sebelumnya. Untuk Januari isi 0.</t>
  </si>
  <si>
    <t xml:space="preserve">Sheet Data, kolom G (Unit Bulan Lalu), baris 2 sampai 37</t>
  </si>
  <si>
    <t xml:space="preserve">=IF(B2=1;0;SUMIFS($D$2:$D$37;$A$2:$A$37;A2;$B$2:$B$37;B2-1))</t>
  </si>
  <si>
    <t xml:space="preserve">3</t>
  </si>
  <si>
    <t xml:space="preserve">Hitung pertumbuhan bulan ke bulan: (unit bulan ini - unit bulan lalu) dibagi unit bulan lalu. Untuk Januari isi 0.</t>
  </si>
  <si>
    <t xml:space="preserve">Sheet Data, kolom H (Pertumbuhan MoM), baris 2 sampai 37</t>
  </si>
  <si>
    <t xml:space="preserve">=IF(B2=1;0;(D2-G2)/G2)</t>
  </si>
  <si>
    <t xml:space="preserve">4</t>
  </si>
  <si>
    <t xml:space="preserve">Hitung rata-rata unit terjual selama jendela 3 bulan (bulan ini dan dua bulan sebelumnya) untuk produk yang sama. Sebelum bulan ke-3 isi 0.</t>
  </si>
  <si>
    <t xml:space="preserve">Sheet Data, kolom I (Rata-rata Bergerak), baris 2 sampai 37</t>
  </si>
  <si>
    <t xml:space="preserve">=IF(B2&lt;$O$2;0;AVERAGEIFS($D$2:$D$37;$A$2:$A$37;A2;$B$2:$B$37;"&gt;"&amp;(B2-$O$2);$B$2:$B$37;"&lt;="&amp;B2))</t>
  </si>
  <si>
    <t xml:space="preserve">5</t>
  </si>
  <si>
    <t xml:space="preserve">Beri status: Awal untuk Januari, Naik bila pertumbuhan lebih dari batas stabil, Turun bila kurang dari minus batas stabil, selain itu Stabil.</t>
  </si>
  <si>
    <t xml:space="preserve">Sheet Data, kolom J (Status Tren), baris 2 sampai 37</t>
  </si>
  <si>
    <t xml:space="preserve">=IF(B2=1;"Awal";IF(H2&gt;$O$3;"Naik";IF(H2&lt;-$O$3;"Turun";"Stabil")))</t>
  </si>
  <si>
    <t xml:space="preserve">6</t>
  </si>
  <si>
    <t xml:space="preserve">Bandingkan unit terjual dengan rata-rata bergerak: Di Atas bila lebih besar, Di Bawah bila tidak. Sebelum bulan ke-3 tulis Belum ada.</t>
  </si>
  <si>
    <t xml:space="preserve">Sheet Data, kolom K (Posisi Tren), baris 2 sampai 37</t>
  </si>
  <si>
    <t xml:space="preserve">=IF(B2&lt;$O$2;"Belum ada";IF(D2&gt;I2;"Di Atas";"Di Bawah"))</t>
  </si>
  <si>
    <t xml:space="preserve">7</t>
  </si>
  <si>
    <t xml:space="preserve">Hitung peringkat unit terjual tiap bulan di dalam produknya (1 = penjualan tertinggi): banyaknya bulan produk yang sama dengan unit lebih besar, ditambah 1.</t>
  </si>
  <si>
    <t xml:space="preserve">Sheet Data, kolom L (Peringkat Unit), baris 2 sampai 37</t>
  </si>
  <si>
    <t xml:space="preserve">=COUNTIFS($A$2:$A$37;A2;$D$2:$D$37;"&gt;"&amp;D2)+1</t>
  </si>
  <si>
    <t xml:space="preserve">8</t>
  </si>
  <si>
    <t xml:space="preserve">Pada sheet Acuan, hitung total omzet setahun tiap produk.</t>
  </si>
  <si>
    <t xml:space="preserve">Sheet Acuan, kolom B (Total Omzet), baris 2 sampai 4</t>
  </si>
  <si>
    <t xml:space="preserve">=SUMIF(Data!$A$2:$A$37;A2;Data!$F$2:$F$37)</t>
  </si>
  <si>
    <t xml:space="preserve">9</t>
  </si>
  <si>
    <t xml:space="preserve">Pada sheet Acuan, cari nomor bulan dengan unit terjual tertinggi tiap produk (peringkat unit = 1).</t>
  </si>
  <si>
    <t xml:space="preserve">Sheet Acuan, kolom C (Bulan Terbaik Ke), baris 2 sampai 4</t>
  </si>
  <si>
    <t xml:space="preserve">=SUMIFS(Data!$B$2:$B$37;Data!$A$2:$A$37;A2;Data!$L$2:$L$37;1)</t>
  </si>
  <si>
    <t xml:space="preserve">10</t>
  </si>
  <si>
    <t xml:space="preserve">Pada sheet Acuan, hitung berapa bulan berstatus Naik tiap produk.</t>
  </si>
  <si>
    <t xml:space="preserve">Sheet Acuan, kolom D (Bulan Naik), baris 2 sampai 4</t>
  </si>
  <si>
    <t xml:space="preserve">=COUNTIFS(Data!$A$2:$A$37;A2;Data!$J$2:$J$37;"Naik")</t>
  </si>
  <si>
    <t xml:space="preserve">11</t>
  </si>
  <si>
    <t xml:space="preserve">Berapa total omzet setahun seluruh produk, total unit terjual, dan rata-rata unit terjual per baris data?</t>
  </si>
  <si>
    <t xml:space="preserve">Sheet Ringkasan, sel C4 sampai C6</t>
  </si>
  <si>
    <t xml:space="preserve">=SUM(Data!$F$2:$F$37)
=SUM(Data!$D$2:$D$37)
=AVERAGE(Data!$D$2:$D$37)</t>
  </si>
  <si>
    <t xml:space="preserve">12</t>
  </si>
  <si>
    <t xml:space="preserve">Produk apa yang total omzetnya terbesar, dan pada bulan apa Kopi Arabika 250 g paling laris?</t>
  </si>
  <si>
    <t xml:space="preserve">Sheet Ringkasan, sel C7 sampai C8</t>
  </si>
  <si>
    <t xml:space="preserve">=INDEX(Acuan!$A$2:$A$4;MATCH(MAX(Acuan!$B$2:$B$4);Acuan!$B$2:$B$4;0))
=INDEX(Data!$C$2:$C$37;Acuan!$C$2)</t>
  </si>
  <si>
    <t xml:space="preserve">13</t>
  </si>
  <si>
    <t xml:space="preserve">Berapa kali status Naik, Turun, dan Stabil muncul pada seluruh data?</t>
  </si>
  <si>
    <t xml:space="preserve">Sheet Ringkasan, sel C9 sampai C11</t>
  </si>
  <si>
    <t xml:space="preserve">=COUNTIF(Data!$J$2:$J$37;"Naik")
=COUNTIF(Data!$J$2:$J$37;"Turun")
=COUNTIF(Data!$J$2:$J$37;"Stabil")</t>
  </si>
  <si>
    <t xml:space="preserve">14</t>
  </si>
  <si>
    <t xml:space="preserve">Berapa rata-rata pertumbuhan bulanan Teh Melati Celup 25 pcs (tanpa Januari), dan berapa bulan Madu Hutan 500 ml yang unitnya Di Atas tren?</t>
  </si>
  <si>
    <t xml:space="preserve">Sheet Ringkasan, sel C12 sampai C13</t>
  </si>
  <si>
    <t xml:space="preserve">=AVERAGEIFS(Data!$H$2:$H$37;Data!$A$2:$A$37;"Teh Melati Celup 25 pcs";Data!$B$2:$B$37;"&gt;1")
=COUNTIFS(Data!$A$2:$A$37;"Madu Hutan 500 ml";Data!$K$2:$K$37;"Di Atas")</t>
  </si>
  <si>
    <t xml:space="preserve">15</t>
  </si>
  <si>
    <t xml:space="preserve">Berapa pertumbuhan terendah yang pernah terjadi, pada produk apa, dan di bulan apa?</t>
  </si>
  <si>
    <t xml:space="preserve">Sheet Ringkasan, sel C14 sampai C16</t>
  </si>
  <si>
    <t xml:space="preserve">=MIN(Data!$H$2:$H$37)
=INDEX(Data!$A$2:$A$37;MATCH(C14;Data!$H$2:$H$37;0))
=INDEX(Data!$C$2:$C$37;MATCH(C14;Data!$H$2:$H$37;0))</t>
  </si>
  <si>
    <t xml:space="preserve">Produk</t>
  </si>
  <si>
    <t xml:space="preserve">Bulan Ke</t>
  </si>
  <si>
    <t xml:space="preserve">Nama Bulan</t>
  </si>
  <si>
    <t xml:space="preserve">Unit Terjual</t>
  </si>
  <si>
    <t xml:space="preserve">Harga Satuan</t>
  </si>
  <si>
    <t xml:space="preserve">Omzet</t>
  </si>
  <si>
    <t xml:space="preserve">Unit Bulan Lalu</t>
  </si>
  <si>
    <t xml:space="preserve">Pertumbuhan MoM</t>
  </si>
  <si>
    <t xml:space="preserve">Rata-rata Bergerak</t>
  </si>
  <si>
    <t xml:space="preserve">Status Tren</t>
  </si>
  <si>
    <t xml:space="preserve">Posisi Tren</t>
  </si>
  <si>
    <t xml:space="preserve">Peringkat Unit</t>
  </si>
  <si>
    <t xml:space="preserve">Parameter</t>
  </si>
  <si>
    <t xml:space="preserve">Nilai</t>
  </si>
  <si>
    <t xml:space="preserve">Keterangan</t>
  </si>
  <si>
    <t xml:space="preserve">Kopi Arabika 250 g</t>
  </si>
  <si>
    <t xml:space="preserve">Jan</t>
  </si>
  <si>
    <t xml:space="preserve">Jendela rata-rata bergerak (bulan)</t>
  </si>
  <si>
    <t xml:space="preserve">Feb</t>
  </si>
  <si>
    <t xml:space="preserve">Batas stabil</t>
  </si>
  <si>
    <t xml:space="preserve">Pertumbuhan di antara minus dan plus batas ini dianggap stabil</t>
  </si>
  <si>
    <t xml:space="preserve">Mar</t>
  </si>
  <si>
    <t xml:space="preserve">Apr</t>
  </si>
  <si>
    <t xml:space="preserve">Mei</t>
  </si>
  <si>
    <t xml:space="preserve">Jun</t>
  </si>
  <si>
    <t xml:space="preserve">Jul</t>
  </si>
  <si>
    <t xml:space="preserve">Agu</t>
  </si>
  <si>
    <t xml:space="preserve">Sep</t>
  </si>
  <si>
    <t xml:space="preserve">Okt</t>
  </si>
  <si>
    <t xml:space="preserve">Nov</t>
  </si>
  <si>
    <t xml:space="preserve">Des</t>
  </si>
  <si>
    <t xml:space="preserve">Teh Melati Celup 25 pcs</t>
  </si>
  <si>
    <t xml:space="preserve">Madu Hutan 500 ml</t>
  </si>
  <si>
    <t xml:space="preserve">Total Omzet</t>
  </si>
  <si>
    <t xml:space="preserve">Bulan Terbaik Ke</t>
  </si>
  <si>
    <t xml:space="preserve">Bulan Naik</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</si>
  <si>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</si>
  <si>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</si>
  <si>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</si>
  <si>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</si>
  <si>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</si>
  <si>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</si>
  <si>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omzet seluruh produk</t>
  </si>
  <si>
    <t xml:space="preserve">Rupiah, mis. Rp 800.000.000</t>
  </si>
  <si>
    <t xml:space="preserve">11b</t>
  </si>
  <si>
    <t xml:space="preserve">Total unit terjual</t>
  </si>
  <si>
    <t xml:space="preserve">Angka bulat, mis. 15000</t>
  </si>
  <si>
    <t xml:space="preserve">11c</t>
  </si>
  <si>
    <t xml:space="preserve">Rata-rata unit terjual per baris</t>
  </si>
  <si>
    <t xml:space="preserve">Angka desimal, mis. 310,5</t>
  </si>
  <si>
    <t xml:space="preserve">12a</t>
  </si>
  <si>
    <t xml:space="preserve">Produk dengan total omzet terbesar</t>
  </si>
  <si>
    <t xml:space="preserve">Teks: nama produk</t>
  </si>
  <si>
    <t xml:space="preserve">12b</t>
  </si>
  <si>
    <t xml:space="preserve">Bulan terlaris Kopi Arabika 250 g</t>
  </si>
  <si>
    <t xml:space="preserve">Teks: nama bulan, mis. Mar</t>
  </si>
  <si>
    <t xml:space="preserve">13a</t>
  </si>
  <si>
    <t xml:space="preserve">Jumlah status Naik</t>
  </si>
  <si>
    <t xml:space="preserve">Angka bulat, mis. 12</t>
  </si>
  <si>
    <t xml:space="preserve">13b</t>
  </si>
  <si>
    <t xml:space="preserve">Jumlah status Turun</t>
  </si>
  <si>
    <t xml:space="preserve">Angka bulat, mis. 9</t>
  </si>
  <si>
    <t xml:space="preserve">13c</t>
  </si>
  <si>
    <t xml:space="preserve">Jumlah status Stabil</t>
  </si>
  <si>
    <t xml:space="preserve">Angka bulat, mis. 8</t>
  </si>
  <si>
    <t xml:space="preserve">14a</t>
  </si>
  <si>
    <t xml:space="preserve">Rata-rata pertumbuhan Teh Melati Celup 25 pcs</t>
  </si>
  <si>
    <t xml:space="preserve">Persen, mis. 2,5% (atau negatif)</t>
  </si>
  <si>
    <t xml:space="preserve">14b</t>
  </si>
  <si>
    <t xml:space="preserve">Bulan Madu Hutan 500 ml Di Atas tren</t>
  </si>
  <si>
    <t xml:space="preserve">Angka bulat, mis. 5</t>
  </si>
  <si>
    <t xml:space="preserve">15a</t>
  </si>
  <si>
    <t xml:space="preserve">Pertumbuhan terendah</t>
  </si>
  <si>
    <t xml:space="preserve">Persen, mis. -8,5%</t>
  </si>
  <si>
    <t xml:space="preserve">15b</t>
  </si>
  <si>
    <t xml:space="preserve">Produk dengan pertumbuhan terendah</t>
  </si>
  <si>
    <t xml:space="preserve">15c</t>
  </si>
  <si>
    <t xml:space="preserve">Bulan pertumbuhan terendah</t>
  </si>
</sst>
</file>

<file path=xl/styles.xml><?xml version="1.0" encoding="utf-8"?>
<styleSheet xmlns="http://schemas.openxmlformats.org/spreadsheetml/2006/main">
  <numFmts count="7">
    <numFmt numFmtId="164" formatCode="General"/>
    <numFmt numFmtId="165" formatCode="0"/>
    <numFmt numFmtId="166" formatCode="#,##0"/>
    <numFmt numFmtId="167" formatCode="&quot;Rp &quot;#,##0"/>
    <numFmt numFmtId="168" formatCode="0.0%"/>
    <numFmt numFmtId="169" formatCode="0.0"/>
    <numFmt numFmtId="170"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70"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7.75"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row r="35" customFormat="false" ht="57.7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7" min="6" style="0" width="15"/>
    <col collapsed="false" customWidth="true" hidden="false" outlineLevel="0" max="8" min="8" style="0" width="16"/>
    <col collapsed="false" customWidth="true" hidden="false" outlineLevel="0" max="9" min="9" style="0" width="17"/>
    <col collapsed="false" customWidth="true" hidden="false" outlineLevel="0" max="10" min="10" style="0" width="12"/>
    <col collapsed="false" customWidth="true" hidden="false" outlineLevel="0" max="11" min="11" style="0" width="13"/>
    <col collapsed="false" customWidth="true" hidden="false" outlineLevel="0" max="12" min="12" style="0" width="14"/>
    <col collapsed="false" customWidth="true" hidden="false" outlineLevel="0" max="13" min="13" style="0" width="3"/>
    <col collapsed="false" customWidth="true" hidden="false" outlineLevel="0" max="14" min="14" style="0" width="37"/>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83</v>
      </c>
      <c r="B1" s="11" t="s">
        <v>84</v>
      </c>
      <c r="C1" s="11" t="s">
        <v>85</v>
      </c>
      <c r="D1" s="11" t="s">
        <v>86</v>
      </c>
      <c r="E1" s="11" t="s">
        <v>87</v>
      </c>
      <c r="F1" s="15" t="s">
        <v>88</v>
      </c>
      <c r="G1" s="15" t="s">
        <v>89</v>
      </c>
      <c r="H1" s="15" t="s">
        <v>90</v>
      </c>
      <c r="I1" s="15" t="s">
        <v>91</v>
      </c>
      <c r="J1" s="15" t="s">
        <v>92</v>
      </c>
      <c r="K1" s="15" t="s">
        <v>93</v>
      </c>
      <c r="L1" s="15" t="s">
        <v>94</v>
      </c>
      <c r="N1" s="16" t="s">
        <v>95</v>
      </c>
      <c r="O1" s="16" t="s">
        <v>96</v>
      </c>
      <c r="P1" s="16" t="s">
        <v>97</v>
      </c>
    </row>
    <row r="2" customFormat="false" ht="15" hidden="false" customHeight="false" outlineLevel="0" collapsed="false">
      <c r="A2" s="17" t="s">
        <v>98</v>
      </c>
      <c r="B2" s="18" t="n">
        <v>1</v>
      </c>
      <c r="C2" s="17" t="s">
        <v>99</v>
      </c>
      <c r="D2" s="19" t="n">
        <v>304</v>
      </c>
      <c r="E2" s="20" t="n">
        <v>68000</v>
      </c>
      <c r="F2" s="21" t="n">
        <f aca="false">D2*E2</f>
        <v>20672000</v>
      </c>
      <c r="G2" s="22" t="n">
        <f aca="false">IF(B2=1,0,SUMIFS($D$2:$D$37,$A$2:$A$37,A2,$B$2:$B$37,B2-1))</f>
        <v>0</v>
      </c>
      <c r="H2" s="23" t="n">
        <f aca="false">IF(B2=1,0,(D2-G2)/G2)</f>
        <v>0</v>
      </c>
      <c r="I2" s="24" t="n">
        <f aca="false">IF(B2&lt;$O$2,0,AVERAGEIFS($D$2:$D$37,$A$2:$A$37,A2,$B$2:$B$37,"&gt;"&amp;(B2-$O$2),$B$2:$B$37,"&lt;="&amp;B2))</f>
        <v>0</v>
      </c>
      <c r="J2" s="25" t="str">
        <f aca="false">IF(B2=1,"Awal",IF(H2&gt;$O$3,"Naik",IF(H2&lt;-$O$3,"Turun","Stabil")))</f>
        <v>Awal</v>
      </c>
      <c r="K2" s="25" t="str">
        <f aca="false">IF(B2&lt;$O$2,"Belum ada",IF(D2&gt;I2,"Di Atas","Di Bawah"))</f>
        <v>Belum ada</v>
      </c>
      <c r="L2" s="26" t="n">
        <f aca="false">COUNTIFS($A$2:$A$37,A2,$D$2:$D$37,"&gt;"&amp;D2)+1</f>
        <v>8</v>
      </c>
      <c r="N2" s="27" t="s">
        <v>100</v>
      </c>
      <c r="O2" s="28" t="n">
        <v>3</v>
      </c>
      <c r="P2" s="27"/>
    </row>
    <row r="3" customFormat="false" ht="15" hidden="false" customHeight="false" outlineLevel="0" collapsed="false">
      <c r="A3" s="17" t="s">
        <v>98</v>
      </c>
      <c r="B3" s="18" t="n">
        <v>2</v>
      </c>
      <c r="C3" s="17" t="s">
        <v>101</v>
      </c>
      <c r="D3" s="19" t="n">
        <v>247</v>
      </c>
      <c r="E3" s="20" t="n">
        <v>68000</v>
      </c>
      <c r="F3" s="21" t="n">
        <f aca="false">D3*E3</f>
        <v>16796000</v>
      </c>
      <c r="G3" s="22" t="n">
        <f aca="false">IF(B3=1,0,SUMIFS($D$2:$D$37,$A$2:$A$37,A3,$B$2:$B$37,B3-1))</f>
        <v>304</v>
      </c>
      <c r="H3" s="23" t="n">
        <f aca="false">IF(B3=1,0,(D3-G3)/G3)</f>
        <v>-0.1875</v>
      </c>
      <c r="I3" s="24" t="n">
        <f aca="false">IF(B3&lt;$O$2,0,AVERAGEIFS($D$2:$D$37,$A$2:$A$37,A3,$B$2:$B$37,"&gt;"&amp;(B3-$O$2),$B$2:$B$37,"&lt;="&amp;B3))</f>
        <v>0</v>
      </c>
      <c r="J3" s="25" t="str">
        <f aca="false">IF(B3=1,"Awal",IF(H3&gt;$O$3,"Naik",IF(H3&lt;-$O$3,"Turun","Stabil")))</f>
        <v>Turun</v>
      </c>
      <c r="K3" s="25" t="str">
        <f aca="false">IF(B3&lt;$O$2,"Belum ada",IF(D3&gt;I3,"Di Atas","Di Bawah"))</f>
        <v>Belum ada</v>
      </c>
      <c r="L3" s="26" t="n">
        <f aca="false">COUNTIFS($A$2:$A$37,A3,$D$2:$D$37,"&gt;"&amp;D3)+1</f>
        <v>11</v>
      </c>
      <c r="N3" s="27" t="s">
        <v>102</v>
      </c>
      <c r="O3" s="29" t="n">
        <v>0.03</v>
      </c>
      <c r="P3" s="27" t="s">
        <v>103</v>
      </c>
    </row>
    <row r="4" customFormat="false" ht="15" hidden="false" customHeight="false" outlineLevel="0" collapsed="false">
      <c r="A4" s="17" t="s">
        <v>98</v>
      </c>
      <c r="B4" s="18" t="n">
        <v>3</v>
      </c>
      <c r="C4" s="17" t="s">
        <v>104</v>
      </c>
      <c r="D4" s="19" t="n">
        <v>237</v>
      </c>
      <c r="E4" s="20" t="n">
        <v>68000</v>
      </c>
      <c r="F4" s="21" t="n">
        <f aca="false">D4*E4</f>
        <v>16116000</v>
      </c>
      <c r="G4" s="22" t="n">
        <f aca="false">IF(B4=1,0,SUMIFS($D$2:$D$37,$A$2:$A$37,A4,$B$2:$B$37,B4-1))</f>
        <v>247</v>
      </c>
      <c r="H4" s="23" t="n">
        <f aca="false">IF(B4=1,0,(D4-G4)/G4)</f>
        <v>-0.0404858299595142</v>
      </c>
      <c r="I4" s="24" t="n">
        <f aca="false">IF(B4&lt;$O$2,0,AVERAGEIFS($D$2:$D$37,$A$2:$A$37,A4,$B$2:$B$37,"&gt;"&amp;(B4-$O$2),$B$2:$B$37,"&lt;="&amp;B4))</f>
        <v>262.666666666667</v>
      </c>
      <c r="J4" s="25" t="str">
        <f aca="false">IF(B4=1,"Awal",IF(H4&gt;$O$3,"Naik",IF(H4&lt;-$O$3,"Turun","Stabil")))</f>
        <v>Turun</v>
      </c>
      <c r="K4" s="25" t="str">
        <f aca="false">IF(B4&lt;$O$2,"Belum ada",IF(D4&gt;I4,"Di Atas","Di Bawah"))</f>
        <v>Di Bawah</v>
      </c>
      <c r="L4" s="26" t="n">
        <f aca="false">COUNTIFS($A$2:$A$37,A4,$D$2:$D$37,"&gt;"&amp;D4)+1</f>
        <v>12</v>
      </c>
    </row>
    <row r="5" customFormat="false" ht="15" hidden="false" customHeight="false" outlineLevel="0" collapsed="false">
      <c r="A5" s="17" t="s">
        <v>98</v>
      </c>
      <c r="B5" s="18" t="n">
        <v>4</v>
      </c>
      <c r="C5" s="17" t="s">
        <v>105</v>
      </c>
      <c r="D5" s="19" t="n">
        <v>338</v>
      </c>
      <c r="E5" s="20" t="n">
        <v>68000</v>
      </c>
      <c r="F5" s="21" t="n">
        <f aca="false">D5*E5</f>
        <v>22984000</v>
      </c>
      <c r="G5" s="22" t="n">
        <f aca="false">IF(B5=1,0,SUMIFS($D$2:$D$37,$A$2:$A$37,A5,$B$2:$B$37,B5-1))</f>
        <v>237</v>
      </c>
      <c r="H5" s="23" t="n">
        <f aca="false">IF(B5=1,0,(D5-G5)/G5)</f>
        <v>0.426160337552743</v>
      </c>
      <c r="I5" s="24" t="n">
        <f aca="false">IF(B5&lt;$O$2,0,AVERAGEIFS($D$2:$D$37,$A$2:$A$37,A5,$B$2:$B$37,"&gt;"&amp;(B5-$O$2),$B$2:$B$37,"&lt;="&amp;B5))</f>
        <v>274</v>
      </c>
      <c r="J5" s="25" t="str">
        <f aca="false">IF(B5=1,"Awal",IF(H5&gt;$O$3,"Naik",IF(H5&lt;-$O$3,"Turun","Stabil")))</f>
        <v>Naik</v>
      </c>
      <c r="K5" s="25" t="str">
        <f aca="false">IF(B5&lt;$O$2,"Belum ada",IF(D5&gt;I5,"Di Atas","Di Bawah"))</f>
        <v>Di Atas</v>
      </c>
      <c r="L5" s="26" t="n">
        <f aca="false">COUNTIFS($A$2:$A$37,A5,$D$2:$D$37,"&gt;"&amp;D5)+1</f>
        <v>4</v>
      </c>
    </row>
    <row r="6" customFormat="false" ht="15" hidden="false" customHeight="false" outlineLevel="0" collapsed="false">
      <c r="A6" s="17" t="s">
        <v>98</v>
      </c>
      <c r="B6" s="18" t="n">
        <v>5</v>
      </c>
      <c r="C6" s="17" t="s">
        <v>106</v>
      </c>
      <c r="D6" s="19" t="n">
        <v>332</v>
      </c>
      <c r="E6" s="20" t="n">
        <v>68000</v>
      </c>
      <c r="F6" s="21" t="n">
        <f aca="false">D6*E6</f>
        <v>22576000</v>
      </c>
      <c r="G6" s="22" t="n">
        <f aca="false">IF(B6=1,0,SUMIFS($D$2:$D$37,$A$2:$A$37,A6,$B$2:$B$37,B6-1))</f>
        <v>338</v>
      </c>
      <c r="H6" s="23" t="n">
        <f aca="false">IF(B6=1,0,(D6-G6)/G6)</f>
        <v>-0.0177514792899408</v>
      </c>
      <c r="I6" s="24" t="n">
        <f aca="false">IF(B6&lt;$O$2,0,AVERAGEIFS($D$2:$D$37,$A$2:$A$37,A6,$B$2:$B$37,"&gt;"&amp;(B6-$O$2),$B$2:$B$37,"&lt;="&amp;B6))</f>
        <v>302.333333333333</v>
      </c>
      <c r="J6" s="25" t="str">
        <f aca="false">IF(B6=1,"Awal",IF(H6&gt;$O$3,"Naik",IF(H6&lt;-$O$3,"Turun","Stabil")))</f>
        <v>Stabil</v>
      </c>
      <c r="K6" s="25" t="str">
        <f aca="false">IF(B6&lt;$O$2,"Belum ada",IF(D6&gt;I6,"Di Atas","Di Bawah"))</f>
        <v>Di Atas</v>
      </c>
      <c r="L6" s="26" t="n">
        <f aca="false">COUNTIFS($A$2:$A$37,A6,$D$2:$D$37,"&gt;"&amp;D6)+1</f>
        <v>5</v>
      </c>
    </row>
    <row r="7" customFormat="false" ht="15" hidden="false" customHeight="false" outlineLevel="0" collapsed="false">
      <c r="A7" s="17" t="s">
        <v>98</v>
      </c>
      <c r="B7" s="18" t="n">
        <v>6</v>
      </c>
      <c r="C7" s="17" t="s">
        <v>107</v>
      </c>
      <c r="D7" s="19" t="n">
        <v>353</v>
      </c>
      <c r="E7" s="20" t="n">
        <v>68000</v>
      </c>
      <c r="F7" s="21" t="n">
        <f aca="false">D7*E7</f>
        <v>24004000</v>
      </c>
      <c r="G7" s="22" t="n">
        <f aca="false">IF(B7=1,0,SUMIFS($D$2:$D$37,$A$2:$A$37,A7,$B$2:$B$37,B7-1))</f>
        <v>332</v>
      </c>
      <c r="H7" s="23" t="n">
        <f aca="false">IF(B7=1,0,(D7-G7)/G7)</f>
        <v>0.0632530120481928</v>
      </c>
      <c r="I7" s="24" t="n">
        <f aca="false">IF(B7&lt;$O$2,0,AVERAGEIFS($D$2:$D$37,$A$2:$A$37,A7,$B$2:$B$37,"&gt;"&amp;(B7-$O$2),$B$2:$B$37,"&lt;="&amp;B7))</f>
        <v>341</v>
      </c>
      <c r="J7" s="25" t="str">
        <f aca="false">IF(B7=1,"Awal",IF(H7&gt;$O$3,"Naik",IF(H7&lt;-$O$3,"Turun","Stabil")))</f>
        <v>Naik</v>
      </c>
      <c r="K7" s="25" t="str">
        <f aca="false">IF(B7&lt;$O$2,"Belum ada",IF(D7&gt;I7,"Di Atas","Di Bawah"))</f>
        <v>Di Atas</v>
      </c>
      <c r="L7" s="26" t="n">
        <f aca="false">COUNTIFS($A$2:$A$37,A7,$D$2:$D$37,"&gt;"&amp;D7)+1</f>
        <v>2</v>
      </c>
    </row>
    <row r="8" customFormat="false" ht="15" hidden="false" customHeight="false" outlineLevel="0" collapsed="false">
      <c r="A8" s="17" t="s">
        <v>98</v>
      </c>
      <c r="B8" s="18" t="n">
        <v>7</v>
      </c>
      <c r="C8" s="17" t="s">
        <v>108</v>
      </c>
      <c r="D8" s="19" t="n">
        <v>377</v>
      </c>
      <c r="E8" s="20" t="n">
        <v>68000</v>
      </c>
      <c r="F8" s="21" t="n">
        <f aca="false">D8*E8</f>
        <v>25636000</v>
      </c>
      <c r="G8" s="22" t="n">
        <f aca="false">IF(B8=1,0,SUMIFS($D$2:$D$37,$A$2:$A$37,A8,$B$2:$B$37,B8-1))</f>
        <v>353</v>
      </c>
      <c r="H8" s="23" t="n">
        <f aca="false">IF(B8=1,0,(D8-G8)/G8)</f>
        <v>0.0679886685552408</v>
      </c>
      <c r="I8" s="24" t="n">
        <f aca="false">IF(B8&lt;$O$2,0,AVERAGEIFS($D$2:$D$37,$A$2:$A$37,A8,$B$2:$B$37,"&gt;"&amp;(B8-$O$2),$B$2:$B$37,"&lt;="&amp;B8))</f>
        <v>354</v>
      </c>
      <c r="J8" s="25" t="str">
        <f aca="false">IF(B8=1,"Awal",IF(H8&gt;$O$3,"Naik",IF(H8&lt;-$O$3,"Turun","Stabil")))</f>
        <v>Naik</v>
      </c>
      <c r="K8" s="25" t="str">
        <f aca="false">IF(B8&lt;$O$2,"Belum ada",IF(D8&gt;I8,"Di Atas","Di Bawah"))</f>
        <v>Di Atas</v>
      </c>
      <c r="L8" s="26" t="n">
        <f aca="false">COUNTIFS($A$2:$A$37,A8,$D$2:$D$37,"&gt;"&amp;D8)+1</f>
        <v>1</v>
      </c>
    </row>
    <row r="9" customFormat="false" ht="15" hidden="false" customHeight="false" outlineLevel="0" collapsed="false">
      <c r="A9" s="17" t="s">
        <v>98</v>
      </c>
      <c r="B9" s="18" t="n">
        <v>8</v>
      </c>
      <c r="C9" s="17" t="s">
        <v>109</v>
      </c>
      <c r="D9" s="19" t="n">
        <v>303</v>
      </c>
      <c r="E9" s="20" t="n">
        <v>68000</v>
      </c>
      <c r="F9" s="21" t="n">
        <f aca="false">D9*E9</f>
        <v>20604000</v>
      </c>
      <c r="G9" s="22" t="n">
        <f aca="false">IF(B9=1,0,SUMIFS($D$2:$D$37,$A$2:$A$37,A9,$B$2:$B$37,B9-1))</f>
        <v>377</v>
      </c>
      <c r="H9" s="23" t="n">
        <f aca="false">IF(B9=1,0,(D9-G9)/G9)</f>
        <v>-0.196286472148541</v>
      </c>
      <c r="I9" s="24" t="n">
        <f aca="false">IF(B9&lt;$O$2,0,AVERAGEIFS($D$2:$D$37,$A$2:$A$37,A9,$B$2:$B$37,"&gt;"&amp;(B9-$O$2),$B$2:$B$37,"&lt;="&amp;B9))</f>
        <v>344.333333333333</v>
      </c>
      <c r="J9" s="25" t="str">
        <f aca="false">IF(B9=1,"Awal",IF(H9&gt;$O$3,"Naik",IF(H9&lt;-$O$3,"Turun","Stabil")))</f>
        <v>Turun</v>
      </c>
      <c r="K9" s="25" t="str">
        <f aca="false">IF(B9&lt;$O$2,"Belum ada",IF(D9&gt;I9,"Di Atas","Di Bawah"))</f>
        <v>Di Bawah</v>
      </c>
      <c r="L9" s="26" t="n">
        <f aca="false">COUNTIFS($A$2:$A$37,A9,$D$2:$D$37,"&gt;"&amp;D9)+1</f>
        <v>9</v>
      </c>
    </row>
    <row r="10" customFormat="false" ht="15" hidden="false" customHeight="false" outlineLevel="0" collapsed="false">
      <c r="A10" s="17" t="s">
        <v>98</v>
      </c>
      <c r="B10" s="18" t="n">
        <v>9</v>
      </c>
      <c r="C10" s="17" t="s">
        <v>110</v>
      </c>
      <c r="D10" s="19" t="n">
        <v>306</v>
      </c>
      <c r="E10" s="20" t="n">
        <v>68000</v>
      </c>
      <c r="F10" s="21" t="n">
        <f aca="false">D10*E10</f>
        <v>20808000</v>
      </c>
      <c r="G10" s="22" t="n">
        <f aca="false">IF(B10=1,0,SUMIFS($D$2:$D$37,$A$2:$A$37,A10,$B$2:$B$37,B10-1))</f>
        <v>303</v>
      </c>
      <c r="H10" s="23" t="n">
        <f aca="false">IF(B10=1,0,(D10-G10)/G10)</f>
        <v>0.0099009900990099</v>
      </c>
      <c r="I10" s="24" t="n">
        <f aca="false">IF(B10&lt;$O$2,0,AVERAGEIFS($D$2:$D$37,$A$2:$A$37,A10,$B$2:$B$37,"&gt;"&amp;(B10-$O$2),$B$2:$B$37,"&lt;="&amp;B10))</f>
        <v>328.666666666667</v>
      </c>
      <c r="J10" s="25" t="str">
        <f aca="false">IF(B10=1,"Awal",IF(H10&gt;$O$3,"Naik",IF(H10&lt;-$O$3,"Turun","Stabil")))</f>
        <v>Stabil</v>
      </c>
      <c r="K10" s="25" t="str">
        <f aca="false">IF(B10&lt;$O$2,"Belum ada",IF(D10&gt;I10,"Di Atas","Di Bawah"))</f>
        <v>Di Bawah</v>
      </c>
      <c r="L10" s="26" t="n">
        <f aca="false">COUNTIFS($A$2:$A$37,A10,$D$2:$D$37,"&gt;"&amp;D10)+1</f>
        <v>7</v>
      </c>
    </row>
    <row r="11" customFormat="false" ht="15" hidden="false" customHeight="false" outlineLevel="0" collapsed="false">
      <c r="A11" s="17" t="s">
        <v>98</v>
      </c>
      <c r="B11" s="18" t="n">
        <v>10</v>
      </c>
      <c r="C11" s="17" t="s">
        <v>111</v>
      </c>
      <c r="D11" s="19" t="n">
        <v>260</v>
      </c>
      <c r="E11" s="20" t="n">
        <v>68000</v>
      </c>
      <c r="F11" s="21" t="n">
        <f aca="false">D11*E11</f>
        <v>17680000</v>
      </c>
      <c r="G11" s="22" t="n">
        <f aca="false">IF(B11=1,0,SUMIFS($D$2:$D$37,$A$2:$A$37,A11,$B$2:$B$37,B11-1))</f>
        <v>306</v>
      </c>
      <c r="H11" s="23" t="n">
        <f aca="false">IF(B11=1,0,(D11-G11)/G11)</f>
        <v>-0.150326797385621</v>
      </c>
      <c r="I11" s="24" t="n">
        <f aca="false">IF(B11&lt;$O$2,0,AVERAGEIFS($D$2:$D$37,$A$2:$A$37,A11,$B$2:$B$37,"&gt;"&amp;(B11-$O$2),$B$2:$B$37,"&lt;="&amp;B11))</f>
        <v>289.666666666667</v>
      </c>
      <c r="J11" s="25" t="str">
        <f aca="false">IF(B11=1,"Awal",IF(H11&gt;$O$3,"Naik",IF(H11&lt;-$O$3,"Turun","Stabil")))</f>
        <v>Turun</v>
      </c>
      <c r="K11" s="25" t="str">
        <f aca="false">IF(B11&lt;$O$2,"Belum ada",IF(D11&gt;I11,"Di Atas","Di Bawah"))</f>
        <v>Di Bawah</v>
      </c>
      <c r="L11" s="26" t="n">
        <f aca="false">COUNTIFS($A$2:$A$37,A11,$D$2:$D$37,"&gt;"&amp;D11)+1</f>
        <v>10</v>
      </c>
    </row>
    <row r="12" customFormat="false" ht="15" hidden="false" customHeight="false" outlineLevel="0" collapsed="false">
      <c r="A12" s="17" t="s">
        <v>98</v>
      </c>
      <c r="B12" s="18" t="n">
        <v>11</v>
      </c>
      <c r="C12" s="17" t="s">
        <v>112</v>
      </c>
      <c r="D12" s="19" t="n">
        <v>316</v>
      </c>
      <c r="E12" s="20" t="n">
        <v>68000</v>
      </c>
      <c r="F12" s="21" t="n">
        <f aca="false">D12*E12</f>
        <v>21488000</v>
      </c>
      <c r="G12" s="22" t="n">
        <f aca="false">IF(B12=1,0,SUMIFS($D$2:$D$37,$A$2:$A$37,A12,$B$2:$B$37,B12-1))</f>
        <v>260</v>
      </c>
      <c r="H12" s="23" t="n">
        <f aca="false">IF(B12=1,0,(D12-G12)/G12)</f>
        <v>0.215384615384615</v>
      </c>
      <c r="I12" s="24" t="n">
        <f aca="false">IF(B12&lt;$O$2,0,AVERAGEIFS($D$2:$D$37,$A$2:$A$37,A12,$B$2:$B$37,"&gt;"&amp;(B12-$O$2),$B$2:$B$37,"&lt;="&amp;B12))</f>
        <v>294</v>
      </c>
      <c r="J12" s="25" t="str">
        <f aca="false">IF(B12=1,"Awal",IF(H12&gt;$O$3,"Naik",IF(H12&lt;-$O$3,"Turun","Stabil")))</f>
        <v>Naik</v>
      </c>
      <c r="K12" s="25" t="str">
        <f aca="false">IF(B12&lt;$O$2,"Belum ada",IF(D12&gt;I12,"Di Atas","Di Bawah"))</f>
        <v>Di Atas</v>
      </c>
      <c r="L12" s="26" t="n">
        <f aca="false">COUNTIFS($A$2:$A$37,A12,$D$2:$D$37,"&gt;"&amp;D12)+1</f>
        <v>6</v>
      </c>
    </row>
    <row r="13" customFormat="false" ht="15" hidden="false" customHeight="false" outlineLevel="0" collapsed="false">
      <c r="A13" s="17" t="s">
        <v>98</v>
      </c>
      <c r="B13" s="18" t="n">
        <v>12</v>
      </c>
      <c r="C13" s="17" t="s">
        <v>113</v>
      </c>
      <c r="D13" s="19" t="n">
        <v>346</v>
      </c>
      <c r="E13" s="20" t="n">
        <v>68000</v>
      </c>
      <c r="F13" s="21" t="n">
        <f aca="false">D13*E13</f>
        <v>23528000</v>
      </c>
      <c r="G13" s="22" t="n">
        <f aca="false">IF(B13=1,0,SUMIFS($D$2:$D$37,$A$2:$A$37,A13,$B$2:$B$37,B13-1))</f>
        <v>316</v>
      </c>
      <c r="H13" s="23" t="n">
        <f aca="false">IF(B13=1,0,(D13-G13)/G13)</f>
        <v>0.0949367088607595</v>
      </c>
      <c r="I13" s="24" t="n">
        <f aca="false">IF(B13&lt;$O$2,0,AVERAGEIFS($D$2:$D$37,$A$2:$A$37,A13,$B$2:$B$37,"&gt;"&amp;(B13-$O$2),$B$2:$B$37,"&lt;="&amp;B13))</f>
        <v>307.333333333333</v>
      </c>
      <c r="J13" s="25" t="str">
        <f aca="false">IF(B13=1,"Awal",IF(H13&gt;$O$3,"Naik",IF(H13&lt;-$O$3,"Turun","Stabil")))</f>
        <v>Naik</v>
      </c>
      <c r="K13" s="25" t="str">
        <f aca="false">IF(B13&lt;$O$2,"Belum ada",IF(D13&gt;I13,"Di Atas","Di Bawah"))</f>
        <v>Di Atas</v>
      </c>
      <c r="L13" s="26" t="n">
        <f aca="false">COUNTIFS($A$2:$A$37,A13,$D$2:$D$37,"&gt;"&amp;D13)+1</f>
        <v>3</v>
      </c>
    </row>
    <row r="14" customFormat="false" ht="15" hidden="false" customHeight="false" outlineLevel="0" collapsed="false">
      <c r="A14" s="17" t="s">
        <v>114</v>
      </c>
      <c r="B14" s="18" t="n">
        <v>1</v>
      </c>
      <c r="C14" s="17" t="s">
        <v>99</v>
      </c>
      <c r="D14" s="19" t="n">
        <v>645</v>
      </c>
      <c r="E14" s="20" t="n">
        <v>18500</v>
      </c>
      <c r="F14" s="21" t="n">
        <f aca="false">D14*E14</f>
        <v>11932500</v>
      </c>
      <c r="G14" s="22" t="n">
        <f aca="false">IF(B14=1,0,SUMIFS($D$2:$D$37,$A$2:$A$37,A14,$B$2:$B$37,B14-1))</f>
        <v>0</v>
      </c>
      <c r="H14" s="23" t="n">
        <f aca="false">IF(B14=1,0,(D14-G14)/G14)</f>
        <v>0</v>
      </c>
      <c r="I14" s="24" t="n">
        <f aca="false">IF(B14&lt;$O$2,0,AVERAGEIFS($D$2:$D$37,$A$2:$A$37,A14,$B$2:$B$37,"&gt;"&amp;(B14-$O$2),$B$2:$B$37,"&lt;="&amp;B14))</f>
        <v>0</v>
      </c>
      <c r="J14" s="25" t="str">
        <f aca="false">IF(B14=1,"Awal",IF(H14&gt;$O$3,"Naik",IF(H14&lt;-$O$3,"Turun","Stabil")))</f>
        <v>Awal</v>
      </c>
      <c r="K14" s="25" t="str">
        <f aca="false">IF(B14&lt;$O$2,"Belum ada",IF(D14&gt;I14,"Di Atas","Di Bawah"))</f>
        <v>Belum ada</v>
      </c>
      <c r="L14" s="26" t="n">
        <f aca="false">COUNTIFS($A$2:$A$37,A14,$D$2:$D$37,"&gt;"&amp;D14)+1</f>
        <v>10</v>
      </c>
    </row>
    <row r="15" customFormat="false" ht="15" hidden="false" customHeight="false" outlineLevel="0" collapsed="false">
      <c r="A15" s="17" t="s">
        <v>114</v>
      </c>
      <c r="B15" s="18" t="n">
        <v>2</v>
      </c>
      <c r="C15" s="17" t="s">
        <v>101</v>
      </c>
      <c r="D15" s="19" t="n">
        <v>581</v>
      </c>
      <c r="E15" s="20" t="n">
        <v>18500</v>
      </c>
      <c r="F15" s="21" t="n">
        <f aca="false">D15*E15</f>
        <v>10748500</v>
      </c>
      <c r="G15" s="22" t="n">
        <f aca="false">IF(B15=1,0,SUMIFS($D$2:$D$37,$A$2:$A$37,A15,$B$2:$B$37,B15-1))</f>
        <v>645</v>
      </c>
      <c r="H15" s="23" t="n">
        <f aca="false">IF(B15=1,0,(D15-G15)/G15)</f>
        <v>-0.0992248062015504</v>
      </c>
      <c r="I15" s="24" t="n">
        <f aca="false">IF(B15&lt;$O$2,0,AVERAGEIFS($D$2:$D$37,$A$2:$A$37,A15,$B$2:$B$37,"&gt;"&amp;(B15-$O$2),$B$2:$B$37,"&lt;="&amp;B15))</f>
        <v>0</v>
      </c>
      <c r="J15" s="25" t="str">
        <f aca="false">IF(B15=1,"Awal",IF(H15&gt;$O$3,"Naik",IF(H15&lt;-$O$3,"Turun","Stabil")))</f>
        <v>Turun</v>
      </c>
      <c r="K15" s="25" t="str">
        <f aca="false">IF(B15&lt;$O$2,"Belum ada",IF(D15&gt;I15,"Di Atas","Di Bawah"))</f>
        <v>Belum ada</v>
      </c>
      <c r="L15" s="26" t="n">
        <f aca="false">COUNTIFS($A$2:$A$37,A15,$D$2:$D$37,"&gt;"&amp;D15)+1</f>
        <v>11</v>
      </c>
    </row>
    <row r="16" customFormat="false" ht="15" hidden="false" customHeight="false" outlineLevel="0" collapsed="false">
      <c r="A16" s="17" t="s">
        <v>114</v>
      </c>
      <c r="B16" s="18" t="n">
        <v>3</v>
      </c>
      <c r="C16" s="17" t="s">
        <v>104</v>
      </c>
      <c r="D16" s="19" t="n">
        <v>541</v>
      </c>
      <c r="E16" s="20" t="n">
        <v>18500</v>
      </c>
      <c r="F16" s="21" t="n">
        <f aca="false">D16*E16</f>
        <v>10008500</v>
      </c>
      <c r="G16" s="22" t="n">
        <f aca="false">IF(B16=1,0,SUMIFS($D$2:$D$37,$A$2:$A$37,A16,$B$2:$B$37,B16-1))</f>
        <v>581</v>
      </c>
      <c r="H16" s="23" t="n">
        <f aca="false">IF(B16=1,0,(D16-G16)/G16)</f>
        <v>-0.0688468158347676</v>
      </c>
      <c r="I16" s="24" t="n">
        <f aca="false">IF(B16&lt;$O$2,0,AVERAGEIFS($D$2:$D$37,$A$2:$A$37,A16,$B$2:$B$37,"&gt;"&amp;(B16-$O$2),$B$2:$B$37,"&lt;="&amp;B16))</f>
        <v>589</v>
      </c>
      <c r="J16" s="25" t="str">
        <f aca="false">IF(B16=1,"Awal",IF(H16&gt;$O$3,"Naik",IF(H16&lt;-$O$3,"Turun","Stabil")))</f>
        <v>Turun</v>
      </c>
      <c r="K16" s="25" t="str">
        <f aca="false">IF(B16&lt;$O$2,"Belum ada",IF(D16&gt;I16,"Di Atas","Di Bawah"))</f>
        <v>Di Bawah</v>
      </c>
      <c r="L16" s="26" t="n">
        <f aca="false">COUNTIFS($A$2:$A$37,A16,$D$2:$D$37,"&gt;"&amp;D16)+1</f>
        <v>12</v>
      </c>
    </row>
    <row r="17" customFormat="false" ht="15" hidden="false" customHeight="false" outlineLevel="0" collapsed="false">
      <c r="A17" s="17" t="s">
        <v>114</v>
      </c>
      <c r="B17" s="18" t="n">
        <v>4</v>
      </c>
      <c r="C17" s="17" t="s">
        <v>105</v>
      </c>
      <c r="D17" s="19" t="n">
        <v>709</v>
      </c>
      <c r="E17" s="20" t="n">
        <v>18500</v>
      </c>
      <c r="F17" s="21" t="n">
        <f aca="false">D17*E17</f>
        <v>13116500</v>
      </c>
      <c r="G17" s="22" t="n">
        <f aca="false">IF(B17=1,0,SUMIFS($D$2:$D$37,$A$2:$A$37,A17,$B$2:$B$37,B17-1))</f>
        <v>541</v>
      </c>
      <c r="H17" s="23" t="n">
        <f aca="false">IF(B17=1,0,(D17-G17)/G17)</f>
        <v>0.310536044362292</v>
      </c>
      <c r="I17" s="24" t="n">
        <f aca="false">IF(B17&lt;$O$2,0,AVERAGEIFS($D$2:$D$37,$A$2:$A$37,A17,$B$2:$B$37,"&gt;"&amp;(B17-$O$2),$B$2:$B$37,"&lt;="&amp;B17))</f>
        <v>610.333333333333</v>
      </c>
      <c r="J17" s="25" t="str">
        <f aca="false">IF(B17=1,"Awal",IF(H17&gt;$O$3,"Naik",IF(H17&lt;-$O$3,"Turun","Stabil")))</f>
        <v>Naik</v>
      </c>
      <c r="K17" s="25" t="str">
        <f aca="false">IF(B17&lt;$O$2,"Belum ada",IF(D17&gt;I17,"Di Atas","Di Bawah"))</f>
        <v>Di Atas</v>
      </c>
      <c r="L17" s="26" t="n">
        <f aca="false">COUNTIFS($A$2:$A$37,A17,$D$2:$D$37,"&gt;"&amp;D17)+1</f>
        <v>9</v>
      </c>
    </row>
    <row r="18" customFormat="false" ht="15" hidden="false" customHeight="false" outlineLevel="0" collapsed="false">
      <c r="A18" s="17" t="s">
        <v>114</v>
      </c>
      <c r="B18" s="18" t="n">
        <v>5</v>
      </c>
      <c r="C18" s="17" t="s">
        <v>106</v>
      </c>
      <c r="D18" s="19" t="n">
        <v>743</v>
      </c>
      <c r="E18" s="20" t="n">
        <v>18500</v>
      </c>
      <c r="F18" s="21" t="n">
        <f aca="false">D18*E18</f>
        <v>13745500</v>
      </c>
      <c r="G18" s="22" t="n">
        <f aca="false">IF(B18=1,0,SUMIFS($D$2:$D$37,$A$2:$A$37,A18,$B$2:$B$37,B18-1))</f>
        <v>709</v>
      </c>
      <c r="H18" s="23" t="n">
        <f aca="false">IF(B18=1,0,(D18-G18)/G18)</f>
        <v>0.0479548660084626</v>
      </c>
      <c r="I18" s="24" t="n">
        <f aca="false">IF(B18&lt;$O$2,0,AVERAGEIFS($D$2:$D$37,$A$2:$A$37,A18,$B$2:$B$37,"&gt;"&amp;(B18-$O$2),$B$2:$B$37,"&lt;="&amp;B18))</f>
        <v>664.333333333333</v>
      </c>
      <c r="J18" s="25" t="str">
        <f aca="false">IF(B18=1,"Awal",IF(H18&gt;$O$3,"Naik",IF(H18&lt;-$O$3,"Turun","Stabil")))</f>
        <v>Naik</v>
      </c>
      <c r="K18" s="25" t="str">
        <f aca="false">IF(B18&lt;$O$2,"Belum ada",IF(D18&gt;I18,"Di Atas","Di Bawah"))</f>
        <v>Di Atas</v>
      </c>
      <c r="L18" s="26" t="n">
        <f aca="false">COUNTIFS($A$2:$A$37,A18,$D$2:$D$37,"&gt;"&amp;D18)+1</f>
        <v>8</v>
      </c>
    </row>
    <row r="19" customFormat="false" ht="15" hidden="false" customHeight="false" outlineLevel="0" collapsed="false">
      <c r="A19" s="17" t="s">
        <v>114</v>
      </c>
      <c r="B19" s="18" t="n">
        <v>6</v>
      </c>
      <c r="C19" s="17" t="s">
        <v>107</v>
      </c>
      <c r="D19" s="19" t="n">
        <v>841</v>
      </c>
      <c r="E19" s="20" t="n">
        <v>18500</v>
      </c>
      <c r="F19" s="21" t="n">
        <f aca="false">D19*E19</f>
        <v>15558500</v>
      </c>
      <c r="G19" s="22" t="n">
        <f aca="false">IF(B19=1,0,SUMIFS($D$2:$D$37,$A$2:$A$37,A19,$B$2:$B$37,B19-1))</f>
        <v>743</v>
      </c>
      <c r="H19" s="23" t="n">
        <f aca="false">IF(B19=1,0,(D19-G19)/G19)</f>
        <v>0.131897711978466</v>
      </c>
      <c r="I19" s="24" t="n">
        <f aca="false">IF(B19&lt;$O$2,0,AVERAGEIFS($D$2:$D$37,$A$2:$A$37,A19,$B$2:$B$37,"&gt;"&amp;(B19-$O$2),$B$2:$B$37,"&lt;="&amp;B19))</f>
        <v>764.333333333333</v>
      </c>
      <c r="J19" s="25" t="str">
        <f aca="false">IF(B19=1,"Awal",IF(H19&gt;$O$3,"Naik",IF(H19&lt;-$O$3,"Turun","Stabil")))</f>
        <v>Naik</v>
      </c>
      <c r="K19" s="25" t="str">
        <f aca="false">IF(B19&lt;$O$2,"Belum ada",IF(D19&gt;I19,"Di Atas","Di Bawah"))</f>
        <v>Di Atas</v>
      </c>
      <c r="L19" s="26" t="n">
        <f aca="false">COUNTIFS($A$2:$A$37,A19,$D$2:$D$37,"&gt;"&amp;D19)+1</f>
        <v>2</v>
      </c>
    </row>
    <row r="20" customFormat="false" ht="15" hidden="false" customHeight="false" outlineLevel="0" collapsed="false">
      <c r="A20" s="17" t="s">
        <v>114</v>
      </c>
      <c r="B20" s="18" t="n">
        <v>7</v>
      </c>
      <c r="C20" s="17" t="s">
        <v>108</v>
      </c>
      <c r="D20" s="19" t="n">
        <v>829</v>
      </c>
      <c r="E20" s="20" t="n">
        <v>18500</v>
      </c>
      <c r="F20" s="21" t="n">
        <f aca="false">D20*E20</f>
        <v>15336500</v>
      </c>
      <c r="G20" s="22" t="n">
        <f aca="false">IF(B20=1,0,SUMIFS($D$2:$D$37,$A$2:$A$37,A20,$B$2:$B$37,B20-1))</f>
        <v>841</v>
      </c>
      <c r="H20" s="23" t="n">
        <f aca="false">IF(B20=1,0,(D20-G20)/G20)</f>
        <v>-0.014268727705113</v>
      </c>
      <c r="I20" s="24" t="n">
        <f aca="false">IF(B20&lt;$O$2,0,AVERAGEIFS($D$2:$D$37,$A$2:$A$37,A20,$B$2:$B$37,"&gt;"&amp;(B20-$O$2),$B$2:$B$37,"&lt;="&amp;B20))</f>
        <v>804.333333333333</v>
      </c>
      <c r="J20" s="25" t="str">
        <f aca="false">IF(B20=1,"Awal",IF(H20&gt;$O$3,"Naik",IF(H20&lt;-$O$3,"Turun","Stabil")))</f>
        <v>Stabil</v>
      </c>
      <c r="K20" s="25" t="str">
        <f aca="false">IF(B20&lt;$O$2,"Belum ada",IF(D20&gt;I20,"Di Atas","Di Bawah"))</f>
        <v>Di Atas</v>
      </c>
      <c r="L20" s="26" t="n">
        <f aca="false">COUNTIFS($A$2:$A$37,A20,$D$2:$D$37,"&gt;"&amp;D20)+1</f>
        <v>3</v>
      </c>
    </row>
    <row r="21" customFormat="false" ht="15" hidden="false" customHeight="false" outlineLevel="0" collapsed="false">
      <c r="A21" s="17" t="s">
        <v>114</v>
      </c>
      <c r="B21" s="18" t="n">
        <v>8</v>
      </c>
      <c r="C21" s="17" t="s">
        <v>109</v>
      </c>
      <c r="D21" s="19" t="n">
        <v>782</v>
      </c>
      <c r="E21" s="20" t="n">
        <v>18500</v>
      </c>
      <c r="F21" s="21" t="n">
        <f aca="false">D21*E21</f>
        <v>14467000</v>
      </c>
      <c r="G21" s="22" t="n">
        <f aca="false">IF(B21=1,0,SUMIFS($D$2:$D$37,$A$2:$A$37,A21,$B$2:$B$37,B21-1))</f>
        <v>829</v>
      </c>
      <c r="H21" s="23" t="n">
        <f aca="false">IF(B21=1,0,(D21-G21)/G21)</f>
        <v>-0.0566948130277443</v>
      </c>
      <c r="I21" s="24" t="n">
        <f aca="false">IF(B21&lt;$O$2,0,AVERAGEIFS($D$2:$D$37,$A$2:$A$37,A21,$B$2:$B$37,"&gt;"&amp;(B21-$O$2),$B$2:$B$37,"&lt;="&amp;B21))</f>
        <v>817.333333333333</v>
      </c>
      <c r="J21" s="25" t="str">
        <f aca="false">IF(B21=1,"Awal",IF(H21&gt;$O$3,"Naik",IF(H21&lt;-$O$3,"Turun","Stabil")))</f>
        <v>Turun</v>
      </c>
      <c r="K21" s="25" t="str">
        <f aca="false">IF(B21&lt;$O$2,"Belum ada",IF(D21&gt;I21,"Di Atas","Di Bawah"))</f>
        <v>Di Bawah</v>
      </c>
      <c r="L21" s="26" t="n">
        <f aca="false">COUNTIFS($A$2:$A$37,A21,$D$2:$D$37,"&gt;"&amp;D21)+1</f>
        <v>5</v>
      </c>
    </row>
    <row r="22" customFormat="false" ht="15" hidden="false" customHeight="false" outlineLevel="0" collapsed="false">
      <c r="A22" s="17" t="s">
        <v>114</v>
      </c>
      <c r="B22" s="18" t="n">
        <v>9</v>
      </c>
      <c r="C22" s="17" t="s">
        <v>110</v>
      </c>
      <c r="D22" s="19" t="n">
        <v>774</v>
      </c>
      <c r="E22" s="20" t="n">
        <v>18500</v>
      </c>
      <c r="F22" s="21" t="n">
        <f aca="false">D22*E22</f>
        <v>14319000</v>
      </c>
      <c r="G22" s="22" t="n">
        <f aca="false">IF(B22=1,0,SUMIFS($D$2:$D$37,$A$2:$A$37,A22,$B$2:$B$37,B22-1))</f>
        <v>782</v>
      </c>
      <c r="H22" s="23" t="n">
        <f aca="false">IF(B22=1,0,(D22-G22)/G22)</f>
        <v>-0.010230179028133</v>
      </c>
      <c r="I22" s="24" t="n">
        <f aca="false">IF(B22&lt;$O$2,0,AVERAGEIFS($D$2:$D$37,$A$2:$A$37,A22,$B$2:$B$37,"&gt;"&amp;(B22-$O$2),$B$2:$B$37,"&lt;="&amp;B22))</f>
        <v>795</v>
      </c>
      <c r="J22" s="25" t="str">
        <f aca="false">IF(B22=1,"Awal",IF(H22&gt;$O$3,"Naik",IF(H22&lt;-$O$3,"Turun","Stabil")))</f>
        <v>Stabil</v>
      </c>
      <c r="K22" s="25" t="str">
        <f aca="false">IF(B22&lt;$O$2,"Belum ada",IF(D22&gt;I22,"Di Atas","Di Bawah"))</f>
        <v>Di Bawah</v>
      </c>
      <c r="L22" s="26" t="n">
        <f aca="false">COUNTIFS($A$2:$A$37,A22,$D$2:$D$37,"&gt;"&amp;D22)+1</f>
        <v>6</v>
      </c>
    </row>
    <row r="23" customFormat="false" ht="15" hidden="false" customHeight="false" outlineLevel="0" collapsed="false">
      <c r="A23" s="17" t="s">
        <v>114</v>
      </c>
      <c r="B23" s="18" t="n">
        <v>10</v>
      </c>
      <c r="C23" s="17" t="s">
        <v>111</v>
      </c>
      <c r="D23" s="19" t="n">
        <v>765</v>
      </c>
      <c r="E23" s="20" t="n">
        <v>18500</v>
      </c>
      <c r="F23" s="21" t="n">
        <f aca="false">D23*E23</f>
        <v>14152500</v>
      </c>
      <c r="G23" s="22" t="n">
        <f aca="false">IF(B23=1,0,SUMIFS($D$2:$D$37,$A$2:$A$37,A23,$B$2:$B$37,B23-1))</f>
        <v>774</v>
      </c>
      <c r="H23" s="23" t="n">
        <f aca="false">IF(B23=1,0,(D23-G23)/G23)</f>
        <v>-0.0116279069767442</v>
      </c>
      <c r="I23" s="24" t="n">
        <f aca="false">IF(B23&lt;$O$2,0,AVERAGEIFS($D$2:$D$37,$A$2:$A$37,A23,$B$2:$B$37,"&gt;"&amp;(B23-$O$2),$B$2:$B$37,"&lt;="&amp;B23))</f>
        <v>773.666666666667</v>
      </c>
      <c r="J23" s="25" t="str">
        <f aca="false">IF(B23=1,"Awal",IF(H23&gt;$O$3,"Naik",IF(H23&lt;-$O$3,"Turun","Stabil")))</f>
        <v>Stabil</v>
      </c>
      <c r="K23" s="25" t="str">
        <f aca="false">IF(B23&lt;$O$2,"Belum ada",IF(D23&gt;I23,"Di Atas","Di Bawah"))</f>
        <v>Di Bawah</v>
      </c>
      <c r="L23" s="26" t="n">
        <f aca="false">COUNTIFS($A$2:$A$37,A23,$D$2:$D$37,"&gt;"&amp;D23)+1</f>
        <v>7</v>
      </c>
    </row>
    <row r="24" customFormat="false" ht="15" hidden="false" customHeight="false" outlineLevel="0" collapsed="false">
      <c r="A24" s="17" t="s">
        <v>114</v>
      </c>
      <c r="B24" s="18" t="n">
        <v>11</v>
      </c>
      <c r="C24" s="17" t="s">
        <v>112</v>
      </c>
      <c r="D24" s="19" t="n">
        <v>803</v>
      </c>
      <c r="E24" s="20" t="n">
        <v>18500</v>
      </c>
      <c r="F24" s="21" t="n">
        <f aca="false">D24*E24</f>
        <v>14855500</v>
      </c>
      <c r="G24" s="22" t="n">
        <f aca="false">IF(B24=1,0,SUMIFS($D$2:$D$37,$A$2:$A$37,A24,$B$2:$B$37,B24-1))</f>
        <v>765</v>
      </c>
      <c r="H24" s="23" t="n">
        <f aca="false">IF(B24=1,0,(D24-G24)/G24)</f>
        <v>0.0496732026143791</v>
      </c>
      <c r="I24" s="24" t="n">
        <f aca="false">IF(B24&lt;$O$2,0,AVERAGEIFS($D$2:$D$37,$A$2:$A$37,A24,$B$2:$B$37,"&gt;"&amp;(B24-$O$2),$B$2:$B$37,"&lt;="&amp;B24))</f>
        <v>780.666666666667</v>
      </c>
      <c r="J24" s="25" t="str">
        <f aca="false">IF(B24=1,"Awal",IF(H24&gt;$O$3,"Naik",IF(H24&lt;-$O$3,"Turun","Stabil")))</f>
        <v>Naik</v>
      </c>
      <c r="K24" s="25" t="str">
        <f aca="false">IF(B24&lt;$O$2,"Belum ada",IF(D24&gt;I24,"Di Atas","Di Bawah"))</f>
        <v>Di Atas</v>
      </c>
      <c r="L24" s="26" t="n">
        <f aca="false">COUNTIFS($A$2:$A$37,A24,$D$2:$D$37,"&gt;"&amp;D24)+1</f>
        <v>4</v>
      </c>
    </row>
    <row r="25" customFormat="false" ht="15" hidden="false" customHeight="false" outlineLevel="0" collapsed="false">
      <c r="A25" s="17" t="s">
        <v>114</v>
      </c>
      <c r="B25" s="18" t="n">
        <v>12</v>
      </c>
      <c r="C25" s="17" t="s">
        <v>113</v>
      </c>
      <c r="D25" s="19" t="n">
        <v>901</v>
      </c>
      <c r="E25" s="20" t="n">
        <v>18500</v>
      </c>
      <c r="F25" s="21" t="n">
        <f aca="false">D25*E25</f>
        <v>16668500</v>
      </c>
      <c r="G25" s="22" t="n">
        <f aca="false">IF(B25=1,0,SUMIFS($D$2:$D$37,$A$2:$A$37,A25,$B$2:$B$37,B25-1))</f>
        <v>803</v>
      </c>
      <c r="H25" s="23" t="n">
        <f aca="false">IF(B25=1,0,(D25-G25)/G25)</f>
        <v>0.122042341220423</v>
      </c>
      <c r="I25" s="24" t="n">
        <f aca="false">IF(B25&lt;$O$2,0,AVERAGEIFS($D$2:$D$37,$A$2:$A$37,A25,$B$2:$B$37,"&gt;"&amp;(B25-$O$2),$B$2:$B$37,"&lt;="&amp;B25))</f>
        <v>823</v>
      </c>
      <c r="J25" s="25" t="str">
        <f aca="false">IF(B25=1,"Awal",IF(H25&gt;$O$3,"Naik",IF(H25&lt;-$O$3,"Turun","Stabil")))</f>
        <v>Naik</v>
      </c>
      <c r="K25" s="25" t="str">
        <f aca="false">IF(B25&lt;$O$2,"Belum ada",IF(D25&gt;I25,"Di Atas","Di Bawah"))</f>
        <v>Di Atas</v>
      </c>
      <c r="L25" s="26" t="n">
        <f aca="false">COUNTIFS($A$2:$A$37,A25,$D$2:$D$37,"&gt;"&amp;D25)+1</f>
        <v>1</v>
      </c>
    </row>
    <row r="26" customFormat="false" ht="15" hidden="false" customHeight="false" outlineLevel="0" collapsed="false">
      <c r="A26" s="17" t="s">
        <v>115</v>
      </c>
      <c r="B26" s="18" t="n">
        <v>1</v>
      </c>
      <c r="C26" s="17" t="s">
        <v>99</v>
      </c>
      <c r="D26" s="19" t="n">
        <v>175</v>
      </c>
      <c r="E26" s="20" t="n">
        <v>95000</v>
      </c>
      <c r="F26" s="21" t="n">
        <f aca="false">D26*E26</f>
        <v>16625000</v>
      </c>
      <c r="G26" s="22" t="n">
        <f aca="false">IF(B26=1,0,SUMIFS($D$2:$D$37,$A$2:$A$37,A26,$B$2:$B$37,B26-1))</f>
        <v>0</v>
      </c>
      <c r="H26" s="23" t="n">
        <f aca="false">IF(B26=1,0,(D26-G26)/G26)</f>
        <v>0</v>
      </c>
      <c r="I26" s="24" t="n">
        <f aca="false">IF(B26&lt;$O$2,0,AVERAGEIFS($D$2:$D$37,$A$2:$A$37,A26,$B$2:$B$37,"&gt;"&amp;(B26-$O$2),$B$2:$B$37,"&lt;="&amp;B26))</f>
        <v>0</v>
      </c>
      <c r="J26" s="25" t="str">
        <f aca="false">IF(B26=1,"Awal",IF(H26&gt;$O$3,"Naik",IF(H26&lt;-$O$3,"Turun","Stabil")))</f>
        <v>Awal</v>
      </c>
      <c r="K26" s="25" t="str">
        <f aca="false">IF(B26&lt;$O$2,"Belum ada",IF(D26&gt;I26,"Di Atas","Di Bawah"))</f>
        <v>Belum ada</v>
      </c>
      <c r="L26" s="26" t="n">
        <f aca="false">COUNTIFS($A$2:$A$37,A26,$D$2:$D$37,"&gt;"&amp;D26)+1</f>
        <v>6</v>
      </c>
    </row>
    <row r="27" customFormat="false" ht="15" hidden="false" customHeight="false" outlineLevel="0" collapsed="false">
      <c r="A27" s="17" t="s">
        <v>115</v>
      </c>
      <c r="B27" s="18" t="n">
        <v>2</v>
      </c>
      <c r="C27" s="17" t="s">
        <v>101</v>
      </c>
      <c r="D27" s="19" t="n">
        <v>138</v>
      </c>
      <c r="E27" s="20" t="n">
        <v>95000</v>
      </c>
      <c r="F27" s="21" t="n">
        <f aca="false">D27*E27</f>
        <v>13110000</v>
      </c>
      <c r="G27" s="22" t="n">
        <f aca="false">IF(B27=1,0,SUMIFS($D$2:$D$37,$A$2:$A$37,A27,$B$2:$B$37,B27-1))</f>
        <v>175</v>
      </c>
      <c r="H27" s="23" t="n">
        <f aca="false">IF(B27=1,0,(D27-G27)/G27)</f>
        <v>-0.211428571428571</v>
      </c>
      <c r="I27" s="24" t="n">
        <f aca="false">IF(B27&lt;$O$2,0,AVERAGEIFS($D$2:$D$37,$A$2:$A$37,A27,$B$2:$B$37,"&gt;"&amp;(B27-$O$2),$B$2:$B$37,"&lt;="&amp;B27))</f>
        <v>0</v>
      </c>
      <c r="J27" s="25" t="str">
        <f aca="false">IF(B27=1,"Awal",IF(H27&gt;$O$3,"Naik",IF(H27&lt;-$O$3,"Turun","Stabil")))</f>
        <v>Turun</v>
      </c>
      <c r="K27" s="25" t="str">
        <f aca="false">IF(B27&lt;$O$2,"Belum ada",IF(D27&gt;I27,"Di Atas","Di Bawah"))</f>
        <v>Belum ada</v>
      </c>
      <c r="L27" s="26" t="n">
        <f aca="false">COUNTIFS($A$2:$A$37,A27,$D$2:$D$37,"&gt;"&amp;D27)+1</f>
        <v>11</v>
      </c>
    </row>
    <row r="28" customFormat="false" ht="15" hidden="false" customHeight="false" outlineLevel="0" collapsed="false">
      <c r="A28" s="17" t="s">
        <v>115</v>
      </c>
      <c r="B28" s="18" t="n">
        <v>3</v>
      </c>
      <c r="C28" s="17" t="s">
        <v>104</v>
      </c>
      <c r="D28" s="19" t="n">
        <v>129</v>
      </c>
      <c r="E28" s="20" t="n">
        <v>95000</v>
      </c>
      <c r="F28" s="21" t="n">
        <f aca="false">D28*E28</f>
        <v>12255000</v>
      </c>
      <c r="G28" s="22" t="n">
        <f aca="false">IF(B28=1,0,SUMIFS($D$2:$D$37,$A$2:$A$37,A28,$B$2:$B$37,B28-1))</f>
        <v>138</v>
      </c>
      <c r="H28" s="23" t="n">
        <f aca="false">IF(B28=1,0,(D28-G28)/G28)</f>
        <v>-0.0652173913043478</v>
      </c>
      <c r="I28" s="24" t="n">
        <f aca="false">IF(B28&lt;$O$2,0,AVERAGEIFS($D$2:$D$37,$A$2:$A$37,A28,$B$2:$B$37,"&gt;"&amp;(B28-$O$2),$B$2:$B$37,"&lt;="&amp;B28))</f>
        <v>147.333333333333</v>
      </c>
      <c r="J28" s="25" t="str">
        <f aca="false">IF(B28=1,"Awal",IF(H28&gt;$O$3,"Naik",IF(H28&lt;-$O$3,"Turun","Stabil")))</f>
        <v>Turun</v>
      </c>
      <c r="K28" s="25" t="str">
        <f aca="false">IF(B28&lt;$O$2,"Belum ada",IF(D28&gt;I28,"Di Atas","Di Bawah"))</f>
        <v>Di Bawah</v>
      </c>
      <c r="L28" s="26" t="n">
        <f aca="false">COUNTIFS($A$2:$A$37,A28,$D$2:$D$37,"&gt;"&amp;D28)+1</f>
        <v>12</v>
      </c>
    </row>
    <row r="29" customFormat="false" ht="15" hidden="false" customHeight="false" outlineLevel="0" collapsed="false">
      <c r="A29" s="17" t="s">
        <v>115</v>
      </c>
      <c r="B29" s="18" t="n">
        <v>4</v>
      </c>
      <c r="C29" s="17" t="s">
        <v>105</v>
      </c>
      <c r="D29" s="19" t="n">
        <v>161</v>
      </c>
      <c r="E29" s="20" t="n">
        <v>95000</v>
      </c>
      <c r="F29" s="21" t="n">
        <f aca="false">D29*E29</f>
        <v>15295000</v>
      </c>
      <c r="G29" s="22" t="n">
        <f aca="false">IF(B29=1,0,SUMIFS($D$2:$D$37,$A$2:$A$37,A29,$B$2:$B$37,B29-1))</f>
        <v>129</v>
      </c>
      <c r="H29" s="23" t="n">
        <f aca="false">IF(B29=1,0,(D29-G29)/G29)</f>
        <v>0.248062015503876</v>
      </c>
      <c r="I29" s="24" t="n">
        <f aca="false">IF(B29&lt;$O$2,0,AVERAGEIFS($D$2:$D$37,$A$2:$A$37,A29,$B$2:$B$37,"&gt;"&amp;(B29-$O$2),$B$2:$B$37,"&lt;="&amp;B29))</f>
        <v>142.666666666667</v>
      </c>
      <c r="J29" s="25" t="str">
        <f aca="false">IF(B29=1,"Awal",IF(H29&gt;$O$3,"Naik",IF(H29&lt;-$O$3,"Turun","Stabil")))</f>
        <v>Naik</v>
      </c>
      <c r="K29" s="25" t="str">
        <f aca="false">IF(B29&lt;$O$2,"Belum ada",IF(D29&gt;I29,"Di Atas","Di Bawah"))</f>
        <v>Di Atas</v>
      </c>
      <c r="L29" s="26" t="n">
        <f aca="false">COUNTIFS($A$2:$A$37,A29,$D$2:$D$37,"&gt;"&amp;D29)+1</f>
        <v>9</v>
      </c>
    </row>
    <row r="30" customFormat="false" ht="15" hidden="false" customHeight="false" outlineLevel="0" collapsed="false">
      <c r="A30" s="17" t="s">
        <v>115</v>
      </c>
      <c r="B30" s="18" t="n">
        <v>5</v>
      </c>
      <c r="C30" s="17" t="s">
        <v>106</v>
      </c>
      <c r="D30" s="19" t="n">
        <v>148</v>
      </c>
      <c r="E30" s="20" t="n">
        <v>95000</v>
      </c>
      <c r="F30" s="21" t="n">
        <f aca="false">D30*E30</f>
        <v>14060000</v>
      </c>
      <c r="G30" s="22" t="n">
        <f aca="false">IF(B30=1,0,SUMIFS($D$2:$D$37,$A$2:$A$37,A30,$B$2:$B$37,B30-1))</f>
        <v>161</v>
      </c>
      <c r="H30" s="23" t="n">
        <f aca="false">IF(B30=1,0,(D30-G30)/G30)</f>
        <v>-0.0807453416149068</v>
      </c>
      <c r="I30" s="24" t="n">
        <f aca="false">IF(B30&lt;$O$2,0,AVERAGEIFS($D$2:$D$37,$A$2:$A$37,A30,$B$2:$B$37,"&gt;"&amp;(B30-$O$2),$B$2:$B$37,"&lt;="&amp;B30))</f>
        <v>146</v>
      </c>
      <c r="J30" s="25" t="str">
        <f aca="false">IF(B30=1,"Awal",IF(H30&gt;$O$3,"Naik",IF(H30&lt;-$O$3,"Turun","Stabil")))</f>
        <v>Turun</v>
      </c>
      <c r="K30" s="25" t="str">
        <f aca="false">IF(B30&lt;$O$2,"Belum ada",IF(D30&gt;I30,"Di Atas","Di Bawah"))</f>
        <v>Di Atas</v>
      </c>
      <c r="L30" s="26" t="n">
        <f aca="false">COUNTIFS($A$2:$A$37,A30,$D$2:$D$37,"&gt;"&amp;D30)+1</f>
        <v>10</v>
      </c>
    </row>
    <row r="31" customFormat="false" ht="15" hidden="false" customHeight="false" outlineLevel="0" collapsed="false">
      <c r="A31" s="17" t="s">
        <v>115</v>
      </c>
      <c r="B31" s="18" t="n">
        <v>6</v>
      </c>
      <c r="C31" s="17" t="s">
        <v>107</v>
      </c>
      <c r="D31" s="19" t="n">
        <v>198</v>
      </c>
      <c r="E31" s="20" t="n">
        <v>95000</v>
      </c>
      <c r="F31" s="21" t="n">
        <f aca="false">D31*E31</f>
        <v>18810000</v>
      </c>
      <c r="G31" s="22" t="n">
        <f aca="false">IF(B31=1,0,SUMIFS($D$2:$D$37,$A$2:$A$37,A31,$B$2:$B$37,B31-1))</f>
        <v>148</v>
      </c>
      <c r="H31" s="23" t="n">
        <f aca="false">IF(B31=1,0,(D31-G31)/G31)</f>
        <v>0.337837837837838</v>
      </c>
      <c r="I31" s="24" t="n">
        <f aca="false">IF(B31&lt;$O$2,0,AVERAGEIFS($D$2:$D$37,$A$2:$A$37,A31,$B$2:$B$37,"&gt;"&amp;(B31-$O$2),$B$2:$B$37,"&lt;="&amp;B31))</f>
        <v>169</v>
      </c>
      <c r="J31" s="25" t="str">
        <f aca="false">IF(B31=1,"Awal",IF(H31&gt;$O$3,"Naik",IF(H31&lt;-$O$3,"Turun","Stabil")))</f>
        <v>Naik</v>
      </c>
      <c r="K31" s="25" t="str">
        <f aca="false">IF(B31&lt;$O$2,"Belum ada",IF(D31&gt;I31,"Di Atas","Di Bawah"))</f>
        <v>Di Atas</v>
      </c>
      <c r="L31" s="26" t="n">
        <f aca="false">COUNTIFS($A$2:$A$37,A31,$D$2:$D$37,"&gt;"&amp;D31)+1</f>
        <v>2</v>
      </c>
    </row>
    <row r="32" customFormat="false" ht="15" hidden="false" customHeight="false" outlineLevel="0" collapsed="false">
      <c r="A32" s="17" t="s">
        <v>115</v>
      </c>
      <c r="B32" s="18" t="n">
        <v>7</v>
      </c>
      <c r="C32" s="17" t="s">
        <v>108</v>
      </c>
      <c r="D32" s="19" t="n">
        <v>194</v>
      </c>
      <c r="E32" s="20" t="n">
        <v>95000</v>
      </c>
      <c r="F32" s="21" t="n">
        <f aca="false">D32*E32</f>
        <v>18430000</v>
      </c>
      <c r="G32" s="22" t="n">
        <f aca="false">IF(B32=1,0,SUMIFS($D$2:$D$37,$A$2:$A$37,A32,$B$2:$B$37,B32-1))</f>
        <v>198</v>
      </c>
      <c r="H32" s="23" t="n">
        <f aca="false">IF(B32=1,0,(D32-G32)/G32)</f>
        <v>-0.0202020202020202</v>
      </c>
      <c r="I32" s="24" t="n">
        <f aca="false">IF(B32&lt;$O$2,0,AVERAGEIFS($D$2:$D$37,$A$2:$A$37,A32,$B$2:$B$37,"&gt;"&amp;(B32-$O$2),$B$2:$B$37,"&lt;="&amp;B32))</f>
        <v>180</v>
      </c>
      <c r="J32" s="25" t="str">
        <f aca="false">IF(B32=1,"Awal",IF(H32&gt;$O$3,"Naik",IF(H32&lt;-$O$3,"Turun","Stabil")))</f>
        <v>Stabil</v>
      </c>
      <c r="K32" s="25" t="str">
        <f aca="false">IF(B32&lt;$O$2,"Belum ada",IF(D32&gt;I32,"Di Atas","Di Bawah"))</f>
        <v>Di Atas</v>
      </c>
      <c r="L32" s="26" t="n">
        <f aca="false">COUNTIFS($A$2:$A$37,A32,$D$2:$D$37,"&gt;"&amp;D32)+1</f>
        <v>3</v>
      </c>
    </row>
    <row r="33" customFormat="false" ht="15" hidden="false" customHeight="false" outlineLevel="0" collapsed="false">
      <c r="A33" s="17" t="s">
        <v>115</v>
      </c>
      <c r="B33" s="18" t="n">
        <v>8</v>
      </c>
      <c r="C33" s="17" t="s">
        <v>109</v>
      </c>
      <c r="D33" s="19" t="n">
        <v>171</v>
      </c>
      <c r="E33" s="20" t="n">
        <v>95000</v>
      </c>
      <c r="F33" s="21" t="n">
        <f aca="false">D33*E33</f>
        <v>16245000</v>
      </c>
      <c r="G33" s="22" t="n">
        <f aca="false">IF(B33=1,0,SUMIFS($D$2:$D$37,$A$2:$A$37,A33,$B$2:$B$37,B33-1))</f>
        <v>194</v>
      </c>
      <c r="H33" s="23" t="n">
        <f aca="false">IF(B33=1,0,(D33-G33)/G33)</f>
        <v>-0.118556701030928</v>
      </c>
      <c r="I33" s="24" t="n">
        <f aca="false">IF(B33&lt;$O$2,0,AVERAGEIFS($D$2:$D$37,$A$2:$A$37,A33,$B$2:$B$37,"&gt;"&amp;(B33-$O$2),$B$2:$B$37,"&lt;="&amp;B33))</f>
        <v>187.666666666667</v>
      </c>
      <c r="J33" s="25" t="str">
        <f aca="false">IF(B33=1,"Awal",IF(H33&gt;$O$3,"Naik",IF(H33&lt;-$O$3,"Turun","Stabil")))</f>
        <v>Turun</v>
      </c>
      <c r="K33" s="25" t="str">
        <f aca="false">IF(B33&lt;$O$2,"Belum ada",IF(D33&gt;I33,"Di Atas","Di Bawah"))</f>
        <v>Di Bawah</v>
      </c>
      <c r="L33" s="26" t="n">
        <f aca="false">COUNTIFS($A$2:$A$37,A33,$D$2:$D$37,"&gt;"&amp;D33)+1</f>
        <v>7</v>
      </c>
    </row>
    <row r="34" customFormat="false" ht="15" hidden="false" customHeight="false" outlineLevel="0" collapsed="false">
      <c r="A34" s="17" t="s">
        <v>115</v>
      </c>
      <c r="B34" s="18" t="n">
        <v>9</v>
      </c>
      <c r="C34" s="17" t="s">
        <v>110</v>
      </c>
      <c r="D34" s="19" t="n">
        <v>187</v>
      </c>
      <c r="E34" s="20" t="n">
        <v>95000</v>
      </c>
      <c r="F34" s="21" t="n">
        <f aca="false">D34*E34</f>
        <v>17765000</v>
      </c>
      <c r="G34" s="22" t="n">
        <f aca="false">IF(B34=1,0,SUMIFS($D$2:$D$37,$A$2:$A$37,A34,$B$2:$B$37,B34-1))</f>
        <v>171</v>
      </c>
      <c r="H34" s="23" t="n">
        <f aca="false">IF(B34=1,0,(D34-G34)/G34)</f>
        <v>0.0935672514619883</v>
      </c>
      <c r="I34" s="24" t="n">
        <f aca="false">IF(B34&lt;$O$2,0,AVERAGEIFS($D$2:$D$37,$A$2:$A$37,A34,$B$2:$B$37,"&gt;"&amp;(B34-$O$2),$B$2:$B$37,"&lt;="&amp;B34))</f>
        <v>184</v>
      </c>
      <c r="J34" s="25" t="str">
        <f aca="false">IF(B34=1,"Awal",IF(H34&gt;$O$3,"Naik",IF(H34&lt;-$O$3,"Turun","Stabil")))</f>
        <v>Naik</v>
      </c>
      <c r="K34" s="25" t="str">
        <f aca="false">IF(B34&lt;$O$2,"Belum ada",IF(D34&gt;I34,"Di Atas","Di Bawah"))</f>
        <v>Di Atas</v>
      </c>
      <c r="L34" s="26" t="n">
        <f aca="false">COUNTIFS($A$2:$A$37,A34,$D$2:$D$37,"&gt;"&amp;D34)+1</f>
        <v>4</v>
      </c>
    </row>
    <row r="35" customFormat="false" ht="15" hidden="false" customHeight="false" outlineLevel="0" collapsed="false">
      <c r="A35" s="17" t="s">
        <v>115</v>
      </c>
      <c r="B35" s="18" t="n">
        <v>10</v>
      </c>
      <c r="C35" s="17" t="s">
        <v>111</v>
      </c>
      <c r="D35" s="19" t="n">
        <v>168</v>
      </c>
      <c r="E35" s="20" t="n">
        <v>95000</v>
      </c>
      <c r="F35" s="21" t="n">
        <f aca="false">D35*E35</f>
        <v>15960000</v>
      </c>
      <c r="G35" s="22" t="n">
        <f aca="false">IF(B35=1,0,SUMIFS($D$2:$D$37,$A$2:$A$37,A35,$B$2:$B$37,B35-1))</f>
        <v>187</v>
      </c>
      <c r="H35" s="23" t="n">
        <f aca="false">IF(B35=1,0,(D35-G35)/G35)</f>
        <v>-0.101604278074866</v>
      </c>
      <c r="I35" s="24" t="n">
        <f aca="false">IF(B35&lt;$O$2,0,AVERAGEIFS($D$2:$D$37,$A$2:$A$37,A35,$B$2:$B$37,"&gt;"&amp;(B35-$O$2),$B$2:$B$37,"&lt;="&amp;B35))</f>
        <v>175.333333333333</v>
      </c>
      <c r="J35" s="25" t="str">
        <f aca="false">IF(B35=1,"Awal",IF(H35&gt;$O$3,"Naik",IF(H35&lt;-$O$3,"Turun","Stabil")))</f>
        <v>Turun</v>
      </c>
      <c r="K35" s="25" t="str">
        <f aca="false">IF(B35&lt;$O$2,"Belum ada",IF(D35&gt;I35,"Di Atas","Di Bawah"))</f>
        <v>Di Bawah</v>
      </c>
      <c r="L35" s="26" t="n">
        <f aca="false">COUNTIFS($A$2:$A$37,A35,$D$2:$D$37,"&gt;"&amp;D35)+1</f>
        <v>8</v>
      </c>
    </row>
    <row r="36" customFormat="false" ht="15" hidden="false" customHeight="false" outlineLevel="0" collapsed="false">
      <c r="A36" s="17" t="s">
        <v>115</v>
      </c>
      <c r="B36" s="18" t="n">
        <v>11</v>
      </c>
      <c r="C36" s="17" t="s">
        <v>112</v>
      </c>
      <c r="D36" s="19" t="n">
        <v>180</v>
      </c>
      <c r="E36" s="20" t="n">
        <v>95000</v>
      </c>
      <c r="F36" s="21" t="n">
        <f aca="false">D36*E36</f>
        <v>17100000</v>
      </c>
      <c r="G36" s="22" t="n">
        <f aca="false">IF(B36=1,0,SUMIFS($D$2:$D$37,$A$2:$A$37,A36,$B$2:$B$37,B36-1))</f>
        <v>168</v>
      </c>
      <c r="H36" s="23" t="n">
        <f aca="false">IF(B36=1,0,(D36-G36)/G36)</f>
        <v>0.0714285714285714</v>
      </c>
      <c r="I36" s="24" t="n">
        <f aca="false">IF(B36&lt;$O$2,0,AVERAGEIFS($D$2:$D$37,$A$2:$A$37,A36,$B$2:$B$37,"&gt;"&amp;(B36-$O$2),$B$2:$B$37,"&lt;="&amp;B36))</f>
        <v>178.333333333333</v>
      </c>
      <c r="J36" s="25" t="str">
        <f aca="false">IF(B36=1,"Awal",IF(H36&gt;$O$3,"Naik",IF(H36&lt;-$O$3,"Turun","Stabil")))</f>
        <v>Naik</v>
      </c>
      <c r="K36" s="25" t="str">
        <f aca="false">IF(B36&lt;$O$2,"Belum ada",IF(D36&gt;I36,"Di Atas","Di Bawah"))</f>
        <v>Di Atas</v>
      </c>
      <c r="L36" s="26" t="n">
        <f aca="false">COUNTIFS($A$2:$A$37,A36,$D$2:$D$37,"&gt;"&amp;D36)+1</f>
        <v>5</v>
      </c>
    </row>
    <row r="37" customFormat="false" ht="15" hidden="false" customHeight="false" outlineLevel="0" collapsed="false">
      <c r="A37" s="17" t="s">
        <v>115</v>
      </c>
      <c r="B37" s="18" t="n">
        <v>12</v>
      </c>
      <c r="C37" s="17" t="s">
        <v>113</v>
      </c>
      <c r="D37" s="19" t="n">
        <v>206</v>
      </c>
      <c r="E37" s="20" t="n">
        <v>95000</v>
      </c>
      <c r="F37" s="21" t="n">
        <f aca="false">D37*E37</f>
        <v>19570000</v>
      </c>
      <c r="G37" s="22" t="n">
        <f aca="false">IF(B37=1,0,SUMIFS($D$2:$D$37,$A$2:$A$37,A37,$B$2:$B$37,B37-1))</f>
        <v>180</v>
      </c>
      <c r="H37" s="23" t="n">
        <f aca="false">IF(B37=1,0,(D37-G37)/G37)</f>
        <v>0.144444444444444</v>
      </c>
      <c r="I37" s="24" t="n">
        <f aca="false">IF(B37&lt;$O$2,0,AVERAGEIFS($D$2:$D$37,$A$2:$A$37,A37,$B$2:$B$37,"&gt;"&amp;(B37-$O$2),$B$2:$B$37,"&lt;="&amp;B37))</f>
        <v>184.666666666667</v>
      </c>
      <c r="J37" s="25" t="str">
        <f aca="false">IF(B37=1,"Awal",IF(H37&gt;$O$3,"Naik",IF(H37&lt;-$O$3,"Turun","Stabil")))</f>
        <v>Naik</v>
      </c>
      <c r="K37" s="25" t="str">
        <f aca="false">IF(B37&lt;$O$2,"Belum ada",IF(D37&gt;I37,"Di Atas","Di Bawah"))</f>
        <v>Di Atas</v>
      </c>
      <c r="L37" s="26" t="n">
        <f aca="false">COUNTIFS($A$2:$A$37,A37,$D$2:$D$37,"&gt;"&amp;D37)+1</f>
        <v>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7"/>
    <col collapsed="false" customWidth="true" hidden="false" outlineLevel="0" max="3" min="3" style="0" width="16"/>
    <col collapsed="false" customWidth="true" hidden="false" outlineLevel="0" max="4" min="4" style="0" width="12"/>
  </cols>
  <sheetData>
    <row r="1" customFormat="false" ht="33.75" hidden="false" customHeight="true" outlineLevel="0" collapsed="false">
      <c r="A1" s="11" t="s">
        <v>83</v>
      </c>
      <c r="B1" s="15" t="s">
        <v>116</v>
      </c>
      <c r="C1" s="15" t="s">
        <v>117</v>
      </c>
      <c r="D1" s="15" t="s">
        <v>118</v>
      </c>
    </row>
    <row r="2" customFormat="false" ht="15" hidden="false" customHeight="false" outlineLevel="0" collapsed="false">
      <c r="A2" s="17" t="s">
        <v>98</v>
      </c>
      <c r="B2" s="21" t="n">
        <f aca="false">SUMIF(Data!$A$2:$A$37,A2,Data!$F$2:$F$37)</f>
        <v>252892000</v>
      </c>
      <c r="C2" s="26" t="n">
        <f aca="false">SUMIFS(Data!$B$2:$B$37,Data!$A$2:$A$37,A2,Data!$L$2:$L$37,1)</f>
        <v>7</v>
      </c>
      <c r="D2" s="26" t="n">
        <f aca="false">COUNTIFS(Data!$A$2:$A$37,A2,Data!$J$2:$J$37,"Naik")</f>
        <v>5</v>
      </c>
    </row>
    <row r="3" customFormat="false" ht="15" hidden="false" customHeight="false" outlineLevel="0" collapsed="false">
      <c r="A3" s="17" t="s">
        <v>114</v>
      </c>
      <c r="B3" s="21" t="n">
        <f aca="false">SUMIF(Data!$A$2:$A$37,A3,Data!$F$2:$F$37)</f>
        <v>164909000</v>
      </c>
      <c r="C3" s="26" t="n">
        <f aca="false">SUMIFS(Data!$B$2:$B$37,Data!$A$2:$A$37,A3,Data!$L$2:$L$37,1)</f>
        <v>12</v>
      </c>
      <c r="D3" s="26" t="n">
        <f aca="false">COUNTIFS(Data!$A$2:$A$37,A3,Data!$J$2:$J$37,"Naik")</f>
        <v>5</v>
      </c>
    </row>
    <row r="4" customFormat="false" ht="15" hidden="false" customHeight="false" outlineLevel="0" collapsed="false">
      <c r="A4" s="17" t="s">
        <v>115</v>
      </c>
      <c r="B4" s="21" t="n">
        <f aca="false">SUMIF(Data!$A$2:$A$37,A4,Data!$F$2:$F$37)</f>
        <v>195225000</v>
      </c>
      <c r="C4" s="26" t="n">
        <f aca="false">SUMIFS(Data!$B$2:$B$37,Data!$A$2:$A$37,A4,Data!$L$2:$L$37,1)</f>
        <v>12</v>
      </c>
      <c r="D4" s="26" t="n">
        <f aca="false">COUNTIFS(Data!$A$2:$A$37,A4,Data!$J$2:$J$37,"Naik")</f>
        <v>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30" t="s">
        <v>119</v>
      </c>
      <c r="B1" s="30"/>
      <c r="C1" s="30"/>
      <c r="D1" s="30"/>
    </row>
    <row r="2" customFormat="false" ht="15" hidden="false" customHeight="false" outlineLevel="0" collapsed="false">
      <c r="A2" s="31" t="s">
        <v>120</v>
      </c>
      <c r="B2" s="31"/>
      <c r="C2" s="31"/>
      <c r="D2" s="31"/>
    </row>
    <row r="3" customFormat="false" ht="15" hidden="false" customHeight="false" outlineLevel="0" collapsed="false">
      <c r="A3" s="11" t="s">
        <v>19</v>
      </c>
      <c r="B3" s="11" t="s">
        <v>121</v>
      </c>
      <c r="C3" s="11" t="s">
        <v>122</v>
      </c>
      <c r="D3" s="11" t="s">
        <v>123</v>
      </c>
    </row>
    <row r="4" customFormat="false" ht="15" hidden="false" customHeight="false" outlineLevel="0" collapsed="false">
      <c r="A4" s="32" t="s">
        <v>124</v>
      </c>
      <c r="B4" s="33" t="s">
        <v>125</v>
      </c>
      <c r="C4" s="21" t="n">
        <f aca="false">SUM(Data!$F$2:$F$37)</f>
        <v>613026000</v>
      </c>
      <c r="D4" s="34" t="s">
        <v>126</v>
      </c>
    </row>
    <row r="5" customFormat="false" ht="15" hidden="false" customHeight="false" outlineLevel="0" collapsed="false">
      <c r="A5" s="32" t="s">
        <v>127</v>
      </c>
      <c r="B5" s="33" t="s">
        <v>128</v>
      </c>
      <c r="C5" s="22" t="n">
        <f aca="false">SUM(Data!$D$2:$D$37)</f>
        <v>14688</v>
      </c>
      <c r="D5" s="34" t="s">
        <v>129</v>
      </c>
    </row>
    <row r="6" customFormat="false" ht="15" hidden="false" customHeight="false" outlineLevel="0" collapsed="false">
      <c r="A6" s="32" t="s">
        <v>130</v>
      </c>
      <c r="B6" s="33" t="s">
        <v>131</v>
      </c>
      <c r="C6" s="24" t="n">
        <f aca="false">AVERAGE(Data!$D$2:$D$37)</f>
        <v>408</v>
      </c>
      <c r="D6" s="34" t="s">
        <v>132</v>
      </c>
    </row>
    <row r="7" customFormat="false" ht="15" hidden="false" customHeight="false" outlineLevel="0" collapsed="false">
      <c r="A7" s="32" t="s">
        <v>133</v>
      </c>
      <c r="B7" s="33" t="s">
        <v>134</v>
      </c>
      <c r="C7" s="25" t="str">
        <f aca="false">INDEX(Acuan!$A$2:$A$4,MATCH(MAX(Acuan!$B$2:$B$4),Acuan!$B$2:$B$4,0))</f>
        <v>Kopi Arabika 250 g</v>
      </c>
      <c r="D7" s="34" t="s">
        <v>135</v>
      </c>
    </row>
    <row r="8" customFormat="false" ht="15" hidden="false" customHeight="false" outlineLevel="0" collapsed="false">
      <c r="A8" s="32" t="s">
        <v>136</v>
      </c>
      <c r="B8" s="33" t="s">
        <v>137</v>
      </c>
      <c r="C8" s="25" t="str">
        <f aca="false">INDEX(Data!$C$2:$C$37,Acuan!$C$2)</f>
        <v>Jul</v>
      </c>
      <c r="D8" s="34" t="s">
        <v>138</v>
      </c>
    </row>
    <row r="9" customFormat="false" ht="15" hidden="false" customHeight="false" outlineLevel="0" collapsed="false">
      <c r="A9" s="32" t="s">
        <v>139</v>
      </c>
      <c r="B9" s="33" t="s">
        <v>140</v>
      </c>
      <c r="C9" s="26" t="n">
        <f aca="false">COUNTIF(Data!$J$2:$J$37,"Naik")</f>
        <v>15</v>
      </c>
      <c r="D9" s="34" t="s">
        <v>141</v>
      </c>
    </row>
    <row r="10" customFormat="false" ht="15" hidden="false" customHeight="false" outlineLevel="0" collapsed="false">
      <c r="A10" s="32" t="s">
        <v>142</v>
      </c>
      <c r="B10" s="33" t="s">
        <v>143</v>
      </c>
      <c r="C10" s="26" t="n">
        <f aca="false">COUNTIF(Data!$J$2:$J$37,"Turun")</f>
        <v>12</v>
      </c>
      <c r="D10" s="34" t="s">
        <v>144</v>
      </c>
    </row>
    <row r="11" customFormat="false" ht="15" hidden="false" customHeight="false" outlineLevel="0" collapsed="false">
      <c r="A11" s="32" t="s">
        <v>145</v>
      </c>
      <c r="B11" s="33" t="s">
        <v>146</v>
      </c>
      <c r="C11" s="26" t="n">
        <f aca="false">COUNTIF(Data!$J$2:$J$37,"Stabil")</f>
        <v>6</v>
      </c>
      <c r="D11" s="34" t="s">
        <v>147</v>
      </c>
    </row>
    <row r="12" customFormat="false" ht="15" hidden="false" customHeight="false" outlineLevel="0" collapsed="false">
      <c r="A12" s="32" t="s">
        <v>148</v>
      </c>
      <c r="B12" s="33" t="s">
        <v>149</v>
      </c>
      <c r="C12" s="23" t="n">
        <f aca="false">AVERAGEIFS(Data!$H$2:$H$37,Data!$A$2:$A$37,"Teh Melati Celup 25 pcs",Data!$B$2:$B$37,"&gt;1")</f>
        <v>0.0364737197645428</v>
      </c>
      <c r="D12" s="34" t="s">
        <v>150</v>
      </c>
    </row>
    <row r="13" customFormat="false" ht="15" hidden="false" customHeight="false" outlineLevel="0" collapsed="false">
      <c r="A13" s="32" t="s">
        <v>151</v>
      </c>
      <c r="B13" s="33" t="s">
        <v>152</v>
      </c>
      <c r="C13" s="26" t="n">
        <f aca="false">COUNTIFS(Data!$A$2:$A$37,"Madu Hutan 500 ml",Data!$K$2:$K$37,"Di Atas")</f>
        <v>7</v>
      </c>
      <c r="D13" s="34" t="s">
        <v>153</v>
      </c>
    </row>
    <row r="14" customFormat="false" ht="15" hidden="false" customHeight="false" outlineLevel="0" collapsed="false">
      <c r="A14" s="32" t="s">
        <v>154</v>
      </c>
      <c r="B14" s="33" t="s">
        <v>155</v>
      </c>
      <c r="C14" s="23" t="n">
        <f aca="false">MIN(Data!$H$2:$H$37)</f>
        <v>-0.211428571428571</v>
      </c>
      <c r="D14" s="34" t="s">
        <v>156</v>
      </c>
    </row>
    <row r="15" customFormat="false" ht="15" hidden="false" customHeight="false" outlineLevel="0" collapsed="false">
      <c r="A15" s="32" t="s">
        <v>157</v>
      </c>
      <c r="B15" s="33" t="s">
        <v>158</v>
      </c>
      <c r="C15" s="25" t="str">
        <f aca="false">INDEX(Data!$A$2:$A$37,MATCH(C14,Data!$H$2:$H$37,0))</f>
        <v>Madu Hutan 500 ml</v>
      </c>
      <c r="D15" s="34" t="s">
        <v>135</v>
      </c>
    </row>
    <row r="16" customFormat="false" ht="15" hidden="false" customHeight="false" outlineLevel="0" collapsed="false">
      <c r="A16" s="32" t="s">
        <v>159</v>
      </c>
      <c r="B16" s="33" t="s">
        <v>160</v>
      </c>
      <c r="C16" s="25" t="str">
        <f aca="false">INDEX(Data!$C$2:$C$37,MATCH(C14,Data!$H$2:$H$37,0))</f>
        <v>Feb</v>
      </c>
      <c r="D16" s="34" t="s">
        <v>138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2026-10-18T00:01:29Z</dcterms:created>
  <dc:creator>PushExcel</dc:creator>
  <dc:description/>
  <dc:language>en-US</dc:language>
  <cp:lastModifiedBy/>
  <dcterms:modified xsi:type="dcterms:W3CDTF">2026-10-18T00:01:29Z</dcterms:modified>
  <cp:revision>0</cp:revision>
  <dc:subject/>
  <dc:title>Tren Penjualan Bulanan dan Rata-rata Bergerak - Kunci</dc:title>
</cp:coreProperties>
</file>

<file path=docProps/custom.xml><?xml version="1.0" encoding="utf-8"?>
<Properties xmlns="http://schemas.openxmlformats.org/officeDocument/2006/custom-properties" xmlns:vt="http://schemas.openxmlformats.org/officeDocument/2006/docPropsVTypes"/>
</file>