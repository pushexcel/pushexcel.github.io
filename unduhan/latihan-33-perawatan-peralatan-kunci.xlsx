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Ringkasa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<sst xmlns="http://schemas.openxmlformats.org/spreadsheetml/2006/main" count="215" uniqueCount="199">
  <si>
    <t xml:space="preserve">Kunci Jawaban: Jadwal Perawatan Berkala Peralatan Kantor</t>
  </si>
  <si>
    <t xml:space="preserve">Latihan 33 dari 56  |  Tingkat: Menengah  |  Perkiraan waktu: 50 menit  |  pushexcel.github.io/Pushexcel</t>
  </si>
  <si>
    <t xml:space="preserve">Skenario</t>
  </si>
  <si>
    <t xml:space="preserve">Kamu staf umum di PT Graha Mandiri yang mengurus perawatan 30 peralatan kantor. Tiap peralatan punya tanggal perawatan terakhir, interval perawatan dalam bulan, dan biaya sekali perawatan. Tanggal acuan pemeriksaan adalah 15 Oktober 2026. Peralatan yang jatuh temponya sudah lewat berstatus Terlambat, yang jatuh tempo dalam 30 hari ke depan (termasuk hari ini) berstatus Segera, selain itu Aman.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</si>
  <si>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</si>
  <si>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</si>
  <si>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</si>
  <si>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</si>
  <si>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</si>
  <si>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</si>
  <si>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</si>
  <si>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</si>
  <si>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</si>
  <si>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</si>
  <si>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</si>
  <si>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</si>
  <si>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</si>
  <si>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</si>
  <si>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</si>
  <si>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</si>
  <si>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</si>
  <si>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</si>
  <si>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</si>
  <si>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</si>
  <si>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tanggal jatuh tempo perawatan berikutnya: tanggal perawatan terakhir ditambah interval dalam bulan.</t>
  </si>
  <si>
    <t xml:space="preserve">Sheet Data, kolom G (Jatuh Tempo), baris 2 sampai 31</t>
  </si>
  <si>
    <t xml:space="preserve">=EDATE(D2;E2)</t>
  </si>
  <si>
    <t xml:space="preserve">2</t>
  </si>
  <si>
    <t xml:space="preserve">Hitung selisih hari antara tanggal jatuh tempo dan tanggal acuan. Angka negatif berarti sudah lewat.</t>
  </si>
  <si>
    <t xml:space="preserve">Sheet Data, kolom H (Selisih Hari), baris 2 sampai 31</t>
  </si>
  <si>
    <t xml:space="preserve">=G2-$M$2</t>
  </si>
  <si>
    <t xml:space="preserve">3</t>
  </si>
  <si>
    <t xml:space="preserve">Tentukan status: selisih di bawah 0 = Terlambat, selisih sampai batas segera = Segera, selain itu Aman.</t>
  </si>
  <si>
    <t xml:space="preserve">Sheet Data, kolom I (Status), baris 2 sampai 31</t>
  </si>
  <si>
    <t xml:space="preserve">=IF(H2&lt;0;"Terlambat";IF(H2&lt;=$M$3;"Segera";"Aman"))</t>
  </si>
  <si>
    <t xml:space="preserve">4</t>
  </si>
  <si>
    <t xml:space="preserve">Hitung estimasi biaya perawatan dalam setahun: biaya per perawatan dikali (12 dibagi interval), dibulatkan ke rupiah.</t>
  </si>
  <si>
    <t xml:space="preserve">Sheet Data, kolom J (Biaya Setahun), baris 2 sampai 31</t>
  </si>
  <si>
    <t xml:space="preserve">=ROUND(F2*12/E2;0)</t>
  </si>
  <si>
    <t xml:space="preserve">5</t>
  </si>
  <si>
    <t xml:space="preserve">Berapa peralatan yang berstatus Terlambat, Segera, dan Aman?</t>
  </si>
  <si>
    <t xml:space="preserve">Sheet Ringkasan, sel C4 sampai C6</t>
  </si>
  <si>
    <t xml:space="preserve">=COUNTIF(Data!$I$2:$I$31;"Terlambat")
=COUNTIF(Data!$I$2:$I$31;"Segera")
=COUNTIF(Data!$I$2:$I$31;"Aman")</t>
  </si>
  <si>
    <t xml:space="preserve">6</t>
  </si>
  <si>
    <t xml:space="preserve">Berapa total estimasi biaya perawatan setahun untuk semua peralatan, dan berapa total biaya sekali perawatan untuk peralatan yang Terlambat?</t>
  </si>
  <si>
    <t xml:space="preserve">Sheet Ringkasan, sel C7 sampai C8</t>
  </si>
  <si>
    <t xml:space="preserve">=SUM(Data!$J$2:$J$31)
=SUMIF(Data!$I$2:$I$31;"Terlambat";Data!$F$2:$F$31)</t>
  </si>
  <si>
    <t xml:space="preserve">7</t>
  </si>
  <si>
    <t xml:space="preserve">Kapan tanggal jatuh tempo paling awal, dan peralatan apa yang jatuh tempo paling awal?</t>
  </si>
  <si>
    <t xml:space="preserve">Sheet Ringkasan, sel C9 sampai C10</t>
  </si>
  <si>
    <t xml:space="preserve">=MIN(Data!$G$2:$G$31)
=INDEX(Data!$B$2:$B$31;MATCH(MIN(Data!$G$2:$G$31);Data!$G$2:$G$31;0))</t>
  </si>
  <si>
    <t xml:space="preserve">8</t>
  </si>
  <si>
    <t xml:space="preserve">Berapa peralatan yang berinterval 3 bulan, dan berapa rata-rata interval seluruh peralatan?</t>
  </si>
  <si>
    <t xml:space="preserve">Sheet Ringkasan, sel C11 sampai C12</t>
  </si>
  <si>
    <t xml:space="preserve">=COUNTIF(Data!$E$2:$E$31;3)
=AVERAGE(Data!$E$2:$E$31)</t>
  </si>
  <si>
    <t xml:space="preserve">9</t>
  </si>
  <si>
    <t xml:space="preserve">Berapa peralatan di Ruang Server yang statusnya Aman, dan berapa biaya setahun seluruh peralatan di Ruang Server?</t>
  </si>
  <si>
    <t xml:space="preserve">Sheet Ringkasan, sel C13 sampai C14</t>
  </si>
  <si>
    <t xml:space="preserve">=COUNTIFS(Data!$C$2:$C$31;"Ruang Server";Data!$I$2:$I$31;"Aman")
=SUMIF(Data!$C$2:$C$31;"Ruang Server";Data!$J$2:$J$31)</t>
  </si>
  <si>
    <t xml:space="preserve">10</t>
  </si>
  <si>
    <t xml:space="preserve">Berapa total biaya sekali perawatan untuk peralatan berstatus Segera, dan berapa persen peralatan yang berstatus Aman dari seluruh peralatan?</t>
  </si>
  <si>
    <t xml:space="preserve">Sheet Ringkasan, sel C15 sampai C16</t>
  </si>
  <si>
    <t xml:space="preserve">=SUMIF(Data!$I$2:$I$31;"Segera";Data!$F$2:$F$31)
=COUNTIF(Data!$I$2:$I$31;"Aman")/COUNTA(Data!$A$2:$A$31)</t>
  </si>
  <si>
    <t xml:space="preserve">Kode Aset</t>
  </si>
  <si>
    <t xml:space="preserve">Peralatan</t>
  </si>
  <si>
    <t xml:space="preserve">Lokasi</t>
  </si>
  <si>
    <t xml:space="preserve">Perawatan Terakhir</t>
  </si>
  <si>
    <t xml:space="preserve">Interval (bulan)</t>
  </si>
  <si>
    <t xml:space="preserve">Biaya per Perawatan</t>
  </si>
  <si>
    <t xml:space="preserve">Jatuh Tempo</t>
  </si>
  <si>
    <t xml:space="preserve">Selisih Hari</t>
  </si>
  <si>
    <t xml:space="preserve">Status</t>
  </si>
  <si>
    <t xml:space="preserve">Biaya Setahun</t>
  </si>
  <si>
    <t xml:space="preserve">Parameter</t>
  </si>
  <si>
    <t xml:space="preserve">Nilai</t>
  </si>
  <si>
    <t xml:space="preserve">Keterangan</t>
  </si>
  <si>
    <t xml:space="preserve">AST-001</t>
  </si>
  <si>
    <t xml:space="preserve">AC Ruang Rapat</t>
  </si>
  <si>
    <t xml:space="preserve">Lantai 1</t>
  </si>
  <si>
    <t xml:space="preserve">Tanggal acuan</t>
  </si>
  <si>
    <t xml:space="preserve">Pengganti TODAY agar hasil tetap</t>
  </si>
  <si>
    <t xml:space="preserve">AST-002</t>
  </si>
  <si>
    <t xml:space="preserve">AC Ruang Direktur</t>
  </si>
  <si>
    <t xml:space="preserve">Lantai 2</t>
  </si>
  <si>
    <t xml:space="preserve">Batas segera (hari)</t>
  </si>
  <si>
    <t xml:space="preserve">Selisih 0 sampai batas ini = Segera</t>
  </si>
  <si>
    <t xml:space="preserve">AST-003</t>
  </si>
  <si>
    <t xml:space="preserve">AC Ruang Staf</t>
  </si>
  <si>
    <t xml:space="preserve">AST-004</t>
  </si>
  <si>
    <t xml:space="preserve">Genset 20 kVA</t>
  </si>
  <si>
    <t xml:space="preserve">Halaman Belakang</t>
  </si>
  <si>
    <t xml:space="preserve">AST-005</t>
  </si>
  <si>
    <t xml:space="preserve">Printer Multifungsi</t>
  </si>
  <si>
    <t xml:space="preserve">Ruang Administrasi</t>
  </si>
  <si>
    <t xml:space="preserve">AST-006</t>
  </si>
  <si>
    <t xml:space="preserve">Mesin Fotokopi</t>
  </si>
  <si>
    <t xml:space="preserve">AST-007</t>
  </si>
  <si>
    <t xml:space="preserve">Dispenser Air</t>
  </si>
  <si>
    <t xml:space="preserve">Pantry</t>
  </si>
  <si>
    <t xml:space="preserve">AST-008</t>
  </si>
  <si>
    <t xml:space="preserve">Pompa Air</t>
  </si>
  <si>
    <t xml:space="preserve">AST-009</t>
  </si>
  <si>
    <t xml:space="preserve">APAR Lantai 1</t>
  </si>
  <si>
    <t xml:space="preserve">AST-010</t>
  </si>
  <si>
    <t xml:space="preserve">APAR Lantai 2</t>
  </si>
  <si>
    <t xml:space="preserve">AST-011</t>
  </si>
  <si>
    <t xml:space="preserve">CCTV Gedung</t>
  </si>
  <si>
    <t xml:space="preserve">Pos Satpam</t>
  </si>
  <si>
    <t xml:space="preserve">AST-012</t>
  </si>
  <si>
    <t xml:space="preserve">Lift Barang</t>
  </si>
  <si>
    <t xml:space="preserve">Gudang</t>
  </si>
  <si>
    <t xml:space="preserve">AST-013</t>
  </si>
  <si>
    <t xml:space="preserve">UPS Server</t>
  </si>
  <si>
    <t xml:space="preserve">Ruang Server</t>
  </si>
  <si>
    <t xml:space="preserve">AST-014</t>
  </si>
  <si>
    <t xml:space="preserve">Router dan Switch</t>
  </si>
  <si>
    <t xml:space="preserve">AST-015</t>
  </si>
  <si>
    <t xml:space="preserve">Proyektor Ruang Rapat</t>
  </si>
  <si>
    <t xml:space="preserve">AST-016</t>
  </si>
  <si>
    <t xml:space="preserve">Mesin Absensi</t>
  </si>
  <si>
    <t xml:space="preserve">Lobi</t>
  </si>
  <si>
    <t xml:space="preserve">AST-017</t>
  </si>
  <si>
    <t xml:space="preserve">Kulkas Pantry</t>
  </si>
  <si>
    <t xml:space="preserve">AST-018</t>
  </si>
  <si>
    <t xml:space="preserve">Panel Listrik Utama</t>
  </si>
  <si>
    <t xml:space="preserve">Ruang Panel</t>
  </si>
  <si>
    <t xml:space="preserve">AST-019</t>
  </si>
  <si>
    <t xml:space="preserve">Penangkal Petir</t>
  </si>
  <si>
    <t xml:space="preserve">Atap Gedung</t>
  </si>
  <si>
    <t xml:space="preserve">AST-020</t>
  </si>
  <si>
    <t xml:space="preserve">Water Heater</t>
  </si>
  <si>
    <t xml:space="preserve">Mess Karyawan</t>
  </si>
  <si>
    <t xml:space="preserve">AST-021</t>
  </si>
  <si>
    <t xml:space="preserve">AC Ruang Server</t>
  </si>
  <si>
    <t xml:space="preserve">AST-022</t>
  </si>
  <si>
    <t xml:space="preserve">Mesin Pemotong Kertas</t>
  </si>
  <si>
    <t xml:space="preserve">AST-023</t>
  </si>
  <si>
    <t xml:space="preserve">Kompresor Bengkel</t>
  </si>
  <si>
    <t xml:space="preserve">Bengkel</t>
  </si>
  <si>
    <t xml:space="preserve">AST-024</t>
  </si>
  <si>
    <t xml:space="preserve">Timbangan Digital</t>
  </si>
  <si>
    <t xml:space="preserve">AST-025</t>
  </si>
  <si>
    <t xml:space="preserve">Lampu Darurat</t>
  </si>
  <si>
    <t xml:space="preserve">AST-026</t>
  </si>
  <si>
    <t xml:space="preserve">Mesin Cuci Seragam</t>
  </si>
  <si>
    <t xml:space="preserve">AST-027</t>
  </si>
  <si>
    <t xml:space="preserve">Kipas Exhaust</t>
  </si>
  <si>
    <t xml:space="preserve">AST-028</t>
  </si>
  <si>
    <t xml:space="preserve">Pintu Otomatis</t>
  </si>
  <si>
    <t xml:space="preserve">AST-029</t>
  </si>
  <si>
    <t xml:space="preserve">Sound System Aula</t>
  </si>
  <si>
    <t xml:space="preserve">Aula</t>
  </si>
  <si>
    <t xml:space="preserve">AST-030</t>
  </si>
  <si>
    <t xml:space="preserve">Hydrant Halaman</t>
  </si>
  <si>
    <t xml:space="preserve">Halaman Depan</t>
  </si>
  <si>
    <t xml:space="preserve">Ringkasan: lembar jawaban soal berjenis ringkasan</t>
  </si>
  <si>
    <t xml:space="preserve">Sel hijau berisi rumus kunci.</t>
  </si>
  <si>
    <t xml:space="preserve">Pertanyaan</t>
  </si>
  <si>
    <t xml:space="preserve">Jawaban</t>
  </si>
  <si>
    <t xml:space="preserve">Contoh format hasil</t>
  </si>
  <si>
    <t xml:space="preserve">5a</t>
  </si>
  <si>
    <t xml:space="preserve">Jumlah peralatan Terlambat</t>
  </si>
  <si>
    <t xml:space="preserve">Angka bulat, mis. 7</t>
  </si>
  <si>
    <t xml:space="preserve">5b</t>
  </si>
  <si>
    <t xml:space="preserve">Jumlah peralatan Segera</t>
  </si>
  <si>
    <t xml:space="preserve">Angka bulat, mis. 6</t>
  </si>
  <si>
    <t xml:space="preserve">5c</t>
  </si>
  <si>
    <t xml:space="preserve">Jumlah peralatan Aman</t>
  </si>
  <si>
    <t xml:space="preserve">Angka bulat, mis. 17</t>
  </si>
  <si>
    <t xml:space="preserve">6a</t>
  </si>
  <si>
    <t xml:space="preserve">Total estimasi biaya setahun</t>
  </si>
  <si>
    <t xml:space="preserve">Rupiah, mis. Rp 30.000.000</t>
  </si>
  <si>
    <t xml:space="preserve">6b</t>
  </si>
  <si>
    <t xml:space="preserve">Total biaya perawatan peralatan Terlambat</t>
  </si>
  <si>
    <t xml:space="preserve">Rupiah, mis. Rp 2.500.000</t>
  </si>
  <si>
    <t xml:space="preserve">7a</t>
  </si>
  <si>
    <t xml:space="preserve">Tanggal jatuh tempo paling awal</t>
  </si>
  <si>
    <t xml:space="preserve">Tanggal, mis. 14/10/2026</t>
  </si>
  <si>
    <t xml:space="preserve">7b</t>
  </si>
  <si>
    <t xml:space="preserve">Peralatan dengan jatuh tempo paling awal</t>
  </si>
  <si>
    <t xml:space="preserve">Teks: nama peralatan</t>
  </si>
  <si>
    <t xml:space="preserve">8a</t>
  </si>
  <si>
    <t xml:space="preserve">Jumlah peralatan berinterval 3 bulan</t>
  </si>
  <si>
    <t xml:space="preserve">Angka bulat, mis. 9</t>
  </si>
  <si>
    <t xml:space="preserve">8b</t>
  </si>
  <si>
    <t xml:space="preserve">Rata-rata interval (bulan)</t>
  </si>
  <si>
    <t xml:space="preserve">Angka desimal, mis. 7,5</t>
  </si>
  <si>
    <t xml:space="preserve">9a</t>
  </si>
  <si>
    <t xml:space="preserve">Peralatan Ruang Server yang Aman</t>
  </si>
  <si>
    <t xml:space="preserve">Angka bulat, mis. 3</t>
  </si>
  <si>
    <t xml:space="preserve">9b</t>
  </si>
  <si>
    <t xml:space="preserve">Biaya setahun peralatan Ruang Server</t>
  </si>
  <si>
    <t xml:space="preserve">Rupiah, mis. Rp 4.000.000</t>
  </si>
  <si>
    <t xml:space="preserve">10a</t>
  </si>
  <si>
    <t xml:space="preserve">Total biaya perawatan peralatan Segera</t>
  </si>
  <si>
    <t xml:space="preserve">Rupiah, mis. Rp 2.000.000</t>
  </si>
  <si>
    <t xml:space="preserve">10b</t>
  </si>
  <si>
    <t xml:space="preserve">Persentase peralatan Aman</t>
  </si>
  <si>
    <t xml:space="preserve">Persen, mis. 55,5%</t>
  </si>
</sst>
</file>

<file path=xl/styles.xml><?xml version="1.0" encoding="utf-8"?>
<styleSheet xmlns="http://schemas.openxmlformats.org/spreadsheetml/2006/main">
  <numFmts count="6">
    <numFmt numFmtId="164" formatCode="General"/>
    <numFmt numFmtId="165" formatCode="dd/mm/yyyy"/>
    <numFmt numFmtId="166" formatCode="0"/>
    <numFmt numFmtId="167" formatCode="&quot;Rp &quot;#,##0"/>
    <numFmt numFmtId="168" formatCode="0.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57.75" hidden="false" customHeight="true" outlineLevel="0" collapsed="false">
      <c r="A25" s="12" t="s">
        <v>39</v>
      </c>
      <c r="B25" s="13" t="s">
        <v>40</v>
      </c>
      <c r="C25" s="13" t="s">
        <v>41</v>
      </c>
      <c r="D25" s="14" t="s">
        <v>42</v>
      </c>
    </row>
    <row r="26" customFormat="false" ht="55.5" hidden="false" customHeight="true" outlineLevel="0" collapsed="false">
      <c r="A26" s="12" t="s">
        <v>43</v>
      </c>
      <c r="B26" s="13" t="s">
        <v>44</v>
      </c>
      <c r="C26" s="13" t="s">
        <v>45</v>
      </c>
      <c r="D26" s="14" t="s">
        <v>46</v>
      </c>
    </row>
    <row r="27" customFormat="false" ht="43.5" hidden="false" customHeight="true" outlineLevel="0" collapsed="false">
      <c r="A27" s="12" t="s">
        <v>47</v>
      </c>
      <c r="B27" s="13" t="s">
        <v>48</v>
      </c>
      <c r="C27" s="13" t="s">
        <v>49</v>
      </c>
      <c r="D27" s="14" t="s">
        <v>50</v>
      </c>
    </row>
    <row r="28" customFormat="false" ht="43.5"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20"/>
    <col collapsed="false" customWidth="true" hidden="false" outlineLevel="0" max="4" min="4" style="0" width="14"/>
    <col collapsed="false" customWidth="true" hidden="false" outlineLevel="0" max="5" min="5" style="0" width="10"/>
    <col collapsed="false" customWidth="true" hidden="false" outlineLevel="0" max="6" min="6" style="0" width="14"/>
    <col collapsed="false" customWidth="true" hidden="false" outlineLevel="0" max="7" min="7" style="0" width="13"/>
    <col collapsed="false" customWidth="true" hidden="false" outlineLevel="0" max="8" min="8" style="0" width="11"/>
    <col collapsed="false" customWidth="true" hidden="false" outlineLevel="0" max="9" min="9" style="0" width="10"/>
    <col collapsed="false" customWidth="true" hidden="false" outlineLevel="0" max="10" min="10" style="0" width="14"/>
    <col collapsed="false" customWidth="true" hidden="false" outlineLevel="0" max="11" min="11" style="0" width="3"/>
    <col collapsed="false" customWidth="true" hidden="false" outlineLevel="0" max="12" min="12" style="0" width="30"/>
    <col collapsed="false" customWidth="true" hidden="false" outlineLevel="0" max="13" min="13" style="0" width="16"/>
    <col collapsed="false" customWidth="true" hidden="false" outlineLevel="0" max="14" min="14" style="0" width="42"/>
  </cols>
  <sheetData>
    <row r="1" customFormat="false" ht="33.75" hidden="false" customHeight="true" outlineLevel="0" collapsed="false">
      <c r="A1" s="11" t="s">
        <v>63</v>
      </c>
      <c r="B1" s="11" t="s">
        <v>64</v>
      </c>
      <c r="C1" s="11" t="s">
        <v>65</v>
      </c>
      <c r="D1" s="11" t="s">
        <v>66</v>
      </c>
      <c r="E1" s="11" t="s">
        <v>67</v>
      </c>
      <c r="F1" s="11" t="s">
        <v>68</v>
      </c>
      <c r="G1" s="15" t="s">
        <v>69</v>
      </c>
      <c r="H1" s="15" t="s">
        <v>70</v>
      </c>
      <c r="I1" s="15" t="s">
        <v>71</v>
      </c>
      <c r="J1" s="15" t="s">
        <v>72</v>
      </c>
      <c r="L1" s="16" t="s">
        <v>73</v>
      </c>
      <c r="M1" s="16" t="s">
        <v>74</v>
      </c>
      <c r="N1" s="16" t="s">
        <v>75</v>
      </c>
    </row>
    <row r="2" customFormat="false" ht="15" hidden="false" customHeight="false" outlineLevel="0" collapsed="false">
      <c r="A2" s="17" t="s">
        <v>76</v>
      </c>
      <c r="B2" s="17" t="s">
        <v>77</v>
      </c>
      <c r="C2" s="17" t="s">
        <v>78</v>
      </c>
      <c r="D2" s="18" t="n">
        <v>46273</v>
      </c>
      <c r="E2" s="19" t="n">
        <v>3</v>
      </c>
      <c r="F2" s="20" t="n">
        <v>350000</v>
      </c>
      <c r="G2" s="21" t="n">
        <f aca="false">EDATE(D2,E2)</f>
        <v>46364</v>
      </c>
      <c r="H2" s="22" t="n">
        <f aca="false">G2-$M$2</f>
        <v>54</v>
      </c>
      <c r="I2" s="23" t="str">
        <f aca="false">IF(H2&lt;0,"Terlambat",IF(H2&lt;=$M$3,"Segera","Aman"))</f>
        <v>Aman</v>
      </c>
      <c r="J2" s="24" t="n">
        <f aca="false">ROUND(F2*12/E2,0)</f>
        <v>1400000</v>
      </c>
      <c r="L2" s="25" t="s">
        <v>79</v>
      </c>
      <c r="M2" s="26" t="n">
        <v>46310</v>
      </c>
      <c r="N2" s="25" t="s">
        <v>80</v>
      </c>
    </row>
    <row r="3" customFormat="false" ht="15" hidden="false" customHeight="false" outlineLevel="0" collapsed="false">
      <c r="A3" s="17" t="s">
        <v>81</v>
      </c>
      <c r="B3" s="17" t="s">
        <v>82</v>
      </c>
      <c r="C3" s="17" t="s">
        <v>83</v>
      </c>
      <c r="D3" s="18" t="n">
        <v>46276</v>
      </c>
      <c r="E3" s="19" t="n">
        <v>3</v>
      </c>
      <c r="F3" s="20" t="n">
        <v>350000</v>
      </c>
      <c r="G3" s="21" t="n">
        <f aca="false">EDATE(D3,E3)</f>
        <v>46367</v>
      </c>
      <c r="H3" s="22" t="n">
        <f aca="false">G3-$M$2</f>
        <v>57</v>
      </c>
      <c r="I3" s="23" t="str">
        <f aca="false">IF(H3&lt;0,"Terlambat",IF(H3&lt;=$M$3,"Segera","Aman"))</f>
        <v>Aman</v>
      </c>
      <c r="J3" s="24" t="n">
        <f aca="false">ROUND(F3*12/E3,0)</f>
        <v>1400000</v>
      </c>
      <c r="L3" s="25" t="s">
        <v>84</v>
      </c>
      <c r="M3" s="27" t="n">
        <v>30</v>
      </c>
      <c r="N3" s="25" t="s">
        <v>85</v>
      </c>
    </row>
    <row r="4" customFormat="false" ht="15" hidden="false" customHeight="false" outlineLevel="0" collapsed="false">
      <c r="A4" s="17" t="s">
        <v>86</v>
      </c>
      <c r="B4" s="17" t="s">
        <v>87</v>
      </c>
      <c r="C4" s="17" t="s">
        <v>78</v>
      </c>
      <c r="D4" s="18" t="n">
        <v>46273</v>
      </c>
      <c r="E4" s="19" t="n">
        <v>3</v>
      </c>
      <c r="F4" s="20" t="n">
        <v>450000</v>
      </c>
      <c r="G4" s="21" t="n">
        <f aca="false">EDATE(D4,E4)</f>
        <v>46364</v>
      </c>
      <c r="H4" s="22" t="n">
        <f aca="false">G4-$M$2</f>
        <v>54</v>
      </c>
      <c r="I4" s="23" t="str">
        <f aca="false">IF(H4&lt;0,"Terlambat",IF(H4&lt;=$M$3,"Segera","Aman"))</f>
        <v>Aman</v>
      </c>
      <c r="J4" s="24" t="n">
        <f aca="false">ROUND(F4*12/E4,0)</f>
        <v>1800000</v>
      </c>
    </row>
    <row r="5" customFormat="false" ht="15" hidden="false" customHeight="false" outlineLevel="0" collapsed="false">
      <c r="A5" s="17" t="s">
        <v>88</v>
      </c>
      <c r="B5" s="17" t="s">
        <v>89</v>
      </c>
      <c r="C5" s="17" t="s">
        <v>90</v>
      </c>
      <c r="D5" s="18" t="n">
        <v>46256</v>
      </c>
      <c r="E5" s="19" t="n">
        <v>6</v>
      </c>
      <c r="F5" s="20" t="n">
        <v>1800000</v>
      </c>
      <c r="G5" s="21" t="n">
        <f aca="false">EDATE(D5,E5)</f>
        <v>46440</v>
      </c>
      <c r="H5" s="22" t="n">
        <f aca="false">G5-$M$2</f>
        <v>130</v>
      </c>
      <c r="I5" s="23" t="str">
        <f aca="false">IF(H5&lt;0,"Terlambat",IF(H5&lt;=$M$3,"Segera","Aman"))</f>
        <v>Aman</v>
      </c>
      <c r="J5" s="24" t="n">
        <f aca="false">ROUND(F5*12/E5,0)</f>
        <v>3600000</v>
      </c>
    </row>
    <row r="6" customFormat="false" ht="15" hidden="false" customHeight="false" outlineLevel="0" collapsed="false">
      <c r="A6" s="17" t="s">
        <v>91</v>
      </c>
      <c r="B6" s="17" t="s">
        <v>92</v>
      </c>
      <c r="C6" s="17" t="s">
        <v>93</v>
      </c>
      <c r="D6" s="18" t="n">
        <v>46184</v>
      </c>
      <c r="E6" s="19" t="n">
        <v>6</v>
      </c>
      <c r="F6" s="20" t="n">
        <v>275000</v>
      </c>
      <c r="G6" s="21" t="n">
        <f aca="false">EDATE(D6,E6)</f>
        <v>46367</v>
      </c>
      <c r="H6" s="22" t="n">
        <f aca="false">G6-$M$2</f>
        <v>57</v>
      </c>
      <c r="I6" s="23" t="str">
        <f aca="false">IF(H6&lt;0,"Terlambat",IF(H6&lt;=$M$3,"Segera","Aman"))</f>
        <v>Aman</v>
      </c>
      <c r="J6" s="24" t="n">
        <f aca="false">ROUND(F6*12/E6,0)</f>
        <v>550000</v>
      </c>
    </row>
    <row r="7" customFormat="false" ht="15" hidden="false" customHeight="false" outlineLevel="0" collapsed="false">
      <c r="A7" s="17" t="s">
        <v>94</v>
      </c>
      <c r="B7" s="17" t="s">
        <v>95</v>
      </c>
      <c r="C7" s="17" t="s">
        <v>93</v>
      </c>
      <c r="D7" s="18" t="n">
        <v>46290</v>
      </c>
      <c r="E7" s="19" t="n">
        <v>3</v>
      </c>
      <c r="F7" s="20" t="n">
        <v>600000</v>
      </c>
      <c r="G7" s="21" t="n">
        <f aca="false">EDATE(D7,E7)</f>
        <v>46381</v>
      </c>
      <c r="H7" s="22" t="n">
        <f aca="false">G7-$M$2</f>
        <v>71</v>
      </c>
      <c r="I7" s="23" t="str">
        <f aca="false">IF(H7&lt;0,"Terlambat",IF(H7&lt;=$M$3,"Segera","Aman"))</f>
        <v>Aman</v>
      </c>
      <c r="J7" s="24" t="n">
        <f aca="false">ROUND(F7*12/E7,0)</f>
        <v>2400000</v>
      </c>
    </row>
    <row r="8" customFormat="false" ht="15" hidden="false" customHeight="false" outlineLevel="0" collapsed="false">
      <c r="A8" s="17" t="s">
        <v>96</v>
      </c>
      <c r="B8" s="17" t="s">
        <v>97</v>
      </c>
      <c r="C8" s="17" t="s">
        <v>98</v>
      </c>
      <c r="D8" s="18" t="n">
        <v>46190</v>
      </c>
      <c r="E8" s="19" t="n">
        <v>6</v>
      </c>
      <c r="F8" s="20" t="n">
        <v>150000</v>
      </c>
      <c r="G8" s="21" t="n">
        <f aca="false">EDATE(D8,E8)</f>
        <v>46373</v>
      </c>
      <c r="H8" s="22" t="n">
        <f aca="false">G8-$M$2</f>
        <v>63</v>
      </c>
      <c r="I8" s="23" t="str">
        <f aca="false">IF(H8&lt;0,"Terlambat",IF(H8&lt;=$M$3,"Segera","Aman"))</f>
        <v>Aman</v>
      </c>
      <c r="J8" s="24" t="n">
        <f aca="false">ROUND(F8*12/E8,0)</f>
        <v>300000</v>
      </c>
    </row>
    <row r="9" customFormat="false" ht="15" hidden="false" customHeight="false" outlineLevel="0" collapsed="false">
      <c r="A9" s="17" t="s">
        <v>99</v>
      </c>
      <c r="B9" s="17" t="s">
        <v>100</v>
      </c>
      <c r="C9" s="17" t="s">
        <v>90</v>
      </c>
      <c r="D9" s="18" t="n">
        <v>46094</v>
      </c>
      <c r="E9" s="19" t="n">
        <v>6</v>
      </c>
      <c r="F9" s="20" t="n">
        <v>400000</v>
      </c>
      <c r="G9" s="21" t="n">
        <f aca="false">EDATE(D9,E9)</f>
        <v>46278</v>
      </c>
      <c r="H9" s="22" t="n">
        <f aca="false">G9-$M$2</f>
        <v>-32</v>
      </c>
      <c r="I9" s="23" t="str">
        <f aca="false">IF(H9&lt;0,"Terlambat",IF(H9&lt;=$M$3,"Segera","Aman"))</f>
        <v>Terlambat</v>
      </c>
      <c r="J9" s="24" t="n">
        <f aca="false">ROUND(F9*12/E9,0)</f>
        <v>800000</v>
      </c>
    </row>
    <row r="10" customFormat="false" ht="15" hidden="false" customHeight="false" outlineLevel="0" collapsed="false">
      <c r="A10" s="17" t="s">
        <v>101</v>
      </c>
      <c r="B10" s="17" t="s">
        <v>102</v>
      </c>
      <c r="C10" s="17" t="s">
        <v>78</v>
      </c>
      <c r="D10" s="18" t="n">
        <v>46056</v>
      </c>
      <c r="E10" s="19" t="n">
        <v>12</v>
      </c>
      <c r="F10" s="20" t="n">
        <v>120000</v>
      </c>
      <c r="G10" s="21" t="n">
        <f aca="false">EDATE(D10,E10)</f>
        <v>46421</v>
      </c>
      <c r="H10" s="22" t="n">
        <f aca="false">G10-$M$2</f>
        <v>111</v>
      </c>
      <c r="I10" s="23" t="str">
        <f aca="false">IF(H10&lt;0,"Terlambat",IF(H10&lt;=$M$3,"Segera","Aman"))</f>
        <v>Aman</v>
      </c>
      <c r="J10" s="24" t="n">
        <f aca="false">ROUND(F10*12/E10,0)</f>
        <v>120000</v>
      </c>
    </row>
    <row r="11" customFormat="false" ht="15" hidden="false" customHeight="false" outlineLevel="0" collapsed="false">
      <c r="A11" s="17" t="s">
        <v>103</v>
      </c>
      <c r="B11" s="17" t="s">
        <v>104</v>
      </c>
      <c r="C11" s="17" t="s">
        <v>83</v>
      </c>
      <c r="D11" s="18" t="n">
        <v>46090</v>
      </c>
      <c r="E11" s="19" t="n">
        <v>12</v>
      </c>
      <c r="F11" s="20" t="n">
        <v>120000</v>
      </c>
      <c r="G11" s="21" t="n">
        <f aca="false">EDATE(D11,E11)</f>
        <v>46455</v>
      </c>
      <c r="H11" s="22" t="n">
        <f aca="false">G11-$M$2</f>
        <v>145</v>
      </c>
      <c r="I11" s="23" t="str">
        <f aca="false">IF(H11&lt;0,"Terlambat",IF(H11&lt;=$M$3,"Segera","Aman"))</f>
        <v>Aman</v>
      </c>
      <c r="J11" s="24" t="n">
        <f aca="false">ROUND(F11*12/E11,0)</f>
        <v>120000</v>
      </c>
    </row>
    <row r="12" customFormat="false" ht="15" hidden="false" customHeight="false" outlineLevel="0" collapsed="false">
      <c r="A12" s="17" t="s">
        <v>105</v>
      </c>
      <c r="B12" s="17" t="s">
        <v>106</v>
      </c>
      <c r="C12" s="17" t="s">
        <v>107</v>
      </c>
      <c r="D12" s="18" t="n">
        <v>46149</v>
      </c>
      <c r="E12" s="19" t="n">
        <v>6</v>
      </c>
      <c r="F12" s="20" t="n">
        <v>500000</v>
      </c>
      <c r="G12" s="21" t="n">
        <f aca="false">EDATE(D12,E12)</f>
        <v>46333</v>
      </c>
      <c r="H12" s="22" t="n">
        <f aca="false">G12-$M$2</f>
        <v>23</v>
      </c>
      <c r="I12" s="23" t="str">
        <f aca="false">IF(H12&lt;0,"Terlambat",IF(H12&lt;=$M$3,"Segera","Aman"))</f>
        <v>Segera</v>
      </c>
      <c r="J12" s="24" t="n">
        <f aca="false">ROUND(F12*12/E12,0)</f>
        <v>1000000</v>
      </c>
    </row>
    <row r="13" customFormat="false" ht="15" hidden="false" customHeight="false" outlineLevel="0" collapsed="false">
      <c r="A13" s="17" t="s">
        <v>108</v>
      </c>
      <c r="B13" s="17" t="s">
        <v>109</v>
      </c>
      <c r="C13" s="17" t="s">
        <v>110</v>
      </c>
      <c r="D13" s="18" t="n">
        <v>46177</v>
      </c>
      <c r="E13" s="19" t="n">
        <v>3</v>
      </c>
      <c r="F13" s="20" t="n">
        <v>1500000</v>
      </c>
      <c r="G13" s="21" t="n">
        <f aca="false">EDATE(D13,E13)</f>
        <v>46269</v>
      </c>
      <c r="H13" s="22" t="n">
        <f aca="false">G13-$M$2</f>
        <v>-41</v>
      </c>
      <c r="I13" s="23" t="str">
        <f aca="false">IF(H13&lt;0,"Terlambat",IF(H13&lt;=$M$3,"Segera","Aman"))</f>
        <v>Terlambat</v>
      </c>
      <c r="J13" s="24" t="n">
        <f aca="false">ROUND(F13*12/E13,0)</f>
        <v>6000000</v>
      </c>
    </row>
    <row r="14" customFormat="false" ht="15" hidden="false" customHeight="false" outlineLevel="0" collapsed="false">
      <c r="A14" s="17" t="s">
        <v>111</v>
      </c>
      <c r="B14" s="17" t="s">
        <v>112</v>
      </c>
      <c r="C14" s="17" t="s">
        <v>113</v>
      </c>
      <c r="D14" s="18" t="n">
        <v>46268</v>
      </c>
      <c r="E14" s="19" t="n">
        <v>12</v>
      </c>
      <c r="F14" s="20" t="n">
        <v>650000</v>
      </c>
      <c r="G14" s="21" t="n">
        <f aca="false">EDATE(D14,E14)</f>
        <v>46633</v>
      </c>
      <c r="H14" s="22" t="n">
        <f aca="false">G14-$M$2</f>
        <v>323</v>
      </c>
      <c r="I14" s="23" t="str">
        <f aca="false">IF(H14&lt;0,"Terlambat",IF(H14&lt;=$M$3,"Segera","Aman"))</f>
        <v>Aman</v>
      </c>
      <c r="J14" s="24" t="n">
        <f aca="false">ROUND(F14*12/E14,0)</f>
        <v>650000</v>
      </c>
    </row>
    <row r="15" customFormat="false" ht="15" hidden="false" customHeight="false" outlineLevel="0" collapsed="false">
      <c r="A15" s="17" t="s">
        <v>114</v>
      </c>
      <c r="B15" s="17" t="s">
        <v>115</v>
      </c>
      <c r="C15" s="17" t="s">
        <v>113</v>
      </c>
      <c r="D15" s="18" t="n">
        <v>46099</v>
      </c>
      <c r="E15" s="19" t="n">
        <v>12</v>
      </c>
      <c r="F15" s="20" t="n">
        <v>300000</v>
      </c>
      <c r="G15" s="21" t="n">
        <f aca="false">EDATE(D15,E15)</f>
        <v>46464</v>
      </c>
      <c r="H15" s="22" t="n">
        <f aca="false">G15-$M$2</f>
        <v>154</v>
      </c>
      <c r="I15" s="23" t="str">
        <f aca="false">IF(H15&lt;0,"Terlambat",IF(H15&lt;=$M$3,"Segera","Aman"))</f>
        <v>Aman</v>
      </c>
      <c r="J15" s="24" t="n">
        <f aca="false">ROUND(F15*12/E15,0)</f>
        <v>300000</v>
      </c>
    </row>
    <row r="16" customFormat="false" ht="15" hidden="false" customHeight="false" outlineLevel="0" collapsed="false">
      <c r="A16" s="17" t="s">
        <v>116</v>
      </c>
      <c r="B16" s="17" t="s">
        <v>117</v>
      </c>
      <c r="C16" s="17" t="s">
        <v>78</v>
      </c>
      <c r="D16" s="18" t="n">
        <v>45986</v>
      </c>
      <c r="E16" s="19" t="n">
        <v>12</v>
      </c>
      <c r="F16" s="20" t="n">
        <v>250000</v>
      </c>
      <c r="G16" s="21" t="n">
        <f aca="false">EDATE(D16,E16)</f>
        <v>46351</v>
      </c>
      <c r="H16" s="22" t="n">
        <f aca="false">G16-$M$2</f>
        <v>41</v>
      </c>
      <c r="I16" s="23" t="str">
        <f aca="false">IF(H16&lt;0,"Terlambat",IF(H16&lt;=$M$3,"Segera","Aman"))</f>
        <v>Aman</v>
      </c>
      <c r="J16" s="24" t="n">
        <f aca="false">ROUND(F16*12/E16,0)</f>
        <v>250000</v>
      </c>
    </row>
    <row r="17" customFormat="false" ht="15" hidden="false" customHeight="false" outlineLevel="0" collapsed="false">
      <c r="A17" s="17" t="s">
        <v>118</v>
      </c>
      <c r="B17" s="17" t="s">
        <v>119</v>
      </c>
      <c r="C17" s="17" t="s">
        <v>120</v>
      </c>
      <c r="D17" s="18" t="n">
        <v>46150</v>
      </c>
      <c r="E17" s="19" t="n">
        <v>12</v>
      </c>
      <c r="F17" s="20" t="n">
        <v>200000</v>
      </c>
      <c r="G17" s="21" t="n">
        <f aca="false">EDATE(D17,E17)</f>
        <v>46515</v>
      </c>
      <c r="H17" s="22" t="n">
        <f aca="false">G17-$M$2</f>
        <v>205</v>
      </c>
      <c r="I17" s="23" t="str">
        <f aca="false">IF(H17&lt;0,"Terlambat",IF(H17&lt;=$M$3,"Segera","Aman"))</f>
        <v>Aman</v>
      </c>
      <c r="J17" s="24" t="n">
        <f aca="false">ROUND(F17*12/E17,0)</f>
        <v>200000</v>
      </c>
    </row>
    <row r="18" customFormat="false" ht="15" hidden="false" customHeight="false" outlineLevel="0" collapsed="false">
      <c r="A18" s="17" t="s">
        <v>121</v>
      </c>
      <c r="B18" s="17" t="s">
        <v>122</v>
      </c>
      <c r="C18" s="17" t="s">
        <v>98</v>
      </c>
      <c r="D18" s="18" t="n">
        <v>45924</v>
      </c>
      <c r="E18" s="19" t="n">
        <v>12</v>
      </c>
      <c r="F18" s="20" t="n">
        <v>180000</v>
      </c>
      <c r="G18" s="21" t="n">
        <f aca="false">EDATE(D18,E18)</f>
        <v>46289</v>
      </c>
      <c r="H18" s="22" t="n">
        <f aca="false">G18-$M$2</f>
        <v>-21</v>
      </c>
      <c r="I18" s="23" t="str">
        <f aca="false">IF(H18&lt;0,"Terlambat",IF(H18&lt;=$M$3,"Segera","Aman"))</f>
        <v>Terlambat</v>
      </c>
      <c r="J18" s="24" t="n">
        <f aca="false">ROUND(F18*12/E18,0)</f>
        <v>180000</v>
      </c>
    </row>
    <row r="19" customFormat="false" ht="15" hidden="false" customHeight="false" outlineLevel="0" collapsed="false">
      <c r="A19" s="17" t="s">
        <v>123</v>
      </c>
      <c r="B19" s="17" t="s">
        <v>124</v>
      </c>
      <c r="C19" s="17" t="s">
        <v>125</v>
      </c>
      <c r="D19" s="18" t="n">
        <v>46133</v>
      </c>
      <c r="E19" s="19" t="n">
        <v>6</v>
      </c>
      <c r="F19" s="20" t="n">
        <v>900000</v>
      </c>
      <c r="G19" s="21" t="n">
        <f aca="false">EDATE(D19,E19)</f>
        <v>46316</v>
      </c>
      <c r="H19" s="22" t="n">
        <f aca="false">G19-$M$2</f>
        <v>6</v>
      </c>
      <c r="I19" s="23" t="str">
        <f aca="false">IF(H19&lt;0,"Terlambat",IF(H19&lt;=$M$3,"Segera","Aman"))</f>
        <v>Segera</v>
      </c>
      <c r="J19" s="24" t="n">
        <f aca="false">ROUND(F19*12/E19,0)</f>
        <v>1800000</v>
      </c>
    </row>
    <row r="20" customFormat="false" ht="15" hidden="false" customHeight="false" outlineLevel="0" collapsed="false">
      <c r="A20" s="17" t="s">
        <v>126</v>
      </c>
      <c r="B20" s="17" t="s">
        <v>127</v>
      </c>
      <c r="C20" s="17" t="s">
        <v>128</v>
      </c>
      <c r="D20" s="18" t="n">
        <v>46032</v>
      </c>
      <c r="E20" s="19" t="n">
        <v>12</v>
      </c>
      <c r="F20" s="20" t="n">
        <v>750000</v>
      </c>
      <c r="G20" s="21" t="n">
        <f aca="false">EDATE(D20,E20)</f>
        <v>46397</v>
      </c>
      <c r="H20" s="22" t="n">
        <f aca="false">G20-$M$2</f>
        <v>87</v>
      </c>
      <c r="I20" s="23" t="str">
        <f aca="false">IF(H20&lt;0,"Terlambat",IF(H20&lt;=$M$3,"Segera","Aman"))</f>
        <v>Aman</v>
      </c>
      <c r="J20" s="24" t="n">
        <f aca="false">ROUND(F20*12/E20,0)</f>
        <v>750000</v>
      </c>
    </row>
    <row r="21" customFormat="false" ht="15" hidden="false" customHeight="false" outlineLevel="0" collapsed="false">
      <c r="A21" s="17" t="s">
        <v>129</v>
      </c>
      <c r="B21" s="17" t="s">
        <v>130</v>
      </c>
      <c r="C21" s="17" t="s">
        <v>131</v>
      </c>
      <c r="D21" s="18" t="n">
        <v>46063</v>
      </c>
      <c r="E21" s="19" t="n">
        <v>12</v>
      </c>
      <c r="F21" s="20" t="n">
        <v>160000</v>
      </c>
      <c r="G21" s="21" t="n">
        <f aca="false">EDATE(D21,E21)</f>
        <v>46428</v>
      </c>
      <c r="H21" s="22" t="n">
        <f aca="false">G21-$M$2</f>
        <v>118</v>
      </c>
      <c r="I21" s="23" t="str">
        <f aca="false">IF(H21&lt;0,"Terlambat",IF(H21&lt;=$M$3,"Segera","Aman"))</f>
        <v>Aman</v>
      </c>
      <c r="J21" s="24" t="n">
        <f aca="false">ROUND(F21*12/E21,0)</f>
        <v>160000</v>
      </c>
    </row>
    <row r="22" customFormat="false" ht="15" hidden="false" customHeight="false" outlineLevel="0" collapsed="false">
      <c r="A22" s="17" t="s">
        <v>132</v>
      </c>
      <c r="B22" s="17" t="s">
        <v>133</v>
      </c>
      <c r="C22" s="17" t="s">
        <v>113</v>
      </c>
      <c r="D22" s="18" t="n">
        <v>46237</v>
      </c>
      <c r="E22" s="19" t="n">
        <v>3</v>
      </c>
      <c r="F22" s="20" t="n">
        <v>500000</v>
      </c>
      <c r="G22" s="21" t="n">
        <f aca="false">EDATE(D22,E22)</f>
        <v>46329</v>
      </c>
      <c r="H22" s="22" t="n">
        <f aca="false">G22-$M$2</f>
        <v>19</v>
      </c>
      <c r="I22" s="23" t="str">
        <f aca="false">IF(H22&lt;0,"Terlambat",IF(H22&lt;=$M$3,"Segera","Aman"))</f>
        <v>Segera</v>
      </c>
      <c r="J22" s="24" t="n">
        <f aca="false">ROUND(F22*12/E22,0)</f>
        <v>2000000</v>
      </c>
    </row>
    <row r="23" customFormat="false" ht="15" hidden="false" customHeight="false" outlineLevel="0" collapsed="false">
      <c r="A23" s="17" t="s">
        <v>134</v>
      </c>
      <c r="B23" s="17" t="s">
        <v>135</v>
      </c>
      <c r="C23" s="17" t="s">
        <v>93</v>
      </c>
      <c r="D23" s="18" t="n">
        <v>46108</v>
      </c>
      <c r="E23" s="19" t="n">
        <v>6</v>
      </c>
      <c r="F23" s="20" t="n">
        <v>140000</v>
      </c>
      <c r="G23" s="21" t="n">
        <f aca="false">EDATE(D23,E23)</f>
        <v>46292</v>
      </c>
      <c r="H23" s="22" t="n">
        <f aca="false">G23-$M$2</f>
        <v>-18</v>
      </c>
      <c r="I23" s="23" t="str">
        <f aca="false">IF(H23&lt;0,"Terlambat",IF(H23&lt;=$M$3,"Segera","Aman"))</f>
        <v>Terlambat</v>
      </c>
      <c r="J23" s="24" t="n">
        <f aca="false">ROUND(F23*12/E23,0)</f>
        <v>280000</v>
      </c>
    </row>
    <row r="24" customFormat="false" ht="15" hidden="false" customHeight="false" outlineLevel="0" collapsed="false">
      <c r="A24" s="17" t="s">
        <v>136</v>
      </c>
      <c r="B24" s="17" t="s">
        <v>137</v>
      </c>
      <c r="C24" s="17" t="s">
        <v>138</v>
      </c>
      <c r="D24" s="18" t="n">
        <v>46259</v>
      </c>
      <c r="E24" s="19" t="n">
        <v>6</v>
      </c>
      <c r="F24" s="20" t="n">
        <v>380000</v>
      </c>
      <c r="G24" s="21" t="n">
        <f aca="false">EDATE(D24,E24)</f>
        <v>46443</v>
      </c>
      <c r="H24" s="22" t="n">
        <f aca="false">G24-$M$2</f>
        <v>133</v>
      </c>
      <c r="I24" s="23" t="str">
        <f aca="false">IF(H24&lt;0,"Terlambat",IF(H24&lt;=$M$3,"Segera","Aman"))</f>
        <v>Aman</v>
      </c>
      <c r="J24" s="24" t="n">
        <f aca="false">ROUND(F24*12/E24,0)</f>
        <v>760000</v>
      </c>
    </row>
    <row r="25" customFormat="false" ht="15" hidden="false" customHeight="false" outlineLevel="0" collapsed="false">
      <c r="A25" s="17" t="s">
        <v>139</v>
      </c>
      <c r="B25" s="17" t="s">
        <v>140</v>
      </c>
      <c r="C25" s="17" t="s">
        <v>110</v>
      </c>
      <c r="D25" s="18" t="n">
        <v>46240</v>
      </c>
      <c r="E25" s="19" t="n">
        <v>12</v>
      </c>
      <c r="F25" s="20" t="n">
        <v>220000</v>
      </c>
      <c r="G25" s="21" t="n">
        <f aca="false">EDATE(D25,E25)</f>
        <v>46605</v>
      </c>
      <c r="H25" s="22" t="n">
        <f aca="false">G25-$M$2</f>
        <v>295</v>
      </c>
      <c r="I25" s="23" t="str">
        <f aca="false">IF(H25&lt;0,"Terlambat",IF(H25&lt;=$M$3,"Segera","Aman"))</f>
        <v>Aman</v>
      </c>
      <c r="J25" s="24" t="n">
        <f aca="false">ROUND(F25*12/E25,0)</f>
        <v>220000</v>
      </c>
    </row>
    <row r="26" customFormat="false" ht="15" hidden="false" customHeight="false" outlineLevel="0" collapsed="false">
      <c r="A26" s="17" t="s">
        <v>141</v>
      </c>
      <c r="B26" s="17" t="s">
        <v>142</v>
      </c>
      <c r="C26" s="17" t="s">
        <v>78</v>
      </c>
      <c r="D26" s="18" t="n">
        <v>46130</v>
      </c>
      <c r="E26" s="19" t="n">
        <v>6</v>
      </c>
      <c r="F26" s="20" t="n">
        <v>130000</v>
      </c>
      <c r="G26" s="21" t="n">
        <f aca="false">EDATE(D26,E26)</f>
        <v>46313</v>
      </c>
      <c r="H26" s="22" t="n">
        <f aca="false">G26-$M$2</f>
        <v>3</v>
      </c>
      <c r="I26" s="23" t="str">
        <f aca="false">IF(H26&lt;0,"Terlambat",IF(H26&lt;=$M$3,"Segera","Aman"))</f>
        <v>Segera</v>
      </c>
      <c r="J26" s="24" t="n">
        <f aca="false">ROUND(F26*12/E26,0)</f>
        <v>260000</v>
      </c>
    </row>
    <row r="27" customFormat="false" ht="15" hidden="false" customHeight="false" outlineLevel="0" collapsed="false">
      <c r="A27" s="17" t="s">
        <v>143</v>
      </c>
      <c r="B27" s="17" t="s">
        <v>144</v>
      </c>
      <c r="C27" s="17" t="s">
        <v>131</v>
      </c>
      <c r="D27" s="18" t="n">
        <v>46106</v>
      </c>
      <c r="E27" s="19" t="n">
        <v>12</v>
      </c>
      <c r="F27" s="20" t="n">
        <v>210000</v>
      </c>
      <c r="G27" s="21" t="n">
        <f aca="false">EDATE(D27,E27)</f>
        <v>46471</v>
      </c>
      <c r="H27" s="22" t="n">
        <f aca="false">G27-$M$2</f>
        <v>161</v>
      </c>
      <c r="I27" s="23" t="str">
        <f aca="false">IF(H27&lt;0,"Terlambat",IF(H27&lt;=$M$3,"Segera","Aman"))</f>
        <v>Aman</v>
      </c>
      <c r="J27" s="24" t="n">
        <f aca="false">ROUND(F27*12/E27,0)</f>
        <v>210000</v>
      </c>
    </row>
    <row r="28" customFormat="false" ht="15" hidden="false" customHeight="false" outlineLevel="0" collapsed="false">
      <c r="A28" s="17" t="s">
        <v>145</v>
      </c>
      <c r="B28" s="17" t="s">
        <v>146</v>
      </c>
      <c r="C28" s="17" t="s">
        <v>110</v>
      </c>
      <c r="D28" s="18" t="n">
        <v>46106</v>
      </c>
      <c r="E28" s="19" t="n">
        <v>6</v>
      </c>
      <c r="F28" s="20" t="n">
        <v>175000</v>
      </c>
      <c r="G28" s="21" t="n">
        <f aca="false">EDATE(D28,E28)</f>
        <v>46290</v>
      </c>
      <c r="H28" s="22" t="n">
        <f aca="false">G28-$M$2</f>
        <v>-20</v>
      </c>
      <c r="I28" s="23" t="str">
        <f aca="false">IF(H28&lt;0,"Terlambat",IF(H28&lt;=$M$3,"Segera","Aman"))</f>
        <v>Terlambat</v>
      </c>
      <c r="J28" s="24" t="n">
        <f aca="false">ROUND(F28*12/E28,0)</f>
        <v>350000</v>
      </c>
    </row>
    <row r="29" customFormat="false" ht="15" hidden="false" customHeight="false" outlineLevel="0" collapsed="false">
      <c r="A29" s="17" t="s">
        <v>147</v>
      </c>
      <c r="B29" s="17" t="s">
        <v>148</v>
      </c>
      <c r="C29" s="17" t="s">
        <v>120</v>
      </c>
      <c r="D29" s="18" t="n">
        <v>46195</v>
      </c>
      <c r="E29" s="19" t="n">
        <v>6</v>
      </c>
      <c r="F29" s="20" t="n">
        <v>850000</v>
      </c>
      <c r="G29" s="21" t="n">
        <f aca="false">EDATE(D29,E29)</f>
        <v>46378</v>
      </c>
      <c r="H29" s="22" t="n">
        <f aca="false">G29-$M$2</f>
        <v>68</v>
      </c>
      <c r="I29" s="23" t="str">
        <f aca="false">IF(H29&lt;0,"Terlambat",IF(H29&lt;=$M$3,"Segera","Aman"))</f>
        <v>Aman</v>
      </c>
      <c r="J29" s="24" t="n">
        <f aca="false">ROUND(F29*12/E29,0)</f>
        <v>1700000</v>
      </c>
    </row>
    <row r="30" customFormat="false" ht="15" hidden="false" customHeight="false" outlineLevel="0" collapsed="false">
      <c r="A30" s="17" t="s">
        <v>149</v>
      </c>
      <c r="B30" s="17" t="s">
        <v>150</v>
      </c>
      <c r="C30" s="17" t="s">
        <v>151</v>
      </c>
      <c r="D30" s="18" t="n">
        <v>46186</v>
      </c>
      <c r="E30" s="19" t="n">
        <v>12</v>
      </c>
      <c r="F30" s="20" t="n">
        <v>320000</v>
      </c>
      <c r="G30" s="21" t="n">
        <f aca="false">EDATE(D30,E30)</f>
        <v>46551</v>
      </c>
      <c r="H30" s="22" t="n">
        <f aca="false">G30-$M$2</f>
        <v>241</v>
      </c>
      <c r="I30" s="23" t="str">
        <f aca="false">IF(H30&lt;0,"Terlambat",IF(H30&lt;=$M$3,"Segera","Aman"))</f>
        <v>Aman</v>
      </c>
      <c r="J30" s="24" t="n">
        <f aca="false">ROUND(F30*12/E30,0)</f>
        <v>320000</v>
      </c>
    </row>
    <row r="31" customFormat="false" ht="15" hidden="false" customHeight="false" outlineLevel="0" collapsed="false">
      <c r="A31" s="17" t="s">
        <v>152</v>
      </c>
      <c r="B31" s="17" t="s">
        <v>153</v>
      </c>
      <c r="C31" s="17" t="s">
        <v>154</v>
      </c>
      <c r="D31" s="18" t="n">
        <v>45947</v>
      </c>
      <c r="E31" s="19" t="n">
        <v>12</v>
      </c>
      <c r="F31" s="20" t="n">
        <v>480000</v>
      </c>
      <c r="G31" s="21" t="n">
        <f aca="false">EDATE(D31,E31)</f>
        <v>46312</v>
      </c>
      <c r="H31" s="22" t="n">
        <f aca="false">G31-$M$2</f>
        <v>2</v>
      </c>
      <c r="I31" s="23" t="str">
        <f aca="false">IF(H31&lt;0,"Terlambat",IF(H31&lt;=$M$3,"Segera","Aman"))</f>
        <v>Segera</v>
      </c>
      <c r="J31" s="24" t="n">
        <f aca="false">ROUND(F31*12/E31,0)</f>
        <v>480000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8" t="s">
        <v>155</v>
      </c>
      <c r="B1" s="28"/>
      <c r="C1" s="28"/>
      <c r="D1" s="28"/>
    </row>
    <row r="2" customFormat="false" ht="15" hidden="false" customHeight="false" outlineLevel="0" collapsed="false">
      <c r="A2" s="29" t="s">
        <v>156</v>
      </c>
      <c r="B2" s="29"/>
      <c r="C2" s="29"/>
      <c r="D2" s="29"/>
    </row>
    <row r="3" customFormat="false" ht="15" hidden="false" customHeight="false" outlineLevel="0" collapsed="false">
      <c r="A3" s="11" t="s">
        <v>19</v>
      </c>
      <c r="B3" s="11" t="s">
        <v>157</v>
      </c>
      <c r="C3" s="11" t="s">
        <v>158</v>
      </c>
      <c r="D3" s="11" t="s">
        <v>159</v>
      </c>
    </row>
    <row r="4" customFormat="false" ht="15" hidden="false" customHeight="false" outlineLevel="0" collapsed="false">
      <c r="A4" s="30" t="s">
        <v>160</v>
      </c>
      <c r="B4" s="31" t="s">
        <v>161</v>
      </c>
      <c r="C4" s="22" t="n">
        <f aca="false">COUNTIF(Data!$I$2:$I$31,"Terlambat")</f>
        <v>5</v>
      </c>
      <c r="D4" s="32" t="s">
        <v>162</v>
      </c>
    </row>
    <row r="5" customFormat="false" ht="15" hidden="false" customHeight="false" outlineLevel="0" collapsed="false">
      <c r="A5" s="30" t="s">
        <v>163</v>
      </c>
      <c r="B5" s="31" t="s">
        <v>164</v>
      </c>
      <c r="C5" s="22" t="n">
        <f aca="false">COUNTIF(Data!$I$2:$I$31,"Segera")</f>
        <v>5</v>
      </c>
      <c r="D5" s="32" t="s">
        <v>165</v>
      </c>
    </row>
    <row r="6" customFormat="false" ht="15" hidden="false" customHeight="false" outlineLevel="0" collapsed="false">
      <c r="A6" s="30" t="s">
        <v>166</v>
      </c>
      <c r="B6" s="31" t="s">
        <v>167</v>
      </c>
      <c r="C6" s="22" t="n">
        <f aca="false">COUNTIF(Data!$I$2:$I$31,"Aman")</f>
        <v>20</v>
      </c>
      <c r="D6" s="32" t="s">
        <v>168</v>
      </c>
    </row>
    <row r="7" customFormat="false" ht="15" hidden="false" customHeight="false" outlineLevel="0" collapsed="false">
      <c r="A7" s="30" t="s">
        <v>169</v>
      </c>
      <c r="B7" s="31" t="s">
        <v>170</v>
      </c>
      <c r="C7" s="24" t="n">
        <f aca="false">SUM(Data!$J$2:$J$31)</f>
        <v>30360000</v>
      </c>
      <c r="D7" s="32" t="s">
        <v>171</v>
      </c>
    </row>
    <row r="8" customFormat="false" ht="15" hidden="false" customHeight="false" outlineLevel="0" collapsed="false">
      <c r="A8" s="30" t="s">
        <v>172</v>
      </c>
      <c r="B8" s="31" t="s">
        <v>173</v>
      </c>
      <c r="C8" s="24" t="n">
        <f aca="false">SUMIF(Data!$I$2:$I$31,"Terlambat",Data!$F$2:$F$31)</f>
        <v>2395000</v>
      </c>
      <c r="D8" s="32" t="s">
        <v>174</v>
      </c>
    </row>
    <row r="9" customFormat="false" ht="15" hidden="false" customHeight="false" outlineLevel="0" collapsed="false">
      <c r="A9" s="30" t="s">
        <v>175</v>
      </c>
      <c r="B9" s="31" t="s">
        <v>176</v>
      </c>
      <c r="C9" s="21" t="n">
        <f aca="false">MIN(Data!$G$2:$G$31)</f>
        <v>46269</v>
      </c>
      <c r="D9" s="32" t="s">
        <v>177</v>
      </c>
    </row>
    <row r="10" customFormat="false" ht="15" hidden="false" customHeight="false" outlineLevel="0" collapsed="false">
      <c r="A10" s="30" t="s">
        <v>178</v>
      </c>
      <c r="B10" s="31" t="s">
        <v>179</v>
      </c>
      <c r="C10" s="23" t="str">
        <f aca="false">INDEX(Data!$B$2:$B$31,MATCH(MIN(Data!$G$2:$G$31),Data!$G$2:$G$31,0))</f>
        <v>Lift Barang</v>
      </c>
      <c r="D10" s="32" t="s">
        <v>180</v>
      </c>
    </row>
    <row r="11" customFormat="false" ht="15" hidden="false" customHeight="false" outlineLevel="0" collapsed="false">
      <c r="A11" s="30" t="s">
        <v>181</v>
      </c>
      <c r="B11" s="31" t="s">
        <v>182</v>
      </c>
      <c r="C11" s="22" t="n">
        <f aca="false">COUNTIF(Data!$E$2:$E$31,3)</f>
        <v>6</v>
      </c>
      <c r="D11" s="32" t="s">
        <v>183</v>
      </c>
    </row>
    <row r="12" customFormat="false" ht="15" hidden="false" customHeight="false" outlineLevel="0" collapsed="false">
      <c r="A12" s="30" t="s">
        <v>184</v>
      </c>
      <c r="B12" s="31" t="s">
        <v>185</v>
      </c>
      <c r="C12" s="33" t="n">
        <f aca="false">AVERAGE(Data!$E$2:$E$31)</f>
        <v>8</v>
      </c>
      <c r="D12" s="32" t="s">
        <v>186</v>
      </c>
    </row>
    <row r="13" customFormat="false" ht="15" hidden="false" customHeight="false" outlineLevel="0" collapsed="false">
      <c r="A13" s="30" t="s">
        <v>187</v>
      </c>
      <c r="B13" s="31" t="s">
        <v>188</v>
      </c>
      <c r="C13" s="22" t="n">
        <f aca="false">COUNTIFS(Data!$C$2:$C$31,"Ruang Server",Data!$I$2:$I$31,"Aman")</f>
        <v>2</v>
      </c>
      <c r="D13" s="32" t="s">
        <v>189</v>
      </c>
    </row>
    <row r="14" customFormat="false" ht="15" hidden="false" customHeight="false" outlineLevel="0" collapsed="false">
      <c r="A14" s="30" t="s">
        <v>190</v>
      </c>
      <c r="B14" s="31" t="s">
        <v>191</v>
      </c>
      <c r="C14" s="24" t="n">
        <f aca="false">SUMIF(Data!$C$2:$C$31,"Ruang Server",Data!$J$2:$J$31)</f>
        <v>2950000</v>
      </c>
      <c r="D14" s="32" t="s">
        <v>192</v>
      </c>
    </row>
    <row r="15" customFormat="false" ht="15" hidden="false" customHeight="false" outlineLevel="0" collapsed="false">
      <c r="A15" s="30" t="s">
        <v>193</v>
      </c>
      <c r="B15" s="31" t="s">
        <v>194</v>
      </c>
      <c r="C15" s="24" t="n">
        <f aca="false">SUMIF(Data!$I$2:$I$31,"Segera",Data!$F$2:$F$31)</f>
        <v>2510000</v>
      </c>
      <c r="D15" s="32" t="s">
        <v>195</v>
      </c>
    </row>
    <row r="16" customFormat="false" ht="15" hidden="false" customHeight="false" outlineLevel="0" collapsed="false">
      <c r="A16" s="30" t="s">
        <v>196</v>
      </c>
      <c r="B16" s="31" t="s">
        <v>197</v>
      </c>
      <c r="C16" s="34" t="n">
        <f aca="false">COUNTIF(Data!$I$2:$I$31,"Aman")/COUNTA(Data!$A$2:$A$31)</f>
        <v>0.666666666666667</v>
      </c>
      <c r="D16" s="32" t="s">
        <v>198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2026-10-14T23:33:48Z</dcterms:created>
  <dc:creator>PushExcel</dc:creator>
  <dc:description/>
  <dc:language>en-US</dc:language>
  <cp:lastModifiedBy/>
  <dcterms:modified xsi:type="dcterms:W3CDTF">2026-10-14T23:33:48Z</dcterms:modified>
  <cp:revision>0</cp:revision>
  <dc:subject/>
  <dc:title>Jadwal Perawatan Berkala Peralatan Kantor - Kunci</dc:title>
</cp:coreProperties>
</file>

<file path=docProps/custom.xml><?xml version="1.0" encoding="utf-8"?>
<Properties xmlns="http://schemas.openxmlformats.org/officeDocument/2006/custom-properties" xmlns:vt="http://schemas.openxmlformats.org/officeDocument/2006/docPropsVTypes"/>
</file>