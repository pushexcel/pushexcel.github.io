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<sst xmlns="http://schemas.openxmlformats.org/spreadsheetml/2006/main" count="263" uniqueCount="225">
  <si>
    <t xml:space="preserve">Kunci Jawaban: Pengiriman Paket dan Biaya Ekspedisi</t>
  </si>
  <si>
    <t xml:space="preserve">Latihan 29 dari 56  |  Tingkat: Menengah  |  Perkiraan waktu: 50 menit  |  pushexcel.github.io/Pushexcel</t>
  </si>
  <si>
    <t xml:space="preserve">Skenario</t>
  </si>
  <si>
    <t xml:space="preserve">Kamu admin gudang Toko Nusantara Craft yang mengirim paket lewat ekspedisi PX Kurir. Ada 36 resi pada September sampai Oktober 2026. Tarif per kilogram dan estimasi lama kirim tiap kota tujuan ada di sheet Acuan. Berat ditagih per kilogram penuh (dibulatkan ke atas). Barang dengan nilai di atas Rp 1.000.000 wajib diasuransikan sebesar 0,5 persen dari nilai barang. Paket dianggap Tepat Waktu bila tanggal diterima sama dengan atau sebelum estimasi tiba.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</si>
  <si>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</si>
  <si>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</si>
  <si>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</si>
  <si>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</si>
  <si>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</si>
  <si>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</si>
  <si>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</si>
  <si>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</si>
  <si>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</si>
  <si>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</si>
  <si>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</si>
  <si>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</si>
  <si>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</si>
  <si>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</si>
  <si>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</si>
  <si>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</si>
  <si>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</si>
  <si>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</si>
  <si>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</si>
  <si>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</si>
  <si>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berat tagih: berat paket dibulatkan ke atas ke kilogram penuh.</t>
  </si>
  <si>
    <t xml:space="preserve">Sheet Data, kolom H (Berat Tagih (kg)), baris 2 sampai 37</t>
  </si>
  <si>
    <t xml:space="preserve">=ROUNDUP(E2;0)</t>
  </si>
  <si>
    <t xml:space="preserve">2</t>
  </si>
  <si>
    <t xml:space="preserve">Ambil tarif per kilogram tiap resi dari sheet Acuan berdasarkan kota tujuan.</t>
  </si>
  <si>
    <t xml:space="preserve">Sheet Data, kolom I (Tarif per Kg), baris 2 sampai 37</t>
  </si>
  <si>
    <t xml:space="preserve">=VLOOKUP(D2;Acuan!$A$2:$B$9;2;FALSE)</t>
  </si>
  <si>
    <t xml:space="preserve">3</t>
  </si>
  <si>
    <t xml:space="preserve">Hitung ongkos kirim: berat tagih dikali tarif per kilogram.</t>
  </si>
  <si>
    <t xml:space="preserve">Sheet Data, kolom J (Ongkir), baris 2 sampai 37</t>
  </si>
  <si>
    <t xml:space="preserve">=H2*I2</t>
  </si>
  <si>
    <t xml:space="preserve">4</t>
  </si>
  <si>
    <t xml:space="preserve">Hitung asuransi: bila nilai barang di atas batas, 0,5 persen dari nilai barang dibulatkan ke rupiah. Selain itu 0.</t>
  </si>
  <si>
    <t xml:space="preserve">Sheet Data, kolom K (Asuransi), baris 2 sampai 37</t>
  </si>
  <si>
    <t xml:space="preserve">=IF(F2&gt;$Q$2;ROUND(F2*$Q$3;0);0)</t>
  </si>
  <si>
    <t xml:space="preserve">5</t>
  </si>
  <si>
    <t xml:space="preserve">Hitung total biaya kirim: ongkir ditambah asuransi.</t>
  </si>
  <si>
    <t xml:space="preserve">Sheet Data, kolom L (Total Biaya), baris 2 sampai 37</t>
  </si>
  <si>
    <t xml:space="preserve">=J2+K2</t>
  </si>
  <si>
    <t xml:space="preserve">6</t>
  </si>
  <si>
    <t xml:space="preserve">Hitung estimasi tanggal tiba: tanggal kirim ditambah estimasi lama kirim kota tujuan (hari).</t>
  </si>
  <si>
    <t xml:space="preserve">Sheet Data, kolom M (Estimasi Tiba), baris 2 sampai 37</t>
  </si>
  <si>
    <t xml:space="preserve">=B2+VLOOKUP(D2;Acuan!$A$2:$C$9;3;FALSE)</t>
  </si>
  <si>
    <t xml:space="preserve">7</t>
  </si>
  <si>
    <t xml:space="preserve">Beri status Tepat Waktu bila Tanggal Diterima sama dengan atau sebelum Estimasi Tiba. Selain itu Terlambat.</t>
  </si>
  <si>
    <t xml:space="preserve">Sheet Data, kolom N (Status Kirim), baris 2 sampai 37</t>
  </si>
  <si>
    <t xml:space="preserve">=IF(G2&lt;=M2;"Tepat Waktu";"Terlambat")</t>
  </si>
  <si>
    <t xml:space="preserve">8</t>
  </si>
  <si>
    <t xml:space="preserve">Pada sheet Acuan, hitung jumlah resi untuk tiap kota tujuan.</t>
  </si>
  <si>
    <t xml:space="preserve">Sheet Acuan, kolom D (Jumlah Kiriman), baris 2 sampai 9</t>
  </si>
  <si>
    <t xml:space="preserve">=COUNTIF(Data!$D$2:$D$37;A2)</t>
  </si>
  <si>
    <t xml:space="preserve">9</t>
  </si>
  <si>
    <t xml:space="preserve">Pada sheet Acuan, hitung total ongkir untuk tiap kota tujuan.</t>
  </si>
  <si>
    <t xml:space="preserve">Sheet Acuan, kolom E (Total Ongkir), baris 2 sampai 9</t>
  </si>
  <si>
    <t xml:space="preserve">=SUMIF(Data!$D$2:$D$37;A2;Data!$J$2:$J$37)</t>
  </si>
  <si>
    <t xml:space="preserve">10</t>
  </si>
  <si>
    <t xml:space="preserve">Berapa total ongkir, total asuransi, dan total biaya kirim seluruh resi?</t>
  </si>
  <si>
    <t xml:space="preserve">Sheet Ringkasan, sel C4 sampai C6</t>
  </si>
  <si>
    <t xml:space="preserve">=SUM(Data!$J$2:$J$37)
=SUM(Data!$K$2:$K$37)
=SUM(Data!$L$2:$L$37)</t>
  </si>
  <si>
    <t xml:space="preserve">11</t>
  </si>
  <si>
    <t xml:space="preserve">Berapa paket yang Tepat Waktu, berapa yang Terlambat, dan berapa persen ketepatan waktunya?</t>
  </si>
  <si>
    <t xml:space="preserve">Sheet Ringkasan, sel C7 sampai C9</t>
  </si>
  <si>
    <t xml:space="preserve">=COUNTIF(Data!$N$2:$N$37;"Tepat Waktu")
=COUNTIF(Data!$N$2:$N$37;"Terlambat")
=C7/COUNTA(Data!$A$2:$A$37)</t>
  </si>
  <si>
    <t xml:space="preserve">12</t>
  </si>
  <si>
    <t xml:space="preserve">Berapa jumlah paket ke Jakarta yang terlambat, dan berapa total biaya kirim paket ke Jakarta?</t>
  </si>
  <si>
    <t xml:space="preserve">Sheet Ringkasan, sel C10 sampai C11</t>
  </si>
  <si>
    <t xml:space="preserve">=COUNTIFS(Data!$D$2:$D$37;"Jakarta";Data!$N$2:$N$37;"Terlambat")
=SUMIF(Data!$D$2:$D$37;"Jakarta";Data!$L$2:$L$37)</t>
  </si>
  <si>
    <t xml:space="preserve">13</t>
  </si>
  <si>
    <t xml:space="preserve">Kota mana yang paling sering dituju, dan siapa penerima paket terberat?</t>
  </si>
  <si>
    <t xml:space="preserve">Sheet Ringkasan, sel C12 sampai C13</t>
  </si>
  <si>
    <t xml:space="preserve">=INDEX(Acuan!$A$2:$A$9;MATCH(MAX(Acuan!$D$2:$D$9);Acuan!$D$2:$D$9;0))
=INDEX(Data!$C$2:$C$37;MATCH(MAX(Data!$E$2:$E$37);Data!$E$2:$E$37;0))</t>
  </si>
  <si>
    <t xml:space="preserve">14</t>
  </si>
  <si>
    <t xml:space="preserve">Berapa rata-rata berat paket, dan berapa jumlah paket yang kena asuransi?</t>
  </si>
  <si>
    <t xml:space="preserve">Sheet Ringkasan, sel C14 sampai C15</t>
  </si>
  <si>
    <t xml:space="preserve">=AVERAGE(Data!$E$2:$E$37)
=COUNTIF(Data!$K$2:$K$37;"&gt;0")</t>
  </si>
  <si>
    <t xml:space="preserve">No Resi</t>
  </si>
  <si>
    <t xml:space="preserve">Tanggal Kirim</t>
  </si>
  <si>
    <t xml:space="preserve">Penerima</t>
  </si>
  <si>
    <t xml:space="preserve">Kota Tujuan</t>
  </si>
  <si>
    <t xml:space="preserve">Berat (kg)</t>
  </si>
  <si>
    <t xml:space="preserve">Nilai Barang</t>
  </si>
  <si>
    <t xml:space="preserve">Tanggal Diterima</t>
  </si>
  <si>
    <t xml:space="preserve">Berat Tagih (kg)</t>
  </si>
  <si>
    <t xml:space="preserve">Tarif per Kg</t>
  </si>
  <si>
    <t xml:space="preserve">Ongkir</t>
  </si>
  <si>
    <t xml:space="preserve">Asuransi</t>
  </si>
  <si>
    <t xml:space="preserve">Total Biaya</t>
  </si>
  <si>
    <t xml:space="preserve">Estimasi Tiba</t>
  </si>
  <si>
    <t xml:space="preserve">Status Kirim</t>
  </si>
  <si>
    <t xml:space="preserve">Parameter</t>
  </si>
  <si>
    <t xml:space="preserve">Nilai</t>
  </si>
  <si>
    <t xml:space="preserve">Keterangan</t>
  </si>
  <si>
    <t xml:space="preserve">PX-26090001</t>
  </si>
  <si>
    <t xml:space="preserve">Dimas Amalia</t>
  </si>
  <si>
    <t xml:space="preserve">Jakarta</t>
  </si>
  <si>
    <t xml:space="preserve">Batas nilai asuransi</t>
  </si>
  <si>
    <t xml:space="preserve">Nilai barang di atas angka ini wajib asuransi</t>
  </si>
  <si>
    <t xml:space="preserve">PX-26090002</t>
  </si>
  <si>
    <t xml:space="preserve">Putri Purnomo</t>
  </si>
  <si>
    <t xml:space="preserve">Bandung</t>
  </si>
  <si>
    <t xml:space="preserve">Tarif asuransi</t>
  </si>
  <si>
    <t xml:space="preserve">Persen dari nilai barang</t>
  </si>
  <si>
    <t xml:space="preserve">PX-26090003</t>
  </si>
  <si>
    <t xml:space="preserve">Edi Yulianto</t>
  </si>
  <si>
    <t xml:space="preserve">Semarang</t>
  </si>
  <si>
    <t xml:space="preserve">PX-26090004</t>
  </si>
  <si>
    <t xml:space="preserve">Prasetyo Utomo</t>
  </si>
  <si>
    <t xml:space="preserve">PX-26090005</t>
  </si>
  <si>
    <t xml:space="preserve">Rahmat Lestari</t>
  </si>
  <si>
    <t xml:space="preserve">PX-26090006</t>
  </si>
  <si>
    <t xml:space="preserve">Irfan Ramadhan</t>
  </si>
  <si>
    <t xml:space="preserve">PX-26090007</t>
  </si>
  <si>
    <t xml:space="preserve">Rina Kurniawan</t>
  </si>
  <si>
    <t xml:space="preserve">PX-26090008</t>
  </si>
  <si>
    <t xml:space="preserve">Yuni Wijaya</t>
  </si>
  <si>
    <t xml:space="preserve">Yogyakarta</t>
  </si>
  <si>
    <t xml:space="preserve">PX-26090009</t>
  </si>
  <si>
    <t xml:space="preserve">Indah Nugroho</t>
  </si>
  <si>
    <t xml:space="preserve">PX-26090010</t>
  </si>
  <si>
    <t xml:space="preserve">Nurul Syahputra</t>
  </si>
  <si>
    <t xml:space="preserve">PX-26090011</t>
  </si>
  <si>
    <t xml:space="preserve">Rahmat Fauzi</t>
  </si>
  <si>
    <t xml:space="preserve">PX-26090012</t>
  </si>
  <si>
    <t xml:space="preserve">Zainal Wijaya</t>
  </si>
  <si>
    <t xml:space="preserve">PX-26090013</t>
  </si>
  <si>
    <t xml:space="preserve">Gita Utomo</t>
  </si>
  <si>
    <t xml:space="preserve">PX-26090014</t>
  </si>
  <si>
    <t xml:space="preserve">Jihan Fauzi</t>
  </si>
  <si>
    <t xml:space="preserve">PX-26090015</t>
  </si>
  <si>
    <t xml:space="preserve">Farida Rahayu</t>
  </si>
  <si>
    <t xml:space="preserve">PX-26090016</t>
  </si>
  <si>
    <t xml:space="preserve">Umar Susanto</t>
  </si>
  <si>
    <t xml:space="preserve">PX-26090017</t>
  </si>
  <si>
    <t xml:space="preserve">Rina Maharani</t>
  </si>
  <si>
    <t xml:space="preserve">Surabaya</t>
  </si>
  <si>
    <t xml:space="preserve">PX-26090018</t>
  </si>
  <si>
    <t xml:space="preserve">Wawan Fauzi</t>
  </si>
  <si>
    <t xml:space="preserve">PX-26090019</t>
  </si>
  <si>
    <t xml:space="preserve">Umar Handayani</t>
  </si>
  <si>
    <t xml:space="preserve">Medan</t>
  </si>
  <si>
    <t xml:space="preserve">PX-26090020</t>
  </si>
  <si>
    <t xml:space="preserve">Utami Firmansyah</t>
  </si>
  <si>
    <t xml:space="preserve">PX-26090021</t>
  </si>
  <si>
    <t xml:space="preserve">Irfan Kurniawan</t>
  </si>
  <si>
    <t xml:space="preserve">PX-26090022</t>
  </si>
  <si>
    <t xml:space="preserve">Yuni Pratama</t>
  </si>
  <si>
    <t xml:space="preserve">Denpasar</t>
  </si>
  <si>
    <t xml:space="preserve">PX-26090023</t>
  </si>
  <si>
    <t xml:space="preserve">Fajar Nugroho</t>
  </si>
  <si>
    <t xml:space="preserve">PX-26090024</t>
  </si>
  <si>
    <t xml:space="preserve">Fitri Wibowo</t>
  </si>
  <si>
    <t xml:space="preserve">PX-26090025</t>
  </si>
  <si>
    <t xml:space="preserve">Rizki Saputra</t>
  </si>
  <si>
    <t xml:space="preserve">PX-26090026</t>
  </si>
  <si>
    <t xml:space="preserve">Zainal Suryani</t>
  </si>
  <si>
    <t xml:space="preserve">PX-26090027</t>
  </si>
  <si>
    <t xml:space="preserve">Farida Purnomo</t>
  </si>
  <si>
    <t xml:space="preserve">PX-26090028</t>
  </si>
  <si>
    <t xml:space="preserve">Zainal Syahputra</t>
  </si>
  <si>
    <t xml:space="preserve">PX-26090029</t>
  </si>
  <si>
    <t xml:space="preserve">Oki Lestari</t>
  </si>
  <si>
    <t xml:space="preserve">PX-26090030</t>
  </si>
  <si>
    <t xml:space="preserve">Yuni Handayani</t>
  </si>
  <si>
    <t xml:space="preserve">PX-26090031</t>
  </si>
  <si>
    <t xml:space="preserve">Wahyu Putra</t>
  </si>
  <si>
    <t xml:space="preserve">PX-26090032</t>
  </si>
  <si>
    <t xml:space="preserve">Eko Santoso</t>
  </si>
  <si>
    <t xml:space="preserve">PX-26090033</t>
  </si>
  <si>
    <t xml:space="preserve">Putri Santoso</t>
  </si>
  <si>
    <t xml:space="preserve">Makassar</t>
  </si>
  <si>
    <t xml:space="preserve">PX-26090034</t>
  </si>
  <si>
    <t xml:space="preserve">Maman Handayani</t>
  </si>
  <si>
    <t xml:space="preserve">PX-26090035</t>
  </si>
  <si>
    <t xml:space="preserve">Zainal Lestari</t>
  </si>
  <si>
    <t xml:space="preserve">PX-26090036</t>
  </si>
  <si>
    <t xml:space="preserve">Hesti Sari</t>
  </si>
  <si>
    <t xml:space="preserve">Kota</t>
  </si>
  <si>
    <t xml:space="preserve">Estimasi (hari)</t>
  </si>
  <si>
    <t xml:space="preserve">Jumlah Kiriman</t>
  </si>
  <si>
    <t xml:space="preserve">Total Ongkir</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</si>
  <si>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</si>
  <si>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</si>
  <si>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</si>
  <si>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</si>
  <si>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</si>
  <si>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</si>
  <si>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Total ongkir</t>
  </si>
  <si>
    <t xml:space="preserve">Rupiah, mis. Rp 1.000.000</t>
  </si>
  <si>
    <t xml:space="preserve">10b</t>
  </si>
  <si>
    <t xml:space="preserve">Total asuransi</t>
  </si>
  <si>
    <t xml:space="preserve">Rupiah, mis. Rp 100.000</t>
  </si>
  <si>
    <t xml:space="preserve">10c</t>
  </si>
  <si>
    <t xml:space="preserve">Total biaya kirim</t>
  </si>
  <si>
    <t xml:space="preserve">Rupiah, mis. Rp 1.200.000</t>
  </si>
  <si>
    <t xml:space="preserve">11a</t>
  </si>
  <si>
    <t xml:space="preserve">Jumlah paket tepat waktu</t>
  </si>
  <si>
    <t xml:space="preserve">Angka bulat, mis. 20</t>
  </si>
  <si>
    <t xml:space="preserve">11b</t>
  </si>
  <si>
    <t xml:space="preserve">Jumlah paket terlambat</t>
  </si>
  <si>
    <t xml:space="preserve">Angka bulat, mis. 6</t>
  </si>
  <si>
    <t xml:space="preserve">11c</t>
  </si>
  <si>
    <t xml:space="preserve">Persentase ketepatan waktu</t>
  </si>
  <si>
    <t xml:space="preserve">Persen, mis. 80,5%</t>
  </si>
  <si>
    <t xml:space="preserve">12a</t>
  </si>
  <si>
    <t xml:space="preserve">Paket ke Jakarta yang terlambat</t>
  </si>
  <si>
    <t xml:space="preserve">Angka bulat, mis. 4</t>
  </si>
  <si>
    <t xml:space="preserve">12b</t>
  </si>
  <si>
    <t xml:space="preserve">Total biaya kirim ke Jakarta</t>
  </si>
  <si>
    <t xml:space="preserve">Rupiah, mis. Rp 300.000</t>
  </si>
  <si>
    <t xml:space="preserve">13a</t>
  </si>
  <si>
    <t xml:space="preserve">Kota paling sering dituju</t>
  </si>
  <si>
    <t xml:space="preserve">Teks: nama kota</t>
  </si>
  <si>
    <t xml:space="preserve">13b</t>
  </si>
  <si>
    <t xml:space="preserve">Penerima paket terberat</t>
  </si>
  <si>
    <t xml:space="preserve">Teks: nama penerima</t>
  </si>
  <si>
    <t xml:space="preserve">14a</t>
  </si>
  <si>
    <t xml:space="preserve">Rata-rata berat paket (kg)</t>
  </si>
  <si>
    <t xml:space="preserve">Angka desimal, mis. 2,50</t>
  </si>
  <si>
    <t xml:space="preserve">14b</t>
  </si>
  <si>
    <t xml:space="preserve">Jumlah paket yang kena asuransi</t>
  </si>
  <si>
    <t xml:space="preserve">Angka bulat, mis. 12</t>
  </si>
</sst>
</file>

<file path=xl/styles.xml><?xml version="1.0" encoding="utf-8"?>
<styleSheet xmlns="http://schemas.openxmlformats.org/spreadsheetml/2006/main">
  <numFmts count="7">
    <numFmt numFmtId="164" formatCode="General"/>
    <numFmt numFmtId="165" formatCode="dd/mm/yyyy"/>
    <numFmt numFmtId="166" formatCode="0.0"/>
    <numFmt numFmtId="167" formatCode="&quot;Rp &quot;#,##0"/>
    <numFmt numFmtId="168" formatCode="0"/>
    <numFmt numFmtId="169" formatCode="0.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9" fontId="10"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2"/>
    <col collapsed="false" customWidth="true" hidden="false" outlineLevel="0" max="4" min="4" style="0" width="14"/>
    <col collapsed="false" customWidth="true" hidden="false" outlineLevel="0" max="5" min="5" style="0" width="10"/>
    <col collapsed="false" customWidth="true" hidden="false" outlineLevel="0" max="7" min="6" style="0" width="14"/>
    <col collapsed="false" customWidth="true" hidden="false" outlineLevel="0" max="9" min="8" style="0" width="12"/>
    <col collapsed="false" customWidth="true" hidden="false" outlineLevel="0" max="10" min="10" style="0" width="13"/>
    <col collapsed="false" customWidth="true" hidden="false" outlineLevel="0" max="11" min="11" style="0" width="12"/>
    <col collapsed="false" customWidth="true" hidden="false" outlineLevel="0" max="14" min="12" style="0" width="13"/>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1" t="s">
        <v>79</v>
      </c>
      <c r="B1" s="11" t="s">
        <v>80</v>
      </c>
      <c r="C1" s="11" t="s">
        <v>81</v>
      </c>
      <c r="D1" s="11" t="s">
        <v>82</v>
      </c>
      <c r="E1" s="11" t="s">
        <v>83</v>
      </c>
      <c r="F1" s="11" t="s">
        <v>84</v>
      </c>
      <c r="G1" s="11" t="s">
        <v>85</v>
      </c>
      <c r="H1" s="15" t="s">
        <v>86</v>
      </c>
      <c r="I1" s="15" t="s">
        <v>87</v>
      </c>
      <c r="J1" s="15" t="s">
        <v>88</v>
      </c>
      <c r="K1" s="15" t="s">
        <v>89</v>
      </c>
      <c r="L1" s="15" t="s">
        <v>90</v>
      </c>
      <c r="M1" s="15" t="s">
        <v>91</v>
      </c>
      <c r="N1" s="15" t="s">
        <v>92</v>
      </c>
      <c r="P1" s="16" t="s">
        <v>93</v>
      </c>
      <c r="Q1" s="16" t="s">
        <v>94</v>
      </c>
      <c r="R1" s="16" t="s">
        <v>95</v>
      </c>
    </row>
    <row r="2" customFormat="false" ht="15" hidden="false" customHeight="false" outlineLevel="0" collapsed="false">
      <c r="A2" s="17" t="s">
        <v>96</v>
      </c>
      <c r="B2" s="18" t="n">
        <v>46267</v>
      </c>
      <c r="C2" s="17" t="s">
        <v>97</v>
      </c>
      <c r="D2" s="17" t="s">
        <v>98</v>
      </c>
      <c r="E2" s="19" t="n">
        <v>6.5</v>
      </c>
      <c r="F2" s="20" t="n">
        <v>3200000</v>
      </c>
      <c r="G2" s="18" t="n">
        <v>46269</v>
      </c>
      <c r="H2" s="21" t="n">
        <f aca="false">ROUNDUP(E2,0)</f>
        <v>7</v>
      </c>
      <c r="I2" s="22" t="n">
        <f aca="false">VLOOKUP(D2,Acuan!$A$2:$B$9,2,FALSE())</f>
        <v>9000</v>
      </c>
      <c r="J2" s="22" t="n">
        <f aca="false">H2*I2</f>
        <v>63000</v>
      </c>
      <c r="K2" s="22" t="n">
        <f aca="false">IF(F2&gt;$Q$2,ROUND(F2*$Q$3,0),0)</f>
        <v>16000</v>
      </c>
      <c r="L2" s="22" t="n">
        <f aca="false">J2+K2</f>
        <v>79000</v>
      </c>
      <c r="M2" s="23" t="n">
        <f aca="false">B2+VLOOKUP(D2,Acuan!$A$2:$C$9,3,FALSE())</f>
        <v>46269</v>
      </c>
      <c r="N2" s="24" t="str">
        <f aca="false">IF(G2&lt;=M2,"Tepat Waktu","Terlambat")</f>
        <v>Tepat Waktu</v>
      </c>
      <c r="P2" s="25" t="s">
        <v>99</v>
      </c>
      <c r="Q2" s="26" t="n">
        <v>1000000</v>
      </c>
      <c r="R2" s="25" t="s">
        <v>100</v>
      </c>
    </row>
    <row r="3" customFormat="false" ht="15" hidden="false" customHeight="false" outlineLevel="0" collapsed="false">
      <c r="A3" s="17" t="s">
        <v>101</v>
      </c>
      <c r="B3" s="18" t="n">
        <v>46268</v>
      </c>
      <c r="C3" s="17" t="s">
        <v>102</v>
      </c>
      <c r="D3" s="17" t="s">
        <v>103</v>
      </c>
      <c r="E3" s="19" t="n">
        <v>2.4</v>
      </c>
      <c r="F3" s="20" t="n">
        <v>150000</v>
      </c>
      <c r="G3" s="18" t="n">
        <v>46269</v>
      </c>
      <c r="H3" s="21" t="n">
        <f aca="false">ROUNDUP(E3,0)</f>
        <v>3</v>
      </c>
      <c r="I3" s="22" t="n">
        <f aca="false">VLOOKUP(D3,Acuan!$A$2:$B$9,2,FALSE())</f>
        <v>10000</v>
      </c>
      <c r="J3" s="22" t="n">
        <f aca="false">H3*I3</f>
        <v>30000</v>
      </c>
      <c r="K3" s="22" t="n">
        <f aca="false">IF(F3&gt;$Q$2,ROUND(F3*$Q$3,0),0)</f>
        <v>0</v>
      </c>
      <c r="L3" s="22" t="n">
        <f aca="false">J3+K3</f>
        <v>30000</v>
      </c>
      <c r="M3" s="23" t="n">
        <f aca="false">B3+VLOOKUP(D3,Acuan!$A$2:$C$9,3,FALSE())</f>
        <v>46270</v>
      </c>
      <c r="N3" s="24" t="str">
        <f aca="false">IF(G3&lt;=M3,"Tepat Waktu","Terlambat")</f>
        <v>Tepat Waktu</v>
      </c>
      <c r="P3" s="25" t="s">
        <v>104</v>
      </c>
      <c r="Q3" s="27" t="n">
        <v>0.005</v>
      </c>
      <c r="R3" s="25" t="s">
        <v>105</v>
      </c>
    </row>
    <row r="4" customFormat="false" ht="15" hidden="false" customHeight="false" outlineLevel="0" collapsed="false">
      <c r="A4" s="17" t="s">
        <v>106</v>
      </c>
      <c r="B4" s="18" t="n">
        <v>46269</v>
      </c>
      <c r="C4" s="17" t="s">
        <v>107</v>
      </c>
      <c r="D4" s="17" t="s">
        <v>108</v>
      </c>
      <c r="E4" s="19" t="n">
        <v>3.6</v>
      </c>
      <c r="F4" s="20" t="n">
        <v>250000</v>
      </c>
      <c r="G4" s="18" t="n">
        <v>46272</v>
      </c>
      <c r="H4" s="21" t="n">
        <f aca="false">ROUNDUP(E4,0)</f>
        <v>4</v>
      </c>
      <c r="I4" s="22" t="n">
        <f aca="false">VLOOKUP(D4,Acuan!$A$2:$B$9,2,FALSE())</f>
        <v>11000</v>
      </c>
      <c r="J4" s="22" t="n">
        <f aca="false">H4*I4</f>
        <v>44000</v>
      </c>
      <c r="K4" s="22" t="n">
        <f aca="false">IF(F4&gt;$Q$2,ROUND(F4*$Q$3,0),0)</f>
        <v>0</v>
      </c>
      <c r="L4" s="22" t="n">
        <f aca="false">J4+K4</f>
        <v>44000</v>
      </c>
      <c r="M4" s="23" t="n">
        <f aca="false">B4+VLOOKUP(D4,Acuan!$A$2:$C$9,3,FALSE())</f>
        <v>46272</v>
      </c>
      <c r="N4" s="24" t="str">
        <f aca="false">IF(G4&lt;=M4,"Tepat Waktu","Terlambat")</f>
        <v>Tepat Waktu</v>
      </c>
    </row>
    <row r="5" customFormat="false" ht="15" hidden="false" customHeight="false" outlineLevel="0" collapsed="false">
      <c r="A5" s="17" t="s">
        <v>109</v>
      </c>
      <c r="B5" s="18" t="n">
        <v>46270</v>
      </c>
      <c r="C5" s="17" t="s">
        <v>110</v>
      </c>
      <c r="D5" s="17" t="s">
        <v>108</v>
      </c>
      <c r="E5" s="19" t="n">
        <v>0.9</v>
      </c>
      <c r="F5" s="20" t="n">
        <v>250000</v>
      </c>
      <c r="G5" s="18" t="n">
        <v>46276</v>
      </c>
      <c r="H5" s="21" t="n">
        <f aca="false">ROUNDUP(E5,0)</f>
        <v>1</v>
      </c>
      <c r="I5" s="22" t="n">
        <f aca="false">VLOOKUP(D5,Acuan!$A$2:$B$9,2,FALSE())</f>
        <v>11000</v>
      </c>
      <c r="J5" s="22" t="n">
        <f aca="false">H5*I5</f>
        <v>11000</v>
      </c>
      <c r="K5" s="22" t="n">
        <f aca="false">IF(F5&gt;$Q$2,ROUND(F5*$Q$3,0),0)</f>
        <v>0</v>
      </c>
      <c r="L5" s="22" t="n">
        <f aca="false">J5+K5</f>
        <v>11000</v>
      </c>
      <c r="M5" s="23" t="n">
        <f aca="false">B5+VLOOKUP(D5,Acuan!$A$2:$C$9,3,FALSE())</f>
        <v>46273</v>
      </c>
      <c r="N5" s="24" t="str">
        <f aca="false">IF(G5&lt;=M5,"Tepat Waktu","Terlambat")</f>
        <v>Terlambat</v>
      </c>
    </row>
    <row r="6" customFormat="false" ht="15" hidden="false" customHeight="false" outlineLevel="0" collapsed="false">
      <c r="A6" s="17" t="s">
        <v>111</v>
      </c>
      <c r="B6" s="18" t="n">
        <v>46270</v>
      </c>
      <c r="C6" s="17" t="s">
        <v>112</v>
      </c>
      <c r="D6" s="17" t="s">
        <v>103</v>
      </c>
      <c r="E6" s="19" t="n">
        <v>3</v>
      </c>
      <c r="F6" s="20" t="n">
        <v>250000</v>
      </c>
      <c r="G6" s="18" t="n">
        <v>46274</v>
      </c>
      <c r="H6" s="21" t="n">
        <f aca="false">ROUNDUP(E6,0)</f>
        <v>3</v>
      </c>
      <c r="I6" s="22" t="n">
        <f aca="false">VLOOKUP(D6,Acuan!$A$2:$B$9,2,FALSE())</f>
        <v>10000</v>
      </c>
      <c r="J6" s="22" t="n">
        <f aca="false">H6*I6</f>
        <v>30000</v>
      </c>
      <c r="K6" s="22" t="n">
        <f aca="false">IF(F6&gt;$Q$2,ROUND(F6*$Q$3,0),0)</f>
        <v>0</v>
      </c>
      <c r="L6" s="22" t="n">
        <f aca="false">J6+K6</f>
        <v>30000</v>
      </c>
      <c r="M6" s="23" t="n">
        <f aca="false">B6+VLOOKUP(D6,Acuan!$A$2:$C$9,3,FALSE())</f>
        <v>46272</v>
      </c>
      <c r="N6" s="24" t="str">
        <f aca="false">IF(G6&lt;=M6,"Tepat Waktu","Terlambat")</f>
        <v>Terlambat</v>
      </c>
    </row>
    <row r="7" customFormat="false" ht="15" hidden="false" customHeight="false" outlineLevel="0" collapsed="false">
      <c r="A7" s="17" t="s">
        <v>113</v>
      </c>
      <c r="B7" s="18" t="n">
        <v>46272</v>
      </c>
      <c r="C7" s="17" t="s">
        <v>114</v>
      </c>
      <c r="D7" s="17" t="s">
        <v>98</v>
      </c>
      <c r="E7" s="19" t="n">
        <v>1.3</v>
      </c>
      <c r="F7" s="20" t="n">
        <v>600000</v>
      </c>
      <c r="G7" s="18" t="n">
        <v>46274</v>
      </c>
      <c r="H7" s="21" t="n">
        <f aca="false">ROUNDUP(E7,0)</f>
        <v>2</v>
      </c>
      <c r="I7" s="22" t="n">
        <f aca="false">VLOOKUP(D7,Acuan!$A$2:$B$9,2,FALSE())</f>
        <v>9000</v>
      </c>
      <c r="J7" s="22" t="n">
        <f aca="false">H7*I7</f>
        <v>18000</v>
      </c>
      <c r="K7" s="22" t="n">
        <f aca="false">IF(F7&gt;$Q$2,ROUND(F7*$Q$3,0),0)</f>
        <v>0</v>
      </c>
      <c r="L7" s="22" t="n">
        <f aca="false">J7+K7</f>
        <v>18000</v>
      </c>
      <c r="M7" s="23" t="n">
        <f aca="false">B7+VLOOKUP(D7,Acuan!$A$2:$C$9,3,FALSE())</f>
        <v>46274</v>
      </c>
      <c r="N7" s="24" t="str">
        <f aca="false">IF(G7&lt;=M7,"Tepat Waktu","Terlambat")</f>
        <v>Tepat Waktu</v>
      </c>
    </row>
    <row r="8" customFormat="false" ht="15" hidden="false" customHeight="false" outlineLevel="0" collapsed="false">
      <c r="A8" s="17" t="s">
        <v>115</v>
      </c>
      <c r="B8" s="18" t="n">
        <v>46274</v>
      </c>
      <c r="C8" s="17" t="s">
        <v>116</v>
      </c>
      <c r="D8" s="17" t="s">
        <v>103</v>
      </c>
      <c r="E8" s="19" t="n">
        <v>2.3</v>
      </c>
      <c r="F8" s="20" t="n">
        <v>150000</v>
      </c>
      <c r="G8" s="18" t="n">
        <v>46276</v>
      </c>
      <c r="H8" s="21" t="n">
        <f aca="false">ROUNDUP(E8,0)</f>
        <v>3</v>
      </c>
      <c r="I8" s="22" t="n">
        <f aca="false">VLOOKUP(D8,Acuan!$A$2:$B$9,2,FALSE())</f>
        <v>10000</v>
      </c>
      <c r="J8" s="22" t="n">
        <f aca="false">H8*I8</f>
        <v>30000</v>
      </c>
      <c r="K8" s="22" t="n">
        <f aca="false">IF(F8&gt;$Q$2,ROUND(F8*$Q$3,0),0)</f>
        <v>0</v>
      </c>
      <c r="L8" s="22" t="n">
        <f aca="false">J8+K8</f>
        <v>30000</v>
      </c>
      <c r="M8" s="23" t="n">
        <f aca="false">B8+VLOOKUP(D8,Acuan!$A$2:$C$9,3,FALSE())</f>
        <v>46276</v>
      </c>
      <c r="N8" s="24" t="str">
        <f aca="false">IF(G8&lt;=M8,"Tepat Waktu","Terlambat")</f>
        <v>Tepat Waktu</v>
      </c>
    </row>
    <row r="9" customFormat="false" ht="15" hidden="false" customHeight="false" outlineLevel="0" collapsed="false">
      <c r="A9" s="17" t="s">
        <v>117</v>
      </c>
      <c r="B9" s="18" t="n">
        <v>46274</v>
      </c>
      <c r="C9" s="17" t="s">
        <v>118</v>
      </c>
      <c r="D9" s="17" t="s">
        <v>119</v>
      </c>
      <c r="E9" s="19" t="n">
        <v>1.6</v>
      </c>
      <c r="F9" s="20" t="n">
        <v>1500000</v>
      </c>
      <c r="G9" s="18" t="n">
        <v>46277</v>
      </c>
      <c r="H9" s="21" t="n">
        <f aca="false">ROUNDUP(E9,0)</f>
        <v>2</v>
      </c>
      <c r="I9" s="22" t="n">
        <f aca="false">VLOOKUP(D9,Acuan!$A$2:$B$9,2,FALSE())</f>
        <v>11000</v>
      </c>
      <c r="J9" s="22" t="n">
        <f aca="false">H9*I9</f>
        <v>22000</v>
      </c>
      <c r="K9" s="22" t="n">
        <f aca="false">IF(F9&gt;$Q$2,ROUND(F9*$Q$3,0),0)</f>
        <v>7500</v>
      </c>
      <c r="L9" s="22" t="n">
        <f aca="false">J9+K9</f>
        <v>29500</v>
      </c>
      <c r="M9" s="23" t="n">
        <f aca="false">B9+VLOOKUP(D9,Acuan!$A$2:$C$9,3,FALSE())</f>
        <v>46277</v>
      </c>
      <c r="N9" s="24" t="str">
        <f aca="false">IF(G9&lt;=M9,"Tepat Waktu","Terlambat")</f>
        <v>Tepat Waktu</v>
      </c>
    </row>
    <row r="10" customFormat="false" ht="15" hidden="false" customHeight="false" outlineLevel="0" collapsed="false">
      <c r="A10" s="17" t="s">
        <v>120</v>
      </c>
      <c r="B10" s="18" t="n">
        <v>46282</v>
      </c>
      <c r="C10" s="17" t="s">
        <v>121</v>
      </c>
      <c r="D10" s="17" t="s">
        <v>103</v>
      </c>
      <c r="E10" s="19" t="n">
        <v>1</v>
      </c>
      <c r="F10" s="20" t="n">
        <v>350000</v>
      </c>
      <c r="G10" s="18" t="n">
        <v>46286</v>
      </c>
      <c r="H10" s="21" t="n">
        <f aca="false">ROUNDUP(E10,0)</f>
        <v>1</v>
      </c>
      <c r="I10" s="22" t="n">
        <f aca="false">VLOOKUP(D10,Acuan!$A$2:$B$9,2,FALSE())</f>
        <v>10000</v>
      </c>
      <c r="J10" s="22" t="n">
        <f aca="false">H10*I10</f>
        <v>10000</v>
      </c>
      <c r="K10" s="22" t="n">
        <f aca="false">IF(F10&gt;$Q$2,ROUND(F10*$Q$3,0),0)</f>
        <v>0</v>
      </c>
      <c r="L10" s="22" t="n">
        <f aca="false">J10+K10</f>
        <v>10000</v>
      </c>
      <c r="M10" s="23" t="n">
        <f aca="false">B10+VLOOKUP(D10,Acuan!$A$2:$C$9,3,FALSE())</f>
        <v>46284</v>
      </c>
      <c r="N10" s="24" t="str">
        <f aca="false">IF(G10&lt;=M10,"Tepat Waktu","Terlambat")</f>
        <v>Terlambat</v>
      </c>
    </row>
    <row r="11" customFormat="false" ht="15" hidden="false" customHeight="false" outlineLevel="0" collapsed="false">
      <c r="A11" s="17" t="s">
        <v>122</v>
      </c>
      <c r="B11" s="18" t="n">
        <v>46284</v>
      </c>
      <c r="C11" s="17" t="s">
        <v>123</v>
      </c>
      <c r="D11" s="17" t="s">
        <v>119</v>
      </c>
      <c r="E11" s="19" t="n">
        <v>1.3</v>
      </c>
      <c r="F11" s="20" t="n">
        <v>350000</v>
      </c>
      <c r="G11" s="18" t="n">
        <v>46287</v>
      </c>
      <c r="H11" s="21" t="n">
        <f aca="false">ROUNDUP(E11,0)</f>
        <v>2</v>
      </c>
      <c r="I11" s="22" t="n">
        <f aca="false">VLOOKUP(D11,Acuan!$A$2:$B$9,2,FALSE())</f>
        <v>11000</v>
      </c>
      <c r="J11" s="22" t="n">
        <f aca="false">H11*I11</f>
        <v>22000</v>
      </c>
      <c r="K11" s="22" t="n">
        <f aca="false">IF(F11&gt;$Q$2,ROUND(F11*$Q$3,0),0)</f>
        <v>0</v>
      </c>
      <c r="L11" s="22" t="n">
        <f aca="false">J11+K11</f>
        <v>22000</v>
      </c>
      <c r="M11" s="23" t="n">
        <f aca="false">B11+VLOOKUP(D11,Acuan!$A$2:$C$9,3,FALSE())</f>
        <v>46287</v>
      </c>
      <c r="N11" s="24" t="str">
        <f aca="false">IF(G11&lt;=M11,"Tepat Waktu","Terlambat")</f>
        <v>Tepat Waktu</v>
      </c>
    </row>
    <row r="12" customFormat="false" ht="15" hidden="false" customHeight="false" outlineLevel="0" collapsed="false">
      <c r="A12" s="17" t="s">
        <v>124</v>
      </c>
      <c r="B12" s="18" t="n">
        <v>46286</v>
      </c>
      <c r="C12" s="17" t="s">
        <v>125</v>
      </c>
      <c r="D12" s="17" t="s">
        <v>119</v>
      </c>
      <c r="E12" s="19" t="n">
        <v>3.7</v>
      </c>
      <c r="F12" s="20" t="n">
        <v>150000</v>
      </c>
      <c r="G12" s="18" t="n">
        <v>46289</v>
      </c>
      <c r="H12" s="21" t="n">
        <f aca="false">ROUNDUP(E12,0)</f>
        <v>4</v>
      </c>
      <c r="I12" s="22" t="n">
        <f aca="false">VLOOKUP(D12,Acuan!$A$2:$B$9,2,FALSE())</f>
        <v>11000</v>
      </c>
      <c r="J12" s="22" t="n">
        <f aca="false">H12*I12</f>
        <v>44000</v>
      </c>
      <c r="K12" s="22" t="n">
        <f aca="false">IF(F12&gt;$Q$2,ROUND(F12*$Q$3,0),0)</f>
        <v>0</v>
      </c>
      <c r="L12" s="22" t="n">
        <f aca="false">J12+K12</f>
        <v>44000</v>
      </c>
      <c r="M12" s="23" t="n">
        <f aca="false">B12+VLOOKUP(D12,Acuan!$A$2:$C$9,3,FALSE())</f>
        <v>46289</v>
      </c>
      <c r="N12" s="24" t="str">
        <f aca="false">IF(G12&lt;=M12,"Tepat Waktu","Terlambat")</f>
        <v>Tepat Waktu</v>
      </c>
    </row>
    <row r="13" customFormat="false" ht="15" hidden="false" customHeight="false" outlineLevel="0" collapsed="false">
      <c r="A13" s="17" t="s">
        <v>126</v>
      </c>
      <c r="B13" s="18" t="n">
        <v>46286</v>
      </c>
      <c r="C13" s="17" t="s">
        <v>127</v>
      </c>
      <c r="D13" s="17" t="s">
        <v>103</v>
      </c>
      <c r="E13" s="19" t="n">
        <v>1.2</v>
      </c>
      <c r="F13" s="20" t="n">
        <v>600000</v>
      </c>
      <c r="G13" s="18" t="n">
        <v>46287</v>
      </c>
      <c r="H13" s="21" t="n">
        <f aca="false">ROUNDUP(E13,0)</f>
        <v>2</v>
      </c>
      <c r="I13" s="22" t="n">
        <f aca="false">VLOOKUP(D13,Acuan!$A$2:$B$9,2,FALSE())</f>
        <v>10000</v>
      </c>
      <c r="J13" s="22" t="n">
        <f aca="false">H13*I13</f>
        <v>20000</v>
      </c>
      <c r="K13" s="22" t="n">
        <f aca="false">IF(F13&gt;$Q$2,ROUND(F13*$Q$3,0),0)</f>
        <v>0</v>
      </c>
      <c r="L13" s="22" t="n">
        <f aca="false">J13+K13</f>
        <v>20000</v>
      </c>
      <c r="M13" s="23" t="n">
        <f aca="false">B13+VLOOKUP(D13,Acuan!$A$2:$C$9,3,FALSE())</f>
        <v>46288</v>
      </c>
      <c r="N13" s="24" t="str">
        <f aca="false">IF(G13&lt;=M13,"Tepat Waktu","Terlambat")</f>
        <v>Tepat Waktu</v>
      </c>
    </row>
    <row r="14" customFormat="false" ht="15" hidden="false" customHeight="false" outlineLevel="0" collapsed="false">
      <c r="A14" s="17" t="s">
        <v>128</v>
      </c>
      <c r="B14" s="18" t="n">
        <v>46286</v>
      </c>
      <c r="C14" s="17" t="s">
        <v>129</v>
      </c>
      <c r="D14" s="17" t="s">
        <v>103</v>
      </c>
      <c r="E14" s="19" t="n">
        <v>0.5</v>
      </c>
      <c r="F14" s="20" t="n">
        <v>850000</v>
      </c>
      <c r="G14" s="18" t="n">
        <v>46288</v>
      </c>
      <c r="H14" s="21" t="n">
        <f aca="false">ROUNDUP(E14,0)</f>
        <v>1</v>
      </c>
      <c r="I14" s="22" t="n">
        <f aca="false">VLOOKUP(D14,Acuan!$A$2:$B$9,2,FALSE())</f>
        <v>10000</v>
      </c>
      <c r="J14" s="22" t="n">
        <f aca="false">H14*I14</f>
        <v>10000</v>
      </c>
      <c r="K14" s="22" t="n">
        <f aca="false">IF(F14&gt;$Q$2,ROUND(F14*$Q$3,0),0)</f>
        <v>0</v>
      </c>
      <c r="L14" s="22" t="n">
        <f aca="false">J14+K14</f>
        <v>10000</v>
      </c>
      <c r="M14" s="23" t="n">
        <f aca="false">B14+VLOOKUP(D14,Acuan!$A$2:$C$9,3,FALSE())</f>
        <v>46288</v>
      </c>
      <c r="N14" s="24" t="str">
        <f aca="false">IF(G14&lt;=M14,"Tepat Waktu","Terlambat")</f>
        <v>Tepat Waktu</v>
      </c>
    </row>
    <row r="15" customFormat="false" ht="15" hidden="false" customHeight="false" outlineLevel="0" collapsed="false">
      <c r="A15" s="17" t="s">
        <v>130</v>
      </c>
      <c r="B15" s="18" t="n">
        <v>46287</v>
      </c>
      <c r="C15" s="17" t="s">
        <v>131</v>
      </c>
      <c r="D15" s="17" t="s">
        <v>98</v>
      </c>
      <c r="E15" s="19" t="n">
        <v>1.2</v>
      </c>
      <c r="F15" s="20" t="n">
        <v>1200000</v>
      </c>
      <c r="G15" s="18" t="n">
        <v>46289</v>
      </c>
      <c r="H15" s="21" t="n">
        <f aca="false">ROUNDUP(E15,0)</f>
        <v>2</v>
      </c>
      <c r="I15" s="22" t="n">
        <f aca="false">VLOOKUP(D15,Acuan!$A$2:$B$9,2,FALSE())</f>
        <v>9000</v>
      </c>
      <c r="J15" s="22" t="n">
        <f aca="false">H15*I15</f>
        <v>18000</v>
      </c>
      <c r="K15" s="22" t="n">
        <f aca="false">IF(F15&gt;$Q$2,ROUND(F15*$Q$3,0),0)</f>
        <v>6000</v>
      </c>
      <c r="L15" s="22" t="n">
        <f aca="false">J15+K15</f>
        <v>24000</v>
      </c>
      <c r="M15" s="23" t="n">
        <f aca="false">B15+VLOOKUP(D15,Acuan!$A$2:$C$9,3,FALSE())</f>
        <v>46289</v>
      </c>
      <c r="N15" s="24" t="str">
        <f aca="false">IF(G15&lt;=M15,"Tepat Waktu","Terlambat")</f>
        <v>Tepat Waktu</v>
      </c>
    </row>
    <row r="16" customFormat="false" ht="15" hidden="false" customHeight="false" outlineLevel="0" collapsed="false">
      <c r="A16" s="17" t="s">
        <v>132</v>
      </c>
      <c r="B16" s="18" t="n">
        <v>46289</v>
      </c>
      <c r="C16" s="17" t="s">
        <v>133</v>
      </c>
      <c r="D16" s="17" t="s">
        <v>103</v>
      </c>
      <c r="E16" s="19" t="n">
        <v>1.6</v>
      </c>
      <c r="F16" s="20" t="n">
        <v>600000</v>
      </c>
      <c r="G16" s="18" t="n">
        <v>46293</v>
      </c>
      <c r="H16" s="21" t="n">
        <f aca="false">ROUNDUP(E16,0)</f>
        <v>2</v>
      </c>
      <c r="I16" s="22" t="n">
        <f aca="false">VLOOKUP(D16,Acuan!$A$2:$B$9,2,FALSE())</f>
        <v>10000</v>
      </c>
      <c r="J16" s="22" t="n">
        <f aca="false">H16*I16</f>
        <v>20000</v>
      </c>
      <c r="K16" s="22" t="n">
        <f aca="false">IF(F16&gt;$Q$2,ROUND(F16*$Q$3,0),0)</f>
        <v>0</v>
      </c>
      <c r="L16" s="22" t="n">
        <f aca="false">J16+K16</f>
        <v>20000</v>
      </c>
      <c r="M16" s="23" t="n">
        <f aca="false">B16+VLOOKUP(D16,Acuan!$A$2:$C$9,3,FALSE())</f>
        <v>46291</v>
      </c>
      <c r="N16" s="24" t="str">
        <f aca="false">IF(G16&lt;=M16,"Tepat Waktu","Terlambat")</f>
        <v>Terlambat</v>
      </c>
    </row>
    <row r="17" customFormat="false" ht="15" hidden="false" customHeight="false" outlineLevel="0" collapsed="false">
      <c r="A17" s="17" t="s">
        <v>134</v>
      </c>
      <c r="B17" s="18" t="n">
        <v>46293</v>
      </c>
      <c r="C17" s="17" t="s">
        <v>135</v>
      </c>
      <c r="D17" s="17" t="s">
        <v>103</v>
      </c>
      <c r="E17" s="19" t="n">
        <v>2.3</v>
      </c>
      <c r="F17" s="20" t="n">
        <v>250000</v>
      </c>
      <c r="G17" s="18" t="n">
        <v>46295</v>
      </c>
      <c r="H17" s="21" t="n">
        <f aca="false">ROUNDUP(E17,0)</f>
        <v>3</v>
      </c>
      <c r="I17" s="22" t="n">
        <f aca="false">VLOOKUP(D17,Acuan!$A$2:$B$9,2,FALSE())</f>
        <v>10000</v>
      </c>
      <c r="J17" s="22" t="n">
        <f aca="false">H17*I17</f>
        <v>30000</v>
      </c>
      <c r="K17" s="22" t="n">
        <f aca="false">IF(F17&gt;$Q$2,ROUND(F17*$Q$3,0),0)</f>
        <v>0</v>
      </c>
      <c r="L17" s="22" t="n">
        <f aca="false">J17+K17</f>
        <v>30000</v>
      </c>
      <c r="M17" s="23" t="n">
        <f aca="false">B17+VLOOKUP(D17,Acuan!$A$2:$C$9,3,FALSE())</f>
        <v>46295</v>
      </c>
      <c r="N17" s="24" t="str">
        <f aca="false">IF(G17&lt;=M17,"Tepat Waktu","Terlambat")</f>
        <v>Tepat Waktu</v>
      </c>
    </row>
    <row r="18" customFormat="false" ht="15" hidden="false" customHeight="false" outlineLevel="0" collapsed="false">
      <c r="A18" s="17" t="s">
        <v>136</v>
      </c>
      <c r="B18" s="18" t="n">
        <v>46293</v>
      </c>
      <c r="C18" s="17" t="s">
        <v>137</v>
      </c>
      <c r="D18" s="17" t="s">
        <v>138</v>
      </c>
      <c r="E18" s="19" t="n">
        <v>0.5</v>
      </c>
      <c r="F18" s="20" t="n">
        <v>350000</v>
      </c>
      <c r="G18" s="18" t="n">
        <v>46296</v>
      </c>
      <c r="H18" s="21" t="n">
        <f aca="false">ROUNDUP(E18,0)</f>
        <v>1</v>
      </c>
      <c r="I18" s="22" t="n">
        <f aca="false">VLOOKUP(D18,Acuan!$A$2:$B$9,2,FALSE())</f>
        <v>13000</v>
      </c>
      <c r="J18" s="22" t="n">
        <f aca="false">H18*I18</f>
        <v>13000</v>
      </c>
      <c r="K18" s="22" t="n">
        <f aca="false">IF(F18&gt;$Q$2,ROUND(F18*$Q$3,0),0)</f>
        <v>0</v>
      </c>
      <c r="L18" s="22" t="n">
        <f aca="false">J18+K18</f>
        <v>13000</v>
      </c>
      <c r="M18" s="23" t="n">
        <f aca="false">B18+VLOOKUP(D18,Acuan!$A$2:$C$9,3,FALSE())</f>
        <v>46296</v>
      </c>
      <c r="N18" s="24" t="str">
        <f aca="false">IF(G18&lt;=M18,"Tepat Waktu","Terlambat")</f>
        <v>Tepat Waktu</v>
      </c>
    </row>
    <row r="19" customFormat="false" ht="15" hidden="false" customHeight="false" outlineLevel="0" collapsed="false">
      <c r="A19" s="17" t="s">
        <v>139</v>
      </c>
      <c r="B19" s="18" t="n">
        <v>46293</v>
      </c>
      <c r="C19" s="17" t="s">
        <v>140</v>
      </c>
      <c r="D19" s="17" t="s">
        <v>98</v>
      </c>
      <c r="E19" s="19" t="n">
        <v>4.5</v>
      </c>
      <c r="F19" s="20" t="n">
        <v>600000</v>
      </c>
      <c r="G19" s="18" t="n">
        <v>46295</v>
      </c>
      <c r="H19" s="21" t="n">
        <f aca="false">ROUNDUP(E19,0)</f>
        <v>5</v>
      </c>
      <c r="I19" s="22" t="n">
        <f aca="false">VLOOKUP(D19,Acuan!$A$2:$B$9,2,FALSE())</f>
        <v>9000</v>
      </c>
      <c r="J19" s="22" t="n">
        <f aca="false">H19*I19</f>
        <v>45000</v>
      </c>
      <c r="K19" s="22" t="n">
        <f aca="false">IF(F19&gt;$Q$2,ROUND(F19*$Q$3,0),0)</f>
        <v>0</v>
      </c>
      <c r="L19" s="22" t="n">
        <f aca="false">J19+K19</f>
        <v>45000</v>
      </c>
      <c r="M19" s="23" t="n">
        <f aca="false">B19+VLOOKUP(D19,Acuan!$A$2:$C$9,3,FALSE())</f>
        <v>46295</v>
      </c>
      <c r="N19" s="24" t="str">
        <f aca="false">IF(G19&lt;=M19,"Tepat Waktu","Terlambat")</f>
        <v>Tepat Waktu</v>
      </c>
    </row>
    <row r="20" customFormat="false" ht="15" hidden="false" customHeight="false" outlineLevel="0" collapsed="false">
      <c r="A20" s="17" t="s">
        <v>141</v>
      </c>
      <c r="B20" s="18" t="n">
        <v>46294</v>
      </c>
      <c r="C20" s="17" t="s">
        <v>142</v>
      </c>
      <c r="D20" s="17" t="s">
        <v>143</v>
      </c>
      <c r="E20" s="19" t="n">
        <v>0.9</v>
      </c>
      <c r="F20" s="20" t="n">
        <v>150000</v>
      </c>
      <c r="G20" s="18" t="n">
        <v>46299</v>
      </c>
      <c r="H20" s="21" t="n">
        <f aca="false">ROUNDUP(E20,0)</f>
        <v>1</v>
      </c>
      <c r="I20" s="22" t="n">
        <f aca="false">VLOOKUP(D20,Acuan!$A$2:$B$9,2,FALSE())</f>
        <v>22000</v>
      </c>
      <c r="J20" s="22" t="n">
        <f aca="false">H20*I20</f>
        <v>22000</v>
      </c>
      <c r="K20" s="22" t="n">
        <f aca="false">IF(F20&gt;$Q$2,ROUND(F20*$Q$3,0),0)</f>
        <v>0</v>
      </c>
      <c r="L20" s="22" t="n">
        <f aca="false">J20+K20</f>
        <v>22000</v>
      </c>
      <c r="M20" s="23" t="n">
        <f aca="false">B20+VLOOKUP(D20,Acuan!$A$2:$C$9,3,FALSE())</f>
        <v>46299</v>
      </c>
      <c r="N20" s="24" t="str">
        <f aca="false">IF(G20&lt;=M20,"Tepat Waktu","Terlambat")</f>
        <v>Tepat Waktu</v>
      </c>
    </row>
    <row r="21" customFormat="false" ht="15" hidden="false" customHeight="false" outlineLevel="0" collapsed="false">
      <c r="A21" s="17" t="s">
        <v>144</v>
      </c>
      <c r="B21" s="18" t="n">
        <v>46297</v>
      </c>
      <c r="C21" s="17" t="s">
        <v>145</v>
      </c>
      <c r="D21" s="17" t="s">
        <v>98</v>
      </c>
      <c r="E21" s="19" t="n">
        <v>1.2</v>
      </c>
      <c r="F21" s="20" t="n">
        <v>3200000</v>
      </c>
      <c r="G21" s="18" t="n">
        <v>46300</v>
      </c>
      <c r="H21" s="21" t="n">
        <f aca="false">ROUNDUP(E21,0)</f>
        <v>2</v>
      </c>
      <c r="I21" s="22" t="n">
        <f aca="false">VLOOKUP(D21,Acuan!$A$2:$B$9,2,FALSE())</f>
        <v>9000</v>
      </c>
      <c r="J21" s="22" t="n">
        <f aca="false">H21*I21</f>
        <v>18000</v>
      </c>
      <c r="K21" s="22" t="n">
        <f aca="false">IF(F21&gt;$Q$2,ROUND(F21*$Q$3,0),0)</f>
        <v>16000</v>
      </c>
      <c r="L21" s="22" t="n">
        <f aca="false">J21+K21</f>
        <v>34000</v>
      </c>
      <c r="M21" s="23" t="n">
        <f aca="false">B21+VLOOKUP(D21,Acuan!$A$2:$C$9,3,FALSE())</f>
        <v>46299</v>
      </c>
      <c r="N21" s="24" t="str">
        <f aca="false">IF(G21&lt;=M21,"Tepat Waktu","Terlambat")</f>
        <v>Terlambat</v>
      </c>
    </row>
    <row r="22" customFormat="false" ht="15" hidden="false" customHeight="false" outlineLevel="0" collapsed="false">
      <c r="A22" s="17" t="s">
        <v>146</v>
      </c>
      <c r="B22" s="18" t="n">
        <v>46297</v>
      </c>
      <c r="C22" s="17" t="s">
        <v>147</v>
      </c>
      <c r="D22" s="17" t="s">
        <v>119</v>
      </c>
      <c r="E22" s="19" t="n">
        <v>4.4</v>
      </c>
      <c r="F22" s="20" t="n">
        <v>350000</v>
      </c>
      <c r="G22" s="18" t="n">
        <v>46302</v>
      </c>
      <c r="H22" s="21" t="n">
        <f aca="false">ROUNDUP(E22,0)</f>
        <v>5</v>
      </c>
      <c r="I22" s="22" t="n">
        <f aca="false">VLOOKUP(D22,Acuan!$A$2:$B$9,2,FALSE())</f>
        <v>11000</v>
      </c>
      <c r="J22" s="22" t="n">
        <f aca="false">H22*I22</f>
        <v>55000</v>
      </c>
      <c r="K22" s="22" t="n">
        <f aca="false">IF(F22&gt;$Q$2,ROUND(F22*$Q$3,0),0)</f>
        <v>0</v>
      </c>
      <c r="L22" s="22" t="n">
        <f aca="false">J22+K22</f>
        <v>55000</v>
      </c>
      <c r="M22" s="23" t="n">
        <f aca="false">B22+VLOOKUP(D22,Acuan!$A$2:$C$9,3,FALSE())</f>
        <v>46300</v>
      </c>
      <c r="N22" s="24" t="str">
        <f aca="false">IF(G22&lt;=M22,"Tepat Waktu","Terlambat")</f>
        <v>Terlambat</v>
      </c>
    </row>
    <row r="23" customFormat="false" ht="15" hidden="false" customHeight="false" outlineLevel="0" collapsed="false">
      <c r="A23" s="17" t="s">
        <v>148</v>
      </c>
      <c r="B23" s="18" t="n">
        <v>46297</v>
      </c>
      <c r="C23" s="17" t="s">
        <v>149</v>
      </c>
      <c r="D23" s="17" t="s">
        <v>150</v>
      </c>
      <c r="E23" s="19" t="n">
        <v>4.5</v>
      </c>
      <c r="F23" s="20" t="n">
        <v>250000</v>
      </c>
      <c r="G23" s="18" t="n">
        <v>46301</v>
      </c>
      <c r="H23" s="21" t="n">
        <f aca="false">ROUNDUP(E23,0)</f>
        <v>5</v>
      </c>
      <c r="I23" s="22" t="n">
        <f aca="false">VLOOKUP(D23,Acuan!$A$2:$B$9,2,FALSE())</f>
        <v>19000</v>
      </c>
      <c r="J23" s="22" t="n">
        <f aca="false">H23*I23</f>
        <v>95000</v>
      </c>
      <c r="K23" s="22" t="n">
        <f aca="false">IF(F23&gt;$Q$2,ROUND(F23*$Q$3,0),0)</f>
        <v>0</v>
      </c>
      <c r="L23" s="22" t="n">
        <f aca="false">J23+K23</f>
        <v>95000</v>
      </c>
      <c r="M23" s="23" t="n">
        <f aca="false">B23+VLOOKUP(D23,Acuan!$A$2:$C$9,3,FALSE())</f>
        <v>46301</v>
      </c>
      <c r="N23" s="24" t="str">
        <f aca="false">IF(G23&lt;=M23,"Tepat Waktu","Terlambat")</f>
        <v>Tepat Waktu</v>
      </c>
    </row>
    <row r="24" customFormat="false" ht="15" hidden="false" customHeight="false" outlineLevel="0" collapsed="false">
      <c r="A24" s="17" t="s">
        <v>151</v>
      </c>
      <c r="B24" s="18" t="n">
        <v>46298</v>
      </c>
      <c r="C24" s="17" t="s">
        <v>152</v>
      </c>
      <c r="D24" s="17" t="s">
        <v>103</v>
      </c>
      <c r="E24" s="19" t="n">
        <v>3.6</v>
      </c>
      <c r="F24" s="20" t="n">
        <v>350000</v>
      </c>
      <c r="G24" s="18" t="n">
        <v>46302</v>
      </c>
      <c r="H24" s="21" t="n">
        <f aca="false">ROUNDUP(E24,0)</f>
        <v>4</v>
      </c>
      <c r="I24" s="22" t="n">
        <f aca="false">VLOOKUP(D24,Acuan!$A$2:$B$9,2,FALSE())</f>
        <v>10000</v>
      </c>
      <c r="J24" s="22" t="n">
        <f aca="false">H24*I24</f>
        <v>40000</v>
      </c>
      <c r="K24" s="22" t="n">
        <f aca="false">IF(F24&gt;$Q$2,ROUND(F24*$Q$3,0),0)</f>
        <v>0</v>
      </c>
      <c r="L24" s="22" t="n">
        <f aca="false">J24+K24</f>
        <v>40000</v>
      </c>
      <c r="M24" s="23" t="n">
        <f aca="false">B24+VLOOKUP(D24,Acuan!$A$2:$C$9,3,FALSE())</f>
        <v>46300</v>
      </c>
      <c r="N24" s="24" t="str">
        <f aca="false">IF(G24&lt;=M24,"Tepat Waktu","Terlambat")</f>
        <v>Terlambat</v>
      </c>
    </row>
    <row r="25" customFormat="false" ht="15" hidden="false" customHeight="false" outlineLevel="0" collapsed="false">
      <c r="A25" s="17" t="s">
        <v>153</v>
      </c>
      <c r="B25" s="18" t="n">
        <v>46300</v>
      </c>
      <c r="C25" s="17" t="s">
        <v>154</v>
      </c>
      <c r="D25" s="17" t="s">
        <v>119</v>
      </c>
      <c r="E25" s="19" t="n">
        <v>3.7</v>
      </c>
      <c r="F25" s="20" t="n">
        <v>1500000</v>
      </c>
      <c r="G25" s="18" t="n">
        <v>46303</v>
      </c>
      <c r="H25" s="21" t="n">
        <f aca="false">ROUNDUP(E25,0)</f>
        <v>4</v>
      </c>
      <c r="I25" s="22" t="n">
        <f aca="false">VLOOKUP(D25,Acuan!$A$2:$B$9,2,FALSE())</f>
        <v>11000</v>
      </c>
      <c r="J25" s="22" t="n">
        <f aca="false">H25*I25</f>
        <v>44000</v>
      </c>
      <c r="K25" s="22" t="n">
        <f aca="false">IF(F25&gt;$Q$2,ROUND(F25*$Q$3,0),0)</f>
        <v>7500</v>
      </c>
      <c r="L25" s="22" t="n">
        <f aca="false">J25+K25</f>
        <v>51500</v>
      </c>
      <c r="M25" s="23" t="n">
        <f aca="false">B25+VLOOKUP(D25,Acuan!$A$2:$C$9,3,FALSE())</f>
        <v>46303</v>
      </c>
      <c r="N25" s="24" t="str">
        <f aca="false">IF(G25&lt;=M25,"Tepat Waktu","Terlambat")</f>
        <v>Tepat Waktu</v>
      </c>
    </row>
    <row r="26" customFormat="false" ht="15" hidden="false" customHeight="false" outlineLevel="0" collapsed="false">
      <c r="A26" s="17" t="s">
        <v>155</v>
      </c>
      <c r="B26" s="18" t="n">
        <v>46300</v>
      </c>
      <c r="C26" s="17" t="s">
        <v>156</v>
      </c>
      <c r="D26" s="17" t="s">
        <v>138</v>
      </c>
      <c r="E26" s="19" t="n">
        <v>2.3</v>
      </c>
      <c r="F26" s="20" t="n">
        <v>1500000</v>
      </c>
      <c r="G26" s="18" t="n">
        <v>46302</v>
      </c>
      <c r="H26" s="21" t="n">
        <f aca="false">ROUNDUP(E26,0)</f>
        <v>3</v>
      </c>
      <c r="I26" s="22" t="n">
        <f aca="false">VLOOKUP(D26,Acuan!$A$2:$B$9,2,FALSE())</f>
        <v>13000</v>
      </c>
      <c r="J26" s="22" t="n">
        <f aca="false">H26*I26</f>
        <v>39000</v>
      </c>
      <c r="K26" s="22" t="n">
        <f aca="false">IF(F26&gt;$Q$2,ROUND(F26*$Q$3,0),0)</f>
        <v>7500</v>
      </c>
      <c r="L26" s="22" t="n">
        <f aca="false">J26+K26</f>
        <v>46500</v>
      </c>
      <c r="M26" s="23" t="n">
        <f aca="false">B26+VLOOKUP(D26,Acuan!$A$2:$C$9,3,FALSE())</f>
        <v>46303</v>
      </c>
      <c r="N26" s="24" t="str">
        <f aca="false">IF(G26&lt;=M26,"Tepat Waktu","Terlambat")</f>
        <v>Tepat Waktu</v>
      </c>
    </row>
    <row r="27" customFormat="false" ht="15" hidden="false" customHeight="false" outlineLevel="0" collapsed="false">
      <c r="A27" s="17" t="s">
        <v>157</v>
      </c>
      <c r="B27" s="18" t="n">
        <v>46301</v>
      </c>
      <c r="C27" s="17" t="s">
        <v>158</v>
      </c>
      <c r="D27" s="17" t="s">
        <v>138</v>
      </c>
      <c r="E27" s="19" t="n">
        <v>5.1</v>
      </c>
      <c r="F27" s="20" t="n">
        <v>600000</v>
      </c>
      <c r="G27" s="18" t="n">
        <v>46303</v>
      </c>
      <c r="H27" s="21" t="n">
        <f aca="false">ROUNDUP(E27,0)</f>
        <v>6</v>
      </c>
      <c r="I27" s="22" t="n">
        <f aca="false">VLOOKUP(D27,Acuan!$A$2:$B$9,2,FALSE())</f>
        <v>13000</v>
      </c>
      <c r="J27" s="22" t="n">
        <f aca="false">H27*I27</f>
        <v>78000</v>
      </c>
      <c r="K27" s="22" t="n">
        <f aca="false">IF(F27&gt;$Q$2,ROUND(F27*$Q$3,0),0)</f>
        <v>0</v>
      </c>
      <c r="L27" s="22" t="n">
        <f aca="false">J27+K27</f>
        <v>78000</v>
      </c>
      <c r="M27" s="23" t="n">
        <f aca="false">B27+VLOOKUP(D27,Acuan!$A$2:$C$9,3,FALSE())</f>
        <v>46304</v>
      </c>
      <c r="N27" s="24" t="str">
        <f aca="false">IF(G27&lt;=M27,"Tepat Waktu","Terlambat")</f>
        <v>Tepat Waktu</v>
      </c>
    </row>
    <row r="28" customFormat="false" ht="15" hidden="false" customHeight="false" outlineLevel="0" collapsed="false">
      <c r="A28" s="17" t="s">
        <v>159</v>
      </c>
      <c r="B28" s="18" t="n">
        <v>46301</v>
      </c>
      <c r="C28" s="17" t="s">
        <v>160</v>
      </c>
      <c r="D28" s="17" t="s">
        <v>98</v>
      </c>
      <c r="E28" s="19" t="n">
        <v>2</v>
      </c>
      <c r="F28" s="20" t="n">
        <v>350000</v>
      </c>
      <c r="G28" s="18" t="n">
        <v>46302</v>
      </c>
      <c r="H28" s="21" t="n">
        <f aca="false">ROUNDUP(E28,0)</f>
        <v>2</v>
      </c>
      <c r="I28" s="22" t="n">
        <f aca="false">VLOOKUP(D28,Acuan!$A$2:$B$9,2,FALSE())</f>
        <v>9000</v>
      </c>
      <c r="J28" s="22" t="n">
        <f aca="false">H28*I28</f>
        <v>18000</v>
      </c>
      <c r="K28" s="22" t="n">
        <f aca="false">IF(F28&gt;$Q$2,ROUND(F28*$Q$3,0),0)</f>
        <v>0</v>
      </c>
      <c r="L28" s="22" t="n">
        <f aca="false">J28+K28</f>
        <v>18000</v>
      </c>
      <c r="M28" s="23" t="n">
        <f aca="false">B28+VLOOKUP(D28,Acuan!$A$2:$C$9,3,FALSE())</f>
        <v>46303</v>
      </c>
      <c r="N28" s="24" t="str">
        <f aca="false">IF(G28&lt;=M28,"Tepat Waktu","Terlambat")</f>
        <v>Tepat Waktu</v>
      </c>
    </row>
    <row r="29" customFormat="false" ht="15" hidden="false" customHeight="false" outlineLevel="0" collapsed="false">
      <c r="A29" s="17" t="s">
        <v>161</v>
      </c>
      <c r="B29" s="18" t="n">
        <v>46301</v>
      </c>
      <c r="C29" s="17" t="s">
        <v>162</v>
      </c>
      <c r="D29" s="17" t="s">
        <v>143</v>
      </c>
      <c r="E29" s="19" t="n">
        <v>1.2</v>
      </c>
      <c r="F29" s="20" t="n">
        <v>250000</v>
      </c>
      <c r="G29" s="18" t="n">
        <v>46306</v>
      </c>
      <c r="H29" s="21" t="n">
        <f aca="false">ROUNDUP(E29,0)</f>
        <v>2</v>
      </c>
      <c r="I29" s="22" t="n">
        <f aca="false">VLOOKUP(D29,Acuan!$A$2:$B$9,2,FALSE())</f>
        <v>22000</v>
      </c>
      <c r="J29" s="22" t="n">
        <f aca="false">H29*I29</f>
        <v>44000</v>
      </c>
      <c r="K29" s="22" t="n">
        <f aca="false">IF(F29&gt;$Q$2,ROUND(F29*$Q$3,0),0)</f>
        <v>0</v>
      </c>
      <c r="L29" s="22" t="n">
        <f aca="false">J29+K29</f>
        <v>44000</v>
      </c>
      <c r="M29" s="23" t="n">
        <f aca="false">B29+VLOOKUP(D29,Acuan!$A$2:$C$9,3,FALSE())</f>
        <v>46306</v>
      </c>
      <c r="N29" s="24" t="str">
        <f aca="false">IF(G29&lt;=M29,"Tepat Waktu","Terlambat")</f>
        <v>Tepat Waktu</v>
      </c>
    </row>
    <row r="30" customFormat="false" ht="15" hidden="false" customHeight="false" outlineLevel="0" collapsed="false">
      <c r="A30" s="17" t="s">
        <v>163</v>
      </c>
      <c r="B30" s="18" t="n">
        <v>46301</v>
      </c>
      <c r="C30" s="17" t="s">
        <v>164</v>
      </c>
      <c r="D30" s="17" t="s">
        <v>150</v>
      </c>
      <c r="E30" s="19" t="n">
        <v>0.5</v>
      </c>
      <c r="F30" s="20" t="n">
        <v>150000</v>
      </c>
      <c r="G30" s="18" t="n">
        <v>46305</v>
      </c>
      <c r="H30" s="21" t="n">
        <f aca="false">ROUNDUP(E30,0)</f>
        <v>1</v>
      </c>
      <c r="I30" s="22" t="n">
        <f aca="false">VLOOKUP(D30,Acuan!$A$2:$B$9,2,FALSE())</f>
        <v>19000</v>
      </c>
      <c r="J30" s="22" t="n">
        <f aca="false">H30*I30</f>
        <v>19000</v>
      </c>
      <c r="K30" s="22" t="n">
        <f aca="false">IF(F30&gt;$Q$2,ROUND(F30*$Q$3,0),0)</f>
        <v>0</v>
      </c>
      <c r="L30" s="22" t="n">
        <f aca="false">J30+K30</f>
        <v>19000</v>
      </c>
      <c r="M30" s="23" t="n">
        <f aca="false">B30+VLOOKUP(D30,Acuan!$A$2:$C$9,3,FALSE())</f>
        <v>46305</v>
      </c>
      <c r="N30" s="24" t="str">
        <f aca="false">IF(G30&lt;=M30,"Tepat Waktu","Terlambat")</f>
        <v>Tepat Waktu</v>
      </c>
    </row>
    <row r="31" customFormat="false" ht="15" hidden="false" customHeight="false" outlineLevel="0" collapsed="false">
      <c r="A31" s="17" t="s">
        <v>165</v>
      </c>
      <c r="B31" s="18" t="n">
        <v>46302</v>
      </c>
      <c r="C31" s="17" t="s">
        <v>166</v>
      </c>
      <c r="D31" s="17" t="s">
        <v>119</v>
      </c>
      <c r="E31" s="19" t="n">
        <v>1.2</v>
      </c>
      <c r="F31" s="20" t="n">
        <v>150000</v>
      </c>
      <c r="G31" s="18" t="n">
        <v>46305</v>
      </c>
      <c r="H31" s="21" t="n">
        <f aca="false">ROUNDUP(E31,0)</f>
        <v>2</v>
      </c>
      <c r="I31" s="22" t="n">
        <f aca="false">VLOOKUP(D31,Acuan!$A$2:$B$9,2,FALSE())</f>
        <v>11000</v>
      </c>
      <c r="J31" s="22" t="n">
        <f aca="false">H31*I31</f>
        <v>22000</v>
      </c>
      <c r="K31" s="22" t="n">
        <f aca="false">IF(F31&gt;$Q$2,ROUND(F31*$Q$3,0),0)</f>
        <v>0</v>
      </c>
      <c r="L31" s="22" t="n">
        <f aca="false">J31+K31</f>
        <v>22000</v>
      </c>
      <c r="M31" s="23" t="n">
        <f aca="false">B31+VLOOKUP(D31,Acuan!$A$2:$C$9,3,FALSE())</f>
        <v>46305</v>
      </c>
      <c r="N31" s="24" t="str">
        <f aca="false">IF(G31&lt;=M31,"Tepat Waktu","Terlambat")</f>
        <v>Tepat Waktu</v>
      </c>
    </row>
    <row r="32" customFormat="false" ht="15" hidden="false" customHeight="false" outlineLevel="0" collapsed="false">
      <c r="A32" s="17" t="s">
        <v>167</v>
      </c>
      <c r="B32" s="18" t="n">
        <v>46303</v>
      </c>
      <c r="C32" s="17" t="s">
        <v>168</v>
      </c>
      <c r="D32" s="17" t="s">
        <v>150</v>
      </c>
      <c r="E32" s="19" t="n">
        <v>0.4</v>
      </c>
      <c r="F32" s="20" t="n">
        <v>250000</v>
      </c>
      <c r="G32" s="18" t="n">
        <v>46307</v>
      </c>
      <c r="H32" s="21" t="n">
        <f aca="false">ROUNDUP(E32,0)</f>
        <v>1</v>
      </c>
      <c r="I32" s="22" t="n">
        <f aca="false">VLOOKUP(D32,Acuan!$A$2:$B$9,2,FALSE())</f>
        <v>19000</v>
      </c>
      <c r="J32" s="22" t="n">
        <f aca="false">H32*I32</f>
        <v>19000</v>
      </c>
      <c r="K32" s="22" t="n">
        <f aca="false">IF(F32&gt;$Q$2,ROUND(F32*$Q$3,0),0)</f>
        <v>0</v>
      </c>
      <c r="L32" s="22" t="n">
        <f aca="false">J32+K32</f>
        <v>19000</v>
      </c>
      <c r="M32" s="23" t="n">
        <f aca="false">B32+VLOOKUP(D32,Acuan!$A$2:$C$9,3,FALSE())</f>
        <v>46307</v>
      </c>
      <c r="N32" s="24" t="str">
        <f aca="false">IF(G32&lt;=M32,"Tepat Waktu","Terlambat")</f>
        <v>Tepat Waktu</v>
      </c>
    </row>
    <row r="33" customFormat="false" ht="15" hidden="false" customHeight="false" outlineLevel="0" collapsed="false">
      <c r="A33" s="17" t="s">
        <v>169</v>
      </c>
      <c r="B33" s="18" t="n">
        <v>46303</v>
      </c>
      <c r="C33" s="17" t="s">
        <v>170</v>
      </c>
      <c r="D33" s="17" t="s">
        <v>98</v>
      </c>
      <c r="E33" s="19" t="n">
        <v>1.6</v>
      </c>
      <c r="F33" s="20" t="n">
        <v>2400000</v>
      </c>
      <c r="G33" s="18" t="n">
        <v>46305</v>
      </c>
      <c r="H33" s="21" t="n">
        <f aca="false">ROUNDUP(E33,0)</f>
        <v>2</v>
      </c>
      <c r="I33" s="22" t="n">
        <f aca="false">VLOOKUP(D33,Acuan!$A$2:$B$9,2,FALSE())</f>
        <v>9000</v>
      </c>
      <c r="J33" s="22" t="n">
        <f aca="false">H33*I33</f>
        <v>18000</v>
      </c>
      <c r="K33" s="22" t="n">
        <f aca="false">IF(F33&gt;$Q$2,ROUND(F33*$Q$3,0),0)</f>
        <v>12000</v>
      </c>
      <c r="L33" s="22" t="n">
        <f aca="false">J33+K33</f>
        <v>30000</v>
      </c>
      <c r="M33" s="23" t="n">
        <f aca="false">B33+VLOOKUP(D33,Acuan!$A$2:$C$9,3,FALSE())</f>
        <v>46305</v>
      </c>
      <c r="N33" s="24" t="str">
        <f aca="false">IF(G33&lt;=M33,"Tepat Waktu","Terlambat")</f>
        <v>Tepat Waktu</v>
      </c>
    </row>
    <row r="34" customFormat="false" ht="15" hidden="false" customHeight="false" outlineLevel="0" collapsed="false">
      <c r="A34" s="17" t="s">
        <v>171</v>
      </c>
      <c r="B34" s="18" t="n">
        <v>46304</v>
      </c>
      <c r="C34" s="17" t="s">
        <v>172</v>
      </c>
      <c r="D34" s="17" t="s">
        <v>173</v>
      </c>
      <c r="E34" s="19" t="n">
        <v>1.1</v>
      </c>
      <c r="F34" s="20" t="n">
        <v>850000</v>
      </c>
      <c r="G34" s="18" t="n">
        <v>46309</v>
      </c>
      <c r="H34" s="21" t="n">
        <f aca="false">ROUNDUP(E34,0)</f>
        <v>2</v>
      </c>
      <c r="I34" s="22" t="n">
        <f aca="false">VLOOKUP(D34,Acuan!$A$2:$B$9,2,FALSE())</f>
        <v>25000</v>
      </c>
      <c r="J34" s="22" t="n">
        <f aca="false">H34*I34</f>
        <v>50000</v>
      </c>
      <c r="K34" s="22" t="n">
        <f aca="false">IF(F34&gt;$Q$2,ROUND(F34*$Q$3,0),0)</f>
        <v>0</v>
      </c>
      <c r="L34" s="22" t="n">
        <f aca="false">J34+K34</f>
        <v>50000</v>
      </c>
      <c r="M34" s="23" t="n">
        <f aca="false">B34+VLOOKUP(D34,Acuan!$A$2:$C$9,3,FALSE())</f>
        <v>46310</v>
      </c>
      <c r="N34" s="24" t="str">
        <f aca="false">IF(G34&lt;=M34,"Tepat Waktu","Terlambat")</f>
        <v>Tepat Waktu</v>
      </c>
    </row>
    <row r="35" customFormat="false" ht="15" hidden="false" customHeight="false" outlineLevel="0" collapsed="false">
      <c r="A35" s="17" t="s">
        <v>174</v>
      </c>
      <c r="B35" s="18" t="n">
        <v>46304</v>
      </c>
      <c r="C35" s="17" t="s">
        <v>175</v>
      </c>
      <c r="D35" s="17" t="s">
        <v>138</v>
      </c>
      <c r="E35" s="19" t="n">
        <v>2.4</v>
      </c>
      <c r="F35" s="20" t="n">
        <v>1200000</v>
      </c>
      <c r="G35" s="18" t="n">
        <v>46307</v>
      </c>
      <c r="H35" s="21" t="n">
        <f aca="false">ROUNDUP(E35,0)</f>
        <v>3</v>
      </c>
      <c r="I35" s="22" t="n">
        <f aca="false">VLOOKUP(D35,Acuan!$A$2:$B$9,2,FALSE())</f>
        <v>13000</v>
      </c>
      <c r="J35" s="22" t="n">
        <f aca="false">H35*I35</f>
        <v>39000</v>
      </c>
      <c r="K35" s="22" t="n">
        <f aca="false">IF(F35&gt;$Q$2,ROUND(F35*$Q$3,0),0)</f>
        <v>6000</v>
      </c>
      <c r="L35" s="22" t="n">
        <f aca="false">J35+K35</f>
        <v>45000</v>
      </c>
      <c r="M35" s="23" t="n">
        <f aca="false">B35+VLOOKUP(D35,Acuan!$A$2:$C$9,3,FALSE())</f>
        <v>46307</v>
      </c>
      <c r="N35" s="24" t="str">
        <f aca="false">IF(G35&lt;=M35,"Tepat Waktu","Terlambat")</f>
        <v>Tepat Waktu</v>
      </c>
    </row>
    <row r="36" customFormat="false" ht="15" hidden="false" customHeight="false" outlineLevel="0" collapsed="false">
      <c r="A36" s="17" t="s">
        <v>176</v>
      </c>
      <c r="B36" s="18" t="n">
        <v>46305</v>
      </c>
      <c r="C36" s="17" t="s">
        <v>177</v>
      </c>
      <c r="D36" s="17" t="s">
        <v>138</v>
      </c>
      <c r="E36" s="19" t="n">
        <v>5</v>
      </c>
      <c r="F36" s="20" t="n">
        <v>250000</v>
      </c>
      <c r="G36" s="18" t="n">
        <v>46308</v>
      </c>
      <c r="H36" s="21" t="n">
        <f aca="false">ROUNDUP(E36,0)</f>
        <v>5</v>
      </c>
      <c r="I36" s="22" t="n">
        <f aca="false">VLOOKUP(D36,Acuan!$A$2:$B$9,2,FALSE())</f>
        <v>13000</v>
      </c>
      <c r="J36" s="22" t="n">
        <f aca="false">H36*I36</f>
        <v>65000</v>
      </c>
      <c r="K36" s="22" t="n">
        <f aca="false">IF(F36&gt;$Q$2,ROUND(F36*$Q$3,0),0)</f>
        <v>0</v>
      </c>
      <c r="L36" s="22" t="n">
        <f aca="false">J36+K36</f>
        <v>65000</v>
      </c>
      <c r="M36" s="23" t="n">
        <f aca="false">B36+VLOOKUP(D36,Acuan!$A$2:$C$9,3,FALSE())</f>
        <v>46308</v>
      </c>
      <c r="N36" s="24" t="str">
        <f aca="false">IF(G36&lt;=M36,"Tepat Waktu","Terlambat")</f>
        <v>Tepat Waktu</v>
      </c>
    </row>
    <row r="37" customFormat="false" ht="15" hidden="false" customHeight="false" outlineLevel="0" collapsed="false">
      <c r="A37" s="17" t="s">
        <v>178</v>
      </c>
      <c r="B37" s="18" t="n">
        <v>46306</v>
      </c>
      <c r="C37" s="17" t="s">
        <v>179</v>
      </c>
      <c r="D37" s="17" t="s">
        <v>98</v>
      </c>
      <c r="E37" s="19" t="n">
        <v>1.3</v>
      </c>
      <c r="F37" s="20" t="n">
        <v>250000</v>
      </c>
      <c r="G37" s="18" t="n">
        <v>46307</v>
      </c>
      <c r="H37" s="21" t="n">
        <f aca="false">ROUNDUP(E37,0)</f>
        <v>2</v>
      </c>
      <c r="I37" s="22" t="n">
        <f aca="false">VLOOKUP(D37,Acuan!$A$2:$B$9,2,FALSE())</f>
        <v>9000</v>
      </c>
      <c r="J37" s="22" t="n">
        <f aca="false">H37*I37</f>
        <v>18000</v>
      </c>
      <c r="K37" s="22" t="n">
        <f aca="false">IF(F37&gt;$Q$2,ROUND(F37*$Q$3,0),0)</f>
        <v>0</v>
      </c>
      <c r="L37" s="22" t="n">
        <f aca="false">J37+K37</f>
        <v>18000</v>
      </c>
      <c r="M37" s="23" t="n">
        <f aca="false">B37+VLOOKUP(D37,Acuan!$A$2:$C$9,3,FALSE())</f>
        <v>46308</v>
      </c>
      <c r="N37" s="24" t="str">
        <f aca="false">IF(G37&lt;=M37,"Tepat Waktu","Terlambat")</f>
        <v>Tepat Waktu</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2"/>
    <col collapsed="false" customWidth="true" hidden="false" outlineLevel="0" max="5" min="5" style="0" width="14"/>
  </cols>
  <sheetData>
    <row r="1" customFormat="false" ht="33.75" hidden="false" customHeight="true" outlineLevel="0" collapsed="false">
      <c r="A1" s="11" t="s">
        <v>180</v>
      </c>
      <c r="B1" s="11" t="s">
        <v>87</v>
      </c>
      <c r="C1" s="11" t="s">
        <v>181</v>
      </c>
      <c r="D1" s="15" t="s">
        <v>182</v>
      </c>
      <c r="E1" s="15" t="s">
        <v>183</v>
      </c>
    </row>
    <row r="2" customFormat="false" ht="15" hidden="false" customHeight="false" outlineLevel="0" collapsed="false">
      <c r="A2" s="17" t="s">
        <v>98</v>
      </c>
      <c r="B2" s="20" t="n">
        <v>9000</v>
      </c>
      <c r="C2" s="28" t="n">
        <v>2</v>
      </c>
      <c r="D2" s="21" t="n">
        <f aca="false">COUNTIF(Data!$D$2:$D$37,A2)</f>
        <v>8</v>
      </c>
      <c r="E2" s="22" t="n">
        <f aca="false">SUMIF(Data!$D$2:$D$37,A2,Data!$J$2:$J$37)</f>
        <v>216000</v>
      </c>
    </row>
    <row r="3" customFormat="false" ht="15" hidden="false" customHeight="false" outlineLevel="0" collapsed="false">
      <c r="A3" s="17" t="s">
        <v>103</v>
      </c>
      <c r="B3" s="20" t="n">
        <v>10000</v>
      </c>
      <c r="C3" s="28" t="n">
        <v>2</v>
      </c>
      <c r="D3" s="21" t="n">
        <f aca="false">COUNTIF(Data!$D$2:$D$37,A3)</f>
        <v>9</v>
      </c>
      <c r="E3" s="22" t="n">
        <f aca="false">SUMIF(Data!$D$2:$D$37,A3,Data!$J$2:$J$37)</f>
        <v>220000</v>
      </c>
    </row>
    <row r="4" customFormat="false" ht="15" hidden="false" customHeight="false" outlineLevel="0" collapsed="false">
      <c r="A4" s="17" t="s">
        <v>108</v>
      </c>
      <c r="B4" s="20" t="n">
        <v>11000</v>
      </c>
      <c r="C4" s="28" t="n">
        <v>3</v>
      </c>
      <c r="D4" s="21" t="n">
        <f aca="false">COUNTIF(Data!$D$2:$D$37,A4)</f>
        <v>2</v>
      </c>
      <c r="E4" s="22" t="n">
        <f aca="false">SUMIF(Data!$D$2:$D$37,A4,Data!$J$2:$J$37)</f>
        <v>55000</v>
      </c>
    </row>
    <row r="5" customFormat="false" ht="15" hidden="false" customHeight="false" outlineLevel="0" collapsed="false">
      <c r="A5" s="17" t="s">
        <v>138</v>
      </c>
      <c r="B5" s="20" t="n">
        <v>13000</v>
      </c>
      <c r="C5" s="28" t="n">
        <v>3</v>
      </c>
      <c r="D5" s="21" t="n">
        <f aca="false">COUNTIF(Data!$D$2:$D$37,A5)</f>
        <v>5</v>
      </c>
      <c r="E5" s="22" t="n">
        <f aca="false">SUMIF(Data!$D$2:$D$37,A5,Data!$J$2:$J$37)</f>
        <v>234000</v>
      </c>
    </row>
    <row r="6" customFormat="false" ht="15" hidden="false" customHeight="false" outlineLevel="0" collapsed="false">
      <c r="A6" s="17" t="s">
        <v>119</v>
      </c>
      <c r="B6" s="20" t="n">
        <v>11000</v>
      </c>
      <c r="C6" s="28" t="n">
        <v>3</v>
      </c>
      <c r="D6" s="21" t="n">
        <f aca="false">COUNTIF(Data!$D$2:$D$37,A6)</f>
        <v>6</v>
      </c>
      <c r="E6" s="22" t="n">
        <f aca="false">SUMIF(Data!$D$2:$D$37,A6,Data!$J$2:$J$37)</f>
        <v>209000</v>
      </c>
    </row>
    <row r="7" customFormat="false" ht="15" hidden="false" customHeight="false" outlineLevel="0" collapsed="false">
      <c r="A7" s="17" t="s">
        <v>143</v>
      </c>
      <c r="B7" s="20" t="n">
        <v>22000</v>
      </c>
      <c r="C7" s="28" t="n">
        <v>5</v>
      </c>
      <c r="D7" s="21" t="n">
        <f aca="false">COUNTIF(Data!$D$2:$D$37,A7)</f>
        <v>2</v>
      </c>
      <c r="E7" s="22" t="n">
        <f aca="false">SUMIF(Data!$D$2:$D$37,A7,Data!$J$2:$J$37)</f>
        <v>66000</v>
      </c>
    </row>
    <row r="8" customFormat="false" ht="15" hidden="false" customHeight="false" outlineLevel="0" collapsed="false">
      <c r="A8" s="17" t="s">
        <v>173</v>
      </c>
      <c r="B8" s="20" t="n">
        <v>25000</v>
      </c>
      <c r="C8" s="28" t="n">
        <v>6</v>
      </c>
      <c r="D8" s="21" t="n">
        <f aca="false">COUNTIF(Data!$D$2:$D$37,A8)</f>
        <v>1</v>
      </c>
      <c r="E8" s="22" t="n">
        <f aca="false">SUMIF(Data!$D$2:$D$37,A8,Data!$J$2:$J$37)</f>
        <v>50000</v>
      </c>
    </row>
    <row r="9" customFormat="false" ht="15" hidden="false" customHeight="false" outlineLevel="0" collapsed="false">
      <c r="A9" s="17" t="s">
        <v>150</v>
      </c>
      <c r="B9" s="20" t="n">
        <v>19000</v>
      </c>
      <c r="C9" s="28" t="n">
        <v>4</v>
      </c>
      <c r="D9" s="21" t="n">
        <f aca="false">COUNTIF(Data!$D$2:$D$37,A9)</f>
        <v>3</v>
      </c>
      <c r="E9" s="22" t="n">
        <f aca="false">SUMIF(Data!$D$2:$D$37,A9,Data!$J$2:$J$37)</f>
        <v>133000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184</v>
      </c>
      <c r="B1" s="29"/>
      <c r="C1" s="29"/>
      <c r="D1" s="29"/>
    </row>
    <row r="2" customFormat="false" ht="15" hidden="false" customHeight="false" outlineLevel="0" collapsed="false">
      <c r="A2" s="30" t="s">
        <v>185</v>
      </c>
      <c r="B2" s="30"/>
      <c r="C2" s="30"/>
      <c r="D2" s="30"/>
    </row>
    <row r="3" customFormat="false" ht="15" hidden="false" customHeight="false" outlineLevel="0" collapsed="false">
      <c r="A3" s="11" t="s">
        <v>19</v>
      </c>
      <c r="B3" s="11" t="s">
        <v>186</v>
      </c>
      <c r="C3" s="11" t="s">
        <v>187</v>
      </c>
      <c r="D3" s="11" t="s">
        <v>188</v>
      </c>
    </row>
    <row r="4" customFormat="false" ht="15" hidden="false" customHeight="false" outlineLevel="0" collapsed="false">
      <c r="A4" s="31" t="s">
        <v>189</v>
      </c>
      <c r="B4" s="32" t="s">
        <v>190</v>
      </c>
      <c r="C4" s="22" t="n">
        <f aca="false">SUM(Data!$J$2:$J$37)</f>
        <v>1183000</v>
      </c>
      <c r="D4" s="33" t="s">
        <v>191</v>
      </c>
    </row>
    <row r="5" customFormat="false" ht="15" hidden="false" customHeight="false" outlineLevel="0" collapsed="false">
      <c r="A5" s="31" t="s">
        <v>192</v>
      </c>
      <c r="B5" s="32" t="s">
        <v>193</v>
      </c>
      <c r="C5" s="22" t="n">
        <f aca="false">SUM(Data!$K$2:$K$37)</f>
        <v>78500</v>
      </c>
      <c r="D5" s="33" t="s">
        <v>194</v>
      </c>
    </row>
    <row r="6" customFormat="false" ht="15" hidden="false" customHeight="false" outlineLevel="0" collapsed="false">
      <c r="A6" s="31" t="s">
        <v>195</v>
      </c>
      <c r="B6" s="32" t="s">
        <v>196</v>
      </c>
      <c r="C6" s="22" t="n">
        <f aca="false">SUM(Data!$L$2:$L$37)</f>
        <v>1261500</v>
      </c>
      <c r="D6" s="33" t="s">
        <v>197</v>
      </c>
    </row>
    <row r="7" customFormat="false" ht="15" hidden="false" customHeight="false" outlineLevel="0" collapsed="false">
      <c r="A7" s="31" t="s">
        <v>198</v>
      </c>
      <c r="B7" s="32" t="s">
        <v>199</v>
      </c>
      <c r="C7" s="21" t="n">
        <f aca="false">COUNTIF(Data!$N$2:$N$37,"Tepat Waktu")</f>
        <v>29</v>
      </c>
      <c r="D7" s="33" t="s">
        <v>200</v>
      </c>
    </row>
    <row r="8" customFormat="false" ht="15" hidden="false" customHeight="false" outlineLevel="0" collapsed="false">
      <c r="A8" s="31" t="s">
        <v>201</v>
      </c>
      <c r="B8" s="32" t="s">
        <v>202</v>
      </c>
      <c r="C8" s="21" t="n">
        <f aca="false">COUNTIF(Data!$N$2:$N$37,"Terlambat")</f>
        <v>7</v>
      </c>
      <c r="D8" s="33" t="s">
        <v>203</v>
      </c>
    </row>
    <row r="9" customFormat="false" ht="15" hidden="false" customHeight="false" outlineLevel="0" collapsed="false">
      <c r="A9" s="31" t="s">
        <v>204</v>
      </c>
      <c r="B9" s="32" t="s">
        <v>205</v>
      </c>
      <c r="C9" s="34" t="n">
        <f aca="false">C7/COUNTA(Data!$A$2:$A$37)</f>
        <v>0.805555555555556</v>
      </c>
      <c r="D9" s="33" t="s">
        <v>206</v>
      </c>
    </row>
    <row r="10" customFormat="false" ht="15" hidden="false" customHeight="false" outlineLevel="0" collapsed="false">
      <c r="A10" s="31" t="s">
        <v>207</v>
      </c>
      <c r="B10" s="32" t="s">
        <v>208</v>
      </c>
      <c r="C10" s="21" t="n">
        <f aca="false">COUNTIFS(Data!$D$2:$D$37,"Jakarta",Data!$N$2:$N$37,"Terlambat")</f>
        <v>1</v>
      </c>
      <c r="D10" s="33" t="s">
        <v>209</v>
      </c>
    </row>
    <row r="11" customFormat="false" ht="15" hidden="false" customHeight="false" outlineLevel="0" collapsed="false">
      <c r="A11" s="31" t="s">
        <v>210</v>
      </c>
      <c r="B11" s="32" t="s">
        <v>211</v>
      </c>
      <c r="C11" s="22" t="n">
        <f aca="false">SUMIF(Data!$D$2:$D$37,"Jakarta",Data!$L$2:$L$37)</f>
        <v>266000</v>
      </c>
      <c r="D11" s="33" t="s">
        <v>212</v>
      </c>
    </row>
    <row r="12" customFormat="false" ht="15" hidden="false" customHeight="false" outlineLevel="0" collapsed="false">
      <c r="A12" s="31" t="s">
        <v>213</v>
      </c>
      <c r="B12" s="32" t="s">
        <v>214</v>
      </c>
      <c r="C12" s="24" t="str">
        <f aca="false">INDEX(Acuan!$A$2:$A$9,MATCH(MAX(Acuan!$D$2:$D$9),Acuan!$D$2:$D$9,0))</f>
        <v>Bandung</v>
      </c>
      <c r="D12" s="33" t="s">
        <v>215</v>
      </c>
    </row>
    <row r="13" customFormat="false" ht="15" hidden="false" customHeight="false" outlineLevel="0" collapsed="false">
      <c r="A13" s="31" t="s">
        <v>216</v>
      </c>
      <c r="B13" s="32" t="s">
        <v>217</v>
      </c>
      <c r="C13" s="24" t="str">
        <f aca="false">INDEX(Data!$C$2:$C$37,MATCH(MAX(Data!$E$2:$E$37),Data!$E$2:$E$37,0))</f>
        <v>Dimas Amalia</v>
      </c>
      <c r="D13" s="33" t="s">
        <v>218</v>
      </c>
    </row>
    <row r="14" customFormat="false" ht="15" hidden="false" customHeight="false" outlineLevel="0" collapsed="false">
      <c r="A14" s="31" t="s">
        <v>219</v>
      </c>
      <c r="B14" s="32" t="s">
        <v>220</v>
      </c>
      <c r="C14" s="35" t="n">
        <f aca="false">AVERAGE(Data!$E$2:$E$37)</f>
        <v>2.27222222222222</v>
      </c>
      <c r="D14" s="33" t="s">
        <v>221</v>
      </c>
    </row>
    <row r="15" customFormat="false" ht="15" hidden="false" customHeight="false" outlineLevel="0" collapsed="false">
      <c r="A15" s="31" t="s">
        <v>222</v>
      </c>
      <c r="B15" s="32" t="s">
        <v>223</v>
      </c>
      <c r="C15" s="21" t="n">
        <f aca="false">COUNTIF(Data!$K$2:$K$37,"&gt;0")</f>
        <v>8</v>
      </c>
      <c r="D15" s="33" t="s">
        <v>224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2026-10-14T23:33:42Z</dcterms:created>
  <dc:creator>PushExcel</dc:creator>
  <dc:description/>
  <dc:language>en-US</dc:language>
  <cp:lastModifiedBy/>
  <dcterms:modified xsi:type="dcterms:W3CDTF">2026-10-14T23:33:42Z</dcterms:modified>
  <cp:revision>0</cp:revision>
  <dc:subject/>
  <dc:title>Pengiriman Paket dan Biaya Ekspedisi - Kunci</dc:title>
</cp:coreProperties>
</file>

<file path=docProps/custom.xml><?xml version="1.0" encoding="utf-8"?>
<Properties xmlns="http://schemas.openxmlformats.org/officeDocument/2006/custom-properties" xmlns:vt="http://schemas.openxmlformats.org/officeDocument/2006/docPropsVTypes"/>
</file>