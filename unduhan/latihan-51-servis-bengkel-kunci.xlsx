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<sst xmlns="http://schemas.openxmlformats.org/spreadsheetml/2006/main" count="320" uniqueCount="212">
  <si>
    <t xml:space="preserve">Kunci Jawaban: Nota Servis Bengkel Motor dan Mobil</t>
  </si>
  <si>
    <t xml:space="preserve">Latihan 51 dari 56  |  Tingkat: Menengah  |  Perkiraan waktu: 55 menit  |  pushexcel.github.io/Pushexcel</t>
  </si>
  <si>
    <t xml:space="preserve">Skenario</t>
  </si>
  <si>
    <t xml:space="preserve">Kamu kasir Bengkel Sinar Motor yang melayani motor dan mobil. Tarif jasa per jam untuk tiap jenis servis ada di sheet Acuan (satu kolom untuk motor, satu untuk mobil). Pelanggan member mendapat diskon 10 persen khusus untuk biaya jasa. Subtotal adalah biaya jasa ditambah suku cadang, lalu dikenai PPN 11 persen (kedua nilai ada di blok Parameter). Nota dengan total bayar sama dengan atau di atas Rp 1.500.000 masuk kategori Besar, sama dengan atau di atas Rp 500.000 kategori Sedang, selain itu Kecil.</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</si>
  <si>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</si>
  <si>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</si>
  <si>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</si>
  <si>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</si>
  <si>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</si>
  <si>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</si>
  <si>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</si>
  <si>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</si>
  <si>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</si>
  <si>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</si>
  <si>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</si>
  <si>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</si>
  <si>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</si>
  <si>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</si>
  <si>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</si>
  <si>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</si>
  <si>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</si>
  <si>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</si>
  <si>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</si>
  <si>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</si>
  <si>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tarif jasa per jam dari sheet Acuan: kolom Tarif Mobil bila kendaraan Mobil, selain itu kolom Tarif Motor.</t>
  </si>
  <si>
    <t xml:space="preserve">Sheet Data, kolom J (Tarif Jasa per Jam), baris 2 sampai 29</t>
  </si>
  <si>
    <t xml:space="preserve">=IF(D2="Mobil";VLOOKUP(E2;Acuan!$A$2:$C$7;3;FALSE);VLOOKUP(E2;Acuan!$A$2:$C$7;2;FALSE))</t>
  </si>
  <si>
    <t xml:space="preserve">2</t>
  </si>
  <si>
    <t xml:space="preserve">Hitung biaya jasa: jam kerja dikali tarif per jam, dikurangi diskon member bila Member Ya. Bulatkan ke rupiah.</t>
  </si>
  <si>
    <t xml:space="preserve">Sheet Data, kolom K (Biaya Jasa), baris 2 sampai 29</t>
  </si>
  <si>
    <t xml:space="preserve">=ROUND(H2*J2*IF(G2="Ya";1-$R$2;1);0)</t>
  </si>
  <si>
    <t xml:space="preserve">3</t>
  </si>
  <si>
    <t xml:space="preserve">Hitung subtotal: biaya jasa ditambah suku cadang.</t>
  </si>
  <si>
    <t xml:space="preserve">Sheet Data, kolom L (Subtotal), baris 2 sampai 29</t>
  </si>
  <si>
    <t xml:space="preserve">=K2+I2</t>
  </si>
  <si>
    <t xml:space="preserve">4</t>
  </si>
  <si>
    <t xml:space="preserve">Hitung PPN dari subtotal, dibulatkan ke rupiah.</t>
  </si>
  <si>
    <t xml:space="preserve">Sheet Data, kolom M (PPN), baris 2 sampai 29</t>
  </si>
  <si>
    <t xml:space="preserve">=ROUND(L2*$R$3;0)</t>
  </si>
  <si>
    <t xml:space="preserve">5</t>
  </si>
  <si>
    <t xml:space="preserve">Hitung total bayar: subtotal ditambah PPN.</t>
  </si>
  <si>
    <t xml:space="preserve">Sheet Data, kolom N (Total Bayar), baris 2 sampai 29</t>
  </si>
  <si>
    <t xml:space="preserve">=L2+M2</t>
  </si>
  <si>
    <t xml:space="preserve">6</t>
  </si>
  <si>
    <t xml:space="preserve">Tentukan kategori nota: Besar bila total sama dengan atau di atas Rp 1.500.000, Sedang bila sama dengan atau di atas Rp 500.000, selain itu Kecil.</t>
  </si>
  <si>
    <t xml:space="preserve">Sheet Data, kolom O (Kategori Nota), baris 2 sampai 29</t>
  </si>
  <si>
    <t xml:space="preserve">=IF(N2&gt;=1500000;"Besar";IF(N2&gt;=500000;"Sedang";"Kecil"))</t>
  </si>
  <si>
    <t xml:space="preserve">7</t>
  </si>
  <si>
    <t xml:space="preserve">Pada sheet Acuan, hitung jumlah nota tiap jenis servis.</t>
  </si>
  <si>
    <t xml:space="preserve">Sheet Acuan, kolom D (Jumlah Nota), baris 2 sampai 7</t>
  </si>
  <si>
    <t xml:space="preserve">=COUNTIF(Data!$E$2:$E$29;A2)</t>
  </si>
  <si>
    <t xml:space="preserve">8</t>
  </si>
  <si>
    <t xml:space="preserve">Pada sheet Acuan, hitung total bayar dari semua nota tiap jenis servis.</t>
  </si>
  <si>
    <t xml:space="preserve">Sheet Acuan, kolom E (Total Pendapatan), baris 2 sampai 7</t>
  </si>
  <si>
    <t xml:space="preserve">=SUMIF(Data!$E$2:$E$29;A2;Data!$N$2:$N$29)</t>
  </si>
  <si>
    <t xml:space="preserve">9</t>
  </si>
  <si>
    <t xml:space="preserve">Berapa total biaya jasa, total suku cadang, total PPN, dan total bayar seluruh nota?</t>
  </si>
  <si>
    <t xml:space="preserve">Sheet Ringkasan, sel C4 sampai C7</t>
  </si>
  <si>
    <t xml:space="preserve">=SUM(Data!$K$2:$K$29)
=SUM(Data!$I$2:$I$29)
=SUM(Data!$M$2:$M$29)
=SUM(Data!$N$2:$N$29)</t>
  </si>
  <si>
    <t xml:space="preserve">10</t>
  </si>
  <si>
    <t xml:space="preserve">Jenis servis apa yang paling banyak dikerjakan, dan jenis apa yang pendapatannya terbesar?</t>
  </si>
  <si>
    <t xml:space="preserve">Sheet Ringkasan, sel C8 sampai C9</t>
  </si>
  <si>
    <t xml:space="preserve">=INDEX(Acuan!$A$2:$A$7;MATCH(MAX(Acuan!$D$2:$D$7);Acuan!$D$2:$D$7;0))
=INDEX(Acuan!$A$2:$A$7;MATCH(MAX(Acuan!$E$2:$E$7);Acuan!$E$2:$E$7;0))</t>
  </si>
  <si>
    <t xml:space="preserve">11</t>
  </si>
  <si>
    <t xml:space="preserve">Berapa total jam kerja untuk mobil, dan berapa rata-rata total bayar nota motor?</t>
  </si>
  <si>
    <t xml:space="preserve">Sheet Ringkasan, sel C10 sampai C11</t>
  </si>
  <si>
    <t xml:space="preserve">=SUMIF(Data!$D$2:$D$29;"Mobil";Data!$H$2:$H$29)
=AVERAGEIF(Data!$D$2:$D$29;"Motor";Data!$N$2:$N$29)</t>
  </si>
  <si>
    <t xml:space="preserve">12</t>
  </si>
  <si>
    <t xml:space="preserve">Berapa total bayar dari nota yang dikerjakan mekanik Budi, dan berapa nota kategori Besar milik pelanggan member?</t>
  </si>
  <si>
    <t xml:space="preserve">Sheet Ringkasan, sel C12 sampai C13</t>
  </si>
  <si>
    <t xml:space="preserve">=SUMIF(Data!$F$2:$F$29;"Budi";Data!$N$2:$N$29)
=COUNTIFS(Data!$O$2:$O$29;"Besar";Data!$G$2:$G$29;"Ya")</t>
  </si>
  <si>
    <t xml:space="preserve">13</t>
  </si>
  <si>
    <t xml:space="preserve">Berapa total bayar nota tertinggi dan terendah, dan siapa pelanggan pemilik nota tertinggi?</t>
  </si>
  <si>
    <t xml:space="preserve">Sheet Ringkasan, sel C14 sampai C16</t>
  </si>
  <si>
    <t xml:space="preserve">=MAX(Data!$N$2:$N$29)
=MIN(Data!$N$2:$N$29)
=INDEX(Data!$C$2:$C$29;MATCH(MAX(Data!$N$2:$N$29);Data!$N$2:$N$29;0))</t>
  </si>
  <si>
    <t xml:space="preserve">No Nota</t>
  </si>
  <si>
    <t xml:space="preserve">Tanggal</t>
  </si>
  <si>
    <t xml:space="preserve">Pelanggan</t>
  </si>
  <si>
    <t xml:space="preserve">Kendaraan</t>
  </si>
  <si>
    <t xml:space="preserve">Jenis Servis</t>
  </si>
  <si>
    <t xml:space="preserve">Mekanik</t>
  </si>
  <si>
    <t xml:space="preserve">Member</t>
  </si>
  <si>
    <t xml:space="preserve">Jam Kerja</t>
  </si>
  <si>
    <t xml:space="preserve">Suku Cadang</t>
  </si>
  <si>
    <t xml:space="preserve">Tarif Jasa per Jam</t>
  </si>
  <si>
    <t xml:space="preserve">Biaya Jasa</t>
  </si>
  <si>
    <t xml:space="preserve">Subtotal</t>
  </si>
  <si>
    <t xml:space="preserve">PPN</t>
  </si>
  <si>
    <t xml:space="preserve">Total Bayar</t>
  </si>
  <si>
    <t xml:space="preserve">Kategori Nota</t>
  </si>
  <si>
    <t xml:space="preserve">Parameter</t>
  </si>
  <si>
    <t xml:space="preserve">Nilai</t>
  </si>
  <si>
    <t xml:space="preserve">Keterangan</t>
  </si>
  <si>
    <t xml:space="preserve">NOTA-001</t>
  </si>
  <si>
    <t xml:space="preserve">Khoirul Saputra</t>
  </si>
  <si>
    <t xml:space="preserve">Motor</t>
  </si>
  <si>
    <t xml:space="preserve">Ganti Aki</t>
  </si>
  <si>
    <t xml:space="preserve">Joko</t>
  </si>
  <si>
    <t xml:space="preserve">Tidak</t>
  </si>
  <si>
    <t xml:space="preserve">Diskon member</t>
  </si>
  <si>
    <t xml:space="preserve">Hanya untuk biaya jasa</t>
  </si>
  <si>
    <t xml:space="preserve">NOTA-002</t>
  </si>
  <si>
    <t xml:space="preserve">Intan Sari</t>
  </si>
  <si>
    <t xml:space="preserve">Servis Berkala</t>
  </si>
  <si>
    <t xml:space="preserve">NOTA-003</t>
  </si>
  <si>
    <t xml:space="preserve">Edi Saputra</t>
  </si>
  <si>
    <t xml:space="preserve">Servis Rem</t>
  </si>
  <si>
    <t xml:space="preserve">Hendra</t>
  </si>
  <si>
    <t xml:space="preserve">NOTA-004</t>
  </si>
  <si>
    <t xml:space="preserve">Khoirul Purnomo</t>
  </si>
  <si>
    <t xml:space="preserve">Mobil</t>
  </si>
  <si>
    <t xml:space="preserve">Wawan</t>
  </si>
  <si>
    <t xml:space="preserve">Ya</t>
  </si>
  <si>
    <t xml:space="preserve">NOTA-005</t>
  </si>
  <si>
    <t xml:space="preserve">Dimas Wijaya</t>
  </si>
  <si>
    <t xml:space="preserve">Ganti Oli</t>
  </si>
  <si>
    <t xml:space="preserve">NOTA-006</t>
  </si>
  <si>
    <t xml:space="preserve">Wahyu Purnomo</t>
  </si>
  <si>
    <t xml:space="preserve">NOTA-007</t>
  </si>
  <si>
    <t xml:space="preserve">Maman Rahayu</t>
  </si>
  <si>
    <t xml:space="preserve">NOTA-008</t>
  </si>
  <si>
    <t xml:space="preserve">Putri Hartono</t>
  </si>
  <si>
    <t xml:space="preserve">NOTA-009</t>
  </si>
  <si>
    <t xml:space="preserve">Hadi Permana</t>
  </si>
  <si>
    <t xml:space="preserve">Budi</t>
  </si>
  <si>
    <t xml:space="preserve">NOTA-010</t>
  </si>
  <si>
    <t xml:space="preserve">Farida Maharani</t>
  </si>
  <si>
    <t xml:space="preserve">Tune Up</t>
  </si>
  <si>
    <t xml:space="preserve">NOTA-011</t>
  </si>
  <si>
    <t xml:space="preserve">Nurul Lestari</t>
  </si>
  <si>
    <t xml:space="preserve">NOTA-012</t>
  </si>
  <si>
    <t xml:space="preserve">Sari Rahayu</t>
  </si>
  <si>
    <t xml:space="preserve">NOTA-013</t>
  </si>
  <si>
    <t xml:space="preserve">Rahmat Wibowo</t>
  </si>
  <si>
    <t xml:space="preserve">NOTA-014</t>
  </si>
  <si>
    <t xml:space="preserve">Farida Utomo</t>
  </si>
  <si>
    <t xml:space="preserve">Ganti Ban</t>
  </si>
  <si>
    <t xml:space="preserve">NOTA-015</t>
  </si>
  <si>
    <t xml:space="preserve">Yuni Syahputra</t>
  </si>
  <si>
    <t xml:space="preserve">NOTA-016</t>
  </si>
  <si>
    <t xml:space="preserve">Hesti Kurniawan</t>
  </si>
  <si>
    <t xml:space="preserve">NOTA-017</t>
  </si>
  <si>
    <t xml:space="preserve">Bayu Anggraini</t>
  </si>
  <si>
    <t xml:space="preserve">NOTA-018</t>
  </si>
  <si>
    <t xml:space="preserve">Lina Maharani</t>
  </si>
  <si>
    <t xml:space="preserve">NOTA-019</t>
  </si>
  <si>
    <t xml:space="preserve">Dimas Hartono</t>
  </si>
  <si>
    <t xml:space="preserve">NOTA-020</t>
  </si>
  <si>
    <t xml:space="preserve">Zainal Wijaya</t>
  </si>
  <si>
    <t xml:space="preserve">NOTA-021</t>
  </si>
  <si>
    <t xml:space="preserve">Lina Hartono</t>
  </si>
  <si>
    <t xml:space="preserve">NOTA-022</t>
  </si>
  <si>
    <t xml:space="preserve">Ayu Kusuma</t>
  </si>
  <si>
    <t xml:space="preserve">NOTA-023</t>
  </si>
  <si>
    <t xml:space="preserve">Ayu Suryani</t>
  </si>
  <si>
    <t xml:space="preserve">NOTA-024</t>
  </si>
  <si>
    <t xml:space="preserve">Vina Suryani</t>
  </si>
  <si>
    <t xml:space="preserve">NOTA-025</t>
  </si>
  <si>
    <t xml:space="preserve">Lestari Firmansyah</t>
  </si>
  <si>
    <t xml:space="preserve">NOTA-026</t>
  </si>
  <si>
    <t xml:space="preserve">Rizki Susanto</t>
  </si>
  <si>
    <t xml:space="preserve">NOTA-027</t>
  </si>
  <si>
    <t xml:space="preserve">Sari Putra</t>
  </si>
  <si>
    <t xml:space="preserve">NOTA-028</t>
  </si>
  <si>
    <t xml:space="preserve">Bambang Pangestu</t>
  </si>
  <si>
    <t xml:space="preserve">Tarif Motor</t>
  </si>
  <si>
    <t xml:space="preserve">Tarif Mobil</t>
  </si>
  <si>
    <t xml:space="preserve">Jumlah Nota</t>
  </si>
  <si>
    <t xml:space="preserve">Total Pendapatan</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</si>
  <si>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</si>
  <si>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</si>
  <si>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</si>
  <si>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</si>
  <si>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</si>
  <si>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</si>
  <si>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Total biaya jasa</t>
  </si>
  <si>
    <t xml:space="preserve">Rupiah, mis. Rp 5.000.000</t>
  </si>
  <si>
    <t xml:space="preserve">9b</t>
  </si>
  <si>
    <t xml:space="preserve">Total suku cadang</t>
  </si>
  <si>
    <t xml:space="preserve">Rupiah, mis. Rp 6.000.000</t>
  </si>
  <si>
    <t xml:space="preserve">9c</t>
  </si>
  <si>
    <t xml:space="preserve">Total PPN</t>
  </si>
  <si>
    <t xml:space="preserve">Rupiah, mis. Rp 1.200.000</t>
  </si>
  <si>
    <t xml:space="preserve">9d</t>
  </si>
  <si>
    <t xml:space="preserve">Total bayar seluruh nota</t>
  </si>
  <si>
    <t xml:space="preserve">Rupiah, mis. Rp 12.000.000</t>
  </si>
  <si>
    <t xml:space="preserve">10a</t>
  </si>
  <si>
    <t xml:space="preserve">Jenis servis paling banyak</t>
  </si>
  <si>
    <t xml:space="preserve">Teks: jenis servis</t>
  </si>
  <si>
    <t xml:space="preserve">10b</t>
  </si>
  <si>
    <t xml:space="preserve">Jenis servis dengan pendapatan terbesar</t>
  </si>
  <si>
    <t xml:space="preserve">11a</t>
  </si>
  <si>
    <t xml:space="preserve">Total jam kerja mobil</t>
  </si>
  <si>
    <t xml:space="preserve">Angka desimal, mis. 25,5</t>
  </si>
  <si>
    <t xml:space="preserve">11b</t>
  </si>
  <si>
    <t xml:space="preserve">Rata-rata total bayar nota motor</t>
  </si>
  <si>
    <t xml:space="preserve">Rupiah, mis. Rp 350.000</t>
  </si>
  <si>
    <t xml:space="preserve">12a</t>
  </si>
  <si>
    <t xml:space="preserve">Total bayar nota mekanik Budi</t>
  </si>
  <si>
    <t xml:space="preserve">Rupiah, mis. Rp 2.500.000</t>
  </si>
  <si>
    <t xml:space="preserve">12b</t>
  </si>
  <si>
    <t xml:space="preserve">Nota Besar milik member</t>
  </si>
  <si>
    <t xml:space="preserve">Angka bulat, mis. 2</t>
  </si>
  <si>
    <t xml:space="preserve">13a</t>
  </si>
  <si>
    <t xml:space="preserve">Total bayar nota tertinggi</t>
  </si>
  <si>
    <t xml:space="preserve">Rupiah, mis. Rp 3.000.000</t>
  </si>
  <si>
    <t xml:space="preserve">13b</t>
  </si>
  <si>
    <t xml:space="preserve">Total bayar nota terendah</t>
  </si>
  <si>
    <t xml:space="preserve">Rupiah, mis. Rp 60.000</t>
  </si>
  <si>
    <t xml:space="preserve">13c</t>
  </si>
  <si>
    <t xml:space="preserve">Pelanggan pemilik nota tertinggi</t>
  </si>
  <si>
    <t xml:space="preserve">Teks: nama pelanggan</t>
  </si>
</sst>
</file>

<file path=xl/styles.xml><?xml version="1.0" encoding="utf-8"?>
<styleSheet xmlns="http://schemas.openxmlformats.org/spreadsheetml/2006/main">
  <numFmts count="6">
    <numFmt numFmtId="164" formatCode="General"/>
    <numFmt numFmtId="165" formatCode="dd/mm/yyyy"/>
    <numFmt numFmtId="166" formatCode="0.0"/>
    <numFmt numFmtId="167" formatCode="&quot;Rp &quot;#,##0"/>
    <numFmt numFmtId="168" formatCode="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72"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7.75" hidden="false" customHeight="true" outlineLevel="0" collapsed="false">
      <c r="A33" s="12" t="s">
        <v>71</v>
      </c>
      <c r="B33" s="13" t="s">
        <v>72</v>
      </c>
      <c r="C33" s="13" t="s">
        <v>73</v>
      </c>
      <c r="D33" s="14"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22"/>
    <col collapsed="false" customWidth="true" hidden="false" outlineLevel="0" max="4" min="4" style="0" width="11"/>
    <col collapsed="false" customWidth="true" hidden="false" outlineLevel="0" max="5" min="5" style="0" width="16"/>
    <col collapsed="false" customWidth="true" hidden="false" outlineLevel="0" max="6" min="6" style="0" width="10"/>
    <col collapsed="false" customWidth="true" hidden="false" outlineLevel="0" max="7" min="7" style="0" width="9"/>
    <col collapsed="false" customWidth="true" hidden="false" outlineLevel="0" max="8" min="8" style="0" width="10"/>
    <col collapsed="false" customWidth="true" hidden="false" outlineLevel="0" max="9" min="9" style="0" width="14"/>
    <col collapsed="false" customWidth="true" hidden="false" outlineLevel="0" max="10" min="10" style="0" width="17"/>
    <col collapsed="false" customWidth="true" hidden="false" outlineLevel="0" max="12" min="11" style="0" width="13"/>
    <col collapsed="false" customWidth="true" hidden="false" outlineLevel="0" max="13" min="13" style="0" width="11"/>
    <col collapsed="false" customWidth="true" hidden="false" outlineLevel="0" max="14" min="14" style="0" width="14"/>
    <col collapsed="false" customWidth="true" hidden="false" outlineLevel="0" max="15" min="15" style="0" width="13"/>
    <col collapsed="false" customWidth="true" hidden="false" outlineLevel="0" max="16" min="16" style="0" width="3"/>
    <col collapsed="false" customWidth="true" hidden="false" outlineLevel="0" max="17" min="17" style="0" width="30"/>
    <col collapsed="false" customWidth="true" hidden="false" outlineLevel="0" max="18" min="18" style="0" width="16"/>
    <col collapsed="false" customWidth="true" hidden="false" outlineLevel="0" max="19" min="19" style="0" width="42"/>
  </cols>
  <sheetData>
    <row r="1" customFormat="false" ht="33.75" hidden="false" customHeight="true" outlineLevel="0" collapsed="false">
      <c r="A1" s="11" t="s">
        <v>75</v>
      </c>
      <c r="B1" s="11" t="s">
        <v>76</v>
      </c>
      <c r="C1" s="11" t="s">
        <v>77</v>
      </c>
      <c r="D1" s="11" t="s">
        <v>78</v>
      </c>
      <c r="E1" s="11" t="s">
        <v>79</v>
      </c>
      <c r="F1" s="11" t="s">
        <v>80</v>
      </c>
      <c r="G1" s="11" t="s">
        <v>81</v>
      </c>
      <c r="H1" s="11" t="s">
        <v>82</v>
      </c>
      <c r="I1" s="11" t="s">
        <v>83</v>
      </c>
      <c r="J1" s="15" t="s">
        <v>84</v>
      </c>
      <c r="K1" s="15" t="s">
        <v>85</v>
      </c>
      <c r="L1" s="15" t="s">
        <v>86</v>
      </c>
      <c r="M1" s="15" t="s">
        <v>87</v>
      </c>
      <c r="N1" s="15" t="s">
        <v>88</v>
      </c>
      <c r="O1" s="15" t="s">
        <v>89</v>
      </c>
      <c r="Q1" s="16" t="s">
        <v>90</v>
      </c>
      <c r="R1" s="16" t="s">
        <v>91</v>
      </c>
      <c r="S1" s="16" t="s">
        <v>92</v>
      </c>
    </row>
    <row r="2" customFormat="false" ht="15" hidden="false" customHeight="false" outlineLevel="0" collapsed="false">
      <c r="A2" s="17" t="s">
        <v>93</v>
      </c>
      <c r="B2" s="18" t="n">
        <v>46296</v>
      </c>
      <c r="C2" s="17" t="s">
        <v>94</v>
      </c>
      <c r="D2" s="17" t="s">
        <v>95</v>
      </c>
      <c r="E2" s="17" t="s">
        <v>96</v>
      </c>
      <c r="F2" s="17" t="s">
        <v>97</v>
      </c>
      <c r="G2" s="17" t="s">
        <v>98</v>
      </c>
      <c r="H2" s="19" t="n">
        <v>1.5</v>
      </c>
      <c r="I2" s="20" t="n">
        <v>65000</v>
      </c>
      <c r="J2" s="21" t="n">
        <f aca="false">IF(D2="Mobil",VLOOKUP(E2,Acuan!$A$2:$C$7,3,FALSE()),VLOOKUP(E2,Acuan!$A$2:$C$7,2,FALSE()))</f>
        <v>40000</v>
      </c>
      <c r="K2" s="21" t="n">
        <f aca="false">ROUND(H2*J2*IF(G2="Ya",1-$R$2,1),0)</f>
        <v>60000</v>
      </c>
      <c r="L2" s="21" t="n">
        <f aca="false">K2+I2</f>
        <v>125000</v>
      </c>
      <c r="M2" s="21" t="n">
        <f aca="false">ROUND(L2*$R$3,0)</f>
        <v>13750</v>
      </c>
      <c r="N2" s="21" t="n">
        <f aca="false">L2+M2</f>
        <v>138750</v>
      </c>
      <c r="O2" s="22" t="str">
        <f aca="false">IF(N2&gt;=1500000,"Besar",IF(N2&gt;=500000,"Sedang","Kecil"))</f>
        <v>Kecil</v>
      </c>
      <c r="Q2" s="23" t="s">
        <v>99</v>
      </c>
      <c r="R2" s="24" t="n">
        <v>0.1</v>
      </c>
      <c r="S2" s="23" t="s">
        <v>100</v>
      </c>
    </row>
    <row r="3" customFormat="false" ht="15" hidden="false" customHeight="false" outlineLevel="0" collapsed="false">
      <c r="A3" s="17" t="s">
        <v>101</v>
      </c>
      <c r="B3" s="18" t="n">
        <v>46296</v>
      </c>
      <c r="C3" s="17" t="s">
        <v>102</v>
      </c>
      <c r="D3" s="17" t="s">
        <v>95</v>
      </c>
      <c r="E3" s="17" t="s">
        <v>103</v>
      </c>
      <c r="F3" s="17" t="s">
        <v>97</v>
      </c>
      <c r="G3" s="17" t="s">
        <v>98</v>
      </c>
      <c r="H3" s="19" t="n">
        <v>2.5</v>
      </c>
      <c r="I3" s="20" t="n">
        <v>90000</v>
      </c>
      <c r="J3" s="21" t="n">
        <f aca="false">IF(D3="Mobil",VLOOKUP(E3,Acuan!$A$2:$C$7,3,FALSE()),VLOOKUP(E3,Acuan!$A$2:$C$7,2,FALSE()))</f>
        <v>90000</v>
      </c>
      <c r="K3" s="21" t="n">
        <f aca="false">ROUND(H3*J3*IF(G3="Ya",1-$R$2,1),0)</f>
        <v>225000</v>
      </c>
      <c r="L3" s="21" t="n">
        <f aca="false">K3+I3</f>
        <v>315000</v>
      </c>
      <c r="M3" s="21" t="n">
        <f aca="false">ROUND(L3*$R$3,0)</f>
        <v>34650</v>
      </c>
      <c r="N3" s="21" t="n">
        <f aca="false">L3+M3</f>
        <v>349650</v>
      </c>
      <c r="O3" s="22" t="str">
        <f aca="false">IF(N3&gt;=1500000,"Besar",IF(N3&gt;=500000,"Sedang","Kecil"))</f>
        <v>Kecil</v>
      </c>
      <c r="Q3" s="23" t="s">
        <v>87</v>
      </c>
      <c r="R3" s="24" t="n">
        <v>0.11</v>
      </c>
      <c r="S3" s="23"/>
    </row>
    <row r="4" customFormat="false" ht="15" hidden="false" customHeight="false" outlineLevel="0" collapsed="false">
      <c r="A4" s="17" t="s">
        <v>104</v>
      </c>
      <c r="B4" s="18" t="n">
        <v>46297</v>
      </c>
      <c r="C4" s="17" t="s">
        <v>105</v>
      </c>
      <c r="D4" s="17" t="s">
        <v>95</v>
      </c>
      <c r="E4" s="17" t="s">
        <v>106</v>
      </c>
      <c r="F4" s="17" t="s">
        <v>107</v>
      </c>
      <c r="G4" s="17" t="s">
        <v>98</v>
      </c>
      <c r="H4" s="19" t="n">
        <v>1.5</v>
      </c>
      <c r="I4" s="20" t="n">
        <v>40000</v>
      </c>
      <c r="J4" s="21" t="n">
        <f aca="false">IF(D4="Mobil",VLOOKUP(E4,Acuan!$A$2:$C$7,3,FALSE()),VLOOKUP(E4,Acuan!$A$2:$C$7,2,FALSE()))</f>
        <v>80000</v>
      </c>
      <c r="K4" s="21" t="n">
        <f aca="false">ROUND(H4*J4*IF(G4="Ya",1-$R$2,1),0)</f>
        <v>120000</v>
      </c>
      <c r="L4" s="21" t="n">
        <f aca="false">K4+I4</f>
        <v>160000</v>
      </c>
      <c r="M4" s="21" t="n">
        <f aca="false">ROUND(L4*$R$3,0)</f>
        <v>17600</v>
      </c>
      <c r="N4" s="21" t="n">
        <f aca="false">L4+M4</f>
        <v>177600</v>
      </c>
      <c r="O4" s="22" t="str">
        <f aca="false">IF(N4&gt;=1500000,"Besar",IF(N4&gt;=500000,"Sedang","Kecil"))</f>
        <v>Kecil</v>
      </c>
    </row>
    <row r="5" customFormat="false" ht="15" hidden="false" customHeight="false" outlineLevel="0" collapsed="false">
      <c r="A5" s="17" t="s">
        <v>108</v>
      </c>
      <c r="B5" s="18" t="n">
        <v>46298</v>
      </c>
      <c r="C5" s="17" t="s">
        <v>109</v>
      </c>
      <c r="D5" s="17" t="s">
        <v>110</v>
      </c>
      <c r="E5" s="17" t="s">
        <v>96</v>
      </c>
      <c r="F5" s="17" t="s">
        <v>111</v>
      </c>
      <c r="G5" s="17" t="s">
        <v>112</v>
      </c>
      <c r="H5" s="19" t="n">
        <v>1.5</v>
      </c>
      <c r="I5" s="20" t="n">
        <v>0</v>
      </c>
      <c r="J5" s="21" t="n">
        <f aca="false">IF(D5="Mobil",VLOOKUP(E5,Acuan!$A$2:$C$7,3,FALSE()),VLOOKUP(E5,Acuan!$A$2:$C$7,2,FALSE()))</f>
        <v>60000</v>
      </c>
      <c r="K5" s="21" t="n">
        <f aca="false">ROUND(H5*J5*IF(G5="Ya",1-$R$2,1),0)</f>
        <v>81000</v>
      </c>
      <c r="L5" s="21" t="n">
        <f aca="false">K5+I5</f>
        <v>81000</v>
      </c>
      <c r="M5" s="21" t="n">
        <f aca="false">ROUND(L5*$R$3,0)</f>
        <v>8910</v>
      </c>
      <c r="N5" s="21" t="n">
        <f aca="false">L5+M5</f>
        <v>89910</v>
      </c>
      <c r="O5" s="22" t="str">
        <f aca="false">IF(N5&gt;=1500000,"Besar",IF(N5&gt;=500000,"Sedang","Kecil"))</f>
        <v>Kecil</v>
      </c>
    </row>
    <row r="6" customFormat="false" ht="15" hidden="false" customHeight="false" outlineLevel="0" collapsed="false">
      <c r="A6" s="17" t="s">
        <v>113</v>
      </c>
      <c r="B6" s="18" t="n">
        <v>46299</v>
      </c>
      <c r="C6" s="17" t="s">
        <v>114</v>
      </c>
      <c r="D6" s="17" t="s">
        <v>110</v>
      </c>
      <c r="E6" s="17" t="s">
        <v>115</v>
      </c>
      <c r="F6" s="17" t="s">
        <v>111</v>
      </c>
      <c r="G6" s="17" t="s">
        <v>98</v>
      </c>
      <c r="H6" s="19" t="n">
        <v>1</v>
      </c>
      <c r="I6" s="20" t="n">
        <v>1400000</v>
      </c>
      <c r="J6" s="21" t="n">
        <f aca="false">IF(D6="Mobil",VLOOKUP(E6,Acuan!$A$2:$C$7,3,FALSE()),VLOOKUP(E6,Acuan!$A$2:$C$7,2,FALSE()))</f>
        <v>80000</v>
      </c>
      <c r="K6" s="21" t="n">
        <f aca="false">ROUND(H6*J6*IF(G6="Ya",1-$R$2,1),0)</f>
        <v>80000</v>
      </c>
      <c r="L6" s="21" t="n">
        <f aca="false">K6+I6</f>
        <v>1480000</v>
      </c>
      <c r="M6" s="21" t="n">
        <f aca="false">ROUND(L6*$R$3,0)</f>
        <v>162800</v>
      </c>
      <c r="N6" s="21" t="n">
        <f aca="false">L6+M6</f>
        <v>1642800</v>
      </c>
      <c r="O6" s="22" t="str">
        <f aca="false">IF(N6&gt;=1500000,"Besar",IF(N6&gt;=500000,"Sedang","Kecil"))</f>
        <v>Besar</v>
      </c>
    </row>
    <row r="7" customFormat="false" ht="15" hidden="false" customHeight="false" outlineLevel="0" collapsed="false">
      <c r="A7" s="17" t="s">
        <v>116</v>
      </c>
      <c r="B7" s="18" t="n">
        <v>46299</v>
      </c>
      <c r="C7" s="17" t="s">
        <v>117</v>
      </c>
      <c r="D7" s="17" t="s">
        <v>95</v>
      </c>
      <c r="E7" s="17" t="s">
        <v>103</v>
      </c>
      <c r="F7" s="17" t="s">
        <v>97</v>
      </c>
      <c r="G7" s="17" t="s">
        <v>112</v>
      </c>
      <c r="H7" s="19" t="n">
        <v>2.5</v>
      </c>
      <c r="I7" s="20" t="n">
        <v>300000</v>
      </c>
      <c r="J7" s="21" t="n">
        <f aca="false">IF(D7="Mobil",VLOOKUP(E7,Acuan!$A$2:$C$7,3,FALSE()),VLOOKUP(E7,Acuan!$A$2:$C$7,2,FALSE()))</f>
        <v>90000</v>
      </c>
      <c r="K7" s="21" t="n">
        <f aca="false">ROUND(H7*J7*IF(G7="Ya",1-$R$2,1),0)</f>
        <v>202500</v>
      </c>
      <c r="L7" s="21" t="n">
        <f aca="false">K7+I7</f>
        <v>502500</v>
      </c>
      <c r="M7" s="21" t="n">
        <f aca="false">ROUND(L7*$R$3,0)</f>
        <v>55275</v>
      </c>
      <c r="N7" s="21" t="n">
        <f aca="false">L7+M7</f>
        <v>557775</v>
      </c>
      <c r="O7" s="22" t="str">
        <f aca="false">IF(N7&gt;=1500000,"Besar",IF(N7&gt;=500000,"Sedang","Kecil"))</f>
        <v>Sedang</v>
      </c>
    </row>
    <row r="8" customFormat="false" ht="15" hidden="false" customHeight="false" outlineLevel="0" collapsed="false">
      <c r="A8" s="17" t="s">
        <v>118</v>
      </c>
      <c r="B8" s="18" t="n">
        <v>46299</v>
      </c>
      <c r="C8" s="17" t="s">
        <v>119</v>
      </c>
      <c r="D8" s="17" t="s">
        <v>110</v>
      </c>
      <c r="E8" s="17" t="s">
        <v>103</v>
      </c>
      <c r="F8" s="17" t="s">
        <v>97</v>
      </c>
      <c r="G8" s="17" t="s">
        <v>98</v>
      </c>
      <c r="H8" s="19" t="n">
        <v>1.5</v>
      </c>
      <c r="I8" s="20" t="n">
        <v>85000</v>
      </c>
      <c r="J8" s="21" t="n">
        <f aca="false">IF(D8="Mobil",VLOOKUP(E8,Acuan!$A$2:$C$7,3,FALSE()),VLOOKUP(E8,Acuan!$A$2:$C$7,2,FALSE()))</f>
        <v>150000</v>
      </c>
      <c r="K8" s="21" t="n">
        <f aca="false">ROUND(H8*J8*IF(G8="Ya",1-$R$2,1),0)</f>
        <v>225000</v>
      </c>
      <c r="L8" s="21" t="n">
        <f aca="false">K8+I8</f>
        <v>310000</v>
      </c>
      <c r="M8" s="21" t="n">
        <f aca="false">ROUND(L8*$R$3,0)</f>
        <v>34100</v>
      </c>
      <c r="N8" s="21" t="n">
        <f aca="false">L8+M8</f>
        <v>344100</v>
      </c>
      <c r="O8" s="22" t="str">
        <f aca="false">IF(N8&gt;=1500000,"Besar",IF(N8&gt;=500000,"Sedang","Kecil"))</f>
        <v>Kecil</v>
      </c>
    </row>
    <row r="9" customFormat="false" ht="15" hidden="false" customHeight="false" outlineLevel="0" collapsed="false">
      <c r="A9" s="17" t="s">
        <v>120</v>
      </c>
      <c r="B9" s="18" t="n">
        <v>46300</v>
      </c>
      <c r="C9" s="17" t="s">
        <v>121</v>
      </c>
      <c r="D9" s="17" t="s">
        <v>95</v>
      </c>
      <c r="E9" s="17" t="s">
        <v>115</v>
      </c>
      <c r="F9" s="17" t="s">
        <v>111</v>
      </c>
      <c r="G9" s="17" t="s">
        <v>98</v>
      </c>
      <c r="H9" s="19" t="n">
        <v>1</v>
      </c>
      <c r="I9" s="20" t="n">
        <v>0</v>
      </c>
      <c r="J9" s="21" t="n">
        <f aca="false">IF(D9="Mobil",VLOOKUP(E9,Acuan!$A$2:$C$7,3,FALSE()),VLOOKUP(E9,Acuan!$A$2:$C$7,2,FALSE()))</f>
        <v>50000</v>
      </c>
      <c r="K9" s="21" t="n">
        <f aca="false">ROUND(H9*J9*IF(G9="Ya",1-$R$2,1),0)</f>
        <v>50000</v>
      </c>
      <c r="L9" s="21" t="n">
        <f aca="false">K9+I9</f>
        <v>50000</v>
      </c>
      <c r="M9" s="21" t="n">
        <f aca="false">ROUND(L9*$R$3,0)</f>
        <v>5500</v>
      </c>
      <c r="N9" s="21" t="n">
        <f aca="false">L9+M9</f>
        <v>55500</v>
      </c>
      <c r="O9" s="22" t="str">
        <f aca="false">IF(N9&gt;=1500000,"Besar",IF(N9&gt;=500000,"Sedang","Kecil"))</f>
        <v>Kecil</v>
      </c>
    </row>
    <row r="10" customFormat="false" ht="15" hidden="false" customHeight="false" outlineLevel="0" collapsed="false">
      <c r="A10" s="17" t="s">
        <v>122</v>
      </c>
      <c r="B10" s="18" t="n">
        <v>46300</v>
      </c>
      <c r="C10" s="17" t="s">
        <v>123</v>
      </c>
      <c r="D10" s="17" t="s">
        <v>95</v>
      </c>
      <c r="E10" s="17" t="s">
        <v>115</v>
      </c>
      <c r="F10" s="17" t="s">
        <v>124</v>
      </c>
      <c r="G10" s="17" t="s">
        <v>112</v>
      </c>
      <c r="H10" s="19" t="n">
        <v>0.5</v>
      </c>
      <c r="I10" s="20" t="n">
        <v>25000</v>
      </c>
      <c r="J10" s="21" t="n">
        <f aca="false">IF(D10="Mobil",VLOOKUP(E10,Acuan!$A$2:$C$7,3,FALSE()),VLOOKUP(E10,Acuan!$A$2:$C$7,2,FALSE()))</f>
        <v>50000</v>
      </c>
      <c r="K10" s="21" t="n">
        <f aca="false">ROUND(H10*J10*IF(G10="Ya",1-$R$2,1),0)</f>
        <v>22500</v>
      </c>
      <c r="L10" s="21" t="n">
        <f aca="false">K10+I10</f>
        <v>47500</v>
      </c>
      <c r="M10" s="21" t="n">
        <f aca="false">ROUND(L10*$R$3,0)</f>
        <v>5225</v>
      </c>
      <c r="N10" s="21" t="n">
        <f aca="false">L10+M10</f>
        <v>52725</v>
      </c>
      <c r="O10" s="22" t="str">
        <f aca="false">IF(N10&gt;=1500000,"Besar",IF(N10&gt;=500000,"Sedang","Kecil"))</f>
        <v>Kecil</v>
      </c>
    </row>
    <row r="11" customFormat="false" ht="15" hidden="false" customHeight="false" outlineLevel="0" collapsed="false">
      <c r="A11" s="17" t="s">
        <v>125</v>
      </c>
      <c r="B11" s="18" t="n">
        <v>46301</v>
      </c>
      <c r="C11" s="17" t="s">
        <v>126</v>
      </c>
      <c r="D11" s="17" t="s">
        <v>110</v>
      </c>
      <c r="E11" s="17" t="s">
        <v>127</v>
      </c>
      <c r="F11" s="17" t="s">
        <v>97</v>
      </c>
      <c r="G11" s="17" t="s">
        <v>98</v>
      </c>
      <c r="H11" s="19" t="n">
        <v>2</v>
      </c>
      <c r="I11" s="20" t="n">
        <v>1400000</v>
      </c>
      <c r="J11" s="21" t="n">
        <f aca="false">IF(D11="Mobil",VLOOKUP(E11,Acuan!$A$2:$C$7,3,FALSE()),VLOOKUP(E11,Acuan!$A$2:$C$7,2,FALSE()))</f>
        <v>180000</v>
      </c>
      <c r="K11" s="21" t="n">
        <f aca="false">ROUND(H11*J11*IF(G11="Ya",1-$R$2,1),0)</f>
        <v>360000</v>
      </c>
      <c r="L11" s="21" t="n">
        <f aca="false">K11+I11</f>
        <v>1760000</v>
      </c>
      <c r="M11" s="21" t="n">
        <f aca="false">ROUND(L11*$R$3,0)</f>
        <v>193600</v>
      </c>
      <c r="N11" s="21" t="n">
        <f aca="false">L11+M11</f>
        <v>1953600</v>
      </c>
      <c r="O11" s="22" t="str">
        <f aca="false">IF(N11&gt;=1500000,"Besar",IF(N11&gt;=500000,"Sedang","Kecil"))</f>
        <v>Besar</v>
      </c>
    </row>
    <row r="12" customFormat="false" ht="15" hidden="false" customHeight="false" outlineLevel="0" collapsed="false">
      <c r="A12" s="17" t="s">
        <v>128</v>
      </c>
      <c r="B12" s="18" t="n">
        <v>46301</v>
      </c>
      <c r="C12" s="17" t="s">
        <v>129</v>
      </c>
      <c r="D12" s="17" t="s">
        <v>110</v>
      </c>
      <c r="E12" s="17" t="s">
        <v>106</v>
      </c>
      <c r="F12" s="17" t="s">
        <v>111</v>
      </c>
      <c r="G12" s="17" t="s">
        <v>112</v>
      </c>
      <c r="H12" s="19" t="n">
        <v>2.5</v>
      </c>
      <c r="I12" s="20" t="n">
        <v>1400000</v>
      </c>
      <c r="J12" s="21" t="n">
        <f aca="false">IF(D12="Mobil",VLOOKUP(E12,Acuan!$A$2:$C$7,3,FALSE()),VLOOKUP(E12,Acuan!$A$2:$C$7,2,FALSE()))</f>
        <v>130000</v>
      </c>
      <c r="K12" s="21" t="n">
        <f aca="false">ROUND(H12*J12*IF(G12="Ya",1-$R$2,1),0)</f>
        <v>292500</v>
      </c>
      <c r="L12" s="21" t="n">
        <f aca="false">K12+I12</f>
        <v>1692500</v>
      </c>
      <c r="M12" s="21" t="n">
        <f aca="false">ROUND(L12*$R$3,0)</f>
        <v>186175</v>
      </c>
      <c r="N12" s="21" t="n">
        <f aca="false">L12+M12</f>
        <v>1878675</v>
      </c>
      <c r="O12" s="22" t="str">
        <f aca="false">IF(N12&gt;=1500000,"Besar",IF(N12&gt;=500000,"Sedang","Kecil"))</f>
        <v>Besar</v>
      </c>
    </row>
    <row r="13" customFormat="false" ht="15" hidden="false" customHeight="false" outlineLevel="0" collapsed="false">
      <c r="A13" s="17" t="s">
        <v>130</v>
      </c>
      <c r="B13" s="18" t="n">
        <v>46302</v>
      </c>
      <c r="C13" s="17" t="s">
        <v>131</v>
      </c>
      <c r="D13" s="17" t="s">
        <v>110</v>
      </c>
      <c r="E13" s="17" t="s">
        <v>106</v>
      </c>
      <c r="F13" s="17" t="s">
        <v>97</v>
      </c>
      <c r="G13" s="17" t="s">
        <v>112</v>
      </c>
      <c r="H13" s="19" t="n">
        <v>3</v>
      </c>
      <c r="I13" s="20" t="n">
        <v>35000</v>
      </c>
      <c r="J13" s="21" t="n">
        <f aca="false">IF(D13="Mobil",VLOOKUP(E13,Acuan!$A$2:$C$7,3,FALSE()),VLOOKUP(E13,Acuan!$A$2:$C$7,2,FALSE()))</f>
        <v>130000</v>
      </c>
      <c r="K13" s="21" t="n">
        <f aca="false">ROUND(H13*J13*IF(G13="Ya",1-$R$2,1),0)</f>
        <v>351000</v>
      </c>
      <c r="L13" s="21" t="n">
        <f aca="false">K13+I13</f>
        <v>386000</v>
      </c>
      <c r="M13" s="21" t="n">
        <f aca="false">ROUND(L13*$R$3,0)</f>
        <v>42460</v>
      </c>
      <c r="N13" s="21" t="n">
        <f aca="false">L13+M13</f>
        <v>428460</v>
      </c>
      <c r="O13" s="22" t="str">
        <f aca="false">IF(N13&gt;=1500000,"Besar",IF(N13&gt;=500000,"Sedang","Kecil"))</f>
        <v>Kecil</v>
      </c>
    </row>
    <row r="14" customFormat="false" ht="15" hidden="false" customHeight="false" outlineLevel="0" collapsed="false">
      <c r="A14" s="17" t="s">
        <v>132</v>
      </c>
      <c r="B14" s="18" t="n">
        <v>46302</v>
      </c>
      <c r="C14" s="17" t="s">
        <v>133</v>
      </c>
      <c r="D14" s="17" t="s">
        <v>95</v>
      </c>
      <c r="E14" s="17" t="s">
        <v>96</v>
      </c>
      <c r="F14" s="17" t="s">
        <v>107</v>
      </c>
      <c r="G14" s="17" t="s">
        <v>98</v>
      </c>
      <c r="H14" s="19" t="n">
        <v>1.5</v>
      </c>
      <c r="I14" s="20" t="n">
        <v>300000</v>
      </c>
      <c r="J14" s="21" t="n">
        <f aca="false">IF(D14="Mobil",VLOOKUP(E14,Acuan!$A$2:$C$7,3,FALSE()),VLOOKUP(E14,Acuan!$A$2:$C$7,2,FALSE()))</f>
        <v>40000</v>
      </c>
      <c r="K14" s="21" t="n">
        <f aca="false">ROUND(H14*J14*IF(G14="Ya",1-$R$2,1),0)</f>
        <v>60000</v>
      </c>
      <c r="L14" s="21" t="n">
        <f aca="false">K14+I14</f>
        <v>360000</v>
      </c>
      <c r="M14" s="21" t="n">
        <f aca="false">ROUND(L14*$R$3,0)</f>
        <v>39600</v>
      </c>
      <c r="N14" s="21" t="n">
        <f aca="false">L14+M14</f>
        <v>399600</v>
      </c>
      <c r="O14" s="22" t="str">
        <f aca="false">IF(N14&gt;=1500000,"Besar",IF(N14&gt;=500000,"Sedang","Kecil"))</f>
        <v>Kecil</v>
      </c>
    </row>
    <row r="15" customFormat="false" ht="15" hidden="false" customHeight="false" outlineLevel="0" collapsed="false">
      <c r="A15" s="17" t="s">
        <v>134</v>
      </c>
      <c r="B15" s="18" t="n">
        <v>46302</v>
      </c>
      <c r="C15" s="17" t="s">
        <v>135</v>
      </c>
      <c r="D15" s="17" t="s">
        <v>110</v>
      </c>
      <c r="E15" s="17" t="s">
        <v>136</v>
      </c>
      <c r="F15" s="17" t="s">
        <v>97</v>
      </c>
      <c r="G15" s="17" t="s">
        <v>98</v>
      </c>
      <c r="H15" s="19" t="n">
        <v>1.5</v>
      </c>
      <c r="I15" s="20" t="n">
        <v>450000</v>
      </c>
      <c r="J15" s="21" t="n">
        <f aca="false">IF(D15="Mobil",VLOOKUP(E15,Acuan!$A$2:$C$7,3,FALSE()),VLOOKUP(E15,Acuan!$A$2:$C$7,2,FALSE()))</f>
        <v>60000</v>
      </c>
      <c r="K15" s="21" t="n">
        <f aca="false">ROUND(H15*J15*IF(G15="Ya",1-$R$2,1),0)</f>
        <v>90000</v>
      </c>
      <c r="L15" s="21" t="n">
        <f aca="false">K15+I15</f>
        <v>540000</v>
      </c>
      <c r="M15" s="21" t="n">
        <f aca="false">ROUND(L15*$R$3,0)</f>
        <v>59400</v>
      </c>
      <c r="N15" s="21" t="n">
        <f aca="false">L15+M15</f>
        <v>599400</v>
      </c>
      <c r="O15" s="22" t="str">
        <f aca="false">IF(N15&gt;=1500000,"Besar",IF(N15&gt;=500000,"Sedang","Kecil"))</f>
        <v>Sedang</v>
      </c>
    </row>
    <row r="16" customFormat="false" ht="15" hidden="false" customHeight="false" outlineLevel="0" collapsed="false">
      <c r="A16" s="17" t="s">
        <v>137</v>
      </c>
      <c r="B16" s="18" t="n">
        <v>46302</v>
      </c>
      <c r="C16" s="17" t="s">
        <v>138</v>
      </c>
      <c r="D16" s="17" t="s">
        <v>110</v>
      </c>
      <c r="E16" s="17" t="s">
        <v>115</v>
      </c>
      <c r="F16" s="17" t="s">
        <v>107</v>
      </c>
      <c r="G16" s="17" t="s">
        <v>98</v>
      </c>
      <c r="H16" s="19" t="n">
        <v>0.5</v>
      </c>
      <c r="I16" s="20" t="n">
        <v>1400000</v>
      </c>
      <c r="J16" s="21" t="n">
        <f aca="false">IF(D16="Mobil",VLOOKUP(E16,Acuan!$A$2:$C$7,3,FALSE()),VLOOKUP(E16,Acuan!$A$2:$C$7,2,FALSE()))</f>
        <v>80000</v>
      </c>
      <c r="K16" s="21" t="n">
        <f aca="false">ROUND(H16*J16*IF(G16="Ya",1-$R$2,1),0)</f>
        <v>40000</v>
      </c>
      <c r="L16" s="21" t="n">
        <f aca="false">K16+I16</f>
        <v>1440000</v>
      </c>
      <c r="M16" s="21" t="n">
        <f aca="false">ROUND(L16*$R$3,0)</f>
        <v>158400</v>
      </c>
      <c r="N16" s="21" t="n">
        <f aca="false">L16+M16</f>
        <v>1598400</v>
      </c>
      <c r="O16" s="22" t="str">
        <f aca="false">IF(N16&gt;=1500000,"Besar",IF(N16&gt;=500000,"Sedang","Kecil"))</f>
        <v>Besar</v>
      </c>
    </row>
    <row r="17" customFormat="false" ht="15" hidden="false" customHeight="false" outlineLevel="0" collapsed="false">
      <c r="A17" s="17" t="s">
        <v>139</v>
      </c>
      <c r="B17" s="18" t="n">
        <v>46303</v>
      </c>
      <c r="C17" s="17" t="s">
        <v>140</v>
      </c>
      <c r="D17" s="17" t="s">
        <v>110</v>
      </c>
      <c r="E17" s="17" t="s">
        <v>127</v>
      </c>
      <c r="F17" s="17" t="s">
        <v>97</v>
      </c>
      <c r="G17" s="17" t="s">
        <v>98</v>
      </c>
      <c r="H17" s="19" t="n">
        <v>1</v>
      </c>
      <c r="I17" s="20" t="n">
        <v>1400000</v>
      </c>
      <c r="J17" s="21" t="n">
        <f aca="false">IF(D17="Mobil",VLOOKUP(E17,Acuan!$A$2:$C$7,3,FALSE()),VLOOKUP(E17,Acuan!$A$2:$C$7,2,FALSE()))</f>
        <v>180000</v>
      </c>
      <c r="K17" s="21" t="n">
        <f aca="false">ROUND(H17*J17*IF(G17="Ya",1-$R$2,1),0)</f>
        <v>180000</v>
      </c>
      <c r="L17" s="21" t="n">
        <f aca="false">K17+I17</f>
        <v>1580000</v>
      </c>
      <c r="M17" s="21" t="n">
        <f aca="false">ROUND(L17*$R$3,0)</f>
        <v>173800</v>
      </c>
      <c r="N17" s="21" t="n">
        <f aca="false">L17+M17</f>
        <v>1753800</v>
      </c>
      <c r="O17" s="22" t="str">
        <f aca="false">IF(N17&gt;=1500000,"Besar",IF(N17&gt;=500000,"Sedang","Kecil"))</f>
        <v>Besar</v>
      </c>
    </row>
    <row r="18" customFormat="false" ht="15" hidden="false" customHeight="false" outlineLevel="0" collapsed="false">
      <c r="A18" s="17" t="s">
        <v>141</v>
      </c>
      <c r="B18" s="18" t="n">
        <v>46303</v>
      </c>
      <c r="C18" s="17" t="s">
        <v>142</v>
      </c>
      <c r="D18" s="17" t="s">
        <v>95</v>
      </c>
      <c r="E18" s="17" t="s">
        <v>115</v>
      </c>
      <c r="F18" s="17" t="s">
        <v>97</v>
      </c>
      <c r="G18" s="17" t="s">
        <v>98</v>
      </c>
      <c r="H18" s="19" t="n">
        <v>1</v>
      </c>
      <c r="I18" s="20" t="n">
        <v>300000</v>
      </c>
      <c r="J18" s="21" t="n">
        <f aca="false">IF(D18="Mobil",VLOOKUP(E18,Acuan!$A$2:$C$7,3,FALSE()),VLOOKUP(E18,Acuan!$A$2:$C$7,2,FALSE()))</f>
        <v>50000</v>
      </c>
      <c r="K18" s="21" t="n">
        <f aca="false">ROUND(H18*J18*IF(G18="Ya",1-$R$2,1),0)</f>
        <v>50000</v>
      </c>
      <c r="L18" s="21" t="n">
        <f aca="false">K18+I18</f>
        <v>350000</v>
      </c>
      <c r="M18" s="21" t="n">
        <f aca="false">ROUND(L18*$R$3,0)</f>
        <v>38500</v>
      </c>
      <c r="N18" s="21" t="n">
        <f aca="false">L18+M18</f>
        <v>388500</v>
      </c>
      <c r="O18" s="22" t="str">
        <f aca="false">IF(N18&gt;=1500000,"Besar",IF(N18&gt;=500000,"Sedang","Kecil"))</f>
        <v>Kecil</v>
      </c>
    </row>
    <row r="19" customFormat="false" ht="15" hidden="false" customHeight="false" outlineLevel="0" collapsed="false">
      <c r="A19" s="17" t="s">
        <v>143</v>
      </c>
      <c r="B19" s="18" t="n">
        <v>46304</v>
      </c>
      <c r="C19" s="17" t="s">
        <v>144</v>
      </c>
      <c r="D19" s="17" t="s">
        <v>95</v>
      </c>
      <c r="E19" s="17" t="s">
        <v>103</v>
      </c>
      <c r="F19" s="17" t="s">
        <v>124</v>
      </c>
      <c r="G19" s="17" t="s">
        <v>98</v>
      </c>
      <c r="H19" s="19" t="n">
        <v>1.5</v>
      </c>
      <c r="I19" s="20" t="n">
        <v>25000</v>
      </c>
      <c r="J19" s="21" t="n">
        <f aca="false">IF(D19="Mobil",VLOOKUP(E19,Acuan!$A$2:$C$7,3,FALSE()),VLOOKUP(E19,Acuan!$A$2:$C$7,2,FALSE()))</f>
        <v>90000</v>
      </c>
      <c r="K19" s="21" t="n">
        <f aca="false">ROUND(H19*J19*IF(G19="Ya",1-$R$2,1),0)</f>
        <v>135000</v>
      </c>
      <c r="L19" s="21" t="n">
        <f aca="false">K19+I19</f>
        <v>160000</v>
      </c>
      <c r="M19" s="21" t="n">
        <f aca="false">ROUND(L19*$R$3,0)</f>
        <v>17600</v>
      </c>
      <c r="N19" s="21" t="n">
        <f aca="false">L19+M19</f>
        <v>177600</v>
      </c>
      <c r="O19" s="22" t="str">
        <f aca="false">IF(N19&gt;=1500000,"Besar",IF(N19&gt;=500000,"Sedang","Kecil"))</f>
        <v>Kecil</v>
      </c>
    </row>
    <row r="20" customFormat="false" ht="15" hidden="false" customHeight="false" outlineLevel="0" collapsed="false">
      <c r="A20" s="17" t="s">
        <v>145</v>
      </c>
      <c r="B20" s="18" t="n">
        <v>46304</v>
      </c>
      <c r="C20" s="17" t="s">
        <v>146</v>
      </c>
      <c r="D20" s="17" t="s">
        <v>110</v>
      </c>
      <c r="E20" s="17" t="s">
        <v>96</v>
      </c>
      <c r="F20" s="17" t="s">
        <v>111</v>
      </c>
      <c r="G20" s="17" t="s">
        <v>112</v>
      </c>
      <c r="H20" s="19" t="n">
        <v>1</v>
      </c>
      <c r="I20" s="20" t="n">
        <v>35000</v>
      </c>
      <c r="J20" s="21" t="n">
        <f aca="false">IF(D20="Mobil",VLOOKUP(E20,Acuan!$A$2:$C$7,3,FALSE()),VLOOKUP(E20,Acuan!$A$2:$C$7,2,FALSE()))</f>
        <v>60000</v>
      </c>
      <c r="K20" s="21" t="n">
        <f aca="false">ROUND(H20*J20*IF(G20="Ya",1-$R$2,1),0)</f>
        <v>54000</v>
      </c>
      <c r="L20" s="21" t="n">
        <f aca="false">K20+I20</f>
        <v>89000</v>
      </c>
      <c r="M20" s="21" t="n">
        <f aca="false">ROUND(L20*$R$3,0)</f>
        <v>9790</v>
      </c>
      <c r="N20" s="21" t="n">
        <f aca="false">L20+M20</f>
        <v>98790</v>
      </c>
      <c r="O20" s="22" t="str">
        <f aca="false">IF(N20&gt;=1500000,"Besar",IF(N20&gt;=500000,"Sedang","Kecil"))</f>
        <v>Kecil</v>
      </c>
    </row>
    <row r="21" customFormat="false" ht="15" hidden="false" customHeight="false" outlineLevel="0" collapsed="false">
      <c r="A21" s="17" t="s">
        <v>147</v>
      </c>
      <c r="B21" s="18" t="n">
        <v>46305</v>
      </c>
      <c r="C21" s="17" t="s">
        <v>148</v>
      </c>
      <c r="D21" s="17" t="s">
        <v>110</v>
      </c>
      <c r="E21" s="17" t="s">
        <v>127</v>
      </c>
      <c r="F21" s="17" t="s">
        <v>107</v>
      </c>
      <c r="G21" s="17" t="s">
        <v>112</v>
      </c>
      <c r="H21" s="19" t="n">
        <v>1</v>
      </c>
      <c r="I21" s="20" t="n">
        <v>85000</v>
      </c>
      <c r="J21" s="21" t="n">
        <f aca="false">IF(D21="Mobil",VLOOKUP(E21,Acuan!$A$2:$C$7,3,FALSE()),VLOOKUP(E21,Acuan!$A$2:$C$7,2,FALSE()))</f>
        <v>180000</v>
      </c>
      <c r="K21" s="21" t="n">
        <f aca="false">ROUND(H21*J21*IF(G21="Ya",1-$R$2,1),0)</f>
        <v>162000</v>
      </c>
      <c r="L21" s="21" t="n">
        <f aca="false">K21+I21</f>
        <v>247000</v>
      </c>
      <c r="M21" s="21" t="n">
        <f aca="false">ROUND(L21*$R$3,0)</f>
        <v>27170</v>
      </c>
      <c r="N21" s="21" t="n">
        <f aca="false">L21+M21</f>
        <v>274170</v>
      </c>
      <c r="O21" s="22" t="str">
        <f aca="false">IF(N21&gt;=1500000,"Besar",IF(N21&gt;=500000,"Sedang","Kecil"))</f>
        <v>Kecil</v>
      </c>
    </row>
    <row r="22" customFormat="false" ht="15" hidden="false" customHeight="false" outlineLevel="0" collapsed="false">
      <c r="A22" s="17" t="s">
        <v>149</v>
      </c>
      <c r="B22" s="18" t="n">
        <v>46305</v>
      </c>
      <c r="C22" s="17" t="s">
        <v>150</v>
      </c>
      <c r="D22" s="17" t="s">
        <v>95</v>
      </c>
      <c r="E22" s="17" t="s">
        <v>106</v>
      </c>
      <c r="F22" s="17" t="s">
        <v>107</v>
      </c>
      <c r="G22" s="17" t="s">
        <v>98</v>
      </c>
      <c r="H22" s="19" t="n">
        <v>2</v>
      </c>
      <c r="I22" s="20" t="n">
        <v>180000</v>
      </c>
      <c r="J22" s="21" t="n">
        <f aca="false">IF(D22="Mobil",VLOOKUP(E22,Acuan!$A$2:$C$7,3,FALSE()),VLOOKUP(E22,Acuan!$A$2:$C$7,2,FALSE()))</f>
        <v>80000</v>
      </c>
      <c r="K22" s="21" t="n">
        <f aca="false">ROUND(H22*J22*IF(G22="Ya",1-$R$2,1),0)</f>
        <v>160000</v>
      </c>
      <c r="L22" s="21" t="n">
        <f aca="false">K22+I22</f>
        <v>340000</v>
      </c>
      <c r="M22" s="21" t="n">
        <f aca="false">ROUND(L22*$R$3,0)</f>
        <v>37400</v>
      </c>
      <c r="N22" s="21" t="n">
        <f aca="false">L22+M22</f>
        <v>377400</v>
      </c>
      <c r="O22" s="22" t="str">
        <f aca="false">IF(N22&gt;=1500000,"Besar",IF(N22&gt;=500000,"Sedang","Kecil"))</f>
        <v>Kecil</v>
      </c>
    </row>
    <row r="23" customFormat="false" ht="15" hidden="false" customHeight="false" outlineLevel="0" collapsed="false">
      <c r="A23" s="17" t="s">
        <v>151</v>
      </c>
      <c r="B23" s="18" t="n">
        <v>46306</v>
      </c>
      <c r="C23" s="17" t="s">
        <v>152</v>
      </c>
      <c r="D23" s="17" t="s">
        <v>95</v>
      </c>
      <c r="E23" s="17" t="s">
        <v>127</v>
      </c>
      <c r="F23" s="17" t="s">
        <v>111</v>
      </c>
      <c r="G23" s="17" t="s">
        <v>98</v>
      </c>
      <c r="H23" s="19" t="n">
        <v>1.5</v>
      </c>
      <c r="I23" s="20" t="n">
        <v>25000</v>
      </c>
      <c r="J23" s="21" t="n">
        <f aca="false">IF(D23="Mobil",VLOOKUP(E23,Acuan!$A$2:$C$7,3,FALSE()),VLOOKUP(E23,Acuan!$A$2:$C$7,2,FALSE()))</f>
        <v>100000</v>
      </c>
      <c r="K23" s="21" t="n">
        <f aca="false">ROUND(H23*J23*IF(G23="Ya",1-$R$2,1),0)</f>
        <v>150000</v>
      </c>
      <c r="L23" s="21" t="n">
        <f aca="false">K23+I23</f>
        <v>175000</v>
      </c>
      <c r="M23" s="21" t="n">
        <f aca="false">ROUND(L23*$R$3,0)</f>
        <v>19250</v>
      </c>
      <c r="N23" s="21" t="n">
        <f aca="false">L23+M23</f>
        <v>194250</v>
      </c>
      <c r="O23" s="22" t="str">
        <f aca="false">IF(N23&gt;=1500000,"Besar",IF(N23&gt;=500000,"Sedang","Kecil"))</f>
        <v>Kecil</v>
      </c>
    </row>
    <row r="24" customFormat="false" ht="15" hidden="false" customHeight="false" outlineLevel="0" collapsed="false">
      <c r="A24" s="17" t="s">
        <v>153</v>
      </c>
      <c r="B24" s="18" t="n">
        <v>46306</v>
      </c>
      <c r="C24" s="17" t="s">
        <v>154</v>
      </c>
      <c r="D24" s="17" t="s">
        <v>95</v>
      </c>
      <c r="E24" s="17" t="s">
        <v>136</v>
      </c>
      <c r="F24" s="17" t="s">
        <v>124</v>
      </c>
      <c r="G24" s="17" t="s">
        <v>98</v>
      </c>
      <c r="H24" s="19" t="n">
        <v>0.5</v>
      </c>
      <c r="I24" s="20" t="n">
        <v>0</v>
      </c>
      <c r="J24" s="21" t="n">
        <f aca="false">IF(D24="Mobil",VLOOKUP(E24,Acuan!$A$2:$C$7,3,FALSE()),VLOOKUP(E24,Acuan!$A$2:$C$7,2,FALSE()))</f>
        <v>40000</v>
      </c>
      <c r="K24" s="21" t="n">
        <f aca="false">ROUND(H24*J24*IF(G24="Ya",1-$R$2,1),0)</f>
        <v>20000</v>
      </c>
      <c r="L24" s="21" t="n">
        <f aca="false">K24+I24</f>
        <v>20000</v>
      </c>
      <c r="M24" s="21" t="n">
        <f aca="false">ROUND(L24*$R$3,0)</f>
        <v>2200</v>
      </c>
      <c r="N24" s="21" t="n">
        <f aca="false">L24+M24</f>
        <v>22200</v>
      </c>
      <c r="O24" s="22" t="str">
        <f aca="false">IF(N24&gt;=1500000,"Besar",IF(N24&gt;=500000,"Sedang","Kecil"))</f>
        <v>Kecil</v>
      </c>
    </row>
    <row r="25" customFormat="false" ht="15" hidden="false" customHeight="false" outlineLevel="0" collapsed="false">
      <c r="A25" s="17" t="s">
        <v>155</v>
      </c>
      <c r="B25" s="18" t="n">
        <v>46307</v>
      </c>
      <c r="C25" s="17" t="s">
        <v>156</v>
      </c>
      <c r="D25" s="17" t="s">
        <v>110</v>
      </c>
      <c r="E25" s="17" t="s">
        <v>136</v>
      </c>
      <c r="F25" s="17" t="s">
        <v>124</v>
      </c>
      <c r="G25" s="17" t="s">
        <v>98</v>
      </c>
      <c r="H25" s="19" t="n">
        <v>1.5</v>
      </c>
      <c r="I25" s="20" t="n">
        <v>450000</v>
      </c>
      <c r="J25" s="21" t="n">
        <f aca="false">IF(D25="Mobil",VLOOKUP(E25,Acuan!$A$2:$C$7,3,FALSE()),VLOOKUP(E25,Acuan!$A$2:$C$7,2,FALSE()))</f>
        <v>60000</v>
      </c>
      <c r="K25" s="21" t="n">
        <f aca="false">ROUND(H25*J25*IF(G25="Ya",1-$R$2,1),0)</f>
        <v>90000</v>
      </c>
      <c r="L25" s="21" t="n">
        <f aca="false">K25+I25</f>
        <v>540000</v>
      </c>
      <c r="M25" s="21" t="n">
        <f aca="false">ROUND(L25*$R$3,0)</f>
        <v>59400</v>
      </c>
      <c r="N25" s="21" t="n">
        <f aca="false">L25+M25</f>
        <v>599400</v>
      </c>
      <c r="O25" s="22" t="str">
        <f aca="false">IF(N25&gt;=1500000,"Besar",IF(N25&gt;=500000,"Sedang","Kecil"))</f>
        <v>Sedang</v>
      </c>
    </row>
    <row r="26" customFormat="false" ht="15" hidden="false" customHeight="false" outlineLevel="0" collapsed="false">
      <c r="A26" s="17" t="s">
        <v>157</v>
      </c>
      <c r="B26" s="18" t="n">
        <v>46307</v>
      </c>
      <c r="C26" s="17" t="s">
        <v>158</v>
      </c>
      <c r="D26" s="17" t="s">
        <v>95</v>
      </c>
      <c r="E26" s="17" t="s">
        <v>136</v>
      </c>
      <c r="F26" s="17" t="s">
        <v>124</v>
      </c>
      <c r="G26" s="17" t="s">
        <v>98</v>
      </c>
      <c r="H26" s="19" t="n">
        <v>0.5</v>
      </c>
      <c r="I26" s="20" t="n">
        <v>300000</v>
      </c>
      <c r="J26" s="21" t="n">
        <f aca="false">IF(D26="Mobil",VLOOKUP(E26,Acuan!$A$2:$C$7,3,FALSE()),VLOOKUP(E26,Acuan!$A$2:$C$7,2,FALSE()))</f>
        <v>40000</v>
      </c>
      <c r="K26" s="21" t="n">
        <f aca="false">ROUND(H26*J26*IF(G26="Ya",1-$R$2,1),0)</f>
        <v>20000</v>
      </c>
      <c r="L26" s="21" t="n">
        <f aca="false">K26+I26</f>
        <v>320000</v>
      </c>
      <c r="M26" s="21" t="n">
        <f aca="false">ROUND(L26*$R$3,0)</f>
        <v>35200</v>
      </c>
      <c r="N26" s="21" t="n">
        <f aca="false">L26+M26</f>
        <v>355200</v>
      </c>
      <c r="O26" s="22" t="str">
        <f aca="false">IF(N26&gt;=1500000,"Besar",IF(N26&gt;=500000,"Sedang","Kecil"))</f>
        <v>Kecil</v>
      </c>
    </row>
    <row r="27" customFormat="false" ht="15" hidden="false" customHeight="false" outlineLevel="0" collapsed="false">
      <c r="A27" s="17" t="s">
        <v>159</v>
      </c>
      <c r="B27" s="18" t="n">
        <v>46307</v>
      </c>
      <c r="C27" s="17" t="s">
        <v>160</v>
      </c>
      <c r="D27" s="17" t="s">
        <v>95</v>
      </c>
      <c r="E27" s="17" t="s">
        <v>136</v>
      </c>
      <c r="F27" s="17" t="s">
        <v>107</v>
      </c>
      <c r="G27" s="17" t="s">
        <v>112</v>
      </c>
      <c r="H27" s="19" t="n">
        <v>1</v>
      </c>
      <c r="I27" s="20" t="n">
        <v>90000</v>
      </c>
      <c r="J27" s="21" t="n">
        <f aca="false">IF(D27="Mobil",VLOOKUP(E27,Acuan!$A$2:$C$7,3,FALSE()),VLOOKUP(E27,Acuan!$A$2:$C$7,2,FALSE()))</f>
        <v>40000</v>
      </c>
      <c r="K27" s="21" t="n">
        <f aca="false">ROUND(H27*J27*IF(G27="Ya",1-$R$2,1),0)</f>
        <v>36000</v>
      </c>
      <c r="L27" s="21" t="n">
        <f aca="false">K27+I27</f>
        <v>126000</v>
      </c>
      <c r="M27" s="21" t="n">
        <f aca="false">ROUND(L27*$R$3,0)</f>
        <v>13860</v>
      </c>
      <c r="N27" s="21" t="n">
        <f aca="false">L27+M27</f>
        <v>139860</v>
      </c>
      <c r="O27" s="22" t="str">
        <f aca="false">IF(N27&gt;=1500000,"Besar",IF(N27&gt;=500000,"Sedang","Kecil"))</f>
        <v>Kecil</v>
      </c>
    </row>
    <row r="28" customFormat="false" ht="15" hidden="false" customHeight="false" outlineLevel="0" collapsed="false">
      <c r="A28" s="17" t="s">
        <v>161</v>
      </c>
      <c r="B28" s="18" t="n">
        <v>46307</v>
      </c>
      <c r="C28" s="17" t="s">
        <v>162</v>
      </c>
      <c r="D28" s="17" t="s">
        <v>110</v>
      </c>
      <c r="E28" s="17" t="s">
        <v>106</v>
      </c>
      <c r="F28" s="17" t="s">
        <v>111</v>
      </c>
      <c r="G28" s="17" t="s">
        <v>98</v>
      </c>
      <c r="H28" s="19" t="n">
        <v>3</v>
      </c>
      <c r="I28" s="20" t="n">
        <v>900000</v>
      </c>
      <c r="J28" s="21" t="n">
        <f aca="false">IF(D28="Mobil",VLOOKUP(E28,Acuan!$A$2:$C$7,3,FALSE()),VLOOKUP(E28,Acuan!$A$2:$C$7,2,FALSE()))</f>
        <v>130000</v>
      </c>
      <c r="K28" s="21" t="n">
        <f aca="false">ROUND(H28*J28*IF(G28="Ya",1-$R$2,1),0)</f>
        <v>390000</v>
      </c>
      <c r="L28" s="21" t="n">
        <f aca="false">K28+I28</f>
        <v>1290000</v>
      </c>
      <c r="M28" s="21" t="n">
        <f aca="false">ROUND(L28*$R$3,0)</f>
        <v>141900</v>
      </c>
      <c r="N28" s="21" t="n">
        <f aca="false">L28+M28</f>
        <v>1431900</v>
      </c>
      <c r="O28" s="22" t="str">
        <f aca="false">IF(N28&gt;=1500000,"Besar",IF(N28&gt;=500000,"Sedang","Kecil"))</f>
        <v>Sedang</v>
      </c>
    </row>
    <row r="29" customFormat="false" ht="15" hidden="false" customHeight="false" outlineLevel="0" collapsed="false">
      <c r="A29" s="17" t="s">
        <v>163</v>
      </c>
      <c r="B29" s="18" t="n">
        <v>46307</v>
      </c>
      <c r="C29" s="17" t="s">
        <v>164</v>
      </c>
      <c r="D29" s="17" t="s">
        <v>95</v>
      </c>
      <c r="E29" s="17" t="s">
        <v>115</v>
      </c>
      <c r="F29" s="17" t="s">
        <v>97</v>
      </c>
      <c r="G29" s="17" t="s">
        <v>112</v>
      </c>
      <c r="H29" s="19" t="n">
        <v>0.5</v>
      </c>
      <c r="I29" s="20" t="n">
        <v>180000</v>
      </c>
      <c r="J29" s="21" t="n">
        <f aca="false">IF(D29="Mobil",VLOOKUP(E29,Acuan!$A$2:$C$7,3,FALSE()),VLOOKUP(E29,Acuan!$A$2:$C$7,2,FALSE()))</f>
        <v>50000</v>
      </c>
      <c r="K29" s="21" t="n">
        <f aca="false">ROUND(H29*J29*IF(G29="Ya",1-$R$2,1),0)</f>
        <v>22500</v>
      </c>
      <c r="L29" s="21" t="n">
        <f aca="false">K29+I29</f>
        <v>202500</v>
      </c>
      <c r="M29" s="21" t="n">
        <f aca="false">ROUND(L29*$R$3,0)</f>
        <v>22275</v>
      </c>
      <c r="N29" s="21" t="n">
        <f aca="false">L29+M29</f>
        <v>224775</v>
      </c>
      <c r="O29" s="22" t="str">
        <f aca="false">IF(N29&gt;=1500000,"Besar",IF(N29&gt;=500000,"Sedang","Kecil"))</f>
        <v>Kecil</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3"/>
    <col collapsed="false" customWidth="true" hidden="false" outlineLevel="0" max="5" min="5" style="0" width="17"/>
  </cols>
  <sheetData>
    <row r="1" customFormat="false" ht="33.75" hidden="false" customHeight="true" outlineLevel="0" collapsed="false">
      <c r="A1" s="11" t="s">
        <v>79</v>
      </c>
      <c r="B1" s="11" t="s">
        <v>165</v>
      </c>
      <c r="C1" s="11" t="s">
        <v>166</v>
      </c>
      <c r="D1" s="15" t="s">
        <v>167</v>
      </c>
      <c r="E1" s="15" t="s">
        <v>168</v>
      </c>
    </row>
    <row r="2" customFormat="false" ht="15" hidden="false" customHeight="false" outlineLevel="0" collapsed="false">
      <c r="A2" s="17" t="s">
        <v>115</v>
      </c>
      <c r="B2" s="20" t="n">
        <v>50000</v>
      </c>
      <c r="C2" s="20" t="n">
        <v>80000</v>
      </c>
      <c r="D2" s="25" t="n">
        <f aca="false">COUNTIF(Data!$E$2:$E$29,A2)</f>
        <v>6</v>
      </c>
      <c r="E2" s="21" t="n">
        <f aca="false">SUMIF(Data!$E$2:$E$29,A2,Data!$N$2:$N$29)</f>
        <v>3962700</v>
      </c>
    </row>
    <row r="3" customFormat="false" ht="15" hidden="false" customHeight="false" outlineLevel="0" collapsed="false">
      <c r="A3" s="17" t="s">
        <v>103</v>
      </c>
      <c r="B3" s="20" t="n">
        <v>90000</v>
      </c>
      <c r="C3" s="20" t="n">
        <v>150000</v>
      </c>
      <c r="D3" s="25" t="n">
        <f aca="false">COUNTIF(Data!$E$2:$E$29,A3)</f>
        <v>4</v>
      </c>
      <c r="E3" s="21" t="n">
        <f aca="false">SUMIF(Data!$E$2:$E$29,A3,Data!$N$2:$N$29)</f>
        <v>1429125</v>
      </c>
    </row>
    <row r="4" customFormat="false" ht="15" hidden="false" customHeight="false" outlineLevel="0" collapsed="false">
      <c r="A4" s="17" t="s">
        <v>127</v>
      </c>
      <c r="B4" s="20" t="n">
        <v>100000</v>
      </c>
      <c r="C4" s="20" t="n">
        <v>180000</v>
      </c>
      <c r="D4" s="25" t="n">
        <f aca="false">COUNTIF(Data!$E$2:$E$29,A4)</f>
        <v>4</v>
      </c>
      <c r="E4" s="21" t="n">
        <f aca="false">SUMIF(Data!$E$2:$E$29,A4,Data!$N$2:$N$29)</f>
        <v>4175820</v>
      </c>
    </row>
    <row r="5" customFormat="false" ht="15" hidden="false" customHeight="false" outlineLevel="0" collapsed="false">
      <c r="A5" s="17" t="s">
        <v>106</v>
      </c>
      <c r="B5" s="20" t="n">
        <v>80000</v>
      </c>
      <c r="C5" s="20" t="n">
        <v>130000</v>
      </c>
      <c r="D5" s="25" t="n">
        <f aca="false">COUNTIF(Data!$E$2:$E$29,A5)</f>
        <v>5</v>
      </c>
      <c r="E5" s="21" t="n">
        <f aca="false">SUMIF(Data!$E$2:$E$29,A5,Data!$N$2:$N$29)</f>
        <v>4294035</v>
      </c>
    </row>
    <row r="6" customFormat="false" ht="15" hidden="false" customHeight="false" outlineLevel="0" collapsed="false">
      <c r="A6" s="17" t="s">
        <v>96</v>
      </c>
      <c r="B6" s="20" t="n">
        <v>40000</v>
      </c>
      <c r="C6" s="20" t="n">
        <v>60000</v>
      </c>
      <c r="D6" s="25" t="n">
        <f aca="false">COUNTIF(Data!$E$2:$E$29,A6)</f>
        <v>4</v>
      </c>
      <c r="E6" s="21" t="n">
        <f aca="false">SUMIF(Data!$E$2:$E$29,A6,Data!$N$2:$N$29)</f>
        <v>727050</v>
      </c>
    </row>
    <row r="7" customFormat="false" ht="15" hidden="false" customHeight="false" outlineLevel="0" collapsed="false">
      <c r="A7" s="17" t="s">
        <v>136</v>
      </c>
      <c r="B7" s="20" t="n">
        <v>40000</v>
      </c>
      <c r="C7" s="20" t="n">
        <v>60000</v>
      </c>
      <c r="D7" s="25" t="n">
        <f aca="false">COUNTIF(Data!$E$2:$E$29,A7)</f>
        <v>5</v>
      </c>
      <c r="E7" s="21" t="n">
        <f aca="false">SUMIF(Data!$E$2:$E$29,A7,Data!$N$2:$N$29)</f>
        <v>1716060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6" t="s">
        <v>169</v>
      </c>
      <c r="B1" s="26"/>
      <c r="C1" s="26"/>
      <c r="D1" s="26"/>
    </row>
    <row r="2" customFormat="false" ht="15" hidden="false" customHeight="false" outlineLevel="0" collapsed="false">
      <c r="A2" s="27" t="s">
        <v>170</v>
      </c>
      <c r="B2" s="27"/>
      <c r="C2" s="27"/>
      <c r="D2" s="27"/>
    </row>
    <row r="3" customFormat="false" ht="15" hidden="false" customHeight="false" outlineLevel="0" collapsed="false">
      <c r="A3" s="11" t="s">
        <v>19</v>
      </c>
      <c r="B3" s="11" t="s">
        <v>171</v>
      </c>
      <c r="C3" s="11" t="s">
        <v>172</v>
      </c>
      <c r="D3" s="11" t="s">
        <v>173</v>
      </c>
    </row>
    <row r="4" customFormat="false" ht="15" hidden="false" customHeight="false" outlineLevel="0" collapsed="false">
      <c r="A4" s="28" t="s">
        <v>174</v>
      </c>
      <c r="B4" s="29" t="s">
        <v>175</v>
      </c>
      <c r="C4" s="21" t="n">
        <f aca="false">SUM(Data!$K$2:$K$29)</f>
        <v>3729000</v>
      </c>
      <c r="D4" s="30" t="s">
        <v>176</v>
      </c>
    </row>
    <row r="5" customFormat="false" ht="15" hidden="false" customHeight="false" outlineLevel="0" collapsed="false">
      <c r="A5" s="28" t="s">
        <v>177</v>
      </c>
      <c r="B5" s="29" t="s">
        <v>178</v>
      </c>
      <c r="C5" s="21" t="n">
        <f aca="false">SUM(Data!$I$2:$I$29)</f>
        <v>10960000</v>
      </c>
      <c r="D5" s="30" t="s">
        <v>179</v>
      </c>
    </row>
    <row r="6" customFormat="false" ht="15" hidden="false" customHeight="false" outlineLevel="0" collapsed="false">
      <c r="A6" s="28" t="s">
        <v>180</v>
      </c>
      <c r="B6" s="29" t="s">
        <v>181</v>
      </c>
      <c r="C6" s="21" t="n">
        <f aca="false">SUM(Data!$M$2:$M$29)</f>
        <v>1615790</v>
      </c>
      <c r="D6" s="30" t="s">
        <v>182</v>
      </c>
    </row>
    <row r="7" customFormat="false" ht="15" hidden="false" customHeight="false" outlineLevel="0" collapsed="false">
      <c r="A7" s="28" t="s">
        <v>183</v>
      </c>
      <c r="B7" s="29" t="s">
        <v>184</v>
      </c>
      <c r="C7" s="21" t="n">
        <f aca="false">SUM(Data!$N$2:$N$29)</f>
        <v>16304790</v>
      </c>
      <c r="D7" s="30" t="s">
        <v>185</v>
      </c>
    </row>
    <row r="8" customFormat="false" ht="15" hidden="false" customHeight="false" outlineLevel="0" collapsed="false">
      <c r="A8" s="28" t="s">
        <v>186</v>
      </c>
      <c r="B8" s="29" t="s">
        <v>187</v>
      </c>
      <c r="C8" s="22" t="str">
        <f aca="false">INDEX(Acuan!$A$2:$A$7,MATCH(MAX(Acuan!$D$2:$D$7),Acuan!$D$2:$D$7,0))</f>
        <v>Ganti Oli</v>
      </c>
      <c r="D8" s="30" t="s">
        <v>188</v>
      </c>
    </row>
    <row r="9" customFormat="false" ht="15" hidden="false" customHeight="false" outlineLevel="0" collapsed="false">
      <c r="A9" s="28" t="s">
        <v>189</v>
      </c>
      <c r="B9" s="29" t="s">
        <v>190</v>
      </c>
      <c r="C9" s="22" t="str">
        <f aca="false">INDEX(Acuan!$A$2:$A$7,MATCH(MAX(Acuan!$E$2:$E$7),Acuan!$E$2:$E$7,0))</f>
        <v>Servis Rem</v>
      </c>
      <c r="D9" s="30" t="s">
        <v>188</v>
      </c>
    </row>
    <row r="10" customFormat="false" ht="15" hidden="false" customHeight="false" outlineLevel="0" collapsed="false">
      <c r="A10" s="28" t="s">
        <v>191</v>
      </c>
      <c r="B10" s="29" t="s">
        <v>192</v>
      </c>
      <c r="C10" s="31" t="n">
        <f aca="false">SUMIF(Data!$D$2:$D$29,"Mobil",Data!$H$2:$H$29)</f>
        <v>21</v>
      </c>
      <c r="D10" s="30" t="s">
        <v>193</v>
      </c>
    </row>
    <row r="11" customFormat="false" ht="15" hidden="false" customHeight="false" outlineLevel="0" collapsed="false">
      <c r="A11" s="28" t="s">
        <v>194</v>
      </c>
      <c r="B11" s="29" t="s">
        <v>195</v>
      </c>
      <c r="C11" s="21" t="n">
        <f aca="false">AVERAGEIF(Data!$D$2:$D$29,"Motor",Data!$N$2:$N$29)</f>
        <v>240759</v>
      </c>
      <c r="D11" s="30" t="s">
        <v>196</v>
      </c>
    </row>
    <row r="12" customFormat="false" ht="15" hidden="false" customHeight="false" outlineLevel="0" collapsed="false">
      <c r="A12" s="28" t="s">
        <v>197</v>
      </c>
      <c r="B12" s="29" t="s">
        <v>198</v>
      </c>
      <c r="C12" s="21" t="n">
        <f aca="false">SUMIF(Data!$F$2:$F$29,"Budi",Data!$N$2:$N$29)</f>
        <v>1207125</v>
      </c>
      <c r="D12" s="30" t="s">
        <v>199</v>
      </c>
    </row>
    <row r="13" customFormat="false" ht="15" hidden="false" customHeight="false" outlineLevel="0" collapsed="false">
      <c r="A13" s="28" t="s">
        <v>200</v>
      </c>
      <c r="B13" s="29" t="s">
        <v>201</v>
      </c>
      <c r="C13" s="25" t="n">
        <f aca="false">COUNTIFS(Data!$O$2:$O$29,"Besar",Data!$G$2:$G$29,"Ya")</f>
        <v>1</v>
      </c>
      <c r="D13" s="30" t="s">
        <v>202</v>
      </c>
    </row>
    <row r="14" customFormat="false" ht="15" hidden="false" customHeight="false" outlineLevel="0" collapsed="false">
      <c r="A14" s="28" t="s">
        <v>203</v>
      </c>
      <c r="B14" s="29" t="s">
        <v>204</v>
      </c>
      <c r="C14" s="21" t="n">
        <f aca="false">MAX(Data!$N$2:$N$29)</f>
        <v>1953600</v>
      </c>
      <c r="D14" s="30" t="s">
        <v>205</v>
      </c>
    </row>
    <row r="15" customFormat="false" ht="15" hidden="false" customHeight="false" outlineLevel="0" collapsed="false">
      <c r="A15" s="28" t="s">
        <v>206</v>
      </c>
      <c r="B15" s="29" t="s">
        <v>207</v>
      </c>
      <c r="C15" s="21" t="n">
        <f aca="false">MIN(Data!$N$2:$N$29)</f>
        <v>22200</v>
      </c>
      <c r="D15" s="30" t="s">
        <v>208</v>
      </c>
    </row>
    <row r="16" customFormat="false" ht="15" hidden="false" customHeight="false" outlineLevel="0" collapsed="false">
      <c r="A16" s="28" t="s">
        <v>209</v>
      </c>
      <c r="B16" s="29" t="s">
        <v>210</v>
      </c>
      <c r="C16" s="22" t="str">
        <f aca="false">INDEX(Data!$C$2:$C$29,MATCH(MAX(Data!$N$2:$N$29),Data!$N$2:$N$29,0))</f>
        <v>Farida Maharani</v>
      </c>
      <c r="D16" s="30" t="s">
        <v>211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2026-10-14T23:34:13Z</dcterms:created>
  <dc:creator>PushExcel</dc:creator>
  <dc:description/>
  <dc:language>en-US</dc:language>
  <cp:lastModifiedBy/>
  <dcterms:modified xsi:type="dcterms:W3CDTF">2026-10-14T23:34:13Z</dcterms:modified>
  <cp:revision>0</cp:revision>
  <dc:subject/>
  <dc:title>Nota Servis Bengkel Motor dan Mobil - Kunci</dc:title>
</cp:coreProperties>
</file>

<file path=docProps/custom.xml><?xml version="1.0" encoding="utf-8"?>
<Properties xmlns="http://schemas.openxmlformats.org/officeDocument/2006/custom-properties" xmlns:vt="http://schemas.openxmlformats.org/officeDocument/2006/docPropsVTypes"/>
</file>