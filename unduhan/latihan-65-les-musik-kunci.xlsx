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etunjuk" sheetId="1" state="visible" r:id="rId3"/>
    <sheet name="Data" sheetId="2" state="visible" r:id="rId4"/>
    <sheet name="Acuan" sheetId="3" state="visible" r:id="rId5"/>
    <sheet name="Ringkasa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<sst xmlns="http://schemas.openxmlformats.org/spreadsheetml/2006/main" count="186" uniqueCount="156">
  <si>
    <t xml:space="preserve">Kunci Jawaban: Rekap Kehadiran dan Biaya Les Musik</t>
  </si>
  <si>
    <t xml:space="preserve">Latihan 65 dari 40  |  Tingkat: Pemula  |  Perkiraan waktu: 35 menit  |  pushexcel.github.io/Pushexcel</t>
  </si>
  <si>
    <t xml:space="preserve">Skenario</t>
  </si>
  <si>
    <t xml:space="preserve">Kamu admin Sanggar Nada Ceria yang membuka les gitar, piano, vokal, drum, dan biola. Ada 28 peserta, masing-masing punya jumlah pertemuan terjadwal dan jumlah pertemuan yang dihadiri. Tarif per pertemuan berbeda tiap alat musik dan ada di sheet Acuan. Peserta hanya membayar pertemuan yang dihadiri. Status kehadiran: Rajin bila persen kehadiran sama dengan atau di atas 85 persen, Cukup bila sama dengan atau di atas 70 persen, selain itu Kurang (batasnya ada di blok Parameter).</t>
  </si>
  <si>
    <t xml:space="preserve">Cara memakai kunci</t>
  </si>
  <si>
    <t xml:space="preserve">1.</t>
  </si>
  <si>
    <t xml:space="preserve">Sel hijau berisi rumus kunci yang sudah dihitung. Klik sel untuk melihat rumusnya.</t>
  </si>
  <si>
    <t xml:space="preserve">2.</t>
  </si>
  <si>
    <t xml:space="preserve">Kolom Rumus kunci di bawah menampilkan rumus untuk baris pertama atau tiap sel jawaban.</t>
  </si>
  <si>
    <t xml:space="preserve">3.</t>
  </si>
  <si>
    <t xml:space="preserve">Rumus ditulis dengan titik koma (;). Ganti dengan koma (,) bila Excel kamu berbahasa Inggris.</t>
  </si>
  <si>
    <t xml:space="preserve">4.</t>
  </si>
  <si>
    <t xml:space="preserve">Jawaban lain yang benar secara logika juga boleh, selama hasilnya sama.</t>
  </si>
  <si>
    <t xml:space="preserve">Arti warna</t>
  </si>
  <si>
    <t xml:space="preserve">Judul kolom data yang sudah diberikan</t>
  </si>
  <si>
    <t xml:space="preserve">Judul kolom hasil hitung</t>
  </si>
  <si>
    <t xml:space="preserve">Sel berisi rumus kunci</t>
  </si>
  <si>
    <t xml:space="preserve">Angka berwarna biru pada blok Parameter = nilai tetap yang boleh dirujuk</t>
  </si>
  <si>
    <t xml:space="preserve">Daftar soal</t>
  </si>
  <si>
    <t xml:space="preserve">No</t>
  </si>
  <si>
    <t xml:space="preserve">Soal</t>
  </si>
  <si>
    <t xml:space="preserve">Jawab di</t>
  </si>
  <si>
    <t xml:space="preserve">Rumus kunci</t>
  </si>
  <si>
    <t xml:space="preserve">1</t>
  </si>
  <si>
    <t xml:space="preserve">Ambil tarif per pertemuan tiap peserta dari tabel tarif di sheet Acuan berdasarkan alat musiknya (pencocokan persis).</t>
  </si>
  <si>
    <t xml:space="preserve">Sheet Data, kolom E (Tarif per Pertemuan), baris 2 sampai 29</t>
  </si>
  <si>
    <t xml:space="preserve">=VLOOKUP(B2;Acuan!$A$2:$B$6;2;FALSE)</t>
  </si>
  <si>
    <t xml:space="preserve">2</t>
  </si>
  <si>
    <t xml:space="preserve">Hitung persen kehadiran: pertemuan hadir dibagi pertemuan terjadwal.</t>
  </si>
  <si>
    <t xml:space="preserve">Sheet Data, kolom F (Persen Kehadiran), baris 2 sampai 29</t>
  </si>
  <si>
    <t xml:space="preserve">=D2/C2</t>
  </si>
  <si>
    <t xml:space="preserve">3</t>
  </si>
  <si>
    <t xml:space="preserve">Hitung total biaya: jumlah pertemuan yang dihadiri dikali tarif per pertemuan.</t>
  </si>
  <si>
    <t xml:space="preserve">Sheet Data, kolom G (Total Biaya), baris 2 sampai 29</t>
  </si>
  <si>
    <t xml:space="preserve">=D2*E2</t>
  </si>
  <si>
    <t xml:space="preserve">4</t>
  </si>
  <si>
    <t xml:space="preserve">Beri status: Rajin bila persen kehadiran sama dengan atau di atas batas rajin, Cukup bila sama dengan atau di atas batas cukup, selain itu Kurang.</t>
  </si>
  <si>
    <t xml:space="preserve">Sheet Data, kolom H (Status Kehadiran), baris 2 sampai 29</t>
  </si>
  <si>
    <t xml:space="preserve">=IF(F2&gt;=$K$2;"Rajin";IF(F2&gt;=$K$3;"Cukup";"Kurang"))</t>
  </si>
  <si>
    <t xml:space="preserve">5</t>
  </si>
  <si>
    <t xml:space="preserve">Pada sheet Acuan, hitung jumlah peserta tiap alat musik.</t>
  </si>
  <si>
    <t xml:space="preserve">Sheet Acuan, kolom C (Jumlah Peserta), baris 2 sampai 6</t>
  </si>
  <si>
    <t xml:space="preserve">=COUNTIF(Data!$B$2:$B$29;A2)</t>
  </si>
  <si>
    <t xml:space="preserve">6</t>
  </si>
  <si>
    <t xml:space="preserve">Pada sheet Acuan, hitung total pendapatan sanggar dari tiap alat musik.</t>
  </si>
  <si>
    <t xml:space="preserve">Sheet Acuan, kolom D (Total Pendapatan), baris 2 sampai 6</t>
  </si>
  <si>
    <t xml:space="preserve">=SUMIF(Data!$B$2:$B$29;A2;Data!$G$2:$G$29)</t>
  </si>
  <si>
    <t xml:space="preserve">7</t>
  </si>
  <si>
    <t xml:space="preserve">Berapa jumlah peserta, dan berapa total pendapatan sanggar?</t>
  </si>
  <si>
    <t xml:space="preserve">Sheet Ringkasan, sel C4 sampai C5</t>
  </si>
  <si>
    <t xml:space="preserve">=COUNTA(Data!$A$2:$A$29)
=SUM(Data!$G$2:$G$29)</t>
  </si>
  <si>
    <t xml:space="preserve">8</t>
  </si>
  <si>
    <t xml:space="preserve">Berapa peserta yang berstatus Rajin, Cukup, dan Kurang?</t>
  </si>
  <si>
    <t xml:space="preserve">Sheet Ringkasan, sel C6 sampai C8</t>
  </si>
  <si>
    <t xml:space="preserve">=COUNTIF(Data!$H$2:$H$29;"Rajin")
=COUNTIF(Data!$H$2:$H$29;"Cukup")
=COUNTIF(Data!$H$2:$H$29;"Kurang")</t>
  </si>
  <si>
    <t xml:space="preserve">9</t>
  </si>
  <si>
    <t xml:space="preserve">Berapa rata-rata persen kehadiran semua peserta, dan berapa total pertemuan yang dihadiri?</t>
  </si>
  <si>
    <t xml:space="preserve">Sheet Ringkasan, sel C9 sampai C10</t>
  </si>
  <si>
    <t xml:space="preserve">=AVERAGE(Data!$F$2:$F$29)
=SUM(Data!$D$2:$D$29)</t>
  </si>
  <si>
    <t xml:space="preserve">10</t>
  </si>
  <si>
    <t xml:space="preserve">Siapa peserta dengan total biaya terbesar, dan alat musik apa yang pendapatannya terbesar?</t>
  </si>
  <si>
    <t xml:space="preserve">Sheet Ringkasan, sel C11 sampai C12</t>
  </si>
  <si>
    <t xml:space="preserve">=INDEX(Data!$A$2:$A$29;MATCH(MAX(Data!$G$2:$G$29);Data!$G$2:$G$29;0))
=INDEX(Acuan!$A$2:$A$6;MATCH(MAX(Acuan!$D$2:$D$6);Acuan!$D$2:$D$6;0))</t>
  </si>
  <si>
    <t xml:space="preserve">11</t>
  </si>
  <si>
    <t xml:space="preserve">Berapa total pendapatan dari peserta Gitar, dan berapa peserta Piano yang berstatus Rajin?</t>
  </si>
  <si>
    <t xml:space="preserve">Sheet Ringkasan, sel C13 sampai C14</t>
  </si>
  <si>
    <t xml:space="preserve">=SUMIF(Data!$B$2:$B$29;"Gitar";Data!$G$2:$G$29)
=COUNTIFS(Data!$B$2:$B$29;"Piano";Data!$H$2:$H$29;"Rajin")</t>
  </si>
  <si>
    <t xml:space="preserve">Nama Peserta</t>
  </si>
  <si>
    <t xml:space="preserve">Alat Musik</t>
  </si>
  <si>
    <t xml:space="preserve">Pertemuan Terjadwal</t>
  </si>
  <si>
    <t xml:space="preserve">Pertemuan Hadir</t>
  </si>
  <si>
    <t xml:space="preserve">Tarif per Pertemuan</t>
  </si>
  <si>
    <t xml:space="preserve">Persen Kehadiran</t>
  </si>
  <si>
    <t xml:space="preserve">Total Biaya</t>
  </si>
  <si>
    <t xml:space="preserve">Status Kehadiran</t>
  </si>
  <si>
    <t xml:space="preserve">Parameter</t>
  </si>
  <si>
    <t xml:space="preserve">Nilai</t>
  </si>
  <si>
    <t xml:space="preserve">Keterangan</t>
  </si>
  <si>
    <t xml:space="preserve">Oki Sari</t>
  </si>
  <si>
    <t xml:space="preserve">Gitar</t>
  </si>
  <si>
    <t xml:space="preserve">Batas rajin</t>
  </si>
  <si>
    <t xml:space="preserve">Persen kehadiran minimal untuk status Rajin</t>
  </si>
  <si>
    <t xml:space="preserve">Indah Anggraini</t>
  </si>
  <si>
    <t xml:space="preserve">Piano</t>
  </si>
  <si>
    <t xml:space="preserve">Batas cukup</t>
  </si>
  <si>
    <t xml:space="preserve">Persen kehadiran minimal untuk status Cukup</t>
  </si>
  <si>
    <t xml:space="preserve">Budi Kurniawan</t>
  </si>
  <si>
    <t xml:space="preserve">Vokal</t>
  </si>
  <si>
    <t xml:space="preserve">Intan Maharani</t>
  </si>
  <si>
    <t xml:space="preserve">Drum</t>
  </si>
  <si>
    <t xml:space="preserve">Lina Rahayu</t>
  </si>
  <si>
    <t xml:space="preserve">Biola</t>
  </si>
  <si>
    <t xml:space="preserve">Galih Rahayu</t>
  </si>
  <si>
    <t xml:space="preserve">Andi Yulianto</t>
  </si>
  <si>
    <t xml:space="preserve">Oki Maharani</t>
  </si>
  <si>
    <t xml:space="preserve">Dimas Pangestu</t>
  </si>
  <si>
    <t xml:space="preserve">Dimas Setiawan</t>
  </si>
  <si>
    <t xml:space="preserve">Ayu Kurniawan</t>
  </si>
  <si>
    <t xml:space="preserve">Dian Ramadhan</t>
  </si>
  <si>
    <t xml:space="preserve">Zainal Putra</t>
  </si>
  <si>
    <t xml:space="preserve">Bambang Pangestu</t>
  </si>
  <si>
    <t xml:space="preserve">Siti Santoso</t>
  </si>
  <si>
    <t xml:space="preserve">Fajar Pratama</t>
  </si>
  <si>
    <t xml:space="preserve">Putri Amalia</t>
  </si>
  <si>
    <t xml:space="preserve">Indah Handayani</t>
  </si>
  <si>
    <t xml:space="preserve">Irfan Fauzi</t>
  </si>
  <si>
    <t xml:space="preserve">Tika Permana</t>
  </si>
  <si>
    <t xml:space="preserve">Ahmad Saputra</t>
  </si>
  <si>
    <t xml:space="preserve">Lestari Yulianto</t>
  </si>
  <si>
    <t xml:space="preserve">Indah Purnomo</t>
  </si>
  <si>
    <t xml:space="preserve">Eko Wibowo</t>
  </si>
  <si>
    <t xml:space="preserve">Dian Yulianto</t>
  </si>
  <si>
    <t xml:space="preserve">Edi Firmansyah</t>
  </si>
  <si>
    <t xml:space="preserve">Siti Permana</t>
  </si>
  <si>
    <t xml:space="preserve">Dian Purnomo</t>
  </si>
  <si>
    <t xml:space="preserve">Tarif Dasar</t>
  </si>
  <si>
    <t xml:space="preserve">Jumlah Peserta</t>
  </si>
  <si>
    <t xml:space="preserve">Total Pendapatan</t>
  </si>
  <si>
    <t xml:space="preserve">Ringkasan: lembar jawaban soal berjenis ringkasan</t>
  </si>
  <si>
    <t xml:space="preserve">Sel hijau berisi rumus kunci.</t>
  </si>
  <si>
    <t xml:space="preserve">Pertanyaan</t>
  </si>
  <si>
    <t xml:space="preserve">Jawaban</t>
  </si>
  <si>
    <t xml:space="preserve">Contoh format hasil</t>
  </si>
  <si>
    <t xml:space="preserve">7a</t>
  </si>
  <si>
    <t xml:space="preserve">Jumlah peserta</t>
  </si>
  <si>
    <t xml:space="preserve">Angka bulat, mis. 30</t>
  </si>
  <si>
    <t xml:space="preserve">7b</t>
  </si>
  <si>
    <t xml:space="preserve">Total pendapatan sanggar</t>
  </si>
  <si>
    <t xml:space="preserve">Rupiah, mis. Rp 12.000.000</t>
  </si>
  <si>
    <t xml:space="preserve">8a</t>
  </si>
  <si>
    <t xml:space="preserve">Peserta Rajin</t>
  </si>
  <si>
    <t xml:space="preserve">Angka bulat, mis. 9</t>
  </si>
  <si>
    <t xml:space="preserve">8b</t>
  </si>
  <si>
    <t xml:space="preserve">Peserta Cukup</t>
  </si>
  <si>
    <t xml:space="preserve">Angka bulat, mis. 11</t>
  </si>
  <si>
    <t xml:space="preserve">8c</t>
  </si>
  <si>
    <t xml:space="preserve">Peserta Kurang</t>
  </si>
  <si>
    <t xml:space="preserve">Angka bulat, mis. 8</t>
  </si>
  <si>
    <t xml:space="preserve">9a</t>
  </si>
  <si>
    <t xml:space="preserve">Rata-rata persen kehadiran</t>
  </si>
  <si>
    <t xml:space="preserve">Persen, mis. 80,5%</t>
  </si>
  <si>
    <t xml:space="preserve">9b</t>
  </si>
  <si>
    <t xml:space="preserve">Total pertemuan dihadiri</t>
  </si>
  <si>
    <t xml:space="preserve">Angka bulat, mis. 250</t>
  </si>
  <si>
    <t xml:space="preserve">10a</t>
  </si>
  <si>
    <t xml:space="preserve">Peserta dengan total biaya terbesar</t>
  </si>
  <si>
    <t xml:space="preserve">Teks: nama peserta</t>
  </si>
  <si>
    <t xml:space="preserve">10b</t>
  </si>
  <si>
    <t xml:space="preserve">Alat musik dengan pendapatan terbesar</t>
  </si>
  <si>
    <t xml:space="preserve">Teks: nama alat musik</t>
  </si>
  <si>
    <t xml:space="preserve">11a</t>
  </si>
  <si>
    <t xml:space="preserve">Total pendapatan peserta Gitar</t>
  </si>
  <si>
    <t xml:space="preserve">Rupiah, mis. Rp 3.000.000</t>
  </si>
  <si>
    <t xml:space="preserve">11b</t>
  </si>
  <si>
    <t xml:space="preserve">Peserta Piano berstatus Rajin</t>
  </si>
  <si>
    <t xml:space="preserve">Angka bulat, mis. 2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</si>
</sst>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&quot;Rp &quot;#,##0"/>
    <numFmt numFmtId="167" formatCode="0.0%"/>
    <numFmt numFmtId="168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3D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Consolas"/>
      <family val="0"/>
      <charset val="1"/>
    </font>
    <font>
      <sz val="10"/>
      <color rgb="FF0000FF"/>
      <name val="Arial"/>
      <family val="0"/>
      <charset val="1"/>
    </font>
    <font>
      <b val="true"/>
      <sz val="13"/>
      <color rgb="FF1F4E3D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3D"/>
        <bgColor rgb="FF44546A"/>
      </patternFill>
    </fill>
    <fill>
      <patternFill patternType="solid">
        <fgColor rgb="FFB45F06"/>
        <bgColor rgb="FF808000"/>
      </patternFill>
    </fill>
    <fill>
      <patternFill patternType="solid">
        <fgColor rgb="FFE2EFDA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44546A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B45F06"/>
      <rgbColor rgb="FF993366"/>
      <rgbColor rgb="FF44546A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3" min="3" style="0" width="40"/>
    <col collapsed="false" customWidth="true" hidden="false" outlineLevel="0" max="4" min="4" style="0" width="70"/>
    <col collapsed="false" customWidth="true" hidden="false" outlineLevel="0" max="5" min="5" style="0" width="3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</row>
    <row r="5" customFormat="false" ht="66" hidden="false" customHeight="true" outlineLevel="0" collapsed="false">
      <c r="A5" s="4" t="s">
        <v>3</v>
      </c>
      <c r="B5" s="4"/>
      <c r="C5" s="4"/>
      <c r="D5" s="4"/>
      <c r="E5" s="4"/>
    </row>
    <row r="7" customFormat="false" ht="15" hidden="false" customHeight="false" outlineLevel="0" collapsed="false">
      <c r="A7" s="3" t="s">
        <v>4</v>
      </c>
    </row>
    <row r="8" customFormat="false" ht="15" hidden="false" customHeight="true" outlineLevel="0" collapsed="false">
      <c r="A8" s="5" t="s">
        <v>5</v>
      </c>
      <c r="B8" s="4" t="s">
        <v>6</v>
      </c>
      <c r="C8" s="4"/>
      <c r="D8" s="4"/>
      <c r="E8" s="4"/>
    </row>
    <row r="9" customFormat="false" ht="15" hidden="false" customHeight="true" outlineLevel="0" collapsed="false">
      <c r="A9" s="5" t="s">
        <v>7</v>
      </c>
      <c r="B9" s="4" t="s">
        <v>8</v>
      </c>
      <c r="C9" s="4"/>
      <c r="D9" s="4"/>
      <c r="E9" s="4"/>
    </row>
    <row r="10" customFormat="false" ht="15" hidden="false" customHeight="true" outlineLevel="0" collapsed="false">
      <c r="A10" s="5" t="s">
        <v>9</v>
      </c>
      <c r="B10" s="4" t="s">
        <v>10</v>
      </c>
      <c r="C10" s="4"/>
      <c r="D10" s="4"/>
      <c r="E10" s="4"/>
    </row>
    <row r="11" customFormat="false" ht="15" hidden="false" customHeight="true" outlineLevel="0" collapsed="false">
      <c r="A11" s="5" t="s">
        <v>11</v>
      </c>
      <c r="B11" s="4" t="s">
        <v>12</v>
      </c>
      <c r="C11" s="4"/>
      <c r="D11" s="4"/>
      <c r="E11" s="4"/>
    </row>
    <row r="13" customFormat="false" ht="15" hidden="false" customHeight="false" outlineLevel="0" collapsed="false">
      <c r="A13" s="3" t="s">
        <v>13</v>
      </c>
    </row>
    <row r="14" customFormat="false" ht="15" hidden="false" customHeight="false" outlineLevel="0" collapsed="false">
      <c r="A14" s="6"/>
      <c r="B14" s="7" t="s">
        <v>14</v>
      </c>
    </row>
    <row r="15" customFormat="false" ht="15" hidden="false" customHeight="false" outlineLevel="0" collapsed="false">
      <c r="A15" s="8"/>
      <c r="B15" s="7" t="s">
        <v>15</v>
      </c>
    </row>
    <row r="16" customFormat="false" ht="15" hidden="false" customHeight="false" outlineLevel="0" collapsed="false">
      <c r="A16" s="9"/>
      <c r="B16" s="7" t="s">
        <v>16</v>
      </c>
    </row>
    <row r="17" customFormat="false" ht="15" hidden="false" customHeight="false" outlineLevel="0" collapsed="false">
      <c r="A17" s="10"/>
      <c r="B17" s="7" t="s">
        <v>17</v>
      </c>
    </row>
    <row r="19" customFormat="false" ht="15" hidden="false" customHeight="false" outlineLevel="0" collapsed="false">
      <c r="A19" s="3" t="s">
        <v>18</v>
      </c>
    </row>
    <row r="20" customFormat="false" ht="15" hidden="false" customHeight="false" outlineLevel="0" collapsed="false">
      <c r="A20" s="11" t="s">
        <v>19</v>
      </c>
      <c r="B20" s="11" t="s">
        <v>20</v>
      </c>
      <c r="C20" s="11" t="s">
        <v>21</v>
      </c>
      <c r="D20" s="11" t="s">
        <v>22</v>
      </c>
    </row>
    <row r="21" customFormat="false" ht="30" hidden="false" customHeight="true" outlineLevel="0" collapsed="false">
      <c r="A21" s="12" t="s">
        <v>23</v>
      </c>
      <c r="B21" s="13" t="s">
        <v>24</v>
      </c>
      <c r="C21" s="13" t="s">
        <v>25</v>
      </c>
      <c r="D21" s="14" t="s">
        <v>26</v>
      </c>
    </row>
    <row r="22" customFormat="false" ht="30" hidden="false" customHeight="true" outlineLevel="0" collapsed="false">
      <c r="A22" s="12" t="s">
        <v>27</v>
      </c>
      <c r="B22" s="13" t="s">
        <v>28</v>
      </c>
      <c r="C22" s="13" t="s">
        <v>29</v>
      </c>
      <c r="D22" s="14" t="s">
        <v>30</v>
      </c>
    </row>
    <row r="23" customFormat="false" ht="30" hidden="false" customHeight="true" outlineLevel="0" collapsed="false">
      <c r="A23" s="12" t="s">
        <v>31</v>
      </c>
      <c r="B23" s="13" t="s">
        <v>32</v>
      </c>
      <c r="C23" s="13" t="s">
        <v>33</v>
      </c>
      <c r="D23" s="14" t="s">
        <v>34</v>
      </c>
    </row>
    <row r="24" customFormat="false" ht="42" hidden="false" customHeight="true" outlineLevel="0" collapsed="false">
      <c r="A24" s="12" t="s">
        <v>35</v>
      </c>
      <c r="B24" s="13" t="s">
        <v>36</v>
      </c>
      <c r="C24" s="13" t="s">
        <v>37</v>
      </c>
      <c r="D24" s="14" t="s">
        <v>38</v>
      </c>
    </row>
    <row r="25" customFormat="false" ht="30" hidden="false" customHeight="true" outlineLevel="0" collapsed="false">
      <c r="A25" s="12" t="s">
        <v>39</v>
      </c>
      <c r="B25" s="13" t="s">
        <v>40</v>
      </c>
      <c r="C25" s="13" t="s">
        <v>41</v>
      </c>
      <c r="D25" s="14" t="s">
        <v>42</v>
      </c>
    </row>
    <row r="26" customFormat="false" ht="30" hidden="false" customHeight="true" outlineLevel="0" collapsed="false">
      <c r="A26" s="12" t="s">
        <v>43</v>
      </c>
      <c r="B26" s="13" t="s">
        <v>44</v>
      </c>
      <c r="C26" s="13" t="s">
        <v>45</v>
      </c>
      <c r="D26" s="14" t="s">
        <v>46</v>
      </c>
    </row>
    <row r="27" customFormat="false" ht="43.5" hidden="false" customHeight="true" outlineLevel="0" collapsed="false">
      <c r="A27" s="12" t="s">
        <v>47</v>
      </c>
      <c r="B27" s="13" t="s">
        <v>48</v>
      </c>
      <c r="C27" s="13" t="s">
        <v>49</v>
      </c>
      <c r="D27" s="14" t="s">
        <v>50</v>
      </c>
    </row>
    <row r="28" customFormat="false" ht="57.75" hidden="false" customHeight="true" outlineLevel="0" collapsed="false">
      <c r="A28" s="12" t="s">
        <v>51</v>
      </c>
      <c r="B28" s="13" t="s">
        <v>52</v>
      </c>
      <c r="C28" s="13" t="s">
        <v>53</v>
      </c>
      <c r="D28" s="14" t="s">
        <v>54</v>
      </c>
    </row>
    <row r="29" customFormat="false" ht="43.5" hidden="false" customHeight="true" outlineLevel="0" collapsed="false">
      <c r="A29" s="12" t="s">
        <v>55</v>
      </c>
      <c r="B29" s="13" t="s">
        <v>56</v>
      </c>
      <c r="C29" s="13" t="s">
        <v>57</v>
      </c>
      <c r="D29" s="14" t="s">
        <v>58</v>
      </c>
    </row>
    <row r="30" customFormat="false" ht="55.5" hidden="false" customHeight="true" outlineLevel="0" collapsed="false">
      <c r="A30" s="12" t="s">
        <v>59</v>
      </c>
      <c r="B30" s="13" t="s">
        <v>60</v>
      </c>
      <c r="C30" s="13" t="s">
        <v>61</v>
      </c>
      <c r="D30" s="14" t="s">
        <v>62</v>
      </c>
    </row>
    <row r="31" customFormat="false" ht="43.5" hidden="false" customHeight="true" outlineLevel="0" collapsed="false">
      <c r="A31" s="12" t="s">
        <v>63</v>
      </c>
      <c r="B31" s="13" t="s">
        <v>64</v>
      </c>
      <c r="C31" s="13" t="s">
        <v>65</v>
      </c>
      <c r="D31" s="14" t="s">
        <v>66</v>
      </c>
    </row>
  </sheetData>
  <mergeCells count="7">
    <mergeCell ref="A1:E1"/>
    <mergeCell ref="A2:E2"/>
    <mergeCell ref="A5:E5"/>
    <mergeCell ref="B8:E8"/>
    <mergeCell ref="B9:E9"/>
    <mergeCell ref="B10:E10"/>
    <mergeCell ref="B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8" min="6" style="0" width="14"/>
    <col collapsed="false" customWidth="true" hidden="false" outlineLevel="0" max="9" min="9" style="0" width="3"/>
    <col collapsed="false" customWidth="true" hidden="false" outlineLevel="0" max="10" min="10" style="0" width="30"/>
    <col collapsed="false" customWidth="true" hidden="false" outlineLevel="0" max="11" min="11" style="0" width="16"/>
    <col collapsed="false" customWidth="true" hidden="false" outlineLevel="0" max="12" min="12" style="0" width="42"/>
  </cols>
  <sheetData>
    <row r="1" customFormat="false" ht="33.75" hidden="false" customHeight="true" outlineLevel="0" collapsed="false">
      <c r="A1" s="11" t="s">
        <v>67</v>
      </c>
      <c r="B1" s="11" t="s">
        <v>68</v>
      </c>
      <c r="C1" s="11" t="s">
        <v>69</v>
      </c>
      <c r="D1" s="11" t="s">
        <v>70</v>
      </c>
      <c r="E1" s="15" t="s">
        <v>71</v>
      </c>
      <c r="F1" s="15" t="s">
        <v>72</v>
      </c>
      <c r="G1" s="15" t="s">
        <v>73</v>
      </c>
      <c r="H1" s="15" t="s">
        <v>74</v>
      </c>
      <c r="J1" s="16" t="s">
        <v>75</v>
      </c>
      <c r="K1" s="16" t="s">
        <v>76</v>
      </c>
      <c r="L1" s="16" t="s">
        <v>77</v>
      </c>
    </row>
    <row r="2" customFormat="false" ht="15" hidden="false" customHeight="false" outlineLevel="0" collapsed="false">
      <c r="A2" s="17" t="s">
        <v>78</v>
      </c>
      <c r="B2" s="17" t="s">
        <v>79</v>
      </c>
      <c r="C2" s="18" t="n">
        <v>8</v>
      </c>
      <c r="D2" s="18" t="n">
        <v>6</v>
      </c>
      <c r="E2" s="19" t="n">
        <f aca="false">VLOOKUP(B2,Acuan!$A$2:$B$6,2,FALSE())</f>
        <v>60000</v>
      </c>
      <c r="F2" s="20" t="n">
        <f aca="false">D2/C2</f>
        <v>0.75</v>
      </c>
      <c r="G2" s="19" t="n">
        <f aca="false">D2*E2</f>
        <v>360000</v>
      </c>
      <c r="H2" s="21" t="str">
        <f aca="false">IF(F2&gt;=$K$2,"Rajin",IF(F2&gt;=$K$3,"Cukup","Kurang"))</f>
        <v>Cukup</v>
      </c>
      <c r="J2" s="22" t="s">
        <v>80</v>
      </c>
      <c r="K2" s="23" t="n">
        <v>0.85</v>
      </c>
      <c r="L2" s="22" t="s">
        <v>81</v>
      </c>
    </row>
    <row r="3" customFormat="false" ht="15" hidden="false" customHeight="false" outlineLevel="0" collapsed="false">
      <c r="A3" s="17" t="s">
        <v>82</v>
      </c>
      <c r="B3" s="17" t="s">
        <v>83</v>
      </c>
      <c r="C3" s="18" t="n">
        <v>8</v>
      </c>
      <c r="D3" s="18" t="n">
        <v>7</v>
      </c>
      <c r="E3" s="19" t="n">
        <f aca="false">VLOOKUP(B3,Acuan!$A$2:$B$6,2,FALSE())</f>
        <v>75000</v>
      </c>
      <c r="F3" s="20" t="n">
        <f aca="false">D3/C3</f>
        <v>0.875</v>
      </c>
      <c r="G3" s="19" t="n">
        <f aca="false">D3*E3</f>
        <v>525000</v>
      </c>
      <c r="H3" s="21" t="str">
        <f aca="false">IF(F3&gt;=$K$2,"Rajin",IF(F3&gt;=$K$3,"Cukup","Kurang"))</f>
        <v>Rajin</v>
      </c>
      <c r="J3" s="22" t="s">
        <v>84</v>
      </c>
      <c r="K3" s="23" t="n">
        <v>0.7</v>
      </c>
      <c r="L3" s="22" t="s">
        <v>85</v>
      </c>
    </row>
    <row r="4" customFormat="false" ht="15" hidden="false" customHeight="false" outlineLevel="0" collapsed="false">
      <c r="A4" s="17" t="s">
        <v>86</v>
      </c>
      <c r="B4" s="17" t="s">
        <v>87</v>
      </c>
      <c r="C4" s="18" t="n">
        <v>8</v>
      </c>
      <c r="D4" s="18" t="n">
        <v>8</v>
      </c>
      <c r="E4" s="19" t="n">
        <f aca="false">VLOOKUP(B4,Acuan!$A$2:$B$6,2,FALSE())</f>
        <v>55000</v>
      </c>
      <c r="F4" s="20" t="n">
        <f aca="false">D4/C4</f>
        <v>1</v>
      </c>
      <c r="G4" s="19" t="n">
        <f aca="false">D4*E4</f>
        <v>440000</v>
      </c>
      <c r="H4" s="21" t="str">
        <f aca="false">IF(F4&gt;=$K$2,"Rajin",IF(F4&gt;=$K$3,"Cukup","Kurang"))</f>
        <v>Rajin</v>
      </c>
    </row>
    <row r="5" customFormat="false" ht="15" hidden="false" customHeight="false" outlineLevel="0" collapsed="false">
      <c r="A5" s="17" t="s">
        <v>88</v>
      </c>
      <c r="B5" s="17" t="s">
        <v>89</v>
      </c>
      <c r="C5" s="18" t="n">
        <v>8</v>
      </c>
      <c r="D5" s="18" t="n">
        <v>3</v>
      </c>
      <c r="E5" s="19" t="n">
        <f aca="false">VLOOKUP(B5,Acuan!$A$2:$B$6,2,FALSE())</f>
        <v>80000</v>
      </c>
      <c r="F5" s="20" t="n">
        <f aca="false">D5/C5</f>
        <v>0.375</v>
      </c>
      <c r="G5" s="19" t="n">
        <f aca="false">D5*E5</f>
        <v>240000</v>
      </c>
      <c r="H5" s="21" t="str">
        <f aca="false">IF(F5&gt;=$K$2,"Rajin",IF(F5&gt;=$K$3,"Cukup","Kurang"))</f>
        <v>Kurang</v>
      </c>
    </row>
    <row r="6" customFormat="false" ht="15" hidden="false" customHeight="false" outlineLevel="0" collapsed="false">
      <c r="A6" s="17" t="s">
        <v>90</v>
      </c>
      <c r="B6" s="17" t="s">
        <v>91</v>
      </c>
      <c r="C6" s="18" t="n">
        <v>8</v>
      </c>
      <c r="D6" s="18" t="n">
        <v>8</v>
      </c>
      <c r="E6" s="19" t="n">
        <f aca="false">VLOOKUP(B6,Acuan!$A$2:$B$6,2,FALSE())</f>
        <v>70000</v>
      </c>
      <c r="F6" s="20" t="n">
        <f aca="false">D6/C6</f>
        <v>1</v>
      </c>
      <c r="G6" s="19" t="n">
        <f aca="false">D6*E6</f>
        <v>560000</v>
      </c>
      <c r="H6" s="21" t="str">
        <f aca="false">IF(F6&gt;=$K$2,"Rajin",IF(F6&gt;=$K$3,"Cukup","Kurang"))</f>
        <v>Rajin</v>
      </c>
    </row>
    <row r="7" customFormat="false" ht="15" hidden="false" customHeight="false" outlineLevel="0" collapsed="false">
      <c r="A7" s="17" t="s">
        <v>92</v>
      </c>
      <c r="B7" s="17" t="s">
        <v>79</v>
      </c>
      <c r="C7" s="18" t="n">
        <v>12</v>
      </c>
      <c r="D7" s="18" t="n">
        <v>12</v>
      </c>
      <c r="E7" s="19" t="n">
        <f aca="false">VLOOKUP(B7,Acuan!$A$2:$B$6,2,FALSE())</f>
        <v>60000</v>
      </c>
      <c r="F7" s="20" t="n">
        <f aca="false">D7/C7</f>
        <v>1</v>
      </c>
      <c r="G7" s="19" t="n">
        <f aca="false">D7*E7</f>
        <v>720000</v>
      </c>
      <c r="H7" s="21" t="str">
        <f aca="false">IF(F7&gt;=$K$2,"Rajin",IF(F7&gt;=$K$3,"Cukup","Kurang"))</f>
        <v>Rajin</v>
      </c>
    </row>
    <row r="8" customFormat="false" ht="15" hidden="false" customHeight="false" outlineLevel="0" collapsed="false">
      <c r="A8" s="17" t="s">
        <v>93</v>
      </c>
      <c r="B8" s="17" t="s">
        <v>83</v>
      </c>
      <c r="C8" s="18" t="n">
        <v>8</v>
      </c>
      <c r="D8" s="18" t="n">
        <v>4</v>
      </c>
      <c r="E8" s="19" t="n">
        <f aca="false">VLOOKUP(B8,Acuan!$A$2:$B$6,2,FALSE())</f>
        <v>75000</v>
      </c>
      <c r="F8" s="20" t="n">
        <f aca="false">D8/C8</f>
        <v>0.5</v>
      </c>
      <c r="G8" s="19" t="n">
        <f aca="false">D8*E8</f>
        <v>300000</v>
      </c>
      <c r="H8" s="21" t="str">
        <f aca="false">IF(F8&gt;=$K$2,"Rajin",IF(F8&gt;=$K$3,"Cukup","Kurang"))</f>
        <v>Kurang</v>
      </c>
    </row>
    <row r="9" customFormat="false" ht="15" hidden="false" customHeight="false" outlineLevel="0" collapsed="false">
      <c r="A9" s="17" t="s">
        <v>94</v>
      </c>
      <c r="B9" s="17" t="s">
        <v>87</v>
      </c>
      <c r="C9" s="18" t="n">
        <v>12</v>
      </c>
      <c r="D9" s="18" t="n">
        <v>11</v>
      </c>
      <c r="E9" s="19" t="n">
        <f aca="false">VLOOKUP(B9,Acuan!$A$2:$B$6,2,FALSE())</f>
        <v>55000</v>
      </c>
      <c r="F9" s="20" t="n">
        <f aca="false">D9/C9</f>
        <v>0.916666666666667</v>
      </c>
      <c r="G9" s="19" t="n">
        <f aca="false">D9*E9</f>
        <v>605000</v>
      </c>
      <c r="H9" s="21" t="str">
        <f aca="false">IF(F9&gt;=$K$2,"Rajin",IF(F9&gt;=$K$3,"Cukup","Kurang"))</f>
        <v>Rajin</v>
      </c>
    </row>
    <row r="10" customFormat="false" ht="15" hidden="false" customHeight="false" outlineLevel="0" collapsed="false">
      <c r="A10" s="17" t="s">
        <v>95</v>
      </c>
      <c r="B10" s="17" t="s">
        <v>89</v>
      </c>
      <c r="C10" s="18" t="n">
        <v>12</v>
      </c>
      <c r="D10" s="18" t="n">
        <v>9</v>
      </c>
      <c r="E10" s="19" t="n">
        <f aca="false">VLOOKUP(B10,Acuan!$A$2:$B$6,2,FALSE())</f>
        <v>80000</v>
      </c>
      <c r="F10" s="20" t="n">
        <f aca="false">D10/C10</f>
        <v>0.75</v>
      </c>
      <c r="G10" s="19" t="n">
        <f aca="false">D10*E10</f>
        <v>720000</v>
      </c>
      <c r="H10" s="21" t="str">
        <f aca="false">IF(F10&gt;=$K$2,"Rajin",IF(F10&gt;=$K$3,"Cukup","Kurang"))</f>
        <v>Cukup</v>
      </c>
    </row>
    <row r="11" customFormat="false" ht="15" hidden="false" customHeight="false" outlineLevel="0" collapsed="false">
      <c r="A11" s="17" t="s">
        <v>96</v>
      </c>
      <c r="B11" s="17" t="s">
        <v>91</v>
      </c>
      <c r="C11" s="18" t="n">
        <v>12</v>
      </c>
      <c r="D11" s="18" t="n">
        <v>12</v>
      </c>
      <c r="E11" s="19" t="n">
        <f aca="false">VLOOKUP(B11,Acuan!$A$2:$B$6,2,FALSE())</f>
        <v>70000</v>
      </c>
      <c r="F11" s="20" t="n">
        <f aca="false">D11/C11</f>
        <v>1</v>
      </c>
      <c r="G11" s="19" t="n">
        <f aca="false">D11*E11</f>
        <v>840000</v>
      </c>
      <c r="H11" s="21" t="str">
        <f aca="false">IF(F11&gt;=$K$2,"Rajin",IF(F11&gt;=$K$3,"Cukup","Kurang"))</f>
        <v>Rajin</v>
      </c>
    </row>
    <row r="12" customFormat="false" ht="15" hidden="false" customHeight="false" outlineLevel="0" collapsed="false">
      <c r="A12" s="17" t="s">
        <v>97</v>
      </c>
      <c r="B12" s="17" t="s">
        <v>79</v>
      </c>
      <c r="C12" s="18" t="n">
        <v>8</v>
      </c>
      <c r="D12" s="18" t="n">
        <v>8</v>
      </c>
      <c r="E12" s="19" t="n">
        <f aca="false">VLOOKUP(B12,Acuan!$A$2:$B$6,2,FALSE())</f>
        <v>60000</v>
      </c>
      <c r="F12" s="20" t="n">
        <f aca="false">D12/C12</f>
        <v>1</v>
      </c>
      <c r="G12" s="19" t="n">
        <f aca="false">D12*E12</f>
        <v>480000</v>
      </c>
      <c r="H12" s="21" t="str">
        <f aca="false">IF(F12&gt;=$K$2,"Rajin",IF(F12&gt;=$K$3,"Cukup","Kurang"))</f>
        <v>Rajin</v>
      </c>
    </row>
    <row r="13" customFormat="false" ht="15" hidden="false" customHeight="false" outlineLevel="0" collapsed="false">
      <c r="A13" s="17" t="s">
        <v>98</v>
      </c>
      <c r="B13" s="17" t="s">
        <v>83</v>
      </c>
      <c r="C13" s="18" t="n">
        <v>8</v>
      </c>
      <c r="D13" s="18" t="n">
        <v>7</v>
      </c>
      <c r="E13" s="19" t="n">
        <f aca="false">VLOOKUP(B13,Acuan!$A$2:$B$6,2,FALSE())</f>
        <v>75000</v>
      </c>
      <c r="F13" s="20" t="n">
        <f aca="false">D13/C13</f>
        <v>0.875</v>
      </c>
      <c r="G13" s="19" t="n">
        <f aca="false">D13*E13</f>
        <v>525000</v>
      </c>
      <c r="H13" s="21" t="str">
        <f aca="false">IF(F13&gt;=$K$2,"Rajin",IF(F13&gt;=$K$3,"Cukup","Kurang"))</f>
        <v>Rajin</v>
      </c>
    </row>
    <row r="14" customFormat="false" ht="15" hidden="false" customHeight="false" outlineLevel="0" collapsed="false">
      <c r="A14" s="17" t="s">
        <v>99</v>
      </c>
      <c r="B14" s="17" t="s">
        <v>87</v>
      </c>
      <c r="C14" s="18" t="n">
        <v>8</v>
      </c>
      <c r="D14" s="18" t="n">
        <v>4</v>
      </c>
      <c r="E14" s="19" t="n">
        <f aca="false">VLOOKUP(B14,Acuan!$A$2:$B$6,2,FALSE())</f>
        <v>55000</v>
      </c>
      <c r="F14" s="20" t="n">
        <f aca="false">D14/C14</f>
        <v>0.5</v>
      </c>
      <c r="G14" s="19" t="n">
        <f aca="false">D14*E14</f>
        <v>220000</v>
      </c>
      <c r="H14" s="21" t="str">
        <f aca="false">IF(F14&gt;=$K$2,"Rajin",IF(F14&gt;=$K$3,"Cukup","Kurang"))</f>
        <v>Kurang</v>
      </c>
    </row>
    <row r="15" customFormat="false" ht="15" hidden="false" customHeight="false" outlineLevel="0" collapsed="false">
      <c r="A15" s="17" t="s">
        <v>100</v>
      </c>
      <c r="B15" s="17" t="s">
        <v>89</v>
      </c>
      <c r="C15" s="18" t="n">
        <v>8</v>
      </c>
      <c r="D15" s="18" t="n">
        <v>8</v>
      </c>
      <c r="E15" s="19" t="n">
        <f aca="false">VLOOKUP(B15,Acuan!$A$2:$B$6,2,FALSE())</f>
        <v>80000</v>
      </c>
      <c r="F15" s="20" t="n">
        <f aca="false">D15/C15</f>
        <v>1</v>
      </c>
      <c r="G15" s="19" t="n">
        <f aca="false">D15*E15</f>
        <v>640000</v>
      </c>
      <c r="H15" s="21" t="str">
        <f aca="false">IF(F15&gt;=$K$2,"Rajin",IF(F15&gt;=$K$3,"Cukup","Kurang"))</f>
        <v>Rajin</v>
      </c>
    </row>
    <row r="16" customFormat="false" ht="15" hidden="false" customHeight="false" outlineLevel="0" collapsed="false">
      <c r="A16" s="17" t="s">
        <v>101</v>
      </c>
      <c r="B16" s="17" t="s">
        <v>91</v>
      </c>
      <c r="C16" s="18" t="n">
        <v>8</v>
      </c>
      <c r="D16" s="18" t="n">
        <v>4</v>
      </c>
      <c r="E16" s="19" t="n">
        <f aca="false">VLOOKUP(B16,Acuan!$A$2:$B$6,2,FALSE())</f>
        <v>70000</v>
      </c>
      <c r="F16" s="20" t="n">
        <f aca="false">D16/C16</f>
        <v>0.5</v>
      </c>
      <c r="G16" s="19" t="n">
        <f aca="false">D16*E16</f>
        <v>280000</v>
      </c>
      <c r="H16" s="21" t="str">
        <f aca="false">IF(F16&gt;=$K$2,"Rajin",IF(F16&gt;=$K$3,"Cukup","Kurang"))</f>
        <v>Kurang</v>
      </c>
    </row>
    <row r="17" customFormat="false" ht="15" hidden="false" customHeight="false" outlineLevel="0" collapsed="false">
      <c r="A17" s="17" t="s">
        <v>102</v>
      </c>
      <c r="B17" s="17" t="s">
        <v>79</v>
      </c>
      <c r="C17" s="18" t="n">
        <v>8</v>
      </c>
      <c r="D17" s="18" t="n">
        <v>6</v>
      </c>
      <c r="E17" s="19" t="n">
        <f aca="false">VLOOKUP(B17,Acuan!$A$2:$B$6,2,FALSE())</f>
        <v>60000</v>
      </c>
      <c r="F17" s="20" t="n">
        <f aca="false">D17/C17</f>
        <v>0.75</v>
      </c>
      <c r="G17" s="19" t="n">
        <f aca="false">D17*E17</f>
        <v>360000</v>
      </c>
      <c r="H17" s="21" t="str">
        <f aca="false">IF(F17&gt;=$K$2,"Rajin",IF(F17&gt;=$K$3,"Cukup","Kurang"))</f>
        <v>Cukup</v>
      </c>
    </row>
    <row r="18" customFormat="false" ht="15" hidden="false" customHeight="false" outlineLevel="0" collapsed="false">
      <c r="A18" s="17" t="s">
        <v>103</v>
      </c>
      <c r="B18" s="17" t="s">
        <v>83</v>
      </c>
      <c r="C18" s="18" t="n">
        <v>8</v>
      </c>
      <c r="D18" s="18" t="n">
        <v>3</v>
      </c>
      <c r="E18" s="19" t="n">
        <f aca="false">VLOOKUP(B18,Acuan!$A$2:$B$6,2,FALSE())</f>
        <v>75000</v>
      </c>
      <c r="F18" s="20" t="n">
        <f aca="false">D18/C18</f>
        <v>0.375</v>
      </c>
      <c r="G18" s="19" t="n">
        <f aca="false">D18*E18</f>
        <v>225000</v>
      </c>
      <c r="H18" s="21" t="str">
        <f aca="false">IF(F18&gt;=$K$2,"Rajin",IF(F18&gt;=$K$3,"Cukup","Kurang"))</f>
        <v>Kurang</v>
      </c>
    </row>
    <row r="19" customFormat="false" ht="15" hidden="false" customHeight="false" outlineLevel="0" collapsed="false">
      <c r="A19" s="17" t="s">
        <v>104</v>
      </c>
      <c r="B19" s="17" t="s">
        <v>87</v>
      </c>
      <c r="C19" s="18" t="n">
        <v>8</v>
      </c>
      <c r="D19" s="18" t="n">
        <v>7</v>
      </c>
      <c r="E19" s="19" t="n">
        <f aca="false">VLOOKUP(B19,Acuan!$A$2:$B$6,2,FALSE())</f>
        <v>55000</v>
      </c>
      <c r="F19" s="20" t="n">
        <f aca="false">D19/C19</f>
        <v>0.875</v>
      </c>
      <c r="G19" s="19" t="n">
        <f aca="false">D19*E19</f>
        <v>385000</v>
      </c>
      <c r="H19" s="21" t="str">
        <f aca="false">IF(F19&gt;=$K$2,"Rajin",IF(F19&gt;=$K$3,"Cukup","Kurang"))</f>
        <v>Rajin</v>
      </c>
    </row>
    <row r="20" customFormat="false" ht="15" hidden="false" customHeight="false" outlineLevel="0" collapsed="false">
      <c r="A20" s="17" t="s">
        <v>105</v>
      </c>
      <c r="B20" s="17" t="s">
        <v>89</v>
      </c>
      <c r="C20" s="18" t="n">
        <v>12</v>
      </c>
      <c r="D20" s="18" t="n">
        <v>12</v>
      </c>
      <c r="E20" s="19" t="n">
        <f aca="false">VLOOKUP(B20,Acuan!$A$2:$B$6,2,FALSE())</f>
        <v>80000</v>
      </c>
      <c r="F20" s="20" t="n">
        <f aca="false">D20/C20</f>
        <v>1</v>
      </c>
      <c r="G20" s="19" t="n">
        <f aca="false">D20*E20</f>
        <v>960000</v>
      </c>
      <c r="H20" s="21" t="str">
        <f aca="false">IF(F20&gt;=$K$2,"Rajin",IF(F20&gt;=$K$3,"Cukup","Kurang"))</f>
        <v>Rajin</v>
      </c>
    </row>
    <row r="21" customFormat="false" ht="15" hidden="false" customHeight="false" outlineLevel="0" collapsed="false">
      <c r="A21" s="17" t="s">
        <v>106</v>
      </c>
      <c r="B21" s="17" t="s">
        <v>91</v>
      </c>
      <c r="C21" s="18" t="n">
        <v>12</v>
      </c>
      <c r="D21" s="18" t="n">
        <v>12</v>
      </c>
      <c r="E21" s="19" t="n">
        <f aca="false">VLOOKUP(B21,Acuan!$A$2:$B$6,2,FALSE())</f>
        <v>70000</v>
      </c>
      <c r="F21" s="20" t="n">
        <f aca="false">D21/C21</f>
        <v>1</v>
      </c>
      <c r="G21" s="19" t="n">
        <f aca="false">D21*E21</f>
        <v>840000</v>
      </c>
      <c r="H21" s="21" t="str">
        <f aca="false">IF(F21&gt;=$K$2,"Rajin",IF(F21&gt;=$K$3,"Cukup","Kurang"))</f>
        <v>Rajin</v>
      </c>
    </row>
    <row r="22" customFormat="false" ht="15" hidden="false" customHeight="false" outlineLevel="0" collapsed="false">
      <c r="A22" s="17" t="s">
        <v>107</v>
      </c>
      <c r="B22" s="17" t="s">
        <v>79</v>
      </c>
      <c r="C22" s="18" t="n">
        <v>8</v>
      </c>
      <c r="D22" s="18" t="n">
        <v>3</v>
      </c>
      <c r="E22" s="19" t="n">
        <f aca="false">VLOOKUP(B22,Acuan!$A$2:$B$6,2,FALSE())</f>
        <v>60000</v>
      </c>
      <c r="F22" s="20" t="n">
        <f aca="false">D22/C22</f>
        <v>0.375</v>
      </c>
      <c r="G22" s="19" t="n">
        <f aca="false">D22*E22</f>
        <v>180000</v>
      </c>
      <c r="H22" s="21" t="str">
        <f aca="false">IF(F22&gt;=$K$2,"Rajin",IF(F22&gt;=$K$3,"Cukup","Kurang"))</f>
        <v>Kurang</v>
      </c>
    </row>
    <row r="23" customFormat="false" ht="15" hidden="false" customHeight="false" outlineLevel="0" collapsed="false">
      <c r="A23" s="17" t="s">
        <v>108</v>
      </c>
      <c r="B23" s="17" t="s">
        <v>83</v>
      </c>
      <c r="C23" s="18" t="n">
        <v>12</v>
      </c>
      <c r="D23" s="18" t="n">
        <v>11</v>
      </c>
      <c r="E23" s="19" t="n">
        <f aca="false">VLOOKUP(B23,Acuan!$A$2:$B$6,2,FALSE())</f>
        <v>75000</v>
      </c>
      <c r="F23" s="20" t="n">
        <f aca="false">D23/C23</f>
        <v>0.916666666666667</v>
      </c>
      <c r="G23" s="19" t="n">
        <f aca="false">D23*E23</f>
        <v>825000</v>
      </c>
      <c r="H23" s="21" t="str">
        <f aca="false">IF(F23&gt;=$K$2,"Rajin",IF(F23&gt;=$K$3,"Cukup","Kurang"))</f>
        <v>Rajin</v>
      </c>
    </row>
    <row r="24" customFormat="false" ht="15" hidden="false" customHeight="false" outlineLevel="0" collapsed="false">
      <c r="A24" s="17" t="s">
        <v>109</v>
      </c>
      <c r="B24" s="17" t="s">
        <v>87</v>
      </c>
      <c r="C24" s="18" t="n">
        <v>12</v>
      </c>
      <c r="D24" s="18" t="n">
        <v>12</v>
      </c>
      <c r="E24" s="19" t="n">
        <f aca="false">VLOOKUP(B24,Acuan!$A$2:$B$6,2,FALSE())</f>
        <v>55000</v>
      </c>
      <c r="F24" s="20" t="n">
        <f aca="false">D24/C24</f>
        <v>1</v>
      </c>
      <c r="G24" s="19" t="n">
        <f aca="false">D24*E24</f>
        <v>660000</v>
      </c>
      <c r="H24" s="21" t="str">
        <f aca="false">IF(F24&gt;=$K$2,"Rajin",IF(F24&gt;=$K$3,"Cukup","Kurang"))</f>
        <v>Rajin</v>
      </c>
    </row>
    <row r="25" customFormat="false" ht="15" hidden="false" customHeight="false" outlineLevel="0" collapsed="false">
      <c r="A25" s="17" t="s">
        <v>110</v>
      </c>
      <c r="B25" s="17" t="s">
        <v>89</v>
      </c>
      <c r="C25" s="18" t="n">
        <v>12</v>
      </c>
      <c r="D25" s="18" t="n">
        <v>10</v>
      </c>
      <c r="E25" s="19" t="n">
        <f aca="false">VLOOKUP(B25,Acuan!$A$2:$B$6,2,FALSE())</f>
        <v>80000</v>
      </c>
      <c r="F25" s="20" t="n">
        <f aca="false">D25/C25</f>
        <v>0.833333333333333</v>
      </c>
      <c r="G25" s="19" t="n">
        <f aca="false">D25*E25</f>
        <v>800000</v>
      </c>
      <c r="H25" s="21" t="str">
        <f aca="false">IF(F25&gt;=$K$2,"Rajin",IF(F25&gt;=$K$3,"Cukup","Kurang"))</f>
        <v>Cukup</v>
      </c>
    </row>
    <row r="26" customFormat="false" ht="15" hidden="false" customHeight="false" outlineLevel="0" collapsed="false">
      <c r="A26" s="17" t="s">
        <v>111</v>
      </c>
      <c r="B26" s="17" t="s">
        <v>91</v>
      </c>
      <c r="C26" s="18" t="n">
        <v>8</v>
      </c>
      <c r="D26" s="18" t="n">
        <v>8</v>
      </c>
      <c r="E26" s="19" t="n">
        <f aca="false">VLOOKUP(B26,Acuan!$A$2:$B$6,2,FALSE())</f>
        <v>70000</v>
      </c>
      <c r="F26" s="20" t="n">
        <f aca="false">D26/C26</f>
        <v>1</v>
      </c>
      <c r="G26" s="19" t="n">
        <f aca="false">D26*E26</f>
        <v>560000</v>
      </c>
      <c r="H26" s="21" t="str">
        <f aca="false">IF(F26&gt;=$K$2,"Rajin",IF(F26&gt;=$K$3,"Cukup","Kurang"))</f>
        <v>Rajin</v>
      </c>
    </row>
    <row r="27" customFormat="false" ht="15" hidden="false" customHeight="false" outlineLevel="0" collapsed="false">
      <c r="A27" s="17" t="s">
        <v>112</v>
      </c>
      <c r="B27" s="17" t="s">
        <v>91</v>
      </c>
      <c r="C27" s="18" t="n">
        <v>8</v>
      </c>
      <c r="D27" s="18" t="n">
        <v>3</v>
      </c>
      <c r="E27" s="19" t="n">
        <f aca="false">VLOOKUP(B27,Acuan!$A$2:$B$6,2,FALSE())</f>
        <v>70000</v>
      </c>
      <c r="F27" s="20" t="n">
        <f aca="false">D27/C27</f>
        <v>0.375</v>
      </c>
      <c r="G27" s="19" t="n">
        <f aca="false">D27*E27</f>
        <v>210000</v>
      </c>
      <c r="H27" s="21" t="str">
        <f aca="false">IF(F27&gt;=$K$2,"Rajin",IF(F27&gt;=$K$3,"Cukup","Kurang"))</f>
        <v>Kurang</v>
      </c>
    </row>
    <row r="28" customFormat="false" ht="15" hidden="false" customHeight="false" outlineLevel="0" collapsed="false">
      <c r="A28" s="17" t="s">
        <v>113</v>
      </c>
      <c r="B28" s="17" t="s">
        <v>79</v>
      </c>
      <c r="C28" s="18" t="n">
        <v>12</v>
      </c>
      <c r="D28" s="18" t="n">
        <v>11</v>
      </c>
      <c r="E28" s="19" t="n">
        <f aca="false">VLOOKUP(B28,Acuan!$A$2:$B$6,2,FALSE())</f>
        <v>60000</v>
      </c>
      <c r="F28" s="20" t="n">
        <f aca="false">D28/C28</f>
        <v>0.916666666666667</v>
      </c>
      <c r="G28" s="19" t="n">
        <f aca="false">D28*E28</f>
        <v>660000</v>
      </c>
      <c r="H28" s="21" t="str">
        <f aca="false">IF(F28&gt;=$K$2,"Rajin",IF(F28&gt;=$K$3,"Cukup","Kurang"))</f>
        <v>Rajin</v>
      </c>
    </row>
    <row r="29" customFormat="false" ht="15" hidden="false" customHeight="false" outlineLevel="0" collapsed="false">
      <c r="A29" s="17" t="s">
        <v>114</v>
      </c>
      <c r="B29" s="17" t="s">
        <v>91</v>
      </c>
      <c r="C29" s="18" t="n">
        <v>8</v>
      </c>
      <c r="D29" s="18" t="n">
        <v>7</v>
      </c>
      <c r="E29" s="19" t="n">
        <f aca="false">VLOOKUP(B29,Acuan!$A$2:$B$6,2,FALSE())</f>
        <v>70000</v>
      </c>
      <c r="F29" s="20" t="n">
        <f aca="false">D29/C29</f>
        <v>0.875</v>
      </c>
      <c r="G29" s="19" t="n">
        <f aca="false">D29*E29</f>
        <v>490000</v>
      </c>
      <c r="H29" s="21" t="str">
        <f aca="false">IF(F29&gt;=$K$2,"Rajin",IF(F29&gt;=$K$3,"Cukup","Kurang"))</f>
        <v>Rajin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4"/>
    <col collapsed="false" customWidth="true" hidden="false" outlineLevel="0" max="4" min="4" style="0" width="17"/>
  </cols>
  <sheetData>
    <row r="1" customFormat="false" ht="33.75" hidden="false" customHeight="true" outlineLevel="0" collapsed="false">
      <c r="A1" s="11" t="s">
        <v>68</v>
      </c>
      <c r="B1" s="11" t="s">
        <v>115</v>
      </c>
      <c r="C1" s="15" t="s">
        <v>116</v>
      </c>
      <c r="D1" s="15" t="s">
        <v>117</v>
      </c>
    </row>
    <row r="2" customFormat="false" ht="15" hidden="false" customHeight="false" outlineLevel="0" collapsed="false">
      <c r="A2" s="17" t="s">
        <v>79</v>
      </c>
      <c r="B2" s="24" t="n">
        <v>60000</v>
      </c>
      <c r="C2" s="25" t="n">
        <f aca="false">COUNTIF(Data!$B$2:$B$29,A2)</f>
        <v>6</v>
      </c>
      <c r="D2" s="19" t="n">
        <f aca="false">SUMIF(Data!$B$2:$B$29,A2,Data!$G$2:$G$29)</f>
        <v>2760000</v>
      </c>
    </row>
    <row r="3" customFormat="false" ht="15" hidden="false" customHeight="false" outlineLevel="0" collapsed="false">
      <c r="A3" s="17" t="s">
        <v>83</v>
      </c>
      <c r="B3" s="24" t="n">
        <v>75000</v>
      </c>
      <c r="C3" s="25" t="n">
        <f aca="false">COUNTIF(Data!$B$2:$B$29,A3)</f>
        <v>5</v>
      </c>
      <c r="D3" s="19" t="n">
        <f aca="false">SUMIF(Data!$B$2:$B$29,A3,Data!$G$2:$G$29)</f>
        <v>2400000</v>
      </c>
    </row>
    <row r="4" customFormat="false" ht="15" hidden="false" customHeight="false" outlineLevel="0" collapsed="false">
      <c r="A4" s="17" t="s">
        <v>87</v>
      </c>
      <c r="B4" s="24" t="n">
        <v>55000</v>
      </c>
      <c r="C4" s="25" t="n">
        <f aca="false">COUNTIF(Data!$B$2:$B$29,A4)</f>
        <v>5</v>
      </c>
      <c r="D4" s="19" t="n">
        <f aca="false">SUMIF(Data!$B$2:$B$29,A4,Data!$G$2:$G$29)</f>
        <v>2310000</v>
      </c>
    </row>
    <row r="5" customFormat="false" ht="15" hidden="false" customHeight="false" outlineLevel="0" collapsed="false">
      <c r="A5" s="17" t="s">
        <v>89</v>
      </c>
      <c r="B5" s="24" t="n">
        <v>80000</v>
      </c>
      <c r="C5" s="25" t="n">
        <f aca="false">COUNTIF(Data!$B$2:$B$29,A5)</f>
        <v>5</v>
      </c>
      <c r="D5" s="19" t="n">
        <f aca="false">SUMIF(Data!$B$2:$B$29,A5,Data!$G$2:$G$29)</f>
        <v>3360000</v>
      </c>
    </row>
    <row r="6" customFormat="false" ht="15" hidden="false" customHeight="false" outlineLevel="0" collapsed="false">
      <c r="A6" s="17" t="s">
        <v>91</v>
      </c>
      <c r="B6" s="24" t="n">
        <v>70000</v>
      </c>
      <c r="C6" s="25" t="n">
        <f aca="false">COUNTIF(Data!$B$2:$B$29,A6)</f>
        <v>7</v>
      </c>
      <c r="D6" s="19" t="n">
        <f aca="false">SUMIF(Data!$B$2:$B$29,A6,Data!$G$2:$G$29)</f>
        <v>3780000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8"/>
    <col collapsed="false" customWidth="true" hidden="false" outlineLevel="0" max="3" min="3" style="0" width="26"/>
    <col collapsed="false" customWidth="true" hidden="false" outlineLevel="0" max="4" min="4" style="0" width="32"/>
  </cols>
  <sheetData>
    <row r="1" customFormat="false" ht="16.15" hidden="false" customHeight="false" outlineLevel="0" collapsed="false">
      <c r="A1" s="26" t="s">
        <v>118</v>
      </c>
      <c r="B1" s="26"/>
      <c r="C1" s="26"/>
      <c r="D1" s="26"/>
    </row>
    <row r="2" customFormat="false" ht="15" hidden="false" customHeight="false" outlineLevel="0" collapsed="false">
      <c r="A2" s="27" t="s">
        <v>119</v>
      </c>
      <c r="B2" s="27"/>
      <c r="C2" s="27"/>
      <c r="D2" s="27"/>
    </row>
    <row r="3" customFormat="false" ht="15" hidden="false" customHeight="false" outlineLevel="0" collapsed="false">
      <c r="A3" s="11" t="s">
        <v>19</v>
      </c>
      <c r="B3" s="11" t="s">
        <v>120</v>
      </c>
      <c r="C3" s="11" t="s">
        <v>121</v>
      </c>
      <c r="D3" s="11" t="s">
        <v>122</v>
      </c>
    </row>
    <row r="4" customFormat="false" ht="15" hidden="false" customHeight="false" outlineLevel="0" collapsed="false">
      <c r="A4" s="28" t="s">
        <v>123</v>
      </c>
      <c r="B4" s="29" t="s">
        <v>124</v>
      </c>
      <c r="C4" s="25" t="n">
        <f aca="false">COUNTA(Data!$A$2:$A$29)</f>
        <v>28</v>
      </c>
      <c r="D4" s="30" t="s">
        <v>125</v>
      </c>
    </row>
    <row r="5" customFormat="false" ht="15" hidden="false" customHeight="false" outlineLevel="0" collapsed="false">
      <c r="A5" s="28" t="s">
        <v>126</v>
      </c>
      <c r="B5" s="29" t="s">
        <v>127</v>
      </c>
      <c r="C5" s="19" t="n">
        <f aca="false">SUM(Data!$G$2:$G$29)</f>
        <v>14610000</v>
      </c>
      <c r="D5" s="30" t="s">
        <v>128</v>
      </c>
    </row>
    <row r="6" customFormat="false" ht="15" hidden="false" customHeight="false" outlineLevel="0" collapsed="false">
      <c r="A6" s="28" t="s">
        <v>129</v>
      </c>
      <c r="B6" s="29" t="s">
        <v>130</v>
      </c>
      <c r="C6" s="25" t="n">
        <f aca="false">COUNTIF(Data!$H$2:$H$29,"Rajin")</f>
        <v>17</v>
      </c>
      <c r="D6" s="30" t="s">
        <v>131</v>
      </c>
    </row>
    <row r="7" customFormat="false" ht="15" hidden="false" customHeight="false" outlineLevel="0" collapsed="false">
      <c r="A7" s="28" t="s">
        <v>132</v>
      </c>
      <c r="B7" s="29" t="s">
        <v>133</v>
      </c>
      <c r="C7" s="25" t="n">
        <f aca="false">COUNTIF(Data!$H$2:$H$29,"Cukup")</f>
        <v>4</v>
      </c>
      <c r="D7" s="30" t="s">
        <v>134</v>
      </c>
    </row>
    <row r="8" customFormat="false" ht="15" hidden="false" customHeight="false" outlineLevel="0" collapsed="false">
      <c r="A8" s="28" t="s">
        <v>135</v>
      </c>
      <c r="B8" s="29" t="s">
        <v>136</v>
      </c>
      <c r="C8" s="25" t="n">
        <f aca="false">COUNTIF(Data!$H$2:$H$29,"Kurang")</f>
        <v>7</v>
      </c>
      <c r="D8" s="30" t="s">
        <v>137</v>
      </c>
    </row>
    <row r="9" customFormat="false" ht="15" hidden="false" customHeight="false" outlineLevel="0" collapsed="false">
      <c r="A9" s="28" t="s">
        <v>138</v>
      </c>
      <c r="B9" s="29" t="s">
        <v>139</v>
      </c>
      <c r="C9" s="20" t="n">
        <f aca="false">AVERAGE(Data!$F$2:$F$29)</f>
        <v>0.797619047619048</v>
      </c>
      <c r="D9" s="30" t="s">
        <v>140</v>
      </c>
    </row>
    <row r="10" customFormat="false" ht="15" hidden="false" customHeight="false" outlineLevel="0" collapsed="false">
      <c r="A10" s="28" t="s">
        <v>141</v>
      </c>
      <c r="B10" s="29" t="s">
        <v>142</v>
      </c>
      <c r="C10" s="25" t="n">
        <f aca="false">SUM(Data!$D$2:$D$29)</f>
        <v>216</v>
      </c>
      <c r="D10" s="30" t="s">
        <v>143</v>
      </c>
    </row>
    <row r="11" customFormat="false" ht="15" hidden="false" customHeight="false" outlineLevel="0" collapsed="false">
      <c r="A11" s="28" t="s">
        <v>144</v>
      </c>
      <c r="B11" s="29" t="s">
        <v>145</v>
      </c>
      <c r="C11" s="21" t="str">
        <f aca="false">INDEX(Data!$A$2:$A$29,MATCH(MAX(Data!$G$2:$G$29),Data!$G$2:$G$29,0))</f>
        <v>Irfan Fauzi</v>
      </c>
      <c r="D11" s="30" t="s">
        <v>146</v>
      </c>
    </row>
    <row r="12" customFormat="false" ht="15" hidden="false" customHeight="false" outlineLevel="0" collapsed="false">
      <c r="A12" s="28" t="s">
        <v>147</v>
      </c>
      <c r="B12" s="29" t="s">
        <v>148</v>
      </c>
      <c r="C12" s="21" t="str">
        <f aca="false">INDEX(Acuan!$A$2:$A$6,MATCH(MAX(Acuan!$D$2:$D$6),Acuan!$D$2:$D$6,0))</f>
        <v>Biola</v>
      </c>
      <c r="D12" s="30" t="s">
        <v>149</v>
      </c>
    </row>
    <row r="13" customFormat="false" ht="15" hidden="false" customHeight="false" outlineLevel="0" collapsed="false">
      <c r="A13" s="28" t="s">
        <v>150</v>
      </c>
      <c r="B13" s="29" t="s">
        <v>151</v>
      </c>
      <c r="C13" s="19" t="n">
        <f aca="false">SUMIF(Data!$B$2:$B$29,"Gitar",Data!$G$2:$G$29)</f>
        <v>2760000</v>
      </c>
      <c r="D13" s="30" t="s">
        <v>152</v>
      </c>
    </row>
    <row r="14" customFormat="false" ht="15" hidden="false" customHeight="false" outlineLevel="0" collapsed="false">
      <c r="A14" s="28" t="s">
        <v>153</v>
      </c>
      <c r="B14" s="29" t="s">
        <v>154</v>
      </c>
      <c r="C14" s="25" t="n">
        <f aca="false">COUNTIFS(Data!$B$2:$B$29,"Piano",Data!$H$2:$H$29,"Rajin")</f>
        <v>3</v>
      </c>
      <c r="D14" s="30" t="s">
        <v>155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2026-10-16T05:23:06Z</dcterms:created>
  <dc:creator>PushExcel</dc:creator>
  <dc:description/>
  <dc:language>en-US</dc:language>
  <cp:lastModifiedBy/>
  <dcterms:modified xsi:type="dcterms:W3CDTF">2026-10-16T05:23:06Z</dcterms:modified>
  <cp:revision>0</cp:revision>
  <dc:subject/>
  <dc:title>Rekap Kehadiran dan Biaya Les Musik - Kunci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