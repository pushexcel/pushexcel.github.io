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<sst xmlns="http://schemas.openxmlformats.org/spreadsheetml/2006/main" count="202" uniqueCount="178">
  <si>
    <t xml:space="preserve">Kunci Jawaban: Titik Impas dan Laba Rugi 20 Produk Kafe</t>
  </si>
  <si>
    <t xml:space="preserve">Latihan 53 dari 56  |  Tingkat: Lanjutan  |  Perkiraan waktu: 65 menit  |  pushexcel.github.io/Pushexcel</t>
  </si>
  <si>
    <t xml:space="preserve">Skenario</t>
  </si>
  <si>
    <t xml:space="preserve">Kamu analis keuangan Kafe Rumah Kayu yang menjual 20 produk dalam empat kategori. Untuk tiap produk tercatat harga jual, biaya variabel per unit, biaya tetap bulanan yang dibebankan, dan unit terjual bulan ini. Titik impas (BEP) dalam unit adalah biaya tetap dibagi margin kontribusi per unit, dibulatkan ke atas. Produk berstatus Rugi bila unit terjual di bawah BEP, Hati-hati bila unit terjual kurang dari 120 persen BEP, dan Aman bila lebih. Manajemen juga menetapkan target laba Rp 1.500.000 per produk per bulan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</si>
  <si>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</si>
  <si>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</si>
  <si>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</si>
  <si>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</si>
  <si>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</si>
  <si>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</si>
  <si>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</si>
  <si>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</si>
  <si>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</si>
  <si>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</si>
  <si>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</si>
  <si>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</si>
  <si>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</si>
  <si>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</si>
  <si>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</si>
  <si>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</si>
  <si>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</si>
  <si>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</si>
  <si>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</si>
  <si>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</si>
  <si>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margin kontribusi per unit: harga jual dikurangi biaya variabel.</t>
  </si>
  <si>
    <t xml:space="preserve">Sheet Data, kolom G (Margin Kontribusi), baris 2 sampai 21</t>
  </si>
  <si>
    <t xml:space="preserve">=C2-D2</t>
  </si>
  <si>
    <t xml:space="preserve">2</t>
  </si>
  <si>
    <t xml:space="preserve">Hitung rasio kontribusi: margin kontribusi dibagi harga jual.</t>
  </si>
  <si>
    <t xml:space="preserve">Sheet Data, kolom H (Rasio Kontribusi), baris 2 sampai 21</t>
  </si>
  <si>
    <t xml:space="preserve">=G2/C2</t>
  </si>
  <si>
    <t xml:space="preserve">3</t>
  </si>
  <si>
    <t xml:space="preserve">Hitung titik impas dalam unit: biaya tetap dibagi margin kontribusi, dibulatkan ke atas ke bilangan bulat.</t>
  </si>
  <si>
    <t xml:space="preserve">Sheet Data, kolom I (BEP Unit), baris 2 sampai 21</t>
  </si>
  <si>
    <t xml:space="preserve">=ROUNDUP(E2/G2;0)</t>
  </si>
  <si>
    <t xml:space="preserve">4</t>
  </si>
  <si>
    <t xml:space="preserve">Hitung titik impas dalam rupiah: BEP unit dikali harga jual.</t>
  </si>
  <si>
    <t xml:space="preserve">Sheet Data, kolom J (BEP Rupiah), baris 2 sampai 21</t>
  </si>
  <si>
    <t xml:space="preserve">=I2*C2</t>
  </si>
  <si>
    <t xml:space="preserve">5</t>
  </si>
  <si>
    <t xml:space="preserve">Hitung laba rugi bulan ini: unit terjual dikali margin kontribusi, dikurangi biaya tetap. Hasil negatif berarti rugi.</t>
  </si>
  <si>
    <t xml:space="preserve">Sheet Data, kolom K (Laba Rugi), baris 2 sampai 21</t>
  </si>
  <si>
    <t xml:space="preserve">=F2*G2-E2</t>
  </si>
  <si>
    <t xml:space="preserve">6</t>
  </si>
  <si>
    <t xml:space="preserve">Hitung margin keselamatan: selisih unit terjual dan BEP unit, dibagi unit terjual. Boleh negatif bila rugi.</t>
  </si>
  <si>
    <t xml:space="preserve">Sheet Data, kolom L (Margin Keselamatan), baris 2 sampai 21</t>
  </si>
  <si>
    <t xml:space="preserve">=(F2-I2)/F2</t>
  </si>
  <si>
    <t xml:space="preserve">7</t>
  </si>
  <si>
    <t xml:space="preserve">Beri status: Rugi bila unit terjual di bawah BEP, Hati-hati bila di bawah 120 persen BEP (yaitu BEP dikali 1,2), selain itu Aman.</t>
  </si>
  <si>
    <t xml:space="preserve">Sheet Data, kolom M (Status), baris 2 sampai 21</t>
  </si>
  <si>
    <t xml:space="preserve">=IF(F2&lt;I2;"Rugi";IF(F2&lt;I2*1.2;"Hati-hati";"Aman"))</t>
  </si>
  <si>
    <t xml:space="preserve">8</t>
  </si>
  <si>
    <t xml:space="preserve">Hitung unit yang harus terjual agar mencapai target laba: (biaya tetap + target laba) dibagi margin kontribusi, dibulatkan ke atas.</t>
  </si>
  <si>
    <t xml:space="preserve">Sheet Data, kolom N (Unit Target Laba), baris 2 sampai 21</t>
  </si>
  <si>
    <t xml:space="preserve">=ROUNDUP((E2+$Q$2)/G2;0)</t>
  </si>
  <si>
    <t xml:space="preserve">9</t>
  </si>
  <si>
    <t xml:space="preserve">Pada sheet Acuan, hitung jumlah produk tiap kategori.</t>
  </si>
  <si>
    <t xml:space="preserve">Sheet Acuan, kolom B (Jumlah Produk), baris 2 sampai 5</t>
  </si>
  <si>
    <t xml:space="preserve">=COUNTIF(Data!$B$2:$B$21;A2)</t>
  </si>
  <si>
    <t xml:space="preserve">10</t>
  </si>
  <si>
    <t xml:space="preserve">Pada sheet Acuan, hitung total laba rugi tiap kategori.</t>
  </si>
  <si>
    <t xml:space="preserve">Sheet Acuan, kolom C (Total Laba Rugi), baris 2 sampai 5</t>
  </si>
  <si>
    <t xml:space="preserve">=SUMIF(Data!$B$2:$B$21;A2;Data!$K$2:$K$21)</t>
  </si>
  <si>
    <t xml:space="preserve">11</t>
  </si>
  <si>
    <t xml:space="preserve">Pada sheet Acuan, hitung rata-rata rasio kontribusi tiap kategori.</t>
  </si>
  <si>
    <t xml:space="preserve">Sheet Acuan, kolom D (Rata-rata Rasio), baris 2 sampai 5</t>
  </si>
  <si>
    <t xml:space="preserve">=AVERAGEIF(Data!$B$2:$B$21;A2;Data!$H$2:$H$21)</t>
  </si>
  <si>
    <t xml:space="preserve">12</t>
  </si>
  <si>
    <t xml:space="preserve">Berapa total penjualan, total biaya tetap, dan total laba rugi seluruh produk, dan berapa persen laba terhadap penjualan?</t>
  </si>
  <si>
    <t xml:space="preserve">Sheet Ringkasan, sel C4 sampai C7</t>
  </si>
  <si>
    <t xml:space="preserve">=SUMPRODUCT(Data!$F$2:$F$21;Data!$C$2:$C$21)
=SUM(Data!$E$2:$E$21)
=SUM(Data!$K$2:$K$21)
=C6/C4</t>
  </si>
  <si>
    <t xml:space="preserve">13</t>
  </si>
  <si>
    <t xml:space="preserve">Berapa produk berstatus Rugi, Hati-hati, dan Aman, dan berapa persen produk yang sudah di atas BEP?</t>
  </si>
  <si>
    <t xml:space="preserve">Sheet Ringkasan, sel C8 sampai C11</t>
  </si>
  <si>
    <t xml:space="preserve">=COUNTIF(Data!$M$2:$M$21;"Rugi")
=COUNTIF(Data!$M$2:$M$21;"Hati-hati")
=COUNTIF(Data!$M$2:$M$21;"Aman")
=1-C8/COUNTA(Data!$A$2:$A$21)</t>
  </si>
  <si>
    <t xml:space="preserve">14</t>
  </si>
  <si>
    <t xml:space="preserve">Produk apa yang labanya terbesar, dan produk apa yang ruginya terbesar?</t>
  </si>
  <si>
    <t xml:space="preserve">Sheet Ringkasan, sel C12 sampai C13</t>
  </si>
  <si>
    <t xml:space="preserve">=INDEX(Data!$A$2:$A$21;MATCH(MAX(Data!$K$2:$K$21);Data!$K$2:$K$21;0))
=INDEX(Data!$A$2:$A$21;MATCH(MIN(Data!$K$2:$K$21);Data!$K$2:$K$21;0))</t>
  </si>
  <si>
    <t xml:space="preserve">15</t>
  </si>
  <si>
    <t xml:space="preserve">Produk apa yang BEP rupiahnya tertinggi, dan kategori apa yang total laba ruginya terbesar?</t>
  </si>
  <si>
    <t xml:space="preserve">Sheet Ringkasan, sel C14 sampai C15</t>
  </si>
  <si>
    <t xml:space="preserve">=INDEX(Data!$A$2:$A$21;MATCH(MAX(Data!$J$2:$J$21);Data!$J$2:$J$21;0))
=INDEX(Acuan!$A$2:$A$5;MATCH(MAX(Acuan!$C$2:$C$5);Acuan!$C$2:$C$5;0))</t>
  </si>
  <si>
    <t xml:space="preserve">16</t>
  </si>
  <si>
    <t xml:space="preserve">Berapa total laba produk berstatus Aman pada kategori Kue, dan berapa margin keselamatan tertinggi?</t>
  </si>
  <si>
    <t xml:space="preserve">Sheet Ringkasan, sel C16 sampai C17</t>
  </si>
  <si>
    <t xml:space="preserve">=SUMIFS(Data!$K$2:$K$21;Data!$B$2:$B$21;"Kue";Data!$M$2:$M$21;"Aman")
=MAX(Data!$L$2:$L$21)</t>
  </si>
  <si>
    <t xml:space="preserve">Produk</t>
  </si>
  <si>
    <t xml:space="preserve">Kategori</t>
  </si>
  <si>
    <t xml:space="preserve">Harga Jual</t>
  </si>
  <si>
    <t xml:space="preserve">Biaya Variabel</t>
  </si>
  <si>
    <t xml:space="preserve">Biaya Tetap</t>
  </si>
  <si>
    <t xml:space="preserve">Unit Terjual</t>
  </si>
  <si>
    <t xml:space="preserve">Margin Kontribusi</t>
  </si>
  <si>
    <t xml:space="preserve">Rasio Kontribusi</t>
  </si>
  <si>
    <t xml:space="preserve">BEP Unit</t>
  </si>
  <si>
    <t xml:space="preserve">BEP Rupiah</t>
  </si>
  <si>
    <t xml:space="preserve">Laba Rugi</t>
  </si>
  <si>
    <t xml:space="preserve">Margin Keselamatan</t>
  </si>
  <si>
    <t xml:space="preserve">Status</t>
  </si>
  <si>
    <t xml:space="preserve">Unit Target Laba</t>
  </si>
  <si>
    <t xml:space="preserve">Parameter</t>
  </si>
  <si>
    <t xml:space="preserve">Nilai</t>
  </si>
  <si>
    <t xml:space="preserve">Keterangan</t>
  </si>
  <si>
    <t xml:space="preserve">Roti Tawar</t>
  </si>
  <si>
    <t xml:space="preserve">Roti</t>
  </si>
  <si>
    <t xml:space="preserve">Target laba</t>
  </si>
  <si>
    <t xml:space="preserve">Per produk per bulan</t>
  </si>
  <si>
    <t xml:space="preserve">Roti Cokelat</t>
  </si>
  <si>
    <t xml:space="preserve">Roti Keju</t>
  </si>
  <si>
    <t xml:space="preserve">Roti Sosis</t>
  </si>
  <si>
    <t xml:space="preserve">Roti Gandum</t>
  </si>
  <si>
    <t xml:space="preserve">Brownies</t>
  </si>
  <si>
    <t xml:space="preserve">Kue</t>
  </si>
  <si>
    <t xml:space="preserve">Bolu Pandan</t>
  </si>
  <si>
    <t xml:space="preserve">Kue Lapis</t>
  </si>
  <si>
    <t xml:space="preserve">Cheesecake</t>
  </si>
  <si>
    <t xml:space="preserve">Kue Lumpur</t>
  </si>
  <si>
    <t xml:space="preserve">Kopi Susu</t>
  </si>
  <si>
    <t xml:space="preserve">Minuman</t>
  </si>
  <si>
    <t xml:space="preserve">Teh Tarik</t>
  </si>
  <si>
    <t xml:space="preserve">Jus Alpukat</t>
  </si>
  <si>
    <t xml:space="preserve">Cokelat Panas</t>
  </si>
  <si>
    <t xml:space="preserve">Es Lemon Tea</t>
  </si>
  <si>
    <t xml:space="preserve">Pisang Goreng</t>
  </si>
  <si>
    <t xml:space="preserve">Camilan</t>
  </si>
  <si>
    <t xml:space="preserve">Risoles</t>
  </si>
  <si>
    <t xml:space="preserve">Pastel</t>
  </si>
  <si>
    <t xml:space="preserve">Donat Mini</t>
  </si>
  <si>
    <t xml:space="preserve">Kroket</t>
  </si>
  <si>
    <t xml:space="preserve">Jumlah Produk</t>
  </si>
  <si>
    <t xml:space="preserve">Total Laba Rugi</t>
  </si>
  <si>
    <t xml:space="preserve">Rata-rata Rasio</t>
  </si>
  <si>
    <t xml:space="preserve">Ringkasan: lembar jawaban soal berjenis ringkasan</t>
  </si>
  <si>
    <t xml:space="preserve">Sel hijau berisi rumus kunci.</t>
  </si>
  <si>
    <t xml:space="preserve">Pertanyaan</t>
  </si>
  <si>
    <t xml:space="preserve">Jawaban</t>
  </si>
  <si>
    <t xml:space="preserve">Contoh format hasil</t>
  </si>
  <si>
    <t xml:space="preserve">12a</t>
  </si>
  <si>
    <t xml:space="preserve">Total penjualan</t>
  </si>
  <si>
    <t xml:space="preserve">Rupiah, mis. Rp 60.000.000</t>
  </si>
  <si>
    <t xml:space="preserve">12b</t>
  </si>
  <si>
    <t xml:space="preserve">Total biaya tetap</t>
  </si>
  <si>
    <t xml:space="preserve">Rupiah, mis. Rp 30.000.000</t>
  </si>
  <si>
    <t xml:space="preserve">12c</t>
  </si>
  <si>
    <t xml:space="preserve">Total laba rugi</t>
  </si>
  <si>
    <t xml:space="preserve">Rupiah, mis. Rp 12.000.000</t>
  </si>
  <si>
    <t xml:space="preserve">12d</t>
  </si>
  <si>
    <t xml:space="preserve">Persen laba terhadap penjualan</t>
  </si>
  <si>
    <t xml:space="preserve">Persen, mis. 15,5%</t>
  </si>
  <si>
    <t xml:space="preserve">13a</t>
  </si>
  <si>
    <t xml:space="preserve">Produk Rugi</t>
  </si>
  <si>
    <t xml:space="preserve">Angka bulat, mis. 5</t>
  </si>
  <si>
    <t xml:space="preserve">13b</t>
  </si>
  <si>
    <t xml:space="preserve">Produk Hati-hati</t>
  </si>
  <si>
    <t xml:space="preserve">Angka bulat, mis. 4</t>
  </si>
  <si>
    <t xml:space="preserve">13c</t>
  </si>
  <si>
    <t xml:space="preserve">Produk Aman</t>
  </si>
  <si>
    <t xml:space="preserve">Angka bulat, mis. 9</t>
  </si>
  <si>
    <t xml:space="preserve">13d</t>
  </si>
  <si>
    <t xml:space="preserve">Persen produk di atas BEP</t>
  </si>
  <si>
    <t xml:space="preserve">Persen, mis. 60%</t>
  </si>
  <si>
    <t xml:space="preserve">14a</t>
  </si>
  <si>
    <t xml:space="preserve">Produk dengan laba terbesar</t>
  </si>
  <si>
    <t xml:space="preserve">Teks: nama produk</t>
  </si>
  <si>
    <t xml:space="preserve">14b</t>
  </si>
  <si>
    <t xml:space="preserve">Produk dengan rugi terbesar</t>
  </si>
  <si>
    <t xml:space="preserve">15a</t>
  </si>
  <si>
    <t xml:space="preserve">Produk dengan BEP rupiah tertinggi</t>
  </si>
  <si>
    <t xml:space="preserve">15b</t>
  </si>
  <si>
    <t xml:space="preserve">Kategori dengan total laba rugi terbesar</t>
  </si>
  <si>
    <t xml:space="preserve">Teks: nama kategori</t>
  </si>
  <si>
    <t xml:space="preserve">16a</t>
  </si>
  <si>
    <t xml:space="preserve">Total laba produk Aman kategori Kue</t>
  </si>
  <si>
    <t xml:space="preserve">Rupiah, mis. Rp 6.000.000</t>
  </si>
  <si>
    <t xml:space="preserve">16b</t>
  </si>
  <si>
    <t xml:space="preserve">Margin keselamatan tertinggi</t>
  </si>
  <si>
    <t xml:space="preserve">Persen, mis. 55,5%</t>
  </si>
</sst>
</file>

<file path=xl/styles.xml><?xml version="1.0" encoding="utf-8"?>
<styleSheet xmlns="http://schemas.openxmlformats.org/spreadsheetml/2006/main">
  <numFmts count="5">
    <numFmt numFmtId="164" formatCode="General"/>
    <numFmt numFmtId="165" formatCode="&quot;Rp &quot;#,##0"/>
    <numFmt numFmtId="166" formatCode="0"/>
    <numFmt numFmtId="167" formatCode="0.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42" hidden="false" customHeight="true" outlineLevel="0" collapsed="false">
      <c r="A27" s="12" t="s">
        <v>47</v>
      </c>
      <c r="B27" s="13" t="s">
        <v>48</v>
      </c>
      <c r="C27" s="13" t="s">
        <v>49</v>
      </c>
      <c r="D27" s="14" t="s">
        <v>50</v>
      </c>
    </row>
    <row r="28" customFormat="false" ht="42"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30" hidden="false" customHeight="true" outlineLevel="0" collapsed="false">
      <c r="A31" s="12" t="s">
        <v>63</v>
      </c>
      <c r="B31" s="13" t="s">
        <v>64</v>
      </c>
      <c r="C31" s="13" t="s">
        <v>65</v>
      </c>
      <c r="D31" s="14" t="s">
        <v>66</v>
      </c>
    </row>
    <row r="32" customFormat="false" ht="84" hidden="false" customHeight="true" outlineLevel="0" collapsed="false">
      <c r="A32" s="12" t="s">
        <v>67</v>
      </c>
      <c r="B32" s="13" t="s">
        <v>68</v>
      </c>
      <c r="C32" s="13" t="s">
        <v>69</v>
      </c>
      <c r="D32" s="14" t="s">
        <v>70</v>
      </c>
    </row>
    <row r="33" customFormat="false" ht="72" hidden="false" customHeight="true" outlineLevel="0" collapsed="false">
      <c r="A33" s="12" t="s">
        <v>71</v>
      </c>
      <c r="B33" s="13" t="s">
        <v>72</v>
      </c>
      <c r="C33" s="13" t="s">
        <v>73</v>
      </c>
      <c r="D33" s="14" t="s">
        <v>74</v>
      </c>
    </row>
    <row r="34" customFormat="false" ht="55.5" hidden="false" customHeight="true" outlineLevel="0" collapsed="false">
      <c r="A34" s="12" t="s">
        <v>75</v>
      </c>
      <c r="B34" s="13" t="s">
        <v>76</v>
      </c>
      <c r="C34" s="13" t="s">
        <v>77</v>
      </c>
      <c r="D34" s="14" t="s">
        <v>78</v>
      </c>
    </row>
    <row r="35" customFormat="false" ht="55.5" hidden="false" customHeight="true" outlineLevel="0" collapsed="false">
      <c r="A35" s="12" t="s">
        <v>79</v>
      </c>
      <c r="B35" s="13" t="s">
        <v>80</v>
      </c>
      <c r="C35" s="13" t="s">
        <v>81</v>
      </c>
      <c r="D35" s="14" t="s">
        <v>82</v>
      </c>
    </row>
    <row r="36" customFormat="false" ht="43.5" hidden="false" customHeight="true" outlineLevel="0" collapsed="false">
      <c r="A36" s="12" t="s">
        <v>83</v>
      </c>
      <c r="B36" s="13" t="s">
        <v>84</v>
      </c>
      <c r="C36" s="13" t="s">
        <v>85</v>
      </c>
      <c r="D36" s="14" t="s">
        <v>86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2"/>
    <col collapsed="false" customWidth="true" hidden="false" outlineLevel="0" max="4" min="4" style="0" width="14"/>
    <col collapsed="false" customWidth="true" hidden="false" outlineLevel="0" max="5" min="5" style="0" width="13"/>
    <col collapsed="false" customWidth="true" hidden="false" outlineLevel="0" max="6" min="6" style="0" width="12"/>
    <col collapsed="false" customWidth="true" hidden="false" outlineLevel="0" max="7" min="7" style="0" width="17"/>
    <col collapsed="false" customWidth="true" hidden="false" outlineLevel="0" max="8" min="8" style="0" width="16"/>
    <col collapsed="false" customWidth="true" hidden="false" outlineLevel="0" max="9" min="9" style="0" width="10"/>
    <col collapsed="false" customWidth="true" hidden="false" outlineLevel="0" max="11" min="10" style="0" width="13"/>
    <col collapsed="false" customWidth="true" hidden="false" outlineLevel="0" max="12" min="12" style="0" width="18"/>
    <col collapsed="false" customWidth="true" hidden="false" outlineLevel="0" max="13" min="13" style="0" width="11"/>
    <col collapsed="false" customWidth="true" hidden="false" outlineLevel="0" max="14" min="14" style="0" width="16"/>
    <col collapsed="false" customWidth="true" hidden="false" outlineLevel="0" max="15" min="15" style="0" width="3"/>
    <col collapsed="false" customWidth="true" hidden="false" outlineLevel="0" max="16" min="16" style="0" width="30"/>
    <col collapsed="false" customWidth="true" hidden="false" outlineLevel="0" max="17" min="17" style="0" width="16"/>
    <col collapsed="false" customWidth="true" hidden="false" outlineLevel="0" max="18" min="18" style="0" width="42"/>
  </cols>
  <sheetData>
    <row r="1" customFormat="false" ht="33.75" hidden="false" customHeight="true" outlineLevel="0" collapsed="false">
      <c r="A1" s="11" t="s">
        <v>87</v>
      </c>
      <c r="B1" s="11" t="s">
        <v>88</v>
      </c>
      <c r="C1" s="11" t="s">
        <v>89</v>
      </c>
      <c r="D1" s="11" t="s">
        <v>90</v>
      </c>
      <c r="E1" s="11" t="s">
        <v>91</v>
      </c>
      <c r="F1" s="11" t="s">
        <v>92</v>
      </c>
      <c r="G1" s="15" t="s">
        <v>93</v>
      </c>
      <c r="H1" s="15" t="s">
        <v>94</v>
      </c>
      <c r="I1" s="15" t="s">
        <v>95</v>
      </c>
      <c r="J1" s="15" t="s">
        <v>96</v>
      </c>
      <c r="K1" s="15" t="s">
        <v>97</v>
      </c>
      <c r="L1" s="15" t="s">
        <v>98</v>
      </c>
      <c r="M1" s="15" t="s">
        <v>99</v>
      </c>
      <c r="N1" s="15" t="s">
        <v>100</v>
      </c>
      <c r="P1" s="16" t="s">
        <v>101</v>
      </c>
      <c r="Q1" s="16" t="s">
        <v>102</v>
      </c>
      <c r="R1" s="16" t="s">
        <v>103</v>
      </c>
    </row>
    <row r="2" customFormat="false" ht="15" hidden="false" customHeight="false" outlineLevel="0" collapsed="false">
      <c r="A2" s="17" t="s">
        <v>104</v>
      </c>
      <c r="B2" s="17" t="s">
        <v>105</v>
      </c>
      <c r="C2" s="18" t="n">
        <v>25000</v>
      </c>
      <c r="D2" s="18" t="n">
        <v>13000</v>
      </c>
      <c r="E2" s="18" t="n">
        <v>1200000</v>
      </c>
      <c r="F2" s="19" t="n">
        <v>142</v>
      </c>
      <c r="G2" s="20" t="n">
        <f aca="false">C2-D2</f>
        <v>12000</v>
      </c>
      <c r="H2" s="21" t="n">
        <f aca="false">G2/C2</f>
        <v>0.48</v>
      </c>
      <c r="I2" s="22" t="n">
        <f aca="false">ROUNDUP(E2/G2,0)</f>
        <v>100</v>
      </c>
      <c r="J2" s="20" t="n">
        <f aca="false">I2*C2</f>
        <v>2500000</v>
      </c>
      <c r="K2" s="20" t="n">
        <f aca="false">F2*G2-E2</f>
        <v>504000</v>
      </c>
      <c r="L2" s="21" t="n">
        <f aca="false">(F2-I2)/F2</f>
        <v>0.295774647887324</v>
      </c>
      <c r="M2" s="23" t="str">
        <f aca="false">IF(F2&lt;I2,"Rugi",IF(F2&lt;I2*1.2,"Hati-hati","Aman"))</f>
        <v>Aman</v>
      </c>
      <c r="N2" s="22" t="n">
        <f aca="false">ROUNDUP((E2+$Q$2)/G2,0)</f>
        <v>225</v>
      </c>
      <c r="P2" s="24" t="s">
        <v>106</v>
      </c>
      <c r="Q2" s="25" t="n">
        <v>1500000</v>
      </c>
      <c r="R2" s="24" t="s">
        <v>107</v>
      </c>
    </row>
    <row r="3" customFormat="false" ht="15" hidden="false" customHeight="false" outlineLevel="0" collapsed="false">
      <c r="A3" s="17" t="s">
        <v>108</v>
      </c>
      <c r="B3" s="17" t="s">
        <v>105</v>
      </c>
      <c r="C3" s="18" t="n">
        <v>45000</v>
      </c>
      <c r="D3" s="18" t="n">
        <v>24000</v>
      </c>
      <c r="E3" s="18" t="n">
        <v>2000000</v>
      </c>
      <c r="F3" s="19" t="n">
        <v>111</v>
      </c>
      <c r="G3" s="20" t="n">
        <f aca="false">C3-D3</f>
        <v>21000</v>
      </c>
      <c r="H3" s="21" t="n">
        <f aca="false">G3/C3</f>
        <v>0.466666666666667</v>
      </c>
      <c r="I3" s="22" t="n">
        <f aca="false">ROUNDUP(E3/G3,0)</f>
        <v>96</v>
      </c>
      <c r="J3" s="20" t="n">
        <f aca="false">I3*C3</f>
        <v>4320000</v>
      </c>
      <c r="K3" s="20" t="n">
        <f aca="false">F3*G3-E3</f>
        <v>331000</v>
      </c>
      <c r="L3" s="21" t="n">
        <f aca="false">(F3-I3)/F3</f>
        <v>0.135135135135135</v>
      </c>
      <c r="M3" s="23" t="str">
        <f aca="false">IF(F3&lt;I3,"Rugi",IF(F3&lt;I3*1.2,"Hati-hati","Aman"))</f>
        <v>Hati-hati</v>
      </c>
      <c r="N3" s="22" t="n">
        <f aca="false">ROUNDUP((E3+$Q$2)/G3,0)</f>
        <v>167</v>
      </c>
    </row>
    <row r="4" customFormat="false" ht="15" hidden="false" customHeight="false" outlineLevel="0" collapsed="false">
      <c r="A4" s="17" t="s">
        <v>109</v>
      </c>
      <c r="B4" s="17" t="s">
        <v>105</v>
      </c>
      <c r="C4" s="18" t="n">
        <v>10000</v>
      </c>
      <c r="D4" s="18" t="n">
        <v>6500</v>
      </c>
      <c r="E4" s="18" t="n">
        <v>700000</v>
      </c>
      <c r="F4" s="19" t="n">
        <v>225</v>
      </c>
      <c r="G4" s="20" t="n">
        <f aca="false">C4-D4</f>
        <v>3500</v>
      </c>
      <c r="H4" s="21" t="n">
        <f aca="false">G4/C4</f>
        <v>0.35</v>
      </c>
      <c r="I4" s="22" t="n">
        <f aca="false">ROUNDUP(E4/G4,0)</f>
        <v>200</v>
      </c>
      <c r="J4" s="20" t="n">
        <f aca="false">I4*C4</f>
        <v>2000000</v>
      </c>
      <c r="K4" s="20" t="n">
        <f aca="false">F4*G4-E4</f>
        <v>87500</v>
      </c>
      <c r="L4" s="21" t="n">
        <f aca="false">(F4-I4)/F4</f>
        <v>0.111111111111111</v>
      </c>
      <c r="M4" s="23" t="str">
        <f aca="false">IF(F4&lt;I4,"Rugi",IF(F4&lt;I4*1.2,"Hati-hati","Aman"))</f>
        <v>Hati-hati</v>
      </c>
      <c r="N4" s="22" t="n">
        <f aca="false">ROUNDUP((E4+$Q$2)/G4,0)</f>
        <v>629</v>
      </c>
    </row>
    <row r="5" customFormat="false" ht="15" hidden="false" customHeight="false" outlineLevel="0" collapsed="false">
      <c r="A5" s="17" t="s">
        <v>110</v>
      </c>
      <c r="B5" s="17" t="s">
        <v>105</v>
      </c>
      <c r="C5" s="18" t="n">
        <v>15000</v>
      </c>
      <c r="D5" s="18" t="n">
        <v>9000</v>
      </c>
      <c r="E5" s="18" t="n">
        <v>1500000</v>
      </c>
      <c r="F5" s="19" t="n">
        <v>175</v>
      </c>
      <c r="G5" s="20" t="n">
        <f aca="false">C5-D5</f>
        <v>6000</v>
      </c>
      <c r="H5" s="21" t="n">
        <f aca="false">G5/C5</f>
        <v>0.4</v>
      </c>
      <c r="I5" s="22" t="n">
        <f aca="false">ROUNDUP(E5/G5,0)</f>
        <v>250</v>
      </c>
      <c r="J5" s="20" t="n">
        <f aca="false">I5*C5</f>
        <v>3750000</v>
      </c>
      <c r="K5" s="20" t="n">
        <f aca="false">F5*G5-E5</f>
        <v>-450000</v>
      </c>
      <c r="L5" s="21" t="n">
        <f aca="false">(F5-I5)/F5</f>
        <v>-0.428571428571429</v>
      </c>
      <c r="M5" s="23" t="str">
        <f aca="false">IF(F5&lt;I5,"Rugi",IF(F5&lt;I5*1.2,"Hati-hati","Aman"))</f>
        <v>Rugi</v>
      </c>
      <c r="N5" s="22" t="n">
        <f aca="false">ROUNDUP((E5+$Q$2)/G5,0)</f>
        <v>500</v>
      </c>
    </row>
    <row r="6" customFormat="false" ht="15" hidden="false" customHeight="false" outlineLevel="0" collapsed="false">
      <c r="A6" s="17" t="s">
        <v>111</v>
      </c>
      <c r="B6" s="17" t="s">
        <v>105</v>
      </c>
      <c r="C6" s="18" t="n">
        <v>8000</v>
      </c>
      <c r="D6" s="18" t="n">
        <v>5500</v>
      </c>
      <c r="E6" s="18" t="n">
        <v>700000</v>
      </c>
      <c r="F6" s="19" t="n">
        <v>446</v>
      </c>
      <c r="G6" s="20" t="n">
        <f aca="false">C6-D6</f>
        <v>2500</v>
      </c>
      <c r="H6" s="21" t="n">
        <f aca="false">G6/C6</f>
        <v>0.3125</v>
      </c>
      <c r="I6" s="22" t="n">
        <f aca="false">ROUNDUP(E6/G6,0)</f>
        <v>280</v>
      </c>
      <c r="J6" s="20" t="n">
        <f aca="false">I6*C6</f>
        <v>2240000</v>
      </c>
      <c r="K6" s="20" t="n">
        <f aca="false">F6*G6-E6</f>
        <v>415000</v>
      </c>
      <c r="L6" s="21" t="n">
        <f aca="false">(F6-I6)/F6</f>
        <v>0.37219730941704</v>
      </c>
      <c r="M6" s="23" t="str">
        <f aca="false">IF(F6&lt;I6,"Rugi",IF(F6&lt;I6*1.2,"Hati-hati","Aman"))</f>
        <v>Aman</v>
      </c>
      <c r="N6" s="22" t="n">
        <f aca="false">ROUNDUP((E6+$Q$2)/G6,0)</f>
        <v>880</v>
      </c>
    </row>
    <row r="7" customFormat="false" ht="15" hidden="false" customHeight="false" outlineLevel="0" collapsed="false">
      <c r="A7" s="17" t="s">
        <v>112</v>
      </c>
      <c r="B7" s="17" t="s">
        <v>113</v>
      </c>
      <c r="C7" s="18" t="n">
        <v>45000</v>
      </c>
      <c r="D7" s="18" t="n">
        <v>28000</v>
      </c>
      <c r="E7" s="18" t="n">
        <v>2000000</v>
      </c>
      <c r="F7" s="19" t="n">
        <v>116</v>
      </c>
      <c r="G7" s="20" t="n">
        <f aca="false">C7-D7</f>
        <v>17000</v>
      </c>
      <c r="H7" s="21" t="n">
        <f aca="false">G7/C7</f>
        <v>0.377777777777778</v>
      </c>
      <c r="I7" s="22" t="n">
        <f aca="false">ROUNDUP(E7/G7,0)</f>
        <v>118</v>
      </c>
      <c r="J7" s="20" t="n">
        <f aca="false">I7*C7</f>
        <v>5310000</v>
      </c>
      <c r="K7" s="20" t="n">
        <f aca="false">F7*G7-E7</f>
        <v>-28000</v>
      </c>
      <c r="L7" s="21" t="n">
        <f aca="false">(F7-I7)/F7</f>
        <v>-0.0172413793103448</v>
      </c>
      <c r="M7" s="23" t="str">
        <f aca="false">IF(F7&lt;I7,"Rugi",IF(F7&lt;I7*1.2,"Hati-hati","Aman"))</f>
        <v>Rugi</v>
      </c>
      <c r="N7" s="22" t="n">
        <f aca="false">ROUNDUP((E7+$Q$2)/G7,0)</f>
        <v>206</v>
      </c>
    </row>
    <row r="8" customFormat="false" ht="15" hidden="false" customHeight="false" outlineLevel="0" collapsed="false">
      <c r="A8" s="17" t="s">
        <v>114</v>
      </c>
      <c r="B8" s="17" t="s">
        <v>113</v>
      </c>
      <c r="C8" s="18" t="n">
        <v>28000</v>
      </c>
      <c r="D8" s="18" t="n">
        <v>15000</v>
      </c>
      <c r="E8" s="18" t="n">
        <v>2000000</v>
      </c>
      <c r="F8" s="19" t="n">
        <v>123</v>
      </c>
      <c r="G8" s="20" t="n">
        <f aca="false">C8-D8</f>
        <v>13000</v>
      </c>
      <c r="H8" s="21" t="n">
        <f aca="false">G8/C8</f>
        <v>0.464285714285714</v>
      </c>
      <c r="I8" s="22" t="n">
        <f aca="false">ROUNDUP(E8/G8,0)</f>
        <v>154</v>
      </c>
      <c r="J8" s="20" t="n">
        <f aca="false">I8*C8</f>
        <v>4312000</v>
      </c>
      <c r="K8" s="20" t="n">
        <f aca="false">F8*G8-E8</f>
        <v>-401000</v>
      </c>
      <c r="L8" s="21" t="n">
        <f aca="false">(F8-I8)/F8</f>
        <v>-0.252032520325203</v>
      </c>
      <c r="M8" s="23" t="str">
        <f aca="false">IF(F8&lt;I8,"Rugi",IF(F8&lt;I8*1.2,"Hati-hati","Aman"))</f>
        <v>Rugi</v>
      </c>
      <c r="N8" s="22" t="n">
        <f aca="false">ROUNDUP((E8+$Q$2)/G8,0)</f>
        <v>270</v>
      </c>
    </row>
    <row r="9" customFormat="false" ht="15" hidden="false" customHeight="false" outlineLevel="0" collapsed="false">
      <c r="A9" s="17" t="s">
        <v>115</v>
      </c>
      <c r="B9" s="17" t="s">
        <v>113</v>
      </c>
      <c r="C9" s="18" t="n">
        <v>12000</v>
      </c>
      <c r="D9" s="18" t="n">
        <v>7000</v>
      </c>
      <c r="E9" s="18" t="n">
        <v>700000</v>
      </c>
      <c r="F9" s="19" t="n">
        <v>98</v>
      </c>
      <c r="G9" s="20" t="n">
        <f aca="false">C9-D9</f>
        <v>5000</v>
      </c>
      <c r="H9" s="21" t="n">
        <f aca="false">G9/C9</f>
        <v>0.416666666666667</v>
      </c>
      <c r="I9" s="22" t="n">
        <f aca="false">ROUNDUP(E9/G9,0)</f>
        <v>140</v>
      </c>
      <c r="J9" s="20" t="n">
        <f aca="false">I9*C9</f>
        <v>1680000</v>
      </c>
      <c r="K9" s="20" t="n">
        <f aca="false">F9*G9-E9</f>
        <v>-210000</v>
      </c>
      <c r="L9" s="21" t="n">
        <f aca="false">(F9-I9)/F9</f>
        <v>-0.428571428571429</v>
      </c>
      <c r="M9" s="23" t="str">
        <f aca="false">IF(F9&lt;I9,"Rugi",IF(F9&lt;I9*1.2,"Hati-hati","Aman"))</f>
        <v>Rugi</v>
      </c>
      <c r="N9" s="22" t="n">
        <f aca="false">ROUNDUP((E9+$Q$2)/G9,0)</f>
        <v>440</v>
      </c>
    </row>
    <row r="10" customFormat="false" ht="15" hidden="false" customHeight="false" outlineLevel="0" collapsed="false">
      <c r="A10" s="17" t="s">
        <v>116</v>
      </c>
      <c r="B10" s="17" t="s">
        <v>113</v>
      </c>
      <c r="C10" s="18" t="n">
        <v>35000</v>
      </c>
      <c r="D10" s="18" t="n">
        <v>17000</v>
      </c>
      <c r="E10" s="18" t="n">
        <v>1500000</v>
      </c>
      <c r="F10" s="19" t="n">
        <v>102</v>
      </c>
      <c r="G10" s="20" t="n">
        <f aca="false">C10-D10</f>
        <v>18000</v>
      </c>
      <c r="H10" s="21" t="n">
        <f aca="false">G10/C10</f>
        <v>0.514285714285714</v>
      </c>
      <c r="I10" s="22" t="n">
        <f aca="false">ROUNDUP(E10/G10,0)</f>
        <v>84</v>
      </c>
      <c r="J10" s="20" t="n">
        <f aca="false">I10*C10</f>
        <v>2940000</v>
      </c>
      <c r="K10" s="20" t="n">
        <f aca="false">F10*G10-E10</f>
        <v>336000</v>
      </c>
      <c r="L10" s="21" t="n">
        <f aca="false">(F10-I10)/F10</f>
        <v>0.176470588235294</v>
      </c>
      <c r="M10" s="23" t="str">
        <f aca="false">IF(F10&lt;I10,"Rugi",IF(F10&lt;I10*1.2,"Hati-hati","Aman"))</f>
        <v>Aman</v>
      </c>
      <c r="N10" s="22" t="n">
        <f aca="false">ROUNDUP((E10+$Q$2)/G10,0)</f>
        <v>167</v>
      </c>
    </row>
    <row r="11" customFormat="false" ht="15" hidden="false" customHeight="false" outlineLevel="0" collapsed="false">
      <c r="A11" s="17" t="s">
        <v>117</v>
      </c>
      <c r="B11" s="17" t="s">
        <v>113</v>
      </c>
      <c r="C11" s="18" t="n">
        <v>35000</v>
      </c>
      <c r="D11" s="18" t="n">
        <v>20500</v>
      </c>
      <c r="E11" s="18" t="n">
        <v>2500000</v>
      </c>
      <c r="F11" s="19" t="n">
        <v>171</v>
      </c>
      <c r="G11" s="20" t="n">
        <f aca="false">C11-D11</f>
        <v>14500</v>
      </c>
      <c r="H11" s="21" t="n">
        <f aca="false">G11/C11</f>
        <v>0.414285714285714</v>
      </c>
      <c r="I11" s="22" t="n">
        <f aca="false">ROUNDUP(E11/G11,0)</f>
        <v>173</v>
      </c>
      <c r="J11" s="20" t="n">
        <f aca="false">I11*C11</f>
        <v>6055000</v>
      </c>
      <c r="K11" s="20" t="n">
        <f aca="false">F11*G11-E11</f>
        <v>-20500</v>
      </c>
      <c r="L11" s="21" t="n">
        <f aca="false">(F11-I11)/F11</f>
        <v>-0.0116959064327485</v>
      </c>
      <c r="M11" s="23" t="str">
        <f aca="false">IF(F11&lt;I11,"Rugi",IF(F11&lt;I11*1.2,"Hati-hati","Aman"))</f>
        <v>Rugi</v>
      </c>
      <c r="N11" s="22" t="n">
        <f aca="false">ROUNDUP((E11+$Q$2)/G11,0)</f>
        <v>276</v>
      </c>
    </row>
    <row r="12" customFormat="false" ht="15" hidden="false" customHeight="false" outlineLevel="0" collapsed="false">
      <c r="A12" s="17" t="s">
        <v>118</v>
      </c>
      <c r="B12" s="17" t="s">
        <v>119</v>
      </c>
      <c r="C12" s="18" t="n">
        <v>8000</v>
      </c>
      <c r="D12" s="18" t="n">
        <v>4500</v>
      </c>
      <c r="E12" s="18" t="n">
        <v>2000000</v>
      </c>
      <c r="F12" s="19" t="n">
        <v>656</v>
      </c>
      <c r="G12" s="20" t="n">
        <f aca="false">C12-D12</f>
        <v>3500</v>
      </c>
      <c r="H12" s="21" t="n">
        <f aca="false">G12/C12</f>
        <v>0.4375</v>
      </c>
      <c r="I12" s="22" t="n">
        <f aca="false">ROUNDUP(E12/G12,0)</f>
        <v>572</v>
      </c>
      <c r="J12" s="20" t="n">
        <f aca="false">I12*C12</f>
        <v>4576000</v>
      </c>
      <c r="K12" s="20" t="n">
        <f aca="false">F12*G12-E12</f>
        <v>296000</v>
      </c>
      <c r="L12" s="21" t="n">
        <f aca="false">(F12-I12)/F12</f>
        <v>0.128048780487805</v>
      </c>
      <c r="M12" s="23" t="str">
        <f aca="false">IF(F12&lt;I12,"Rugi",IF(F12&lt;I12*1.2,"Hati-hati","Aman"))</f>
        <v>Hati-hati</v>
      </c>
      <c r="N12" s="22" t="n">
        <f aca="false">ROUNDUP((E12+$Q$2)/G12,0)</f>
        <v>1000</v>
      </c>
    </row>
    <row r="13" customFormat="false" ht="15" hidden="false" customHeight="false" outlineLevel="0" collapsed="false">
      <c r="A13" s="17" t="s">
        <v>120</v>
      </c>
      <c r="B13" s="17" t="s">
        <v>119</v>
      </c>
      <c r="C13" s="18" t="n">
        <v>28000</v>
      </c>
      <c r="D13" s="18" t="n">
        <v>13500</v>
      </c>
      <c r="E13" s="18" t="n">
        <v>3200000</v>
      </c>
      <c r="F13" s="19" t="n">
        <v>330</v>
      </c>
      <c r="G13" s="20" t="n">
        <f aca="false">C13-D13</f>
        <v>14500</v>
      </c>
      <c r="H13" s="21" t="n">
        <f aca="false">G13/C13</f>
        <v>0.517857142857143</v>
      </c>
      <c r="I13" s="22" t="n">
        <f aca="false">ROUNDUP(E13/G13,0)</f>
        <v>221</v>
      </c>
      <c r="J13" s="20" t="n">
        <f aca="false">I13*C13</f>
        <v>6188000</v>
      </c>
      <c r="K13" s="20" t="n">
        <f aca="false">F13*G13-E13</f>
        <v>1585000</v>
      </c>
      <c r="L13" s="21" t="n">
        <f aca="false">(F13-I13)/F13</f>
        <v>0.33030303030303</v>
      </c>
      <c r="M13" s="23" t="str">
        <f aca="false">IF(F13&lt;I13,"Rugi",IF(F13&lt;I13*1.2,"Hati-hati","Aman"))</f>
        <v>Aman</v>
      </c>
      <c r="N13" s="22" t="n">
        <f aca="false">ROUNDUP((E13+$Q$2)/G13,0)</f>
        <v>325</v>
      </c>
    </row>
    <row r="14" customFormat="false" ht="15" hidden="false" customHeight="false" outlineLevel="0" collapsed="false">
      <c r="A14" s="17" t="s">
        <v>121</v>
      </c>
      <c r="B14" s="17" t="s">
        <v>119</v>
      </c>
      <c r="C14" s="18" t="n">
        <v>10000</v>
      </c>
      <c r="D14" s="18" t="n">
        <v>6000</v>
      </c>
      <c r="E14" s="18" t="n">
        <v>900000</v>
      </c>
      <c r="F14" s="19" t="n">
        <v>260</v>
      </c>
      <c r="G14" s="20" t="n">
        <f aca="false">C14-D14</f>
        <v>4000</v>
      </c>
      <c r="H14" s="21" t="n">
        <f aca="false">G14/C14</f>
        <v>0.4</v>
      </c>
      <c r="I14" s="22" t="n">
        <f aca="false">ROUNDUP(E14/G14,0)</f>
        <v>225</v>
      </c>
      <c r="J14" s="20" t="n">
        <f aca="false">I14*C14</f>
        <v>2250000</v>
      </c>
      <c r="K14" s="20" t="n">
        <f aca="false">F14*G14-E14</f>
        <v>140000</v>
      </c>
      <c r="L14" s="21" t="n">
        <f aca="false">(F14-I14)/F14</f>
        <v>0.134615384615385</v>
      </c>
      <c r="M14" s="23" t="str">
        <f aca="false">IF(F14&lt;I14,"Rugi",IF(F14&lt;I14*1.2,"Hati-hati","Aman"))</f>
        <v>Hati-hati</v>
      </c>
      <c r="N14" s="22" t="n">
        <f aca="false">ROUNDUP((E14+$Q$2)/G14,0)</f>
        <v>600</v>
      </c>
    </row>
    <row r="15" customFormat="false" ht="15" hidden="false" customHeight="false" outlineLevel="0" collapsed="false">
      <c r="A15" s="17" t="s">
        <v>122</v>
      </c>
      <c r="B15" s="17" t="s">
        <v>119</v>
      </c>
      <c r="C15" s="18" t="n">
        <v>10000</v>
      </c>
      <c r="D15" s="18" t="n">
        <v>6500</v>
      </c>
      <c r="E15" s="18" t="n">
        <v>1500000</v>
      </c>
      <c r="F15" s="19" t="n">
        <v>471</v>
      </c>
      <c r="G15" s="20" t="n">
        <f aca="false">C15-D15</f>
        <v>3500</v>
      </c>
      <c r="H15" s="21" t="n">
        <f aca="false">G15/C15</f>
        <v>0.35</v>
      </c>
      <c r="I15" s="22" t="n">
        <f aca="false">ROUNDUP(E15/G15,0)</f>
        <v>429</v>
      </c>
      <c r="J15" s="20" t="n">
        <f aca="false">I15*C15</f>
        <v>4290000</v>
      </c>
      <c r="K15" s="20" t="n">
        <f aca="false">F15*G15-E15</f>
        <v>148500</v>
      </c>
      <c r="L15" s="21" t="n">
        <f aca="false">(F15-I15)/F15</f>
        <v>0.089171974522293</v>
      </c>
      <c r="M15" s="23" t="str">
        <f aca="false">IF(F15&lt;I15,"Rugi",IF(F15&lt;I15*1.2,"Hati-hati","Aman"))</f>
        <v>Hati-hati</v>
      </c>
      <c r="N15" s="22" t="n">
        <f aca="false">ROUNDUP((E15+$Q$2)/G15,0)</f>
        <v>858</v>
      </c>
    </row>
    <row r="16" customFormat="false" ht="15" hidden="false" customHeight="false" outlineLevel="0" collapsed="false">
      <c r="A16" s="17" t="s">
        <v>123</v>
      </c>
      <c r="B16" s="17" t="s">
        <v>119</v>
      </c>
      <c r="C16" s="18" t="n">
        <v>10000</v>
      </c>
      <c r="D16" s="18" t="n">
        <v>5500</v>
      </c>
      <c r="E16" s="18" t="n">
        <v>1200000</v>
      </c>
      <c r="F16" s="19" t="n">
        <v>501</v>
      </c>
      <c r="G16" s="20" t="n">
        <f aca="false">C16-D16</f>
        <v>4500</v>
      </c>
      <c r="H16" s="21" t="n">
        <f aca="false">G16/C16</f>
        <v>0.45</v>
      </c>
      <c r="I16" s="22" t="n">
        <f aca="false">ROUNDUP(E16/G16,0)</f>
        <v>267</v>
      </c>
      <c r="J16" s="20" t="n">
        <f aca="false">I16*C16</f>
        <v>2670000</v>
      </c>
      <c r="K16" s="20" t="n">
        <f aca="false">F16*G16-E16</f>
        <v>1054500</v>
      </c>
      <c r="L16" s="21" t="n">
        <f aca="false">(F16-I16)/F16</f>
        <v>0.467065868263473</v>
      </c>
      <c r="M16" s="23" t="str">
        <f aca="false">IF(F16&lt;I16,"Rugi",IF(F16&lt;I16*1.2,"Hati-hati","Aman"))</f>
        <v>Aman</v>
      </c>
      <c r="N16" s="22" t="n">
        <f aca="false">ROUNDUP((E16+$Q$2)/G16,0)</f>
        <v>600</v>
      </c>
    </row>
    <row r="17" customFormat="false" ht="15" hidden="false" customHeight="false" outlineLevel="0" collapsed="false">
      <c r="A17" s="17" t="s">
        <v>124</v>
      </c>
      <c r="B17" s="17" t="s">
        <v>125</v>
      </c>
      <c r="C17" s="18" t="n">
        <v>22000</v>
      </c>
      <c r="D17" s="18" t="n">
        <v>11500</v>
      </c>
      <c r="E17" s="18" t="n">
        <v>1500000</v>
      </c>
      <c r="F17" s="19" t="n">
        <v>89</v>
      </c>
      <c r="G17" s="20" t="n">
        <f aca="false">C17-D17</f>
        <v>10500</v>
      </c>
      <c r="H17" s="21" t="n">
        <f aca="false">G17/C17</f>
        <v>0.477272727272727</v>
      </c>
      <c r="I17" s="22" t="n">
        <f aca="false">ROUNDUP(E17/G17,0)</f>
        <v>143</v>
      </c>
      <c r="J17" s="20" t="n">
        <f aca="false">I17*C17</f>
        <v>3146000</v>
      </c>
      <c r="K17" s="20" t="n">
        <f aca="false">F17*G17-E17</f>
        <v>-565500</v>
      </c>
      <c r="L17" s="21" t="n">
        <f aca="false">(F17-I17)/F17</f>
        <v>-0.606741573033708</v>
      </c>
      <c r="M17" s="23" t="str">
        <f aca="false">IF(F17&lt;I17,"Rugi",IF(F17&lt;I17*1.2,"Hati-hati","Aman"))</f>
        <v>Rugi</v>
      </c>
      <c r="N17" s="22" t="n">
        <f aca="false">ROUNDUP((E17+$Q$2)/G17,0)</f>
        <v>286</v>
      </c>
    </row>
    <row r="18" customFormat="false" ht="15" hidden="false" customHeight="false" outlineLevel="0" collapsed="false">
      <c r="A18" s="17" t="s">
        <v>126</v>
      </c>
      <c r="B18" s="17" t="s">
        <v>125</v>
      </c>
      <c r="C18" s="18" t="n">
        <v>35000</v>
      </c>
      <c r="D18" s="18" t="n">
        <v>19000</v>
      </c>
      <c r="E18" s="18" t="n">
        <v>2000000</v>
      </c>
      <c r="F18" s="19" t="n">
        <v>75</v>
      </c>
      <c r="G18" s="20" t="n">
        <f aca="false">C18-D18</f>
        <v>16000</v>
      </c>
      <c r="H18" s="21" t="n">
        <f aca="false">G18/C18</f>
        <v>0.457142857142857</v>
      </c>
      <c r="I18" s="22" t="n">
        <f aca="false">ROUNDUP(E18/G18,0)</f>
        <v>125</v>
      </c>
      <c r="J18" s="20" t="n">
        <f aca="false">I18*C18</f>
        <v>4375000</v>
      </c>
      <c r="K18" s="20" t="n">
        <f aca="false">F18*G18-E18</f>
        <v>-800000</v>
      </c>
      <c r="L18" s="21" t="n">
        <f aca="false">(F18-I18)/F18</f>
        <v>-0.666666666666667</v>
      </c>
      <c r="M18" s="23" t="str">
        <f aca="false">IF(F18&lt;I18,"Rugi",IF(F18&lt;I18*1.2,"Hati-hati","Aman"))</f>
        <v>Rugi</v>
      </c>
      <c r="N18" s="22" t="n">
        <f aca="false">ROUNDUP((E18+$Q$2)/G18,0)</f>
        <v>219</v>
      </c>
    </row>
    <row r="19" customFormat="false" ht="15" hidden="false" customHeight="false" outlineLevel="0" collapsed="false">
      <c r="A19" s="17" t="s">
        <v>127</v>
      </c>
      <c r="B19" s="17" t="s">
        <v>125</v>
      </c>
      <c r="C19" s="18" t="n">
        <v>15000</v>
      </c>
      <c r="D19" s="18" t="n">
        <v>6500</v>
      </c>
      <c r="E19" s="18" t="n">
        <v>1500000</v>
      </c>
      <c r="F19" s="19" t="n">
        <v>114</v>
      </c>
      <c r="G19" s="20" t="n">
        <f aca="false">C19-D19</f>
        <v>8500</v>
      </c>
      <c r="H19" s="21" t="n">
        <f aca="false">G19/C19</f>
        <v>0.566666666666667</v>
      </c>
      <c r="I19" s="22" t="n">
        <f aca="false">ROUNDUP(E19/G19,0)</f>
        <v>177</v>
      </c>
      <c r="J19" s="20" t="n">
        <f aca="false">I19*C19</f>
        <v>2655000</v>
      </c>
      <c r="K19" s="20" t="n">
        <f aca="false">F19*G19-E19</f>
        <v>-531000</v>
      </c>
      <c r="L19" s="21" t="n">
        <f aca="false">(F19-I19)/F19</f>
        <v>-0.552631578947369</v>
      </c>
      <c r="M19" s="23" t="str">
        <f aca="false">IF(F19&lt;I19,"Rugi",IF(F19&lt;I19*1.2,"Hati-hati","Aman"))</f>
        <v>Rugi</v>
      </c>
      <c r="N19" s="22" t="n">
        <f aca="false">ROUNDUP((E19+$Q$2)/G19,0)</f>
        <v>353</v>
      </c>
    </row>
    <row r="20" customFormat="false" ht="15" hidden="false" customHeight="false" outlineLevel="0" collapsed="false">
      <c r="A20" s="17" t="s">
        <v>128</v>
      </c>
      <c r="B20" s="17" t="s">
        <v>125</v>
      </c>
      <c r="C20" s="18" t="n">
        <v>35000</v>
      </c>
      <c r="D20" s="18" t="n">
        <v>18500</v>
      </c>
      <c r="E20" s="18" t="n">
        <v>1200000</v>
      </c>
      <c r="F20" s="19" t="n">
        <v>48</v>
      </c>
      <c r="G20" s="20" t="n">
        <f aca="false">C20-D20</f>
        <v>16500</v>
      </c>
      <c r="H20" s="21" t="n">
        <f aca="false">G20/C20</f>
        <v>0.471428571428571</v>
      </c>
      <c r="I20" s="22" t="n">
        <f aca="false">ROUNDUP(E20/G20,0)</f>
        <v>73</v>
      </c>
      <c r="J20" s="20" t="n">
        <f aca="false">I20*C20</f>
        <v>2555000</v>
      </c>
      <c r="K20" s="20" t="n">
        <f aca="false">F20*G20-E20</f>
        <v>-408000</v>
      </c>
      <c r="L20" s="21" t="n">
        <f aca="false">(F20-I20)/F20</f>
        <v>-0.520833333333333</v>
      </c>
      <c r="M20" s="23" t="str">
        <f aca="false">IF(F20&lt;I20,"Rugi",IF(F20&lt;I20*1.2,"Hati-hati","Aman"))</f>
        <v>Rugi</v>
      </c>
      <c r="N20" s="22" t="n">
        <f aca="false">ROUNDUP((E20+$Q$2)/G20,0)</f>
        <v>164</v>
      </c>
    </row>
    <row r="21" customFormat="false" ht="15" hidden="false" customHeight="false" outlineLevel="0" collapsed="false">
      <c r="A21" s="17" t="s">
        <v>129</v>
      </c>
      <c r="B21" s="17" t="s">
        <v>125</v>
      </c>
      <c r="C21" s="18" t="n">
        <v>18000</v>
      </c>
      <c r="D21" s="18" t="n">
        <v>8000</v>
      </c>
      <c r="E21" s="18" t="n">
        <v>1200000</v>
      </c>
      <c r="F21" s="19" t="n">
        <v>156</v>
      </c>
      <c r="G21" s="20" t="n">
        <f aca="false">C21-D21</f>
        <v>10000</v>
      </c>
      <c r="H21" s="21" t="n">
        <f aca="false">G21/C21</f>
        <v>0.555555555555556</v>
      </c>
      <c r="I21" s="22" t="n">
        <f aca="false">ROUNDUP(E21/G21,0)</f>
        <v>120</v>
      </c>
      <c r="J21" s="20" t="n">
        <f aca="false">I21*C21</f>
        <v>2160000</v>
      </c>
      <c r="K21" s="20" t="n">
        <f aca="false">F21*G21-E21</f>
        <v>360000</v>
      </c>
      <c r="L21" s="21" t="n">
        <f aca="false">(F21-I21)/F21</f>
        <v>0.230769230769231</v>
      </c>
      <c r="M21" s="23" t="str">
        <f aca="false">IF(F21&lt;I21,"Rugi",IF(F21&lt;I21*1.2,"Hati-hati","Aman"))</f>
        <v>Aman</v>
      </c>
      <c r="N21" s="22" t="n">
        <f aca="false">ROUNDUP((E21+$Q$2)/G21,0)</f>
        <v>270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16"/>
    <col collapsed="false" customWidth="true" hidden="false" outlineLevel="0" max="4" min="4" style="0" width="15"/>
  </cols>
  <sheetData>
    <row r="1" customFormat="false" ht="33.75" hidden="false" customHeight="true" outlineLevel="0" collapsed="false">
      <c r="A1" s="11" t="s">
        <v>88</v>
      </c>
      <c r="B1" s="15" t="s">
        <v>130</v>
      </c>
      <c r="C1" s="15" t="s">
        <v>131</v>
      </c>
      <c r="D1" s="15" t="s">
        <v>132</v>
      </c>
    </row>
    <row r="2" customFormat="false" ht="15" hidden="false" customHeight="false" outlineLevel="0" collapsed="false">
      <c r="A2" s="17" t="s">
        <v>105</v>
      </c>
      <c r="B2" s="22" t="n">
        <f aca="false">COUNTIF(Data!$B$2:$B$21,A2)</f>
        <v>5</v>
      </c>
      <c r="C2" s="20" t="n">
        <f aca="false">SUMIF(Data!$B$2:$B$21,A2,Data!$K$2:$K$21)</f>
        <v>887500</v>
      </c>
      <c r="D2" s="21" t="n">
        <f aca="false">AVERAGEIF(Data!$B$2:$B$21,A2,Data!$H$2:$H$21)</f>
        <v>0.401833333333333</v>
      </c>
    </row>
    <row r="3" customFormat="false" ht="15" hidden="false" customHeight="false" outlineLevel="0" collapsed="false">
      <c r="A3" s="17" t="s">
        <v>113</v>
      </c>
      <c r="B3" s="22" t="n">
        <f aca="false">COUNTIF(Data!$B$2:$B$21,A3)</f>
        <v>5</v>
      </c>
      <c r="C3" s="20" t="n">
        <f aca="false">SUMIF(Data!$B$2:$B$21,A3,Data!$K$2:$K$21)</f>
        <v>-323500</v>
      </c>
      <c r="D3" s="21" t="n">
        <f aca="false">AVERAGEIF(Data!$B$2:$B$21,A3,Data!$H$2:$H$21)</f>
        <v>0.437460317460318</v>
      </c>
    </row>
    <row r="4" customFormat="false" ht="15" hidden="false" customHeight="false" outlineLevel="0" collapsed="false">
      <c r="A4" s="17" t="s">
        <v>119</v>
      </c>
      <c r="B4" s="22" t="n">
        <f aca="false">COUNTIF(Data!$B$2:$B$21,A4)</f>
        <v>5</v>
      </c>
      <c r="C4" s="20" t="n">
        <f aca="false">SUMIF(Data!$B$2:$B$21,A4,Data!$K$2:$K$21)</f>
        <v>3224000</v>
      </c>
      <c r="D4" s="21" t="n">
        <f aca="false">AVERAGEIF(Data!$B$2:$B$21,A4,Data!$H$2:$H$21)</f>
        <v>0.431071428571429</v>
      </c>
    </row>
    <row r="5" customFormat="false" ht="15" hidden="false" customHeight="false" outlineLevel="0" collapsed="false">
      <c r="A5" s="17" t="s">
        <v>125</v>
      </c>
      <c r="B5" s="22" t="n">
        <f aca="false">COUNTIF(Data!$B$2:$B$21,A5)</f>
        <v>5</v>
      </c>
      <c r="C5" s="20" t="n">
        <f aca="false">SUMIF(Data!$B$2:$B$21,A5,Data!$K$2:$K$21)</f>
        <v>-1944500</v>
      </c>
      <c r="D5" s="21" t="n">
        <f aca="false">AVERAGEIF(Data!$B$2:$B$21,A5,Data!$H$2:$H$21)</f>
        <v>0.505613275613276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133</v>
      </c>
      <c r="B1" s="26"/>
      <c r="C1" s="26"/>
      <c r="D1" s="26"/>
    </row>
    <row r="2" customFormat="false" ht="15" hidden="false" customHeight="false" outlineLevel="0" collapsed="false">
      <c r="A2" s="27" t="s">
        <v>134</v>
      </c>
      <c r="B2" s="27"/>
      <c r="C2" s="27"/>
      <c r="D2" s="27"/>
    </row>
    <row r="3" customFormat="false" ht="15" hidden="false" customHeight="false" outlineLevel="0" collapsed="false">
      <c r="A3" s="11" t="s">
        <v>19</v>
      </c>
      <c r="B3" s="11" t="s">
        <v>135</v>
      </c>
      <c r="C3" s="11" t="s">
        <v>136</v>
      </c>
      <c r="D3" s="11" t="s">
        <v>137</v>
      </c>
    </row>
    <row r="4" customFormat="false" ht="15" hidden="false" customHeight="false" outlineLevel="0" collapsed="false">
      <c r="A4" s="28" t="s">
        <v>138</v>
      </c>
      <c r="B4" s="29" t="s">
        <v>139</v>
      </c>
      <c r="C4" s="20" t="n">
        <f aca="false">SUMPRODUCT(Data!$F$2:$F$21,Data!$C$2:$C$21)</f>
        <v>73972000</v>
      </c>
      <c r="D4" s="30" t="s">
        <v>140</v>
      </c>
    </row>
    <row r="5" customFormat="false" ht="15" hidden="false" customHeight="false" outlineLevel="0" collapsed="false">
      <c r="A5" s="28" t="s">
        <v>141</v>
      </c>
      <c r="B5" s="29" t="s">
        <v>142</v>
      </c>
      <c r="C5" s="20" t="n">
        <f aca="false">SUM(Data!$E$2:$E$21)</f>
        <v>31000000</v>
      </c>
      <c r="D5" s="30" t="s">
        <v>143</v>
      </c>
    </row>
    <row r="6" customFormat="false" ht="15" hidden="false" customHeight="false" outlineLevel="0" collapsed="false">
      <c r="A6" s="28" t="s">
        <v>144</v>
      </c>
      <c r="B6" s="29" t="s">
        <v>145</v>
      </c>
      <c r="C6" s="20" t="n">
        <f aca="false">SUM(Data!$K$2:$K$21)</f>
        <v>1843500</v>
      </c>
      <c r="D6" s="30" t="s">
        <v>146</v>
      </c>
    </row>
    <row r="7" customFormat="false" ht="15" hidden="false" customHeight="false" outlineLevel="0" collapsed="false">
      <c r="A7" s="28" t="s">
        <v>147</v>
      </c>
      <c r="B7" s="29" t="s">
        <v>148</v>
      </c>
      <c r="C7" s="21" t="n">
        <f aca="false">C6/C4</f>
        <v>0.0249215919537122</v>
      </c>
      <c r="D7" s="30" t="s">
        <v>149</v>
      </c>
    </row>
    <row r="8" customFormat="false" ht="15" hidden="false" customHeight="false" outlineLevel="0" collapsed="false">
      <c r="A8" s="28" t="s">
        <v>150</v>
      </c>
      <c r="B8" s="29" t="s">
        <v>151</v>
      </c>
      <c r="C8" s="22" t="n">
        <f aca="false">COUNTIF(Data!$M$2:$M$21,"Rugi")</f>
        <v>9</v>
      </c>
      <c r="D8" s="30" t="s">
        <v>152</v>
      </c>
    </row>
    <row r="9" customFormat="false" ht="15" hidden="false" customHeight="false" outlineLevel="0" collapsed="false">
      <c r="A9" s="28" t="s">
        <v>153</v>
      </c>
      <c r="B9" s="29" t="s">
        <v>154</v>
      </c>
      <c r="C9" s="22" t="n">
        <f aca="false">COUNTIF(Data!$M$2:$M$21,"Hati-hati")</f>
        <v>5</v>
      </c>
      <c r="D9" s="30" t="s">
        <v>155</v>
      </c>
    </row>
    <row r="10" customFormat="false" ht="15" hidden="false" customHeight="false" outlineLevel="0" collapsed="false">
      <c r="A10" s="28" t="s">
        <v>156</v>
      </c>
      <c r="B10" s="29" t="s">
        <v>157</v>
      </c>
      <c r="C10" s="22" t="n">
        <f aca="false">COUNTIF(Data!$M$2:$M$21,"Aman")</f>
        <v>6</v>
      </c>
      <c r="D10" s="30" t="s">
        <v>158</v>
      </c>
    </row>
    <row r="11" customFormat="false" ht="15" hidden="false" customHeight="false" outlineLevel="0" collapsed="false">
      <c r="A11" s="28" t="s">
        <v>159</v>
      </c>
      <c r="B11" s="29" t="s">
        <v>160</v>
      </c>
      <c r="C11" s="31" t="n">
        <f aca="false">1-C8/COUNTA(Data!$A$2:$A$21)</f>
        <v>0.55</v>
      </c>
      <c r="D11" s="30" t="s">
        <v>161</v>
      </c>
    </row>
    <row r="12" customFormat="false" ht="15" hidden="false" customHeight="false" outlineLevel="0" collapsed="false">
      <c r="A12" s="28" t="s">
        <v>162</v>
      </c>
      <c r="B12" s="29" t="s">
        <v>163</v>
      </c>
      <c r="C12" s="23" t="str">
        <f aca="false">INDEX(Data!$A$2:$A$21,MATCH(MAX(Data!$K$2:$K$21),Data!$K$2:$K$21,0))</f>
        <v>Teh Tarik</v>
      </c>
      <c r="D12" s="30" t="s">
        <v>164</v>
      </c>
    </row>
    <row r="13" customFormat="false" ht="15" hidden="false" customHeight="false" outlineLevel="0" collapsed="false">
      <c r="A13" s="28" t="s">
        <v>165</v>
      </c>
      <c r="B13" s="29" t="s">
        <v>166</v>
      </c>
      <c r="C13" s="23" t="str">
        <f aca="false">INDEX(Data!$A$2:$A$21,MATCH(MIN(Data!$K$2:$K$21),Data!$K$2:$K$21,0))</f>
        <v>Risoles</v>
      </c>
      <c r="D13" s="30" t="s">
        <v>164</v>
      </c>
    </row>
    <row r="14" customFormat="false" ht="15" hidden="false" customHeight="false" outlineLevel="0" collapsed="false">
      <c r="A14" s="28" t="s">
        <v>167</v>
      </c>
      <c r="B14" s="29" t="s">
        <v>168</v>
      </c>
      <c r="C14" s="23" t="str">
        <f aca="false">INDEX(Data!$A$2:$A$21,MATCH(MAX(Data!$J$2:$J$21),Data!$J$2:$J$21,0))</f>
        <v>Teh Tarik</v>
      </c>
      <c r="D14" s="30" t="s">
        <v>164</v>
      </c>
    </row>
    <row r="15" customFormat="false" ht="15" hidden="false" customHeight="false" outlineLevel="0" collapsed="false">
      <c r="A15" s="28" t="s">
        <v>169</v>
      </c>
      <c r="B15" s="29" t="s">
        <v>170</v>
      </c>
      <c r="C15" s="23" t="str">
        <f aca="false">INDEX(Acuan!$A$2:$A$5,MATCH(MAX(Acuan!$C$2:$C$5),Acuan!$C$2:$C$5,0))</f>
        <v>Minuman</v>
      </c>
      <c r="D15" s="30" t="s">
        <v>171</v>
      </c>
    </row>
    <row r="16" customFormat="false" ht="15" hidden="false" customHeight="false" outlineLevel="0" collapsed="false">
      <c r="A16" s="28" t="s">
        <v>172</v>
      </c>
      <c r="B16" s="29" t="s">
        <v>173</v>
      </c>
      <c r="C16" s="20" t="n">
        <f aca="false">SUMIFS(Data!$K$2:$K$21,Data!$B$2:$B$21,"Kue",Data!$M$2:$M$21,"Aman")</f>
        <v>336000</v>
      </c>
      <c r="D16" s="30" t="s">
        <v>174</v>
      </c>
    </row>
    <row r="17" customFormat="false" ht="15" hidden="false" customHeight="false" outlineLevel="0" collapsed="false">
      <c r="A17" s="28" t="s">
        <v>175</v>
      </c>
      <c r="B17" s="29" t="s">
        <v>176</v>
      </c>
      <c r="C17" s="21" t="n">
        <f aca="false">MAX(Data!$L$2:$L$21)</f>
        <v>0.467065868263473</v>
      </c>
      <c r="D17" s="30" t="s">
        <v>177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2026-10-14T23:34:16Z</dcterms:created>
  <dc:creator>PushExcel</dc:creator>
  <dc:description/>
  <dc:language>en-US</dc:language>
  <cp:lastModifiedBy/>
  <dcterms:modified xsi:type="dcterms:W3CDTF">2026-10-14T23:34:16Z</dcterms:modified>
  <cp:revision>0</cp:revision>
  <dc:subject/>
  <dc:title>Titik Impas dan Laba Rugi 20 Produk Kafe - Kunci</dc:title>
</cp:coreProperties>
</file>

<file path=docProps/custom.xml><?xml version="1.0" encoding="utf-8"?>
<Properties xmlns="http://schemas.openxmlformats.org/officeDocument/2006/custom-properties" xmlns:vt="http://schemas.openxmlformats.org/officeDocument/2006/docPropsVTypes"/>
</file>