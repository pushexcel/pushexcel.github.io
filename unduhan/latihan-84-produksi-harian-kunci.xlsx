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<sst xmlns="http://schemas.openxmlformats.org/spreadsheetml/2006/main" count="172" uniqueCount="137">
  <si>
    <t xml:space="preserve">Kunci Jawaban: Produksi Harian: Target, Cacat, dan Status Mesin</t>
  </si>
  <si>
    <t xml:space="preserve">Latihan 84 dari 40  |  Tingkat: Menengah  |  Perkiraan waktu: 50 menit  |  pushexcel.github.io/Pushexcel</t>
  </si>
  <si>
    <t xml:space="preserve">Skenario</t>
  </si>
  <si>
    <t xml:space="preserve">Kamu staf pengendali produksi CV Plastik Tunas Baru yang merekap catatan harian empat mesin selama 8 hari kerja. Setiap catatan berisi target produksi, hasil produksi, dan jumlah barang cacat (dalam unit). Barang baik adalah hasil dikurangi cacat. Persen capaian adalah hasil dibagi target, dan persen cacat adalah cacat dibagi hasil. Status mesin: Periksa Mesin bila persen cacat lebih dari batas cacat 3 persen (ada di blok Parameter). Bila tidak, statusnya Target Tercapai bila capaian minimal 100 persen, selain itu Di Bawah Target.</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</si>
  <si>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</si>
  <si>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</si>
  <si>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</si>
  <si>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</si>
  <si>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</si>
  <si>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</si>
  <si>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</si>
  <si>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</si>
  <si>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</si>
  <si>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</si>
  <si>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</si>
  <si>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</si>
  <si>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</si>
  <si>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</si>
  <si>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</si>
  <si>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</si>
  <si>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</si>
  <si>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</si>
  <si>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</si>
  <si>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</si>
  <si>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barang baik: hasil produksi dikurangi barang cacat.</t>
  </si>
  <si>
    <t xml:space="preserve">Sheet Data, kolom F (Barang Baik), baris 2 sampai 33</t>
  </si>
  <si>
    <t xml:space="preserve">=D2-E2</t>
  </si>
  <si>
    <t xml:space="preserve">2</t>
  </si>
  <si>
    <t xml:space="preserve">Hitung persen capaian: hasil dibagi target.</t>
  </si>
  <si>
    <t xml:space="preserve">Sheet Data, kolom G (Persen Capaian), baris 2 sampai 33</t>
  </si>
  <si>
    <t xml:space="preserve">=D2/C2</t>
  </si>
  <si>
    <t xml:space="preserve">3</t>
  </si>
  <si>
    <t xml:space="preserve">Hitung persen cacat: jumlah cacat dibagi hasil produksi.</t>
  </si>
  <si>
    <t xml:space="preserve">Sheet Data, kolom H (Persen Cacat), baris 2 sampai 33</t>
  </si>
  <si>
    <t xml:space="preserve">=E2/D2</t>
  </si>
  <si>
    <t xml:space="preserve">4</t>
  </si>
  <si>
    <t xml:space="preserve">Beri status: Periksa Mesin bila persen cacat lebih dari batas cacat. Bila tidak, Target Tercapai bila capaian minimal 100 persen, selain itu Di Bawah Target.</t>
  </si>
  <si>
    <t xml:space="preserve">Sheet Data, kolom I (Status Mesin), baris 2 sampai 33</t>
  </si>
  <si>
    <t xml:space="preserve">=IF(H2&gt;$L$2;"Periksa Mesin";IF(G2&gt;=1;"Target Tercapai";"Di Bawah Target"))</t>
  </si>
  <si>
    <t xml:space="preserve">5</t>
  </si>
  <si>
    <t xml:space="preserve">Pada sheet Acuan, hitung total hasil produksi tiap mesin.</t>
  </si>
  <si>
    <t xml:space="preserve">Sheet Acuan, kolom B (Total Hasil), baris 2 sampai 5</t>
  </si>
  <si>
    <t xml:space="preserve">=SUMIF(Data!$B$2:$B$33;A2;Data!$D$2:$D$33)</t>
  </si>
  <si>
    <t xml:space="preserve">6</t>
  </si>
  <si>
    <t xml:space="preserve">Pada sheet Acuan, hitung total barang cacat tiap mesin.</t>
  </si>
  <si>
    <t xml:space="preserve">Sheet Acuan, kolom C (Total Cacat), baris 2 sampai 5</t>
  </si>
  <si>
    <t xml:space="preserve">=SUMIF(Data!$B$2:$B$33;A2;Data!$E$2:$E$33)</t>
  </si>
  <si>
    <t xml:space="preserve">7</t>
  </si>
  <si>
    <t xml:space="preserve">Pada sheet Acuan, hitung persen cacat tiap mesin: total cacat dibagi total hasil.</t>
  </si>
  <si>
    <t xml:space="preserve">Sheet Acuan, kolom D (Persen Cacat Mesin), baris 2 sampai 5</t>
  </si>
  <si>
    <t xml:space="preserve">=C2/B2</t>
  </si>
  <si>
    <t xml:space="preserve">8</t>
  </si>
  <si>
    <t xml:space="preserve">Pada sheet Acuan, hitung berapa kali tiap mesin berstatus Periksa Mesin.</t>
  </si>
  <si>
    <t xml:space="preserve">Sheet Acuan, kolom E (Hari Periksa Mesin), baris 2 sampai 5</t>
  </si>
  <si>
    <t xml:space="preserve">=COUNTIFS(Data!$B$2:$B$33;A2;Data!$I$2:$I$33;"Periksa Mesin")</t>
  </si>
  <si>
    <t xml:space="preserve">9</t>
  </si>
  <si>
    <t xml:space="preserve">Berapa total target, total hasil, dan total barang baik seluruh mesin?</t>
  </si>
  <si>
    <t xml:space="preserve">Sheet Ringkasan, sel C4 sampai C6</t>
  </si>
  <si>
    <t xml:space="preserve">=SUM(Data!$C$2:$C$33)
=SUM(Data!$D$2:$D$33)
=SUM(Data!$F$2:$F$33)</t>
  </si>
  <si>
    <t xml:space="preserve">10</t>
  </si>
  <si>
    <t xml:space="preserve">Berapa catatan yang berstatus Periksa Mesin, Target Tercapai, dan Di Bawah Target?</t>
  </si>
  <si>
    <t xml:space="preserve">Sheet Ringkasan, sel C7 sampai C9</t>
  </si>
  <si>
    <t xml:space="preserve">=COUNTIF(Data!$I$2:$I$33;"Periksa Mesin")
=COUNTIF(Data!$I$2:$I$33;"Target Tercapai")
=COUNTIF(Data!$I$2:$I$33;"Di Bawah Target")</t>
  </si>
  <si>
    <t xml:space="preserve">11</t>
  </si>
  <si>
    <t xml:space="preserve">Mesin apa yang persen cacatnya terbesar, dan mesin apa yang total hasilnya terkecil?</t>
  </si>
  <si>
    <t xml:space="preserve">Sheet Ringkasan, sel C10 sampai C11</t>
  </si>
  <si>
    <t xml:space="preserve">=INDEX(Acuan!$A$2:$A$5;MATCH(MAX(Acuan!$D$2:$D$5);Acuan!$D$2:$D$5;0))
=INDEX(Acuan!$A$2:$A$5;MATCH(MIN(Acuan!$B$2:$B$5);Acuan!$B$2:$B$5;0))</t>
  </si>
  <si>
    <t xml:space="preserve">12</t>
  </si>
  <si>
    <t xml:space="preserve">Berapa hasil produksi tertinggi dalam satu catatan, dan berapa persen cacat terkecil?</t>
  </si>
  <si>
    <t xml:space="preserve">Sheet Ringkasan, sel C12 sampai C13</t>
  </si>
  <si>
    <t xml:space="preserve">=MAX(Data!$D$2:$D$33)
=MIN(Data!$H$2:$H$33)</t>
  </si>
  <si>
    <t xml:space="preserve">13</t>
  </si>
  <si>
    <t xml:space="preserve">Berapa rata-rata persen capaian Mesin A, dan berapa total cacat Mesin C pada catatan yang Di Bawah Target?</t>
  </si>
  <si>
    <t xml:space="preserve">Sheet Ringkasan, sel C14 sampai C15</t>
  </si>
  <si>
    <t xml:space="preserve">=AVERAGEIF(Data!$B$2:$B$33;"Mesin A";Data!$G$2:$G$33)
=SUMIFS(Data!$E$2:$E$33;Data!$B$2:$B$33;"Mesin C";Data!$I$2:$I$33;"Di Bawah Target")</t>
  </si>
  <si>
    <t xml:space="preserve">Tanggal</t>
  </si>
  <si>
    <t xml:space="preserve">Mesin</t>
  </si>
  <si>
    <t xml:space="preserve">Target</t>
  </si>
  <si>
    <t xml:space="preserve">Hasil</t>
  </si>
  <si>
    <t xml:space="preserve">Cacat</t>
  </si>
  <si>
    <t xml:space="preserve">Barang Baik</t>
  </si>
  <si>
    <t xml:space="preserve">Persen Capaian</t>
  </si>
  <si>
    <t xml:space="preserve">Persen Cacat</t>
  </si>
  <si>
    <t xml:space="preserve">Status Mesin</t>
  </si>
  <si>
    <t xml:space="preserve">Parameter</t>
  </si>
  <si>
    <t xml:space="preserve">Nilai</t>
  </si>
  <si>
    <t xml:space="preserve">Keterangan</t>
  </si>
  <si>
    <t xml:space="preserve">Mesin A</t>
  </si>
  <si>
    <t xml:space="preserve">Batas cacat</t>
  </si>
  <si>
    <t xml:space="preserve">Persen cacat maksimum yang masih wajar</t>
  </si>
  <si>
    <t xml:space="preserve">Mesin B</t>
  </si>
  <si>
    <t xml:space="preserve">Mesin C</t>
  </si>
  <si>
    <t xml:space="preserve">Mesin D</t>
  </si>
  <si>
    <t xml:space="preserve">Total Hasil</t>
  </si>
  <si>
    <t xml:space="preserve">Total Cacat</t>
  </si>
  <si>
    <t xml:space="preserve">Persen Cacat Mesin</t>
  </si>
  <si>
    <t xml:space="preserve">Hari Periksa Mesin</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</si>
  <si>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</si>
  <si>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</si>
  <si>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</si>
  <si>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</si>
  <si>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</si>
  <si>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</si>
  <si>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Total target</t>
  </si>
  <si>
    <t xml:space="preserve">Angka bulat, mis. 15.000</t>
  </si>
  <si>
    <t xml:space="preserve">9b</t>
  </si>
  <si>
    <t xml:space="preserve">Total hasil</t>
  </si>
  <si>
    <t xml:space="preserve">Angka bulat, mis. 14.500</t>
  </si>
  <si>
    <t xml:space="preserve">9c</t>
  </si>
  <si>
    <t xml:space="preserve">Total barang baik</t>
  </si>
  <si>
    <t xml:space="preserve">Angka bulat, mis. 14.000</t>
  </si>
  <si>
    <t xml:space="preserve">10a</t>
  </si>
  <si>
    <t xml:space="preserve">Catatan Periksa Mesin</t>
  </si>
  <si>
    <t xml:space="preserve">Angka bulat, mis. 8</t>
  </si>
  <si>
    <t xml:space="preserve">10b</t>
  </si>
  <si>
    <t xml:space="preserve">Catatan Target Tercapai</t>
  </si>
  <si>
    <t xml:space="preserve">Angka bulat, mis. 9</t>
  </si>
  <si>
    <t xml:space="preserve">10c</t>
  </si>
  <si>
    <t xml:space="preserve">Catatan Di Bawah Target</t>
  </si>
  <si>
    <t xml:space="preserve">Angka bulat, mis. 15</t>
  </si>
  <si>
    <t xml:space="preserve">11a</t>
  </si>
  <si>
    <t xml:space="preserve">Mesin dengan persen cacat terbesar</t>
  </si>
  <si>
    <t xml:space="preserve">Teks: nama mesin</t>
  </si>
  <si>
    <t xml:space="preserve">11b</t>
  </si>
  <si>
    <t xml:space="preserve">Mesin dengan total hasil terkecil</t>
  </si>
  <si>
    <t xml:space="preserve">12a</t>
  </si>
  <si>
    <t xml:space="preserve">Hasil produksi tertinggi</t>
  </si>
  <si>
    <t xml:space="preserve">Angka bulat, jumlah unit</t>
  </si>
  <si>
    <t xml:space="preserve">12b</t>
  </si>
  <si>
    <t xml:space="preserve">Persen cacat terkecil</t>
  </si>
  <si>
    <t xml:space="preserve">Persen, mis. 0,5%</t>
  </si>
  <si>
    <t xml:space="preserve">13a</t>
  </si>
  <si>
    <t xml:space="preserve">Rata-rata persen capaian Mesin A</t>
  </si>
  <si>
    <t xml:space="preserve">Persen, mis. 96,5%</t>
  </si>
  <si>
    <t xml:space="preserve">13b</t>
  </si>
  <si>
    <t xml:space="preserve">Total cacat Mesin C saat Di Bawah Target</t>
  </si>
  <si>
    <t xml:space="preserve">Angka bulat, mis. 25</t>
  </si>
</sst>
</file>

<file path=xl/styles.xml><?xml version="1.0" encoding="utf-8"?>
<styleSheet xmlns="http://schemas.openxmlformats.org/spreadsheetml/2006/main">
  <numFmts count="6">
    <numFmt numFmtId="164" formatCode="General"/>
    <numFmt numFmtId="165" formatCode="dd/mm/yyyy"/>
    <numFmt numFmtId="166" formatCode="0"/>
    <numFmt numFmtId="167" formatCode="0.0%"/>
    <numFmt numFmtId="168" formatCode="0%"/>
    <numFmt numFmtId="169"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42"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57.75" hidden="false" customHeight="true" outlineLevel="0" collapsed="false">
      <c r="A29" s="12" t="s">
        <v>55</v>
      </c>
      <c r="B29" s="13" t="s">
        <v>56</v>
      </c>
      <c r="C29" s="13" t="s">
        <v>57</v>
      </c>
      <c r="D29" s="14" t="s">
        <v>58</v>
      </c>
    </row>
    <row r="30" customFormat="false" ht="57.75" hidden="false" customHeight="true" outlineLevel="0" collapsed="false">
      <c r="A30" s="12" t="s">
        <v>59</v>
      </c>
      <c r="B30" s="13" t="s">
        <v>60</v>
      </c>
      <c r="C30" s="13" t="s">
        <v>61</v>
      </c>
      <c r="D30" s="14" t="s">
        <v>62</v>
      </c>
    </row>
    <row r="31" customFormat="false" ht="55.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row r="33" customFormat="false" ht="55.5" hidden="false" customHeight="true" outlineLevel="0" collapsed="false">
      <c r="A33" s="12" t="s">
        <v>71</v>
      </c>
      <c r="B33" s="13" t="s">
        <v>72</v>
      </c>
      <c r="C33" s="13" t="s">
        <v>73</v>
      </c>
      <c r="D33" s="14" t="s">
        <v>74</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5" min="3" style="0" width="9"/>
    <col collapsed="false" customWidth="true" hidden="false" outlineLevel="0" max="6" min="6" style="0" width="13"/>
    <col collapsed="false" customWidth="true" hidden="false" outlineLevel="0" max="7" min="7" style="0" width="16"/>
    <col collapsed="false" customWidth="true" hidden="false" outlineLevel="0" max="8" min="8" style="0" width="14"/>
    <col collapsed="false" customWidth="true" hidden="false" outlineLevel="0" max="9" min="9" style="0" width="17"/>
    <col collapsed="false" customWidth="true" hidden="false" outlineLevel="0" max="10" min="10" style="0" width="3"/>
    <col collapsed="false" customWidth="true" hidden="false" outlineLevel="0" max="11" min="11" style="0" width="30"/>
    <col collapsed="false" customWidth="true" hidden="false" outlineLevel="0" max="12" min="12" style="0" width="16"/>
    <col collapsed="false" customWidth="true" hidden="false" outlineLevel="0" max="13" min="13" style="0" width="42"/>
  </cols>
  <sheetData>
    <row r="1" customFormat="false" ht="33.75" hidden="false" customHeight="true" outlineLevel="0" collapsed="false">
      <c r="A1" s="11" t="s">
        <v>75</v>
      </c>
      <c r="B1" s="11" t="s">
        <v>76</v>
      </c>
      <c r="C1" s="11" t="s">
        <v>77</v>
      </c>
      <c r="D1" s="11" t="s">
        <v>78</v>
      </c>
      <c r="E1" s="11" t="s">
        <v>79</v>
      </c>
      <c r="F1" s="15" t="s">
        <v>80</v>
      </c>
      <c r="G1" s="15" t="s">
        <v>81</v>
      </c>
      <c r="H1" s="15" t="s">
        <v>82</v>
      </c>
      <c r="I1" s="15" t="s">
        <v>83</v>
      </c>
      <c r="K1" s="16" t="s">
        <v>84</v>
      </c>
      <c r="L1" s="16" t="s">
        <v>85</v>
      </c>
      <c r="M1" s="16" t="s">
        <v>86</v>
      </c>
    </row>
    <row r="2" customFormat="false" ht="15" hidden="false" customHeight="false" outlineLevel="0" collapsed="false">
      <c r="A2" s="17" t="n">
        <v>46328</v>
      </c>
      <c r="B2" s="18" t="s">
        <v>87</v>
      </c>
      <c r="C2" s="19" t="n">
        <v>520</v>
      </c>
      <c r="D2" s="19" t="n">
        <v>567</v>
      </c>
      <c r="E2" s="19" t="n">
        <v>11</v>
      </c>
      <c r="F2" s="20" t="n">
        <f aca="false">D2-E2</f>
        <v>556</v>
      </c>
      <c r="G2" s="21" t="n">
        <f aca="false">D2/C2</f>
        <v>1.09038461538462</v>
      </c>
      <c r="H2" s="21" t="n">
        <f aca="false">E2/D2</f>
        <v>0.0194003527336861</v>
      </c>
      <c r="I2" s="22" t="str">
        <f aca="false">IF(H2&gt;$L$2,"Periksa Mesin",IF(G2&gt;=1,"Target Tercapai","Di Bawah Target"))</f>
        <v>Target Tercapai</v>
      </c>
      <c r="K2" s="23" t="s">
        <v>88</v>
      </c>
      <c r="L2" s="24" t="n">
        <v>0.03</v>
      </c>
      <c r="M2" s="23" t="s">
        <v>89</v>
      </c>
    </row>
    <row r="3" customFormat="false" ht="15" hidden="false" customHeight="false" outlineLevel="0" collapsed="false">
      <c r="A3" s="17" t="n">
        <v>46328</v>
      </c>
      <c r="B3" s="18" t="s">
        <v>90</v>
      </c>
      <c r="C3" s="19" t="n">
        <v>480</v>
      </c>
      <c r="D3" s="19" t="n">
        <v>440</v>
      </c>
      <c r="E3" s="19" t="n">
        <v>6</v>
      </c>
      <c r="F3" s="20" t="n">
        <f aca="false">D3-E3</f>
        <v>434</v>
      </c>
      <c r="G3" s="21" t="n">
        <f aca="false">D3/C3</f>
        <v>0.916666666666667</v>
      </c>
      <c r="H3" s="21" t="n">
        <f aca="false">E3/D3</f>
        <v>0.0136363636363636</v>
      </c>
      <c r="I3" s="22" t="str">
        <f aca="false">IF(H3&gt;$L$2,"Periksa Mesin",IF(G3&gt;=1,"Target Tercapai","Di Bawah Target"))</f>
        <v>Di Bawah Target</v>
      </c>
    </row>
    <row r="4" customFormat="false" ht="15" hidden="false" customHeight="false" outlineLevel="0" collapsed="false">
      <c r="A4" s="17" t="n">
        <v>46328</v>
      </c>
      <c r="B4" s="18" t="s">
        <v>91</v>
      </c>
      <c r="C4" s="19" t="n">
        <v>450</v>
      </c>
      <c r="D4" s="19" t="n">
        <v>473</v>
      </c>
      <c r="E4" s="19" t="n">
        <v>17</v>
      </c>
      <c r="F4" s="20" t="n">
        <f aca="false">D4-E4</f>
        <v>456</v>
      </c>
      <c r="G4" s="21" t="n">
        <f aca="false">D4/C4</f>
        <v>1.05111111111111</v>
      </c>
      <c r="H4" s="21" t="n">
        <f aca="false">E4/D4</f>
        <v>0.0359408033826638</v>
      </c>
      <c r="I4" s="22" t="str">
        <f aca="false">IF(H4&gt;$L$2,"Periksa Mesin",IF(G4&gt;=1,"Target Tercapai","Di Bawah Target"))</f>
        <v>Periksa Mesin</v>
      </c>
    </row>
    <row r="5" customFormat="false" ht="15" hidden="false" customHeight="false" outlineLevel="0" collapsed="false">
      <c r="A5" s="17" t="n">
        <v>46328</v>
      </c>
      <c r="B5" s="18" t="s">
        <v>92</v>
      </c>
      <c r="C5" s="19" t="n">
        <v>400</v>
      </c>
      <c r="D5" s="19" t="n">
        <v>430</v>
      </c>
      <c r="E5" s="19" t="n">
        <v>25</v>
      </c>
      <c r="F5" s="20" t="n">
        <f aca="false">D5-E5</f>
        <v>405</v>
      </c>
      <c r="G5" s="21" t="n">
        <f aca="false">D5/C5</f>
        <v>1.075</v>
      </c>
      <c r="H5" s="21" t="n">
        <f aca="false">E5/D5</f>
        <v>0.0581395348837209</v>
      </c>
      <c r="I5" s="22" t="str">
        <f aca="false">IF(H5&gt;$L$2,"Periksa Mesin",IF(G5&gt;=1,"Target Tercapai","Di Bawah Target"))</f>
        <v>Periksa Mesin</v>
      </c>
    </row>
    <row r="6" customFormat="false" ht="15" hidden="false" customHeight="false" outlineLevel="0" collapsed="false">
      <c r="A6" s="17" t="n">
        <v>46329</v>
      </c>
      <c r="B6" s="18" t="s">
        <v>87</v>
      </c>
      <c r="C6" s="19" t="n">
        <v>520</v>
      </c>
      <c r="D6" s="19" t="n">
        <v>563</v>
      </c>
      <c r="E6" s="19" t="n">
        <v>20</v>
      </c>
      <c r="F6" s="20" t="n">
        <f aca="false">D6-E6</f>
        <v>543</v>
      </c>
      <c r="G6" s="21" t="n">
        <f aca="false">D6/C6</f>
        <v>1.08269230769231</v>
      </c>
      <c r="H6" s="21" t="n">
        <f aca="false">E6/D6</f>
        <v>0.0355239786856128</v>
      </c>
      <c r="I6" s="22" t="str">
        <f aca="false">IF(H6&gt;$L$2,"Periksa Mesin",IF(G6&gt;=1,"Target Tercapai","Di Bawah Target"))</f>
        <v>Periksa Mesin</v>
      </c>
    </row>
    <row r="7" customFormat="false" ht="15" hidden="false" customHeight="false" outlineLevel="0" collapsed="false">
      <c r="A7" s="17" t="n">
        <v>46329</v>
      </c>
      <c r="B7" s="18" t="s">
        <v>90</v>
      </c>
      <c r="C7" s="19" t="n">
        <v>480</v>
      </c>
      <c r="D7" s="19" t="n">
        <v>501</v>
      </c>
      <c r="E7" s="19" t="n">
        <v>17</v>
      </c>
      <c r="F7" s="20" t="n">
        <f aca="false">D7-E7</f>
        <v>484</v>
      </c>
      <c r="G7" s="21" t="n">
        <f aca="false">D7/C7</f>
        <v>1.04375</v>
      </c>
      <c r="H7" s="21" t="n">
        <f aca="false">E7/D7</f>
        <v>0.0339321357285429</v>
      </c>
      <c r="I7" s="22" t="str">
        <f aca="false">IF(H7&gt;$L$2,"Periksa Mesin",IF(G7&gt;=1,"Target Tercapai","Di Bawah Target"))</f>
        <v>Periksa Mesin</v>
      </c>
    </row>
    <row r="8" customFormat="false" ht="15" hidden="false" customHeight="false" outlineLevel="0" collapsed="false">
      <c r="A8" s="17" t="n">
        <v>46329</v>
      </c>
      <c r="B8" s="18" t="s">
        <v>91</v>
      </c>
      <c r="C8" s="19" t="n">
        <v>450</v>
      </c>
      <c r="D8" s="19" t="n">
        <v>451</v>
      </c>
      <c r="E8" s="19" t="n">
        <v>20</v>
      </c>
      <c r="F8" s="20" t="n">
        <f aca="false">D8-E8</f>
        <v>431</v>
      </c>
      <c r="G8" s="21" t="n">
        <f aca="false">D8/C8</f>
        <v>1.00222222222222</v>
      </c>
      <c r="H8" s="21" t="n">
        <f aca="false">E8/D8</f>
        <v>0.0443458980044346</v>
      </c>
      <c r="I8" s="22" t="str">
        <f aca="false">IF(H8&gt;$L$2,"Periksa Mesin",IF(G8&gt;=1,"Target Tercapai","Di Bawah Target"))</f>
        <v>Periksa Mesin</v>
      </c>
    </row>
    <row r="9" customFormat="false" ht="15" hidden="false" customHeight="false" outlineLevel="0" collapsed="false">
      <c r="A9" s="17" t="n">
        <v>46329</v>
      </c>
      <c r="B9" s="18" t="s">
        <v>92</v>
      </c>
      <c r="C9" s="19" t="n">
        <v>400</v>
      </c>
      <c r="D9" s="19" t="n">
        <v>367</v>
      </c>
      <c r="E9" s="19" t="n">
        <v>22</v>
      </c>
      <c r="F9" s="20" t="n">
        <f aca="false">D9-E9</f>
        <v>345</v>
      </c>
      <c r="G9" s="21" t="n">
        <f aca="false">D9/C9</f>
        <v>0.9175</v>
      </c>
      <c r="H9" s="21" t="n">
        <f aca="false">E9/D9</f>
        <v>0.0599455040871935</v>
      </c>
      <c r="I9" s="22" t="str">
        <f aca="false">IF(H9&gt;$L$2,"Periksa Mesin",IF(G9&gt;=1,"Target Tercapai","Di Bawah Target"))</f>
        <v>Periksa Mesin</v>
      </c>
    </row>
    <row r="10" customFormat="false" ht="15" hidden="false" customHeight="false" outlineLevel="0" collapsed="false">
      <c r="A10" s="17" t="n">
        <v>46330</v>
      </c>
      <c r="B10" s="18" t="s">
        <v>87</v>
      </c>
      <c r="C10" s="19" t="n">
        <v>520</v>
      </c>
      <c r="D10" s="19" t="n">
        <v>483</v>
      </c>
      <c r="E10" s="19" t="n">
        <v>5</v>
      </c>
      <c r="F10" s="20" t="n">
        <f aca="false">D10-E10</f>
        <v>478</v>
      </c>
      <c r="G10" s="21" t="n">
        <f aca="false">D10/C10</f>
        <v>0.928846153846154</v>
      </c>
      <c r="H10" s="21" t="n">
        <f aca="false">E10/D10</f>
        <v>0.010351966873706</v>
      </c>
      <c r="I10" s="22" t="str">
        <f aca="false">IF(H10&gt;$L$2,"Periksa Mesin",IF(G10&gt;=1,"Target Tercapai","Di Bawah Target"))</f>
        <v>Di Bawah Target</v>
      </c>
    </row>
    <row r="11" customFormat="false" ht="15" hidden="false" customHeight="false" outlineLevel="0" collapsed="false">
      <c r="A11" s="17" t="n">
        <v>46330</v>
      </c>
      <c r="B11" s="18" t="s">
        <v>90</v>
      </c>
      <c r="C11" s="19" t="n">
        <v>480</v>
      </c>
      <c r="D11" s="19" t="n">
        <v>442</v>
      </c>
      <c r="E11" s="19" t="n">
        <v>11</v>
      </c>
      <c r="F11" s="20" t="n">
        <f aca="false">D11-E11</f>
        <v>431</v>
      </c>
      <c r="G11" s="21" t="n">
        <f aca="false">D11/C11</f>
        <v>0.920833333333333</v>
      </c>
      <c r="H11" s="21" t="n">
        <f aca="false">E11/D11</f>
        <v>0.0248868778280543</v>
      </c>
      <c r="I11" s="22" t="str">
        <f aca="false">IF(H11&gt;$L$2,"Periksa Mesin",IF(G11&gt;=1,"Target Tercapai","Di Bawah Target"))</f>
        <v>Di Bawah Target</v>
      </c>
    </row>
    <row r="12" customFormat="false" ht="15" hidden="false" customHeight="false" outlineLevel="0" collapsed="false">
      <c r="A12" s="17" t="n">
        <v>46330</v>
      </c>
      <c r="B12" s="18" t="s">
        <v>91</v>
      </c>
      <c r="C12" s="19" t="n">
        <v>450</v>
      </c>
      <c r="D12" s="19" t="n">
        <v>444</v>
      </c>
      <c r="E12" s="19" t="n">
        <v>11</v>
      </c>
      <c r="F12" s="20" t="n">
        <f aca="false">D12-E12</f>
        <v>433</v>
      </c>
      <c r="G12" s="21" t="n">
        <f aca="false">D12/C12</f>
        <v>0.986666666666667</v>
      </c>
      <c r="H12" s="21" t="n">
        <f aca="false">E12/D12</f>
        <v>0.0247747747747748</v>
      </c>
      <c r="I12" s="22" t="str">
        <f aca="false">IF(H12&gt;$L$2,"Periksa Mesin",IF(G12&gt;=1,"Target Tercapai","Di Bawah Target"))</f>
        <v>Di Bawah Target</v>
      </c>
    </row>
    <row r="13" customFormat="false" ht="15" hidden="false" customHeight="false" outlineLevel="0" collapsed="false">
      <c r="A13" s="17" t="n">
        <v>46330</v>
      </c>
      <c r="B13" s="18" t="s">
        <v>92</v>
      </c>
      <c r="C13" s="19" t="n">
        <v>400</v>
      </c>
      <c r="D13" s="19" t="n">
        <v>420</v>
      </c>
      <c r="E13" s="19" t="n">
        <v>8</v>
      </c>
      <c r="F13" s="20" t="n">
        <f aca="false">D13-E13</f>
        <v>412</v>
      </c>
      <c r="G13" s="21" t="n">
        <f aca="false">D13/C13</f>
        <v>1.05</v>
      </c>
      <c r="H13" s="21" t="n">
        <f aca="false">E13/D13</f>
        <v>0.0190476190476191</v>
      </c>
      <c r="I13" s="22" t="str">
        <f aca="false">IF(H13&gt;$L$2,"Periksa Mesin",IF(G13&gt;=1,"Target Tercapai","Di Bawah Target"))</f>
        <v>Target Tercapai</v>
      </c>
    </row>
    <row r="14" customFormat="false" ht="15" hidden="false" customHeight="false" outlineLevel="0" collapsed="false">
      <c r="A14" s="17" t="n">
        <v>46331</v>
      </c>
      <c r="B14" s="18" t="s">
        <v>87</v>
      </c>
      <c r="C14" s="19" t="n">
        <v>520</v>
      </c>
      <c r="D14" s="19" t="n">
        <v>522</v>
      </c>
      <c r="E14" s="19" t="n">
        <v>13</v>
      </c>
      <c r="F14" s="20" t="n">
        <f aca="false">D14-E14</f>
        <v>509</v>
      </c>
      <c r="G14" s="21" t="n">
        <f aca="false">D14/C14</f>
        <v>1.00384615384615</v>
      </c>
      <c r="H14" s="21" t="n">
        <f aca="false">E14/D14</f>
        <v>0.024904214559387</v>
      </c>
      <c r="I14" s="22" t="str">
        <f aca="false">IF(H14&gt;$L$2,"Periksa Mesin",IF(G14&gt;=1,"Target Tercapai","Di Bawah Target"))</f>
        <v>Target Tercapai</v>
      </c>
    </row>
    <row r="15" customFormat="false" ht="15" hidden="false" customHeight="false" outlineLevel="0" collapsed="false">
      <c r="A15" s="17" t="n">
        <v>46331</v>
      </c>
      <c r="B15" s="18" t="s">
        <v>90</v>
      </c>
      <c r="C15" s="19" t="n">
        <v>480</v>
      </c>
      <c r="D15" s="19" t="n">
        <v>497</v>
      </c>
      <c r="E15" s="19" t="n">
        <v>18</v>
      </c>
      <c r="F15" s="20" t="n">
        <f aca="false">D15-E15</f>
        <v>479</v>
      </c>
      <c r="G15" s="21" t="n">
        <f aca="false">D15/C15</f>
        <v>1.03541666666667</v>
      </c>
      <c r="H15" s="21" t="n">
        <f aca="false">E15/D15</f>
        <v>0.0362173038229376</v>
      </c>
      <c r="I15" s="22" t="str">
        <f aca="false">IF(H15&gt;$L$2,"Periksa Mesin",IF(G15&gt;=1,"Target Tercapai","Di Bawah Target"))</f>
        <v>Periksa Mesin</v>
      </c>
    </row>
    <row r="16" customFormat="false" ht="15" hidden="false" customHeight="false" outlineLevel="0" collapsed="false">
      <c r="A16" s="17" t="n">
        <v>46331</v>
      </c>
      <c r="B16" s="18" t="s">
        <v>91</v>
      </c>
      <c r="C16" s="19" t="n">
        <v>450</v>
      </c>
      <c r="D16" s="19" t="n">
        <v>477</v>
      </c>
      <c r="E16" s="19" t="n">
        <v>10</v>
      </c>
      <c r="F16" s="20" t="n">
        <f aca="false">D16-E16</f>
        <v>467</v>
      </c>
      <c r="G16" s="21" t="n">
        <f aca="false">D16/C16</f>
        <v>1.06</v>
      </c>
      <c r="H16" s="21" t="n">
        <f aca="false">E16/D16</f>
        <v>0.0209643605870021</v>
      </c>
      <c r="I16" s="22" t="str">
        <f aca="false">IF(H16&gt;$L$2,"Periksa Mesin",IF(G16&gt;=1,"Target Tercapai","Di Bawah Target"))</f>
        <v>Target Tercapai</v>
      </c>
    </row>
    <row r="17" customFormat="false" ht="15" hidden="false" customHeight="false" outlineLevel="0" collapsed="false">
      <c r="A17" s="17" t="n">
        <v>46331</v>
      </c>
      <c r="B17" s="18" t="s">
        <v>92</v>
      </c>
      <c r="C17" s="19" t="n">
        <v>400</v>
      </c>
      <c r="D17" s="19" t="n">
        <v>432</v>
      </c>
      <c r="E17" s="19" t="n">
        <v>4</v>
      </c>
      <c r="F17" s="20" t="n">
        <f aca="false">D17-E17</f>
        <v>428</v>
      </c>
      <c r="G17" s="21" t="n">
        <f aca="false">D17/C17</f>
        <v>1.08</v>
      </c>
      <c r="H17" s="21" t="n">
        <f aca="false">E17/D17</f>
        <v>0.00925925925925926</v>
      </c>
      <c r="I17" s="22" t="str">
        <f aca="false">IF(H17&gt;$L$2,"Periksa Mesin",IF(G17&gt;=1,"Target Tercapai","Di Bawah Target"))</f>
        <v>Target Tercapai</v>
      </c>
    </row>
    <row r="18" customFormat="false" ht="15" hidden="false" customHeight="false" outlineLevel="0" collapsed="false">
      <c r="A18" s="17" t="n">
        <v>46332</v>
      </c>
      <c r="B18" s="18" t="s">
        <v>87</v>
      </c>
      <c r="C18" s="19" t="n">
        <v>520</v>
      </c>
      <c r="D18" s="19" t="n">
        <v>434</v>
      </c>
      <c r="E18" s="19" t="n">
        <v>26</v>
      </c>
      <c r="F18" s="20" t="n">
        <f aca="false">D18-E18</f>
        <v>408</v>
      </c>
      <c r="G18" s="21" t="n">
        <f aca="false">D18/C18</f>
        <v>0.834615384615385</v>
      </c>
      <c r="H18" s="21" t="n">
        <f aca="false">E18/D18</f>
        <v>0.0599078341013825</v>
      </c>
      <c r="I18" s="22" t="str">
        <f aca="false">IF(H18&gt;$L$2,"Periksa Mesin",IF(G18&gt;=1,"Target Tercapai","Di Bawah Target"))</f>
        <v>Periksa Mesin</v>
      </c>
    </row>
    <row r="19" customFormat="false" ht="15" hidden="false" customHeight="false" outlineLevel="0" collapsed="false">
      <c r="A19" s="17" t="n">
        <v>46332</v>
      </c>
      <c r="B19" s="18" t="s">
        <v>90</v>
      </c>
      <c r="C19" s="19" t="n">
        <v>480</v>
      </c>
      <c r="D19" s="19" t="n">
        <v>441</v>
      </c>
      <c r="E19" s="19" t="n">
        <v>20</v>
      </c>
      <c r="F19" s="20" t="n">
        <f aca="false">D19-E19</f>
        <v>421</v>
      </c>
      <c r="G19" s="21" t="n">
        <f aca="false">D19/C19</f>
        <v>0.91875</v>
      </c>
      <c r="H19" s="21" t="n">
        <f aca="false">E19/D19</f>
        <v>0.0453514739229025</v>
      </c>
      <c r="I19" s="22" t="str">
        <f aca="false">IF(H19&gt;$L$2,"Periksa Mesin",IF(G19&gt;=1,"Target Tercapai","Di Bawah Target"))</f>
        <v>Periksa Mesin</v>
      </c>
    </row>
    <row r="20" customFormat="false" ht="15" hidden="false" customHeight="false" outlineLevel="0" collapsed="false">
      <c r="A20" s="17" t="n">
        <v>46332</v>
      </c>
      <c r="B20" s="18" t="s">
        <v>91</v>
      </c>
      <c r="C20" s="19" t="n">
        <v>450</v>
      </c>
      <c r="D20" s="19" t="n">
        <v>472</v>
      </c>
      <c r="E20" s="19" t="n">
        <v>10</v>
      </c>
      <c r="F20" s="20" t="n">
        <f aca="false">D20-E20</f>
        <v>462</v>
      </c>
      <c r="G20" s="21" t="n">
        <f aca="false">D20/C20</f>
        <v>1.04888888888889</v>
      </c>
      <c r="H20" s="21" t="n">
        <f aca="false">E20/D20</f>
        <v>0.0211864406779661</v>
      </c>
      <c r="I20" s="22" t="str">
        <f aca="false">IF(H20&gt;$L$2,"Periksa Mesin",IF(G20&gt;=1,"Target Tercapai","Di Bawah Target"))</f>
        <v>Target Tercapai</v>
      </c>
    </row>
    <row r="21" customFormat="false" ht="15" hidden="false" customHeight="false" outlineLevel="0" collapsed="false">
      <c r="A21" s="17" t="n">
        <v>46332</v>
      </c>
      <c r="B21" s="18" t="s">
        <v>92</v>
      </c>
      <c r="C21" s="19" t="n">
        <v>400</v>
      </c>
      <c r="D21" s="19" t="n">
        <v>397</v>
      </c>
      <c r="E21" s="19" t="n">
        <v>10</v>
      </c>
      <c r="F21" s="20" t="n">
        <f aca="false">D21-E21</f>
        <v>387</v>
      </c>
      <c r="G21" s="21" t="n">
        <f aca="false">D21/C21</f>
        <v>0.9925</v>
      </c>
      <c r="H21" s="21" t="n">
        <f aca="false">E21/D21</f>
        <v>0.0251889168765743</v>
      </c>
      <c r="I21" s="22" t="str">
        <f aca="false">IF(H21&gt;$L$2,"Periksa Mesin",IF(G21&gt;=1,"Target Tercapai","Di Bawah Target"))</f>
        <v>Di Bawah Target</v>
      </c>
    </row>
    <row r="22" customFormat="false" ht="15" hidden="false" customHeight="false" outlineLevel="0" collapsed="false">
      <c r="A22" s="17" t="n">
        <v>46335</v>
      </c>
      <c r="B22" s="18" t="s">
        <v>87</v>
      </c>
      <c r="C22" s="19" t="n">
        <v>520</v>
      </c>
      <c r="D22" s="19" t="n">
        <v>467</v>
      </c>
      <c r="E22" s="19" t="n">
        <v>12</v>
      </c>
      <c r="F22" s="20" t="n">
        <f aca="false">D22-E22</f>
        <v>455</v>
      </c>
      <c r="G22" s="21" t="n">
        <f aca="false">D22/C22</f>
        <v>0.898076923076923</v>
      </c>
      <c r="H22" s="21" t="n">
        <f aca="false">E22/D22</f>
        <v>0.0256959314775161</v>
      </c>
      <c r="I22" s="22" t="str">
        <f aca="false">IF(H22&gt;$L$2,"Periksa Mesin",IF(G22&gt;=1,"Target Tercapai","Di Bawah Target"))</f>
        <v>Di Bawah Target</v>
      </c>
    </row>
    <row r="23" customFormat="false" ht="15" hidden="false" customHeight="false" outlineLevel="0" collapsed="false">
      <c r="A23" s="17" t="n">
        <v>46335</v>
      </c>
      <c r="B23" s="18" t="s">
        <v>90</v>
      </c>
      <c r="C23" s="19" t="n">
        <v>480</v>
      </c>
      <c r="D23" s="19" t="n">
        <v>465</v>
      </c>
      <c r="E23" s="19" t="n">
        <v>21</v>
      </c>
      <c r="F23" s="20" t="n">
        <f aca="false">D23-E23</f>
        <v>444</v>
      </c>
      <c r="G23" s="21" t="n">
        <f aca="false">D23/C23</f>
        <v>0.96875</v>
      </c>
      <c r="H23" s="21" t="n">
        <f aca="false">E23/D23</f>
        <v>0.0451612903225806</v>
      </c>
      <c r="I23" s="22" t="str">
        <f aca="false">IF(H23&gt;$L$2,"Periksa Mesin",IF(G23&gt;=1,"Target Tercapai","Di Bawah Target"))</f>
        <v>Periksa Mesin</v>
      </c>
    </row>
    <row r="24" customFormat="false" ht="15" hidden="false" customHeight="false" outlineLevel="0" collapsed="false">
      <c r="A24" s="17" t="n">
        <v>46335</v>
      </c>
      <c r="B24" s="18" t="s">
        <v>91</v>
      </c>
      <c r="C24" s="19" t="n">
        <v>450</v>
      </c>
      <c r="D24" s="19" t="n">
        <v>457</v>
      </c>
      <c r="E24" s="19" t="n">
        <v>10</v>
      </c>
      <c r="F24" s="20" t="n">
        <f aca="false">D24-E24</f>
        <v>447</v>
      </c>
      <c r="G24" s="21" t="n">
        <f aca="false">D24/C24</f>
        <v>1.01555555555556</v>
      </c>
      <c r="H24" s="21" t="n">
        <f aca="false">E24/D24</f>
        <v>0.0218818380743983</v>
      </c>
      <c r="I24" s="22" t="str">
        <f aca="false">IF(H24&gt;$L$2,"Periksa Mesin",IF(G24&gt;=1,"Target Tercapai","Di Bawah Target"))</f>
        <v>Target Tercapai</v>
      </c>
    </row>
    <row r="25" customFormat="false" ht="15" hidden="false" customHeight="false" outlineLevel="0" collapsed="false">
      <c r="A25" s="17" t="n">
        <v>46335</v>
      </c>
      <c r="B25" s="18" t="s">
        <v>92</v>
      </c>
      <c r="C25" s="19" t="n">
        <v>400</v>
      </c>
      <c r="D25" s="19" t="n">
        <v>351</v>
      </c>
      <c r="E25" s="19" t="n">
        <v>9</v>
      </c>
      <c r="F25" s="20" t="n">
        <f aca="false">D25-E25</f>
        <v>342</v>
      </c>
      <c r="G25" s="21" t="n">
        <f aca="false">D25/C25</f>
        <v>0.8775</v>
      </c>
      <c r="H25" s="21" t="n">
        <f aca="false">E25/D25</f>
        <v>0.0256410256410256</v>
      </c>
      <c r="I25" s="22" t="str">
        <f aca="false">IF(H25&gt;$L$2,"Periksa Mesin",IF(G25&gt;=1,"Target Tercapai","Di Bawah Target"))</f>
        <v>Di Bawah Target</v>
      </c>
    </row>
    <row r="26" customFormat="false" ht="15" hidden="false" customHeight="false" outlineLevel="0" collapsed="false">
      <c r="A26" s="17" t="n">
        <v>46336</v>
      </c>
      <c r="B26" s="18" t="s">
        <v>87</v>
      </c>
      <c r="C26" s="19" t="n">
        <v>520</v>
      </c>
      <c r="D26" s="19" t="n">
        <v>520</v>
      </c>
      <c r="E26" s="19" t="n">
        <v>10</v>
      </c>
      <c r="F26" s="20" t="n">
        <f aca="false">D26-E26</f>
        <v>510</v>
      </c>
      <c r="G26" s="21" t="n">
        <f aca="false">D26/C26</f>
        <v>1</v>
      </c>
      <c r="H26" s="21" t="n">
        <f aca="false">E26/D26</f>
        <v>0.0192307692307692</v>
      </c>
      <c r="I26" s="22" t="str">
        <f aca="false">IF(H26&gt;$L$2,"Periksa Mesin",IF(G26&gt;=1,"Target Tercapai","Di Bawah Target"))</f>
        <v>Target Tercapai</v>
      </c>
    </row>
    <row r="27" customFormat="false" ht="15" hidden="false" customHeight="false" outlineLevel="0" collapsed="false">
      <c r="A27" s="17" t="n">
        <v>46336</v>
      </c>
      <c r="B27" s="18" t="s">
        <v>90</v>
      </c>
      <c r="C27" s="19" t="n">
        <v>480</v>
      </c>
      <c r="D27" s="19" t="n">
        <v>506</v>
      </c>
      <c r="E27" s="19" t="n">
        <v>5</v>
      </c>
      <c r="F27" s="20" t="n">
        <f aca="false">D27-E27</f>
        <v>501</v>
      </c>
      <c r="G27" s="21" t="n">
        <f aca="false">D27/C27</f>
        <v>1.05416666666667</v>
      </c>
      <c r="H27" s="21" t="n">
        <f aca="false">E27/D27</f>
        <v>0.00988142292490119</v>
      </c>
      <c r="I27" s="22" t="str">
        <f aca="false">IF(H27&gt;$L$2,"Periksa Mesin",IF(G27&gt;=1,"Target Tercapai","Di Bawah Target"))</f>
        <v>Target Tercapai</v>
      </c>
    </row>
    <row r="28" customFormat="false" ht="15" hidden="false" customHeight="false" outlineLevel="0" collapsed="false">
      <c r="A28" s="17" t="n">
        <v>46336</v>
      </c>
      <c r="B28" s="18" t="s">
        <v>91</v>
      </c>
      <c r="C28" s="19" t="n">
        <v>450</v>
      </c>
      <c r="D28" s="19" t="n">
        <v>452</v>
      </c>
      <c r="E28" s="19" t="n">
        <v>36</v>
      </c>
      <c r="F28" s="20" t="n">
        <f aca="false">D28-E28</f>
        <v>416</v>
      </c>
      <c r="G28" s="21" t="n">
        <f aca="false">D28/C28</f>
        <v>1.00444444444444</v>
      </c>
      <c r="H28" s="21" t="n">
        <f aca="false">E28/D28</f>
        <v>0.079646017699115</v>
      </c>
      <c r="I28" s="22" t="str">
        <f aca="false">IF(H28&gt;$L$2,"Periksa Mesin",IF(G28&gt;=1,"Target Tercapai","Di Bawah Target"))</f>
        <v>Periksa Mesin</v>
      </c>
    </row>
    <row r="29" customFormat="false" ht="15" hidden="false" customHeight="false" outlineLevel="0" collapsed="false">
      <c r="A29" s="17" t="n">
        <v>46336</v>
      </c>
      <c r="B29" s="18" t="s">
        <v>92</v>
      </c>
      <c r="C29" s="19" t="n">
        <v>400</v>
      </c>
      <c r="D29" s="19" t="n">
        <v>440</v>
      </c>
      <c r="E29" s="19" t="n">
        <v>5</v>
      </c>
      <c r="F29" s="20" t="n">
        <f aca="false">D29-E29</f>
        <v>435</v>
      </c>
      <c r="G29" s="21" t="n">
        <f aca="false">D29/C29</f>
        <v>1.1</v>
      </c>
      <c r="H29" s="21" t="n">
        <f aca="false">E29/D29</f>
        <v>0.0113636363636364</v>
      </c>
      <c r="I29" s="22" t="str">
        <f aca="false">IF(H29&gt;$L$2,"Periksa Mesin",IF(G29&gt;=1,"Target Tercapai","Di Bawah Target"))</f>
        <v>Target Tercapai</v>
      </c>
    </row>
    <row r="30" customFormat="false" ht="15" hidden="false" customHeight="false" outlineLevel="0" collapsed="false">
      <c r="A30" s="17" t="n">
        <v>46337</v>
      </c>
      <c r="B30" s="18" t="s">
        <v>87</v>
      </c>
      <c r="C30" s="19" t="n">
        <v>520</v>
      </c>
      <c r="D30" s="19" t="n">
        <v>477</v>
      </c>
      <c r="E30" s="19" t="n">
        <v>5</v>
      </c>
      <c r="F30" s="20" t="n">
        <f aca="false">D30-E30</f>
        <v>472</v>
      </c>
      <c r="G30" s="21" t="n">
        <f aca="false">D30/C30</f>
        <v>0.917307692307692</v>
      </c>
      <c r="H30" s="21" t="n">
        <f aca="false">E30/D30</f>
        <v>0.010482180293501</v>
      </c>
      <c r="I30" s="22" t="str">
        <f aca="false">IF(H30&gt;$L$2,"Periksa Mesin",IF(G30&gt;=1,"Target Tercapai","Di Bawah Target"))</f>
        <v>Di Bawah Target</v>
      </c>
    </row>
    <row r="31" customFormat="false" ht="15" hidden="false" customHeight="false" outlineLevel="0" collapsed="false">
      <c r="A31" s="17" t="n">
        <v>46337</v>
      </c>
      <c r="B31" s="18" t="s">
        <v>90</v>
      </c>
      <c r="C31" s="19" t="n">
        <v>480</v>
      </c>
      <c r="D31" s="19" t="n">
        <v>426</v>
      </c>
      <c r="E31" s="19" t="n">
        <v>8</v>
      </c>
      <c r="F31" s="20" t="n">
        <f aca="false">D31-E31</f>
        <v>418</v>
      </c>
      <c r="G31" s="21" t="n">
        <f aca="false">D31/C31</f>
        <v>0.8875</v>
      </c>
      <c r="H31" s="21" t="n">
        <f aca="false">E31/D31</f>
        <v>0.0187793427230047</v>
      </c>
      <c r="I31" s="22" t="str">
        <f aca="false">IF(H31&gt;$L$2,"Periksa Mesin",IF(G31&gt;=1,"Target Tercapai","Di Bawah Target"))</f>
        <v>Di Bawah Target</v>
      </c>
    </row>
    <row r="32" customFormat="false" ht="15" hidden="false" customHeight="false" outlineLevel="0" collapsed="false">
      <c r="A32" s="17" t="n">
        <v>46337</v>
      </c>
      <c r="B32" s="18" t="s">
        <v>91</v>
      </c>
      <c r="C32" s="19" t="n">
        <v>450</v>
      </c>
      <c r="D32" s="19" t="n">
        <v>379</v>
      </c>
      <c r="E32" s="19" t="n">
        <v>23</v>
      </c>
      <c r="F32" s="20" t="n">
        <f aca="false">D32-E32</f>
        <v>356</v>
      </c>
      <c r="G32" s="21" t="n">
        <f aca="false">D32/C32</f>
        <v>0.842222222222222</v>
      </c>
      <c r="H32" s="21" t="n">
        <f aca="false">E32/D32</f>
        <v>0.0606860158311346</v>
      </c>
      <c r="I32" s="22" t="str">
        <f aca="false">IF(H32&gt;$L$2,"Periksa Mesin",IF(G32&gt;=1,"Target Tercapai","Di Bawah Target"))</f>
        <v>Periksa Mesin</v>
      </c>
    </row>
    <row r="33" customFormat="false" ht="15" hidden="false" customHeight="false" outlineLevel="0" collapsed="false">
      <c r="A33" s="17" t="n">
        <v>46337</v>
      </c>
      <c r="B33" s="18" t="s">
        <v>92</v>
      </c>
      <c r="C33" s="19" t="n">
        <v>400</v>
      </c>
      <c r="D33" s="19" t="n">
        <v>330</v>
      </c>
      <c r="E33" s="19" t="n">
        <v>1</v>
      </c>
      <c r="F33" s="20" t="n">
        <f aca="false">D33-E33</f>
        <v>329</v>
      </c>
      <c r="G33" s="21" t="n">
        <f aca="false">D33/C33</f>
        <v>0.825</v>
      </c>
      <c r="H33" s="21" t="n">
        <f aca="false">E33/D33</f>
        <v>0.00303030303030303</v>
      </c>
      <c r="I33" s="22" t="str">
        <f aca="false">IF(H33&gt;$L$2,"Periksa Mesin",IF(G33&gt;=1,"Target Tercapai","Di Bawah Target"))</f>
        <v>Di Bawah Target</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2"/>
    <col collapsed="false" customWidth="true" hidden="false" outlineLevel="0" max="5" min="4" style="0" width="19"/>
  </cols>
  <sheetData>
    <row r="1" customFormat="false" ht="33.75" hidden="false" customHeight="true" outlineLevel="0" collapsed="false">
      <c r="A1" s="11" t="s">
        <v>76</v>
      </c>
      <c r="B1" s="15" t="s">
        <v>93</v>
      </c>
      <c r="C1" s="15" t="s">
        <v>94</v>
      </c>
      <c r="D1" s="15" t="s">
        <v>95</v>
      </c>
      <c r="E1" s="15" t="s">
        <v>96</v>
      </c>
    </row>
    <row r="2" customFormat="false" ht="15" hidden="false" customHeight="false" outlineLevel="0" collapsed="false">
      <c r="A2" s="18" t="s">
        <v>87</v>
      </c>
      <c r="B2" s="25" t="n">
        <f aca="false">SUMIF(Data!$B$2:$B$33,A2,Data!$D$2:$D$33)</f>
        <v>4033</v>
      </c>
      <c r="C2" s="25" t="n">
        <f aca="false">SUMIF(Data!$B$2:$B$33,A2,Data!$E$2:$E$33)</f>
        <v>102</v>
      </c>
      <c r="D2" s="21" t="n">
        <f aca="false">C2/B2</f>
        <v>0.0252913463922638</v>
      </c>
      <c r="E2" s="20" t="n">
        <f aca="false">COUNTIFS(Data!$B$2:$B$33,A2,Data!$I$2:$I$33,"Periksa Mesin")</f>
        <v>2</v>
      </c>
    </row>
    <row r="3" customFormat="false" ht="15" hidden="false" customHeight="false" outlineLevel="0" collapsed="false">
      <c r="A3" s="18" t="s">
        <v>90</v>
      </c>
      <c r="B3" s="25" t="n">
        <f aca="false">SUMIF(Data!$B$2:$B$33,A3,Data!$D$2:$D$33)</f>
        <v>3718</v>
      </c>
      <c r="C3" s="25" t="n">
        <f aca="false">SUMIF(Data!$B$2:$B$33,A3,Data!$E$2:$E$33)</f>
        <v>106</v>
      </c>
      <c r="D3" s="21" t="n">
        <f aca="false">C3/B3</f>
        <v>0.0285099515868747</v>
      </c>
      <c r="E3" s="20" t="n">
        <f aca="false">COUNTIFS(Data!$B$2:$B$33,A3,Data!$I$2:$I$33,"Periksa Mesin")</f>
        <v>4</v>
      </c>
    </row>
    <row r="4" customFormat="false" ht="15" hidden="false" customHeight="false" outlineLevel="0" collapsed="false">
      <c r="A4" s="18" t="s">
        <v>91</v>
      </c>
      <c r="B4" s="25" t="n">
        <f aca="false">SUMIF(Data!$B$2:$B$33,A4,Data!$D$2:$D$33)</f>
        <v>3605</v>
      </c>
      <c r="C4" s="25" t="n">
        <f aca="false">SUMIF(Data!$B$2:$B$33,A4,Data!$E$2:$E$33)</f>
        <v>137</v>
      </c>
      <c r="D4" s="21" t="n">
        <f aca="false">C4/B4</f>
        <v>0.038002773925104</v>
      </c>
      <c r="E4" s="20" t="n">
        <f aca="false">COUNTIFS(Data!$B$2:$B$33,A4,Data!$I$2:$I$33,"Periksa Mesin")</f>
        <v>4</v>
      </c>
    </row>
    <row r="5" customFormat="false" ht="15" hidden="false" customHeight="false" outlineLevel="0" collapsed="false">
      <c r="A5" s="18" t="s">
        <v>92</v>
      </c>
      <c r="B5" s="25" t="n">
        <f aca="false">SUMIF(Data!$B$2:$B$33,A5,Data!$D$2:$D$33)</f>
        <v>3167</v>
      </c>
      <c r="C5" s="25" t="n">
        <f aca="false">SUMIF(Data!$B$2:$B$33,A5,Data!$E$2:$E$33)</f>
        <v>84</v>
      </c>
      <c r="D5" s="21" t="n">
        <f aca="false">C5/B5</f>
        <v>0.0265235238395958</v>
      </c>
      <c r="E5" s="20" t="n">
        <f aca="false">COUNTIFS(Data!$B$2:$B$33,A5,Data!$I$2:$I$33,"Periksa Mesin")</f>
        <v>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97</v>
      </c>
      <c r="B1" s="26"/>
      <c r="C1" s="26"/>
      <c r="D1" s="26"/>
    </row>
    <row r="2" customFormat="false" ht="15" hidden="false" customHeight="false" outlineLevel="0" collapsed="false">
      <c r="A2" s="27" t="s">
        <v>98</v>
      </c>
      <c r="B2" s="27"/>
      <c r="C2" s="27"/>
      <c r="D2" s="27"/>
    </row>
    <row r="3" customFormat="false" ht="15" hidden="false" customHeight="false" outlineLevel="0" collapsed="false">
      <c r="A3" s="11" t="s">
        <v>19</v>
      </c>
      <c r="B3" s="11" t="s">
        <v>99</v>
      </c>
      <c r="C3" s="11" t="s">
        <v>100</v>
      </c>
      <c r="D3" s="11" t="s">
        <v>101</v>
      </c>
    </row>
    <row r="4" customFormat="false" ht="15" hidden="false" customHeight="false" outlineLevel="0" collapsed="false">
      <c r="A4" s="28" t="s">
        <v>102</v>
      </c>
      <c r="B4" s="29" t="s">
        <v>103</v>
      </c>
      <c r="C4" s="25" t="n">
        <f aca="false">SUM(Data!$C$2:$C$33)</f>
        <v>14800</v>
      </c>
      <c r="D4" s="30" t="s">
        <v>104</v>
      </c>
    </row>
    <row r="5" customFormat="false" ht="15" hidden="false" customHeight="false" outlineLevel="0" collapsed="false">
      <c r="A5" s="28" t="s">
        <v>105</v>
      </c>
      <c r="B5" s="29" t="s">
        <v>106</v>
      </c>
      <c r="C5" s="25" t="n">
        <f aca="false">SUM(Data!$D$2:$D$33)</f>
        <v>14523</v>
      </c>
      <c r="D5" s="30" t="s">
        <v>107</v>
      </c>
    </row>
    <row r="6" customFormat="false" ht="15" hidden="false" customHeight="false" outlineLevel="0" collapsed="false">
      <c r="A6" s="28" t="s">
        <v>108</v>
      </c>
      <c r="B6" s="29" t="s">
        <v>109</v>
      </c>
      <c r="C6" s="25" t="n">
        <f aca="false">SUM(Data!$F$2:$F$33)</f>
        <v>14094</v>
      </c>
      <c r="D6" s="30" t="s">
        <v>110</v>
      </c>
    </row>
    <row r="7" customFormat="false" ht="15" hidden="false" customHeight="false" outlineLevel="0" collapsed="false">
      <c r="A7" s="28" t="s">
        <v>111</v>
      </c>
      <c r="B7" s="29" t="s">
        <v>112</v>
      </c>
      <c r="C7" s="20" t="n">
        <f aca="false">COUNTIF(Data!$I$2:$I$33,"Periksa Mesin")</f>
        <v>12</v>
      </c>
      <c r="D7" s="30" t="s">
        <v>113</v>
      </c>
    </row>
    <row r="8" customFormat="false" ht="15" hidden="false" customHeight="false" outlineLevel="0" collapsed="false">
      <c r="A8" s="28" t="s">
        <v>114</v>
      </c>
      <c r="B8" s="29" t="s">
        <v>115</v>
      </c>
      <c r="C8" s="20" t="n">
        <f aca="false">COUNTIF(Data!$I$2:$I$33,"Target Tercapai")</f>
        <v>10</v>
      </c>
      <c r="D8" s="30" t="s">
        <v>116</v>
      </c>
    </row>
    <row r="9" customFormat="false" ht="15" hidden="false" customHeight="false" outlineLevel="0" collapsed="false">
      <c r="A9" s="28" t="s">
        <v>117</v>
      </c>
      <c r="B9" s="29" t="s">
        <v>118</v>
      </c>
      <c r="C9" s="20" t="n">
        <f aca="false">COUNTIF(Data!$I$2:$I$33,"Di Bawah Target")</f>
        <v>10</v>
      </c>
      <c r="D9" s="30" t="s">
        <v>119</v>
      </c>
    </row>
    <row r="10" customFormat="false" ht="15" hidden="false" customHeight="false" outlineLevel="0" collapsed="false">
      <c r="A10" s="28" t="s">
        <v>120</v>
      </c>
      <c r="B10" s="29" t="s">
        <v>121</v>
      </c>
      <c r="C10" s="22" t="str">
        <f aca="false">INDEX(Acuan!$A$2:$A$5,MATCH(MAX(Acuan!$D$2:$D$5),Acuan!$D$2:$D$5,0))</f>
        <v>Mesin C</v>
      </c>
      <c r="D10" s="30" t="s">
        <v>122</v>
      </c>
    </row>
    <row r="11" customFormat="false" ht="15" hidden="false" customHeight="false" outlineLevel="0" collapsed="false">
      <c r="A11" s="28" t="s">
        <v>123</v>
      </c>
      <c r="B11" s="29" t="s">
        <v>124</v>
      </c>
      <c r="C11" s="22" t="str">
        <f aca="false">INDEX(Acuan!$A$2:$A$5,MATCH(MIN(Acuan!$B$2:$B$5),Acuan!$B$2:$B$5,0))</f>
        <v>Mesin D</v>
      </c>
      <c r="D11" s="30" t="s">
        <v>122</v>
      </c>
    </row>
    <row r="12" customFormat="false" ht="15" hidden="false" customHeight="false" outlineLevel="0" collapsed="false">
      <c r="A12" s="28" t="s">
        <v>125</v>
      </c>
      <c r="B12" s="29" t="s">
        <v>126</v>
      </c>
      <c r="C12" s="20" t="n">
        <f aca="false">MAX(Data!$D$2:$D$33)</f>
        <v>567</v>
      </c>
      <c r="D12" s="30" t="s">
        <v>127</v>
      </c>
    </row>
    <row r="13" customFormat="false" ht="15" hidden="false" customHeight="false" outlineLevel="0" collapsed="false">
      <c r="A13" s="28" t="s">
        <v>128</v>
      </c>
      <c r="B13" s="29" t="s">
        <v>129</v>
      </c>
      <c r="C13" s="21" t="n">
        <f aca="false">MIN(Data!$H$2:$H$33)</f>
        <v>0.00303030303030303</v>
      </c>
      <c r="D13" s="30" t="s">
        <v>130</v>
      </c>
    </row>
    <row r="14" customFormat="false" ht="15" hidden="false" customHeight="false" outlineLevel="0" collapsed="false">
      <c r="A14" s="28" t="s">
        <v>131</v>
      </c>
      <c r="B14" s="29" t="s">
        <v>132</v>
      </c>
      <c r="C14" s="21" t="n">
        <f aca="false">AVERAGEIF(Data!$B$2:$B$33,"Mesin A",Data!$G$2:$G$33)</f>
        <v>0.969471153846154</v>
      </c>
      <c r="D14" s="30" t="s">
        <v>133</v>
      </c>
    </row>
    <row r="15" customFormat="false" ht="15" hidden="false" customHeight="false" outlineLevel="0" collapsed="false">
      <c r="A15" s="28" t="s">
        <v>134</v>
      </c>
      <c r="B15" s="29" t="s">
        <v>135</v>
      </c>
      <c r="C15" s="20" t="n">
        <f aca="false">SUMIFS(Data!$E$2:$E$33,Data!$B$2:$B$33,"Mesin C",Data!$I$2:$I$33,"Di Bawah Target")</f>
        <v>11</v>
      </c>
      <c r="D15" s="30" t="s">
        <v>136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2026-10-16T23:46:31Z</dcterms:created>
  <dc:creator>PushExcel</dc:creator>
  <dc:description/>
  <dc:language>en-US</dc:language>
  <cp:lastModifiedBy/>
  <dcterms:modified xsi:type="dcterms:W3CDTF">2026-10-16T23:46:31Z</dcterms:modified>
  <cp:revision>0</cp:revision>
  <dc:subject/>
  <dc:title>Produksi Harian: Target, Cacat, dan Status Mesin - Kunci</dc:title>
</cp:coreProperties>
</file>

<file path=docProps/custom.xml><?xml version="1.0" encoding="utf-8"?>
<Properties xmlns="http://schemas.openxmlformats.org/officeDocument/2006/custom-properties" xmlns:vt="http://schemas.openxmlformats.org/officeDocument/2006/docPropsVTypes"/>
</file>