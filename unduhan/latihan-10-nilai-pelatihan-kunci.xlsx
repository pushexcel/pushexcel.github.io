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etunjuk" sheetId="1" state="visible" r:id="rId3"/>
    <sheet name="Data" sheetId="2" state="visible" r:id="rId4"/>
    <sheet name="Acuan" sheetId="3" state="visible" r:id="rId5"/>
    <sheet name="Ringkasan"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<sst xmlns="http://schemas.openxmlformats.org/spreadsheetml/2006/main" count="181" uniqueCount="144">
  <si>
    <t xml:space="preserve">Kunci Jawaban: Rekap Nilai Peserta Pelatihan</t>
  </si>
  <si>
    <t xml:space="preserve">Latihan 10 dari 104  |  Tingkat: Pemula  |  Perkiraan waktu: 40 menit  |  pushexcel.github.io/Pushexcel</t>
  </si>
  <si>
    <t xml:space="preserve">Skenario</t>
  </si>
  <si>
    <t xml:space="preserve">Kamu admin lembaga pelatihan Cakap Digital. Akhir program, kamu merekap nilai 24 peserta dari tiga kelas. Nilai akhir berasal dari tugas, UTS, dan UAS dengan bobot berbeda. Predikat huruf diambil dari tabel di sheet Acuan. Peserta lulus bila nilai akhirnya mencapai batas dan kehadirannya mencukupi.</t>
  </si>
  <si>
    <t xml:space="preserve">Cara memakai kunci</t>
  </si>
  <si>
    <t xml:space="preserve">1.</t>
  </si>
  <si>
    <t xml:space="preserve">Sel hijau berisi rumus kunci yang sudah dihitung. Klik sel untuk melihat rumusnya.</t>
  </si>
  <si>
    <t xml:space="preserve">2.</t>
  </si>
  <si>
    <t xml:space="preserve">Kolom Rumus kunci di bawah menampilkan rumus untuk baris pertama atau tiap sel jawaban.</t>
  </si>
  <si>
    <t xml:space="preserve">3.</t>
  </si>
  <si>
    <t xml:space="preserve">Rumus ditulis dengan titik koma (;). Ganti dengan koma (,) bila Excel kamu berbahasa Inggris.</t>
  </si>
  <si>
    <t xml:space="preserve">4.</t>
  </si>
  <si>
    <t xml:space="preserve">Jawaban lain yang benar secara logika juga boleh, selama hasilnya sama.</t>
  </si>
  <si>
    <t xml:space="preserve">Arti warna</t>
  </si>
  <si>
    <t xml:space="preserve">Judul kolom data yang sudah diberikan</t>
  </si>
  <si>
    <t xml:space="preserve">Judul kolom hasil hitung</t>
  </si>
  <si>
    <t xml:space="preserve">Sel berisi rumus kunci</t>
  </si>
  <si>
    <t xml:space="preserve">Angka berwarna biru pada blok Parameter = nilai tetap yang boleh dirujuk</t>
  </si>
  <si>
    <t xml:space="preserve">Daftar soal</t>
  </si>
  <si>
    <t xml:space="preserve">No</t>
  </si>
  <si>
    <t xml:space="preserve">Soal</t>
  </si>
  <si>
    <t xml:space="preserve">Jawab di</t>
  </si>
  <si>
    <t xml:space="preserve">Rumus kunci</t>
  </si>
  <si>
    <t xml:space="preserve">1</t>
  </si>
  <si>
    <t xml:space="preserve">Hitung nilai akhir: tugas, UTS, dan UAS masing-masing dikali bobotnya, lalu dijumlahkan dan dibulatkan 1 angka desimal.</t>
  </si>
  <si>
    <t xml:space="preserve">Sheet Data, kolom H (Nilai Akhir), baris 2 sampai 25</t>
  </si>
  <si>
    <t xml:space="preserve">=ROUND(D2*$N$2+E2*$N$3+F2*$N$4;1)</t>
  </si>
  <si>
    <t xml:space="preserve">2</t>
  </si>
  <si>
    <t xml:space="preserve">Cari predikat huruf dari tabel nilai di sheet Acuan. Tabel itu memakai batas bawah, bukan nilai yang persis sama.</t>
  </si>
  <si>
    <t xml:space="preserve">Sheet Data, kolom I (Predikat), baris 2 sampai 25</t>
  </si>
  <si>
    <t xml:space="preserve">=VLOOKUP(H2;Acuan!$A$2:$B$6;2;TRUE)</t>
  </si>
  <si>
    <t xml:space="preserve">3</t>
  </si>
  <si>
    <t xml:space="preserve">Peserta Lulus bila nilai akhir mencapai nilai minimal DAN kehadiran mencapai kehadiran minimal. Selain itu Tidak Lulus.</t>
  </si>
  <si>
    <t xml:space="preserve">Sheet Data, kolom J (Status), baris 2 sampai 25</t>
  </si>
  <si>
    <t xml:space="preserve">=IF(AND(H2&gt;=$N$5;G2&gt;=$N$6);"Lulus";"Tidak Lulus")</t>
  </si>
  <si>
    <t xml:space="preserve">4</t>
  </si>
  <si>
    <t xml:space="preserve">Beri peringkat berdasarkan nilai akhir, tertinggi peringkat 1.</t>
  </si>
  <si>
    <t xml:space="preserve">Sheet Data, kolom K (Peringkat), baris 2 sampai 25</t>
  </si>
  <si>
    <t xml:space="preserve">=RANK(H2;$H$2:$H$25)</t>
  </si>
  <si>
    <t xml:space="preserve">5</t>
  </si>
  <si>
    <t xml:space="preserve">Berapa rata-rata nilai akhir seluruh peserta?</t>
  </si>
  <si>
    <t xml:space="preserve">Sheet Ringkasan, sel C4</t>
  </si>
  <si>
    <t xml:space="preserve">=AVERAGE(Data!$H$2:$H$25)</t>
  </si>
  <si>
    <t xml:space="preserve">6</t>
  </si>
  <si>
    <t xml:space="preserve">Siapa peserta dengan nilai akhir tertinggi?</t>
  </si>
  <si>
    <t xml:space="preserve">Sheet Ringkasan, sel C5</t>
  </si>
  <si>
    <t xml:space="preserve">=INDEX(Data!$B$2:$B$25;MATCH(MAX(Data!$H$2:$H$25);Data!$H$2:$H$25;0))</t>
  </si>
  <si>
    <t xml:space="preserve">7</t>
  </si>
  <si>
    <t xml:space="preserve">Berapa peserta yang berstatus Lulus?</t>
  </si>
  <si>
    <t xml:space="preserve">Sheet Ringkasan, sel C6</t>
  </si>
  <si>
    <t xml:space="preserve">=COUNTIF(Data!$J$2:$J$25;"Lulus")</t>
  </si>
  <si>
    <t xml:space="preserve">8</t>
  </si>
  <si>
    <t xml:space="preserve">Berapa peserta untuk tiap predikat A, B, C, D, dan E? Jumlah kelimanya harus 24.</t>
  </si>
  <si>
    <t xml:space="preserve">Sheet Ringkasan, sel C7 sampai C11</t>
  </si>
  <si>
    <t xml:space="preserve">=COUNTIF(Data!$I$2:$I$25;"A")
=COUNTIF(Data!$I$2:$I$25;"B")
=COUNTIF(Data!$I$2:$I$25;"C")
=COUNTIF(Data!$I$2:$I$25;"D")
=COUNTIF(Data!$I$2:$I$25;"E")</t>
  </si>
  <si>
    <t xml:space="preserve">9</t>
  </si>
  <si>
    <t xml:space="preserve">Berapa rata-rata nilai akhir tiap kelas A, B, dan C?</t>
  </si>
  <si>
    <t xml:space="preserve">Sheet Ringkasan, sel C12 sampai C14</t>
  </si>
  <si>
    <t xml:space="preserve">=AVERAGEIF(Data!$C$2:$C$25;"A";Data!$H$2:$H$25)
=AVERAGEIF(Data!$C$2:$C$25;"B";Data!$H$2:$H$25)
=AVERAGEIF(Data!$C$2:$C$25;"C";Data!$H$2:$H$25)</t>
  </si>
  <si>
    <t xml:space="preserve">10</t>
  </si>
  <si>
    <t xml:space="preserve">Berapa persen peserta yang lulus dari seluruh peserta?</t>
  </si>
  <si>
    <t xml:space="preserve">Sheet Ringkasan, sel C15</t>
  </si>
  <si>
    <t xml:space="preserve">=COUNTIF(Data!$J$2:$J$25;"Lulus")/COUNTA(Data!$B$2:$B$25)</t>
  </si>
  <si>
    <t xml:space="preserve">Nama Peserta</t>
  </si>
  <si>
    <t xml:space="preserve">Kelas</t>
  </si>
  <si>
    <t xml:space="preserve">Nilai Tugas</t>
  </si>
  <si>
    <t xml:space="preserve">Nilai UTS</t>
  </si>
  <si>
    <t xml:space="preserve">Nilai UAS</t>
  </si>
  <si>
    <t xml:space="preserve">Hadir (sesi)</t>
  </si>
  <si>
    <t xml:space="preserve">Nilai Akhir</t>
  </si>
  <si>
    <t xml:space="preserve">Predikat</t>
  </si>
  <si>
    <t xml:space="preserve">Status</t>
  </si>
  <si>
    <t xml:space="preserve">Peringkat</t>
  </si>
  <si>
    <t xml:space="preserve">Parameter</t>
  </si>
  <si>
    <t xml:space="preserve">Nilai</t>
  </si>
  <si>
    <t xml:space="preserve">Keterangan</t>
  </si>
  <si>
    <t xml:space="preserve">Prasetyo Susanto</t>
  </si>
  <si>
    <t xml:space="preserve">B</t>
  </si>
  <si>
    <t xml:space="preserve">Bobot tugas</t>
  </si>
  <si>
    <t xml:space="preserve">Hana Wijaya</t>
  </si>
  <si>
    <t xml:space="preserve">C</t>
  </si>
  <si>
    <t xml:space="preserve">Bobot UTS</t>
  </si>
  <si>
    <t xml:space="preserve">Wahyu Santoso</t>
  </si>
  <si>
    <t xml:space="preserve">Bobot UAS</t>
  </si>
  <si>
    <t xml:space="preserve">Agus Nugroho</t>
  </si>
  <si>
    <t xml:space="preserve">Nilai minimal lulus</t>
  </si>
  <si>
    <t xml:space="preserve">Nilai akhir sama dengan atau di atas angka ini</t>
  </si>
  <si>
    <t xml:space="preserve">Mulyadi Hidayat</t>
  </si>
  <si>
    <t xml:space="preserve">Kehadiran minimal (sesi)</t>
  </si>
  <si>
    <t xml:space="preserve">Dari total 10 sesi; sama dengan atau di atas angka ini</t>
  </si>
  <si>
    <t xml:space="preserve">Mulyadi Wibowo</t>
  </si>
  <si>
    <t xml:space="preserve">A</t>
  </si>
  <si>
    <t xml:space="preserve">Rizki Nugroho</t>
  </si>
  <si>
    <t xml:space="preserve">Hana Anggraini</t>
  </si>
  <si>
    <t xml:space="preserve">Indah Rahayu</t>
  </si>
  <si>
    <t xml:space="preserve">Eko Permana</t>
  </si>
  <si>
    <t xml:space="preserve">Utami Nugroho</t>
  </si>
  <si>
    <t xml:space="preserve">Gita Anggraini</t>
  </si>
  <si>
    <t xml:space="preserve">Putri Wijaya</t>
  </si>
  <si>
    <t xml:space="preserve">Zainal Wibowo</t>
  </si>
  <si>
    <t xml:space="preserve">Hendra Ramadhan</t>
  </si>
  <si>
    <t xml:space="preserve">Jamal Rahayu</t>
  </si>
  <si>
    <t xml:space="preserve">Sinta Rahayu</t>
  </si>
  <si>
    <t xml:space="preserve">Putri Susanto</t>
  </si>
  <si>
    <t xml:space="preserve">Dimas Nugroho</t>
  </si>
  <si>
    <t xml:space="preserve">Hana Firmansyah</t>
  </si>
  <si>
    <t xml:space="preserve">Rizki Wijaya</t>
  </si>
  <si>
    <t xml:space="preserve">Lia Utomo</t>
  </si>
  <si>
    <t xml:space="preserve">Rizki Wibowo</t>
  </si>
  <si>
    <t xml:space="preserve">Lukman Purnomo</t>
  </si>
  <si>
    <t xml:space="preserve">Nilai Mulai</t>
  </si>
  <si>
    <t xml:space="preserve">E</t>
  </si>
  <si>
    <t xml:space="preserve">D</t>
  </si>
  <si>
    <t xml:space="preserve">Ringkasan: lembar jawaban soal berjenis ringkasan</t>
  </si>
  <si>
    <t xml:space="preserve">Sel hijau berisi rumus kunci.</t>
  </si>
  <si>
    <t xml:space="preserve">Pertanyaan</t>
  </si>
  <si>
    <t xml:space="preserve">Jawaban</t>
  </si>
  <si>
    <t xml:space="preserve">Contoh format hasil</t>
  </si>
  <si>
    <t xml:space="preserve">Rata-rata nilai akhir seluruh peserta</t>
  </si>
  <si>
    <t xml:space="preserve">Desimal 2 angka, mis. 78,35</t>
  </si>
  <si>
    <t xml:space="preserve">Nama peserta dengan nilai akhir tertinggi</t>
  </si>
  <si>
    <t xml:space="preserve">Teks: nama peserta</t>
  </si>
  <si>
    <t xml:space="preserve">Jumlah peserta lulus</t>
  </si>
  <si>
    <t xml:space="preserve">Angka bulat, mis. 15</t>
  </si>
  <si>
    <t xml:space="preserve">8a</t>
  </si>
  <si>
    <t xml:space="preserve">Jumlah peserta dengan predikat A</t>
  </si>
  <si>
    <t xml:space="preserve">Angka bulat, mis. 6</t>
  </si>
  <si>
    <t xml:space="preserve">8b</t>
  </si>
  <si>
    <t xml:space="preserve">Jumlah peserta dengan predikat B</t>
  </si>
  <si>
    <t xml:space="preserve">8c</t>
  </si>
  <si>
    <t xml:space="preserve">Jumlah peserta dengan predikat C</t>
  </si>
  <si>
    <t xml:space="preserve">8d</t>
  </si>
  <si>
    <t xml:space="preserve">Jumlah peserta dengan predikat D</t>
  </si>
  <si>
    <t xml:space="preserve">8e</t>
  </si>
  <si>
    <t xml:space="preserve">Jumlah peserta dengan predikat E</t>
  </si>
  <si>
    <t xml:space="preserve">9a</t>
  </si>
  <si>
    <t xml:space="preserve">Rata-rata nilai akhir kelas A</t>
  </si>
  <si>
    <t xml:space="preserve">Desimal 2 angka, mis. 79,10</t>
  </si>
  <si>
    <t xml:space="preserve">9b</t>
  </si>
  <si>
    <t xml:space="preserve">Rata-rata nilai akhir kelas B</t>
  </si>
  <si>
    <t xml:space="preserve">9c</t>
  </si>
  <si>
    <t xml:space="preserve">Rata-rata nilai akhir kelas C</t>
  </si>
  <si>
    <t xml:space="preserve">Persentase peserta yang lulus</t>
  </si>
  <si>
    <t xml:space="preserve">Persen, mis. 68,0%</t>
  </si>
</sst>
</file>

<file path=xl/styles.xml><?xml version="1.0" encoding="utf-8"?>
<styleSheet xmlns="http://schemas.openxmlformats.org/spreadsheetml/2006/main">
  <numFmts count="6">
    <numFmt numFmtId="164" formatCode="General"/>
    <numFmt numFmtId="165" formatCode="0"/>
    <numFmt numFmtId="166" formatCode="0.0"/>
    <numFmt numFmtId="167" formatCode="0%"/>
    <numFmt numFmtId="168" formatCode="0.00"/>
    <numFmt numFmtId="169" formatCode="0.0%"/>
  </numFmts>
  <fonts count="14">
    <font>
      <sz val="11"/>
      <color theme="1"/>
      <name val="Calibri"/>
      <family val="2"/>
      <charset val="1"/>
    </font>
    <font>
      <sz val="10"/>
      <name val="Arial"/>
      <family val="0"/>
    </font>
    <font>
      <sz val="10"/>
      <name val="Arial"/>
      <family val="0"/>
    </font>
    <font>
      <sz val="10"/>
      <name val="Arial"/>
      <family val="0"/>
    </font>
    <font>
      <b val="true"/>
      <sz val="16"/>
      <color rgb="FF1F4E3D"/>
      <name val="Arial"/>
      <family val="0"/>
      <charset val="1"/>
    </font>
    <font>
      <sz val="9"/>
      <color rgb="FF595959"/>
      <name val="Arial"/>
      <family val="0"/>
      <charset val="1"/>
    </font>
    <font>
      <b val="true"/>
      <sz val="11"/>
      <name val="Arial"/>
      <family val="0"/>
      <charset val="1"/>
    </font>
    <font>
      <sz val="10"/>
      <name val="Arial"/>
      <family val="0"/>
      <charset val="1"/>
    </font>
    <font>
      <sz val="10"/>
      <color rgb="FF000000"/>
      <name val="Arial"/>
      <family val="0"/>
      <charset val="1"/>
    </font>
    <font>
      <sz val="10"/>
      <color rgb="FF0000FF"/>
      <name val="Arial"/>
      <family val="0"/>
      <charset val="1"/>
    </font>
    <font>
      <b val="true"/>
      <sz val="10"/>
      <color rgb="FFFFFFFF"/>
      <name val="Arial"/>
      <family val="0"/>
      <charset val="1"/>
    </font>
    <font>
      <sz val="9"/>
      <name val="Consolas"/>
      <family val="0"/>
      <charset val="1"/>
    </font>
    <font>
      <i val="true"/>
      <sz val="9"/>
      <color rgb="FF595959"/>
      <name val="Arial"/>
      <family val="0"/>
      <charset val="1"/>
    </font>
    <font>
      <b val="true"/>
      <sz val="13"/>
      <color rgb="FF1F4E3D"/>
      <name val="Arial"/>
      <family val="0"/>
      <charset val="1"/>
    </font>
  </fonts>
  <fills count="7">
    <fill>
      <patternFill patternType="none"/>
    </fill>
    <fill>
      <patternFill patternType="gray125"/>
    </fill>
    <fill>
      <patternFill patternType="solid">
        <fgColor rgb="FF1F4E3D"/>
        <bgColor rgb="FF44546A"/>
      </patternFill>
    </fill>
    <fill>
      <patternFill patternType="solid">
        <fgColor rgb="FFB45F06"/>
        <bgColor rgb="FF808000"/>
      </patternFill>
    </fill>
    <fill>
      <patternFill patternType="solid">
        <fgColor rgb="FFE2EFDA"/>
        <bgColor rgb="FFFFFFCC"/>
      </patternFill>
    </fill>
    <fill>
      <patternFill patternType="solid">
        <fgColor rgb="FFFFFFFF"/>
        <bgColor rgb="FFFFFFCC"/>
      </patternFill>
    </fill>
    <fill>
      <patternFill patternType="solid">
        <fgColor rgb="FF44546A"/>
        <bgColor rgb="FF59595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right" vertical="top"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10" fillId="3" borderId="1" xfId="0" applyFont="true" applyBorder="true" applyAlignment="true" applyProtection="false">
      <alignment horizontal="center" vertical="center" textRotation="0" wrapText="true" indent="0" shrinkToFit="false"/>
      <protection locked="true" hidden="false"/>
    </xf>
    <xf numFmtId="164" fontId="10" fillId="6" borderId="1" xfId="0" applyFont="true" applyBorder="true" applyAlignment="true" applyProtection="false">
      <alignment horizontal="center" vertical="center" textRotation="0" wrapText="true" indent="0" shrinkToFit="false"/>
      <protection locked="true" hidden="false"/>
    </xf>
    <xf numFmtId="165" fontId="7" fillId="0" borderId="1" xfId="0" applyFont="true" applyBorder="true" applyAlignment="true" applyProtection="false">
      <alignment horizontal="right" vertical="center" textRotation="0" wrapText="fals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6" fontId="7" fillId="4" borderId="1" xfId="0" applyFont="true" applyBorder="true" applyAlignment="true" applyProtection="false">
      <alignment horizontal="right" vertical="center" textRotation="0" wrapText="false" indent="0" shrinkToFit="false"/>
      <protection locked="true" hidden="false"/>
    </xf>
    <xf numFmtId="164" fontId="7" fillId="4" borderId="1" xfId="0" applyFont="true" applyBorder="true" applyAlignment="true" applyProtection="false">
      <alignment horizontal="left" vertical="center" textRotation="0" wrapText="false" indent="0" shrinkToFit="false"/>
      <protection locked="true" hidden="false"/>
    </xf>
    <xf numFmtId="165" fontId="7" fillId="4" borderId="1" xfId="0" applyFont="true" applyBorder="true" applyAlignment="true" applyProtection="false">
      <alignment horizontal="right" vertical="center"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7" fontId="9" fillId="0" borderId="1" xfId="0" applyFont="true" applyBorder="true" applyAlignment="true" applyProtection="false">
      <alignment horizontal="right" vertical="center" textRotation="0" wrapText="false" indent="0" shrinkToFit="false"/>
      <protection locked="true" hidden="false"/>
    </xf>
    <xf numFmtId="164" fontId="12" fillId="0" borderId="1" xfId="0" applyFont="true" applyBorder="true" applyAlignment="true" applyProtection="false">
      <alignment horizontal="general" vertical="center" textRotation="0" wrapText="true" indent="0" shrinkToFit="false"/>
      <protection locked="true" hidden="false"/>
    </xf>
    <xf numFmtId="165" fontId="9" fillId="0" borderId="1" xfId="0" applyFont="true" applyBorder="true" applyAlignment="true" applyProtection="false">
      <alignment horizontal="right" vertical="center" textRotation="0" wrapText="false" indent="0" shrinkToFit="false"/>
      <protection locked="true" hidden="false"/>
    </xf>
    <xf numFmtId="164" fontId="13"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8" fontId="7" fillId="4" borderId="1" xfId="0" applyFont="true" applyBorder="true" applyAlignment="true" applyProtection="false">
      <alignment horizontal="right" vertical="center" textRotation="0" wrapText="false" indent="0" shrinkToFit="false"/>
      <protection locked="true" hidden="false"/>
    </xf>
    <xf numFmtId="169" fontId="7" fillId="4" borderId="1" xfId="0" applyFont="true" applyBorder="true" applyAlignment="true" applyProtection="false">
      <alignment horizontal="righ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B45F06"/>
      <rgbColor rgb="FF993366"/>
      <rgbColor rgb="FF44546A"/>
      <rgbColor rgb="FF1F4E3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62"/>
    <col collapsed="false" customWidth="true" hidden="false" outlineLevel="0" max="3" min="3" style="0" width="40"/>
    <col collapsed="false" customWidth="true" hidden="false" outlineLevel="0" max="4" min="4" style="0" width="70"/>
    <col collapsed="false" customWidth="true" hidden="false" outlineLevel="0" max="5" min="5" style="0" width="30"/>
  </cols>
  <sheetData>
    <row r="1" customFormat="false" ht="19.7" hidden="false" customHeight="false" outlineLevel="0" collapsed="false">
      <c r="A1" s="1" t="s">
        <v>0</v>
      </c>
      <c r="B1" s="1"/>
      <c r="C1" s="1"/>
      <c r="D1" s="1"/>
      <c r="E1" s="1"/>
    </row>
    <row r="2" customFormat="false" ht="15" hidden="false" customHeight="false" outlineLevel="0" collapsed="false">
      <c r="A2" s="2" t="s">
        <v>1</v>
      </c>
      <c r="B2" s="2"/>
      <c r="C2" s="2"/>
      <c r="D2" s="2"/>
      <c r="E2" s="2"/>
    </row>
    <row r="4" customFormat="false" ht="15" hidden="false" customHeight="false" outlineLevel="0" collapsed="false">
      <c r="A4" s="3" t="s">
        <v>2</v>
      </c>
    </row>
    <row r="5" customFormat="false" ht="60" hidden="false" customHeight="true" outlineLevel="0" collapsed="false">
      <c r="A5" s="4" t="s">
        <v>3</v>
      </c>
      <c r="B5" s="4"/>
      <c r="C5" s="4"/>
      <c r="D5" s="4"/>
      <c r="E5" s="4"/>
    </row>
    <row r="7" customFormat="false" ht="15" hidden="false" customHeight="false" outlineLevel="0" collapsed="false">
      <c r="A7" s="3" t="s">
        <v>4</v>
      </c>
    </row>
    <row r="8" customFormat="false" ht="15" hidden="false" customHeight="true" outlineLevel="0" collapsed="false">
      <c r="A8" s="5" t="s">
        <v>5</v>
      </c>
      <c r="B8" s="4" t="s">
        <v>6</v>
      </c>
      <c r="C8" s="4"/>
      <c r="D8" s="4"/>
      <c r="E8" s="4"/>
    </row>
    <row r="9" customFormat="false" ht="15" hidden="false" customHeight="true" outlineLevel="0" collapsed="false">
      <c r="A9" s="5" t="s">
        <v>7</v>
      </c>
      <c r="B9" s="4" t="s">
        <v>8</v>
      </c>
      <c r="C9" s="4"/>
      <c r="D9" s="4"/>
      <c r="E9" s="4"/>
    </row>
    <row r="10" customFormat="false" ht="15" hidden="false" customHeight="true" outlineLevel="0" collapsed="false">
      <c r="A10" s="5" t="s">
        <v>9</v>
      </c>
      <c r="B10" s="4" t="s">
        <v>10</v>
      </c>
      <c r="C10" s="4"/>
      <c r="D10" s="4"/>
      <c r="E10" s="4"/>
    </row>
    <row r="11" customFormat="false" ht="15" hidden="false" customHeight="true" outlineLevel="0" collapsed="false">
      <c r="A11" s="5" t="s">
        <v>11</v>
      </c>
      <c r="B11" s="4" t="s">
        <v>12</v>
      </c>
      <c r="C11" s="4"/>
      <c r="D11" s="4"/>
      <c r="E11" s="4"/>
    </row>
    <row r="13" customFormat="false" ht="15" hidden="false" customHeight="false" outlineLevel="0" collapsed="false">
      <c r="A13" s="3" t="s">
        <v>13</v>
      </c>
    </row>
    <row r="14" customFormat="false" ht="15" hidden="false" customHeight="false" outlineLevel="0" collapsed="false">
      <c r="A14" s="6"/>
      <c r="B14" s="7" t="s">
        <v>14</v>
      </c>
    </row>
    <row r="15" customFormat="false" ht="15" hidden="false" customHeight="false" outlineLevel="0" collapsed="false">
      <c r="A15" s="8"/>
      <c r="B15" s="7" t="s">
        <v>15</v>
      </c>
    </row>
    <row r="16" customFormat="false" ht="15" hidden="false" customHeight="false" outlineLevel="0" collapsed="false">
      <c r="A16" s="9"/>
      <c r="B16" s="7" t="s">
        <v>16</v>
      </c>
    </row>
    <row r="17" customFormat="false" ht="15" hidden="false" customHeight="false" outlineLevel="0" collapsed="false">
      <c r="A17" s="10"/>
      <c r="B17" s="11" t="s">
        <v>17</v>
      </c>
    </row>
    <row r="19" customFormat="false" ht="15" hidden="false" customHeight="false" outlineLevel="0" collapsed="false">
      <c r="A19" s="3" t="s">
        <v>18</v>
      </c>
    </row>
    <row r="20" customFormat="false" ht="15" hidden="false" customHeight="false" outlineLevel="0" collapsed="false">
      <c r="A20" s="12" t="s">
        <v>19</v>
      </c>
      <c r="B20" s="12" t="s">
        <v>20</v>
      </c>
      <c r="C20" s="12" t="s">
        <v>21</v>
      </c>
      <c r="D20" s="12" t="s">
        <v>22</v>
      </c>
    </row>
    <row r="21" customFormat="false" ht="42" hidden="false" customHeight="true" outlineLevel="0" collapsed="false">
      <c r="A21" s="13" t="s">
        <v>23</v>
      </c>
      <c r="B21" s="14" t="s">
        <v>24</v>
      </c>
      <c r="C21" s="14" t="s">
        <v>25</v>
      </c>
      <c r="D21" s="15" t="s">
        <v>26</v>
      </c>
    </row>
    <row r="22" customFormat="false" ht="30" hidden="false" customHeight="true" outlineLevel="0" collapsed="false">
      <c r="A22" s="13" t="s">
        <v>27</v>
      </c>
      <c r="B22" s="14" t="s">
        <v>28</v>
      </c>
      <c r="C22" s="14" t="s">
        <v>29</v>
      </c>
      <c r="D22" s="15" t="s">
        <v>30</v>
      </c>
    </row>
    <row r="23" customFormat="false" ht="42" hidden="false" customHeight="true" outlineLevel="0" collapsed="false">
      <c r="A23" s="13" t="s">
        <v>31</v>
      </c>
      <c r="B23" s="14" t="s">
        <v>32</v>
      </c>
      <c r="C23" s="14" t="s">
        <v>33</v>
      </c>
      <c r="D23" s="15" t="s">
        <v>34</v>
      </c>
    </row>
    <row r="24" customFormat="false" ht="30" hidden="false" customHeight="true" outlineLevel="0" collapsed="false">
      <c r="A24" s="13" t="s">
        <v>35</v>
      </c>
      <c r="B24" s="14" t="s">
        <v>36</v>
      </c>
      <c r="C24" s="14" t="s">
        <v>37</v>
      </c>
      <c r="D24" s="15" t="s">
        <v>38</v>
      </c>
    </row>
    <row r="25" customFormat="false" ht="30" hidden="false" customHeight="true" outlineLevel="0" collapsed="false">
      <c r="A25" s="13" t="s">
        <v>39</v>
      </c>
      <c r="B25" s="14" t="s">
        <v>40</v>
      </c>
      <c r="C25" s="14" t="s">
        <v>41</v>
      </c>
      <c r="D25" s="15" t="s">
        <v>42</v>
      </c>
    </row>
    <row r="26" customFormat="false" ht="30" hidden="false" customHeight="true" outlineLevel="0" collapsed="false">
      <c r="A26" s="13" t="s">
        <v>43</v>
      </c>
      <c r="B26" s="14" t="s">
        <v>44</v>
      </c>
      <c r="C26" s="14" t="s">
        <v>45</v>
      </c>
      <c r="D26" s="15" t="s">
        <v>46</v>
      </c>
    </row>
    <row r="27" customFormat="false" ht="30" hidden="false" customHeight="true" outlineLevel="0" collapsed="false">
      <c r="A27" s="13" t="s">
        <v>47</v>
      </c>
      <c r="B27" s="14" t="s">
        <v>48</v>
      </c>
      <c r="C27" s="14" t="s">
        <v>49</v>
      </c>
      <c r="D27" s="15" t="s">
        <v>50</v>
      </c>
    </row>
    <row r="28" customFormat="false" ht="97.5" hidden="false" customHeight="true" outlineLevel="0" collapsed="false">
      <c r="A28" s="13" t="s">
        <v>51</v>
      </c>
      <c r="B28" s="14" t="s">
        <v>52</v>
      </c>
      <c r="C28" s="14" t="s">
        <v>53</v>
      </c>
      <c r="D28" s="15" t="s">
        <v>54</v>
      </c>
    </row>
    <row r="29" customFormat="false" ht="69.75" hidden="false" customHeight="true" outlineLevel="0" collapsed="false">
      <c r="A29" s="13" t="s">
        <v>55</v>
      </c>
      <c r="B29" s="14" t="s">
        <v>56</v>
      </c>
      <c r="C29" s="14" t="s">
        <v>57</v>
      </c>
      <c r="D29" s="15" t="s">
        <v>58</v>
      </c>
    </row>
    <row r="30" customFormat="false" ht="30" hidden="false" customHeight="true" outlineLevel="0" collapsed="false">
      <c r="A30" s="13" t="s">
        <v>59</v>
      </c>
      <c r="B30" s="14" t="s">
        <v>60</v>
      </c>
      <c r="C30" s="14" t="s">
        <v>61</v>
      </c>
      <c r="D30" s="15" t="s">
        <v>62</v>
      </c>
    </row>
  </sheetData>
  <mergeCells count="7">
    <mergeCell ref="A1:E1"/>
    <mergeCell ref="A2:E2"/>
    <mergeCell ref="A5:E5"/>
    <mergeCell ref="B8:E8"/>
    <mergeCell ref="B9:E9"/>
    <mergeCell ref="B10:E10"/>
    <mergeCell ref="B11:E11"/>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O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4"/>
    <col collapsed="false" customWidth="true" hidden="false" outlineLevel="0" max="3" min="3" style="0" width="8"/>
    <col collapsed="false" customWidth="true" hidden="false" outlineLevel="0" max="7" min="4" style="0" width="11"/>
    <col collapsed="false" customWidth="true" hidden="false" outlineLevel="0" max="8" min="8" style="0" width="12"/>
    <col collapsed="false" customWidth="true" hidden="false" outlineLevel="0" max="9" min="9" style="0" width="10"/>
    <col collapsed="false" customWidth="true" hidden="false" outlineLevel="0" max="10" min="10" style="0" width="13"/>
    <col collapsed="false" customWidth="true" hidden="false" outlineLevel="0" max="11" min="11" style="0" width="10"/>
    <col collapsed="false" customWidth="true" hidden="false" outlineLevel="0" max="12" min="12" style="0" width="3"/>
    <col collapsed="false" customWidth="true" hidden="false" outlineLevel="0" max="13" min="13" style="0" width="30"/>
    <col collapsed="false" customWidth="true" hidden="false" outlineLevel="0" max="14" min="14" style="0" width="16"/>
    <col collapsed="false" customWidth="true" hidden="false" outlineLevel="0" max="15" min="15" style="0" width="42"/>
  </cols>
  <sheetData>
    <row r="1" customFormat="false" ht="33.75" hidden="false" customHeight="true" outlineLevel="0" collapsed="false">
      <c r="A1" s="12" t="s">
        <v>19</v>
      </c>
      <c r="B1" s="12" t="s">
        <v>63</v>
      </c>
      <c r="C1" s="12" t="s">
        <v>64</v>
      </c>
      <c r="D1" s="12" t="s">
        <v>65</v>
      </c>
      <c r="E1" s="12" t="s">
        <v>66</v>
      </c>
      <c r="F1" s="12" t="s">
        <v>67</v>
      </c>
      <c r="G1" s="12" t="s">
        <v>68</v>
      </c>
      <c r="H1" s="16" t="s">
        <v>69</v>
      </c>
      <c r="I1" s="16" t="s">
        <v>70</v>
      </c>
      <c r="J1" s="16" t="s">
        <v>71</v>
      </c>
      <c r="K1" s="16" t="s">
        <v>72</v>
      </c>
      <c r="M1" s="17" t="s">
        <v>73</v>
      </c>
      <c r="N1" s="17" t="s">
        <v>74</v>
      </c>
      <c r="O1" s="17" t="s">
        <v>75</v>
      </c>
    </row>
    <row r="2" customFormat="false" ht="15" hidden="false" customHeight="false" outlineLevel="0" collapsed="false">
      <c r="A2" s="18" t="n">
        <v>1</v>
      </c>
      <c r="B2" s="19" t="s">
        <v>76</v>
      </c>
      <c r="C2" s="19" t="s">
        <v>77</v>
      </c>
      <c r="D2" s="18" t="n">
        <v>100</v>
      </c>
      <c r="E2" s="18" t="n">
        <v>79</v>
      </c>
      <c r="F2" s="18" t="n">
        <v>88</v>
      </c>
      <c r="G2" s="18" t="n">
        <v>9</v>
      </c>
      <c r="H2" s="20" t="n">
        <f aca="false">ROUND(D2*$N$2+E2*$N$3+F2*$N$4,1)</f>
        <v>88.9</v>
      </c>
      <c r="I2" s="21" t="str">
        <f aca="false">VLOOKUP(H2,Acuan!$A$2:$B$6,2,TRUE())</f>
        <v>A</v>
      </c>
      <c r="J2" s="21" t="str">
        <f aca="false">IF(AND(H2&gt;=$N$5,G2&gt;=$N$6),"Lulus","Tidak Lulus")</f>
        <v>Lulus</v>
      </c>
      <c r="K2" s="22" t="n">
        <f aca="false">RANK(H2,$H$2:$H$25)</f>
        <v>1</v>
      </c>
      <c r="M2" s="23" t="s">
        <v>78</v>
      </c>
      <c r="N2" s="24" t="n">
        <v>0.3</v>
      </c>
      <c r="O2" s="25"/>
    </row>
    <row r="3" customFormat="false" ht="15" hidden="false" customHeight="false" outlineLevel="0" collapsed="false">
      <c r="A3" s="18" t="n">
        <v>2</v>
      </c>
      <c r="B3" s="19" t="s">
        <v>79</v>
      </c>
      <c r="C3" s="19" t="s">
        <v>80</v>
      </c>
      <c r="D3" s="18" t="n">
        <v>78</v>
      </c>
      <c r="E3" s="18" t="n">
        <v>79</v>
      </c>
      <c r="F3" s="18" t="n">
        <v>92</v>
      </c>
      <c r="G3" s="18" t="n">
        <v>10</v>
      </c>
      <c r="H3" s="20" t="n">
        <f aca="false">ROUND(D3*$N$2+E3*$N$3+F3*$N$4,1)</f>
        <v>83.9</v>
      </c>
      <c r="I3" s="21" t="str">
        <f aca="false">VLOOKUP(H3,Acuan!$A$2:$B$6,2,TRUE())</f>
        <v>B</v>
      </c>
      <c r="J3" s="21" t="str">
        <f aca="false">IF(AND(H3&gt;=$N$5,G3&gt;=$N$6),"Lulus","Tidak Lulus")</f>
        <v>Lulus</v>
      </c>
      <c r="K3" s="22" t="n">
        <f aca="false">RANK(H3,$H$2:$H$25)</f>
        <v>5</v>
      </c>
      <c r="M3" s="23" t="s">
        <v>81</v>
      </c>
      <c r="N3" s="24" t="n">
        <v>0.3</v>
      </c>
      <c r="O3" s="25"/>
    </row>
    <row r="4" customFormat="false" ht="15" hidden="false" customHeight="false" outlineLevel="0" collapsed="false">
      <c r="A4" s="18" t="n">
        <v>3</v>
      </c>
      <c r="B4" s="19" t="s">
        <v>82</v>
      </c>
      <c r="C4" s="19" t="s">
        <v>77</v>
      </c>
      <c r="D4" s="18" t="n">
        <v>80</v>
      </c>
      <c r="E4" s="18" t="n">
        <v>98</v>
      </c>
      <c r="F4" s="18" t="n">
        <v>46</v>
      </c>
      <c r="G4" s="18" t="n">
        <v>9</v>
      </c>
      <c r="H4" s="20" t="n">
        <f aca="false">ROUND(D4*$N$2+E4*$N$3+F4*$N$4,1)</f>
        <v>71.8</v>
      </c>
      <c r="I4" s="21" t="str">
        <f aca="false">VLOOKUP(H4,Acuan!$A$2:$B$6,2,TRUE())</f>
        <v>C</v>
      </c>
      <c r="J4" s="21" t="str">
        <f aca="false">IF(AND(H4&gt;=$N$5,G4&gt;=$N$6),"Lulus","Tidak Lulus")</f>
        <v>Lulus</v>
      </c>
      <c r="K4" s="22" t="n">
        <f aca="false">RANK(H4,$H$2:$H$25)</f>
        <v>17</v>
      </c>
      <c r="M4" s="23" t="s">
        <v>83</v>
      </c>
      <c r="N4" s="24" t="n">
        <v>0.4</v>
      </c>
      <c r="O4" s="25"/>
    </row>
    <row r="5" customFormat="false" ht="15" hidden="false" customHeight="false" outlineLevel="0" collapsed="false">
      <c r="A5" s="18" t="n">
        <v>4</v>
      </c>
      <c r="B5" s="19" t="s">
        <v>84</v>
      </c>
      <c r="C5" s="19" t="s">
        <v>80</v>
      </c>
      <c r="D5" s="18" t="n">
        <v>98</v>
      </c>
      <c r="E5" s="18" t="n">
        <v>58</v>
      </c>
      <c r="F5" s="18" t="n">
        <v>71</v>
      </c>
      <c r="G5" s="18" t="n">
        <v>9</v>
      </c>
      <c r="H5" s="20" t="n">
        <f aca="false">ROUND(D5*$N$2+E5*$N$3+F5*$N$4,1)</f>
        <v>75.2</v>
      </c>
      <c r="I5" s="21" t="str">
        <f aca="false">VLOOKUP(H5,Acuan!$A$2:$B$6,2,TRUE())</f>
        <v>C</v>
      </c>
      <c r="J5" s="21" t="str">
        <f aca="false">IF(AND(H5&gt;=$N$5,G5&gt;=$N$6),"Lulus","Tidak Lulus")</f>
        <v>Lulus</v>
      </c>
      <c r="K5" s="22" t="n">
        <f aca="false">RANK(H5,$H$2:$H$25)</f>
        <v>9</v>
      </c>
      <c r="M5" s="23" t="s">
        <v>85</v>
      </c>
      <c r="N5" s="26" t="n">
        <v>70</v>
      </c>
      <c r="O5" s="25" t="s">
        <v>86</v>
      </c>
    </row>
    <row r="6" customFormat="false" ht="15" hidden="false" customHeight="false" outlineLevel="0" collapsed="false">
      <c r="A6" s="18" t="n">
        <v>5</v>
      </c>
      <c r="B6" s="19" t="s">
        <v>87</v>
      </c>
      <c r="C6" s="19" t="s">
        <v>80</v>
      </c>
      <c r="D6" s="18" t="n">
        <v>68</v>
      </c>
      <c r="E6" s="18" t="n">
        <v>60</v>
      </c>
      <c r="F6" s="18" t="n">
        <v>62</v>
      </c>
      <c r="G6" s="18" t="n">
        <v>8</v>
      </c>
      <c r="H6" s="20" t="n">
        <f aca="false">ROUND(D6*$N$2+E6*$N$3+F6*$N$4,1)</f>
        <v>63.2</v>
      </c>
      <c r="I6" s="21" t="str">
        <f aca="false">VLOOKUP(H6,Acuan!$A$2:$B$6,2,TRUE())</f>
        <v>D</v>
      </c>
      <c r="J6" s="21" t="str">
        <f aca="false">IF(AND(H6&gt;=$N$5,G6&gt;=$N$6),"Lulus","Tidak Lulus")</f>
        <v>Tidak Lulus</v>
      </c>
      <c r="K6" s="22" t="n">
        <f aca="false">RANK(H6,$H$2:$H$25)</f>
        <v>23</v>
      </c>
      <c r="M6" s="23" t="s">
        <v>88</v>
      </c>
      <c r="N6" s="26" t="n">
        <v>8</v>
      </c>
      <c r="O6" s="25" t="s">
        <v>89</v>
      </c>
    </row>
    <row r="7" customFormat="false" ht="15" hidden="false" customHeight="false" outlineLevel="0" collapsed="false">
      <c r="A7" s="18" t="n">
        <v>6</v>
      </c>
      <c r="B7" s="19" t="s">
        <v>90</v>
      </c>
      <c r="C7" s="19" t="s">
        <v>91</v>
      </c>
      <c r="D7" s="18" t="n">
        <v>73</v>
      </c>
      <c r="E7" s="18" t="n">
        <v>47</v>
      </c>
      <c r="F7" s="18" t="n">
        <v>95</v>
      </c>
      <c r="G7" s="18" t="n">
        <v>10</v>
      </c>
      <c r="H7" s="20" t="n">
        <f aca="false">ROUND(D7*$N$2+E7*$N$3+F7*$N$4,1)</f>
        <v>74</v>
      </c>
      <c r="I7" s="21" t="str">
        <f aca="false">VLOOKUP(H7,Acuan!$A$2:$B$6,2,TRUE())</f>
        <v>C</v>
      </c>
      <c r="J7" s="21" t="str">
        <f aca="false">IF(AND(H7&gt;=$N$5,G7&gt;=$N$6),"Lulus","Tidak Lulus")</f>
        <v>Lulus</v>
      </c>
      <c r="K7" s="22" t="n">
        <f aca="false">RANK(H7,$H$2:$H$25)</f>
        <v>11</v>
      </c>
    </row>
    <row r="8" customFormat="false" ht="15" hidden="false" customHeight="false" outlineLevel="0" collapsed="false">
      <c r="A8" s="18" t="n">
        <v>7</v>
      </c>
      <c r="B8" s="19" t="s">
        <v>92</v>
      </c>
      <c r="C8" s="19" t="s">
        <v>80</v>
      </c>
      <c r="D8" s="18" t="n">
        <v>69</v>
      </c>
      <c r="E8" s="18" t="n">
        <v>40</v>
      </c>
      <c r="F8" s="18" t="n">
        <v>49</v>
      </c>
      <c r="G8" s="18" t="n">
        <v>6</v>
      </c>
      <c r="H8" s="20" t="n">
        <f aca="false">ROUND(D8*$N$2+E8*$N$3+F8*$N$4,1)</f>
        <v>52.3</v>
      </c>
      <c r="I8" s="21" t="str">
        <f aca="false">VLOOKUP(H8,Acuan!$A$2:$B$6,2,TRUE())</f>
        <v>E</v>
      </c>
      <c r="J8" s="21" t="str">
        <f aca="false">IF(AND(H8&gt;=$N$5,G8&gt;=$N$6),"Lulus","Tidak Lulus")</f>
        <v>Tidak Lulus</v>
      </c>
      <c r="K8" s="22" t="n">
        <f aca="false">RANK(H8,$H$2:$H$25)</f>
        <v>24</v>
      </c>
    </row>
    <row r="9" customFormat="false" ht="15" hidden="false" customHeight="false" outlineLevel="0" collapsed="false">
      <c r="A9" s="18" t="n">
        <v>8</v>
      </c>
      <c r="B9" s="19" t="s">
        <v>93</v>
      </c>
      <c r="C9" s="19" t="s">
        <v>77</v>
      </c>
      <c r="D9" s="18" t="n">
        <v>83</v>
      </c>
      <c r="E9" s="18" t="n">
        <v>55</v>
      </c>
      <c r="F9" s="18" t="n">
        <v>76</v>
      </c>
      <c r="G9" s="18" t="n">
        <v>10</v>
      </c>
      <c r="H9" s="20" t="n">
        <f aca="false">ROUND(D9*$N$2+E9*$N$3+F9*$N$4,1)</f>
        <v>71.8</v>
      </c>
      <c r="I9" s="21" t="str">
        <f aca="false">VLOOKUP(H9,Acuan!$A$2:$B$6,2,TRUE())</f>
        <v>C</v>
      </c>
      <c r="J9" s="21" t="str">
        <f aca="false">IF(AND(H9&gt;=$N$5,G9&gt;=$N$6),"Lulus","Tidak Lulus")</f>
        <v>Lulus</v>
      </c>
      <c r="K9" s="22" t="n">
        <f aca="false">RANK(H9,$H$2:$H$25)</f>
        <v>17</v>
      </c>
    </row>
    <row r="10" customFormat="false" ht="15" hidden="false" customHeight="false" outlineLevel="0" collapsed="false">
      <c r="A10" s="18" t="n">
        <v>9</v>
      </c>
      <c r="B10" s="19" t="s">
        <v>94</v>
      </c>
      <c r="C10" s="19" t="s">
        <v>91</v>
      </c>
      <c r="D10" s="18" t="n">
        <v>94</v>
      </c>
      <c r="E10" s="18" t="n">
        <v>85</v>
      </c>
      <c r="F10" s="18" t="n">
        <v>85</v>
      </c>
      <c r="G10" s="18" t="n">
        <v>9</v>
      </c>
      <c r="H10" s="20" t="n">
        <f aca="false">ROUND(D10*$N$2+E10*$N$3+F10*$N$4,1)</f>
        <v>87.7</v>
      </c>
      <c r="I10" s="21" t="str">
        <f aca="false">VLOOKUP(H10,Acuan!$A$2:$B$6,2,TRUE())</f>
        <v>A</v>
      </c>
      <c r="J10" s="21" t="str">
        <f aca="false">IF(AND(H10&gt;=$N$5,G10&gt;=$N$6),"Lulus","Tidak Lulus")</f>
        <v>Lulus</v>
      </c>
      <c r="K10" s="22" t="n">
        <f aca="false">RANK(H10,$H$2:$H$25)</f>
        <v>3</v>
      </c>
    </row>
    <row r="11" customFormat="false" ht="15" hidden="false" customHeight="false" outlineLevel="0" collapsed="false">
      <c r="A11" s="18" t="n">
        <v>10</v>
      </c>
      <c r="B11" s="19" t="s">
        <v>95</v>
      </c>
      <c r="C11" s="19" t="s">
        <v>91</v>
      </c>
      <c r="D11" s="18" t="n">
        <v>71</v>
      </c>
      <c r="E11" s="18" t="n">
        <v>90</v>
      </c>
      <c r="F11" s="18" t="n">
        <v>51</v>
      </c>
      <c r="G11" s="18" t="n">
        <v>9</v>
      </c>
      <c r="H11" s="20" t="n">
        <f aca="false">ROUND(D11*$N$2+E11*$N$3+F11*$N$4,1)</f>
        <v>68.7</v>
      </c>
      <c r="I11" s="21" t="str">
        <f aca="false">VLOOKUP(H11,Acuan!$A$2:$B$6,2,TRUE())</f>
        <v>C</v>
      </c>
      <c r="J11" s="21" t="str">
        <f aca="false">IF(AND(H11&gt;=$N$5,G11&gt;=$N$6),"Lulus","Tidak Lulus")</f>
        <v>Tidak Lulus</v>
      </c>
      <c r="K11" s="22" t="n">
        <f aca="false">RANK(H11,$H$2:$H$25)</f>
        <v>19</v>
      </c>
    </row>
    <row r="12" customFormat="false" ht="15" hidden="false" customHeight="false" outlineLevel="0" collapsed="false">
      <c r="A12" s="18" t="n">
        <v>11</v>
      </c>
      <c r="B12" s="19" t="s">
        <v>96</v>
      </c>
      <c r="C12" s="19" t="s">
        <v>91</v>
      </c>
      <c r="D12" s="18" t="n">
        <v>67</v>
      </c>
      <c r="E12" s="18" t="n">
        <v>77</v>
      </c>
      <c r="F12" s="18" t="n">
        <v>75</v>
      </c>
      <c r="G12" s="18" t="n">
        <v>9</v>
      </c>
      <c r="H12" s="20" t="n">
        <f aca="false">ROUND(D12*$N$2+E12*$N$3+F12*$N$4,1)</f>
        <v>73.2</v>
      </c>
      <c r="I12" s="21" t="str">
        <f aca="false">VLOOKUP(H12,Acuan!$A$2:$B$6,2,TRUE())</f>
        <v>C</v>
      </c>
      <c r="J12" s="21" t="str">
        <f aca="false">IF(AND(H12&gt;=$N$5,G12&gt;=$N$6),"Lulus","Tidak Lulus")</f>
        <v>Lulus</v>
      </c>
      <c r="K12" s="22" t="n">
        <f aca="false">RANK(H12,$H$2:$H$25)</f>
        <v>13</v>
      </c>
    </row>
    <row r="13" customFormat="false" ht="15" hidden="false" customHeight="false" outlineLevel="0" collapsed="false">
      <c r="A13" s="18" t="n">
        <v>12</v>
      </c>
      <c r="B13" s="19" t="s">
        <v>97</v>
      </c>
      <c r="C13" s="19" t="s">
        <v>77</v>
      </c>
      <c r="D13" s="18" t="n">
        <v>73</v>
      </c>
      <c r="E13" s="18" t="n">
        <v>86</v>
      </c>
      <c r="F13" s="18" t="n">
        <v>77</v>
      </c>
      <c r="G13" s="18" t="n">
        <v>9</v>
      </c>
      <c r="H13" s="20" t="n">
        <f aca="false">ROUND(D13*$N$2+E13*$N$3+F13*$N$4,1)</f>
        <v>78.5</v>
      </c>
      <c r="I13" s="21" t="str">
        <f aca="false">VLOOKUP(H13,Acuan!$A$2:$B$6,2,TRUE())</f>
        <v>B</v>
      </c>
      <c r="J13" s="21" t="str">
        <f aca="false">IF(AND(H13&gt;=$N$5,G13&gt;=$N$6),"Lulus","Tidak Lulus")</f>
        <v>Lulus</v>
      </c>
      <c r="K13" s="22" t="n">
        <f aca="false">RANK(H13,$H$2:$H$25)</f>
        <v>7</v>
      </c>
    </row>
    <row r="14" customFormat="false" ht="15" hidden="false" customHeight="false" outlineLevel="0" collapsed="false">
      <c r="A14" s="18" t="n">
        <v>13</v>
      </c>
      <c r="B14" s="19" t="s">
        <v>98</v>
      </c>
      <c r="C14" s="19" t="s">
        <v>91</v>
      </c>
      <c r="D14" s="18" t="n">
        <v>84</v>
      </c>
      <c r="E14" s="18" t="n">
        <v>69</v>
      </c>
      <c r="F14" s="18" t="n">
        <v>92</v>
      </c>
      <c r="G14" s="18" t="n">
        <v>10</v>
      </c>
      <c r="H14" s="20" t="n">
        <f aca="false">ROUND(D14*$N$2+E14*$N$3+F14*$N$4,1)</f>
        <v>82.7</v>
      </c>
      <c r="I14" s="21" t="str">
        <f aca="false">VLOOKUP(H14,Acuan!$A$2:$B$6,2,TRUE())</f>
        <v>B</v>
      </c>
      <c r="J14" s="21" t="str">
        <f aca="false">IF(AND(H14&gt;=$N$5,G14&gt;=$N$6),"Lulus","Tidak Lulus")</f>
        <v>Lulus</v>
      </c>
      <c r="K14" s="22" t="n">
        <f aca="false">RANK(H14,$H$2:$H$25)</f>
        <v>6</v>
      </c>
    </row>
    <row r="15" customFormat="false" ht="15" hidden="false" customHeight="false" outlineLevel="0" collapsed="false">
      <c r="A15" s="18" t="n">
        <v>14</v>
      </c>
      <c r="B15" s="19" t="s">
        <v>99</v>
      </c>
      <c r="C15" s="19" t="s">
        <v>80</v>
      </c>
      <c r="D15" s="18" t="n">
        <v>67</v>
      </c>
      <c r="E15" s="18" t="n">
        <v>97</v>
      </c>
      <c r="F15" s="18" t="n">
        <v>65</v>
      </c>
      <c r="G15" s="18" t="n">
        <v>9</v>
      </c>
      <c r="H15" s="20" t="n">
        <f aca="false">ROUND(D15*$N$2+E15*$N$3+F15*$N$4,1)</f>
        <v>75.2</v>
      </c>
      <c r="I15" s="21" t="str">
        <f aca="false">VLOOKUP(H15,Acuan!$A$2:$B$6,2,TRUE())</f>
        <v>C</v>
      </c>
      <c r="J15" s="21" t="str">
        <f aca="false">IF(AND(H15&gt;=$N$5,G15&gt;=$N$6),"Lulus","Tidak Lulus")</f>
        <v>Lulus</v>
      </c>
      <c r="K15" s="22" t="n">
        <f aca="false">RANK(H15,$H$2:$H$25)</f>
        <v>9</v>
      </c>
    </row>
    <row r="16" customFormat="false" ht="15" hidden="false" customHeight="false" outlineLevel="0" collapsed="false">
      <c r="A16" s="18" t="n">
        <v>15</v>
      </c>
      <c r="B16" s="19" t="s">
        <v>100</v>
      </c>
      <c r="C16" s="19" t="s">
        <v>77</v>
      </c>
      <c r="D16" s="18" t="n">
        <v>97</v>
      </c>
      <c r="E16" s="18" t="n">
        <v>75</v>
      </c>
      <c r="F16" s="18" t="n">
        <v>83</v>
      </c>
      <c r="G16" s="18" t="n">
        <v>7</v>
      </c>
      <c r="H16" s="20" t="n">
        <f aca="false">ROUND(D16*$N$2+E16*$N$3+F16*$N$4,1)</f>
        <v>84.8</v>
      </c>
      <c r="I16" s="21" t="str">
        <f aca="false">VLOOKUP(H16,Acuan!$A$2:$B$6,2,TRUE())</f>
        <v>B</v>
      </c>
      <c r="J16" s="21" t="str">
        <f aca="false">IF(AND(H16&gt;=$N$5,G16&gt;=$N$6),"Lulus","Tidak Lulus")</f>
        <v>Tidak Lulus</v>
      </c>
      <c r="K16" s="22" t="n">
        <f aca="false">RANK(H16,$H$2:$H$25)</f>
        <v>4</v>
      </c>
    </row>
    <row r="17" customFormat="false" ht="15" hidden="false" customHeight="false" outlineLevel="0" collapsed="false">
      <c r="A17" s="18" t="n">
        <v>16</v>
      </c>
      <c r="B17" s="19" t="s">
        <v>101</v>
      </c>
      <c r="C17" s="19" t="s">
        <v>91</v>
      </c>
      <c r="D17" s="18" t="n">
        <v>60</v>
      </c>
      <c r="E17" s="18" t="n">
        <v>90</v>
      </c>
      <c r="F17" s="18" t="n">
        <v>53</v>
      </c>
      <c r="G17" s="18" t="n">
        <v>8</v>
      </c>
      <c r="H17" s="20" t="n">
        <f aca="false">ROUND(D17*$N$2+E17*$N$3+F17*$N$4,1)</f>
        <v>66.2</v>
      </c>
      <c r="I17" s="21" t="str">
        <f aca="false">VLOOKUP(H17,Acuan!$A$2:$B$6,2,TRUE())</f>
        <v>C</v>
      </c>
      <c r="J17" s="21" t="str">
        <f aca="false">IF(AND(H17&gt;=$N$5,G17&gt;=$N$6),"Lulus","Tidak Lulus")</f>
        <v>Tidak Lulus</v>
      </c>
      <c r="K17" s="22" t="n">
        <f aca="false">RANK(H17,$H$2:$H$25)</f>
        <v>21</v>
      </c>
    </row>
    <row r="18" customFormat="false" ht="15" hidden="false" customHeight="false" outlineLevel="0" collapsed="false">
      <c r="A18" s="18" t="n">
        <v>17</v>
      </c>
      <c r="B18" s="19" t="s">
        <v>102</v>
      </c>
      <c r="C18" s="19" t="s">
        <v>80</v>
      </c>
      <c r="D18" s="18" t="n">
        <v>90</v>
      </c>
      <c r="E18" s="18" t="n">
        <v>83</v>
      </c>
      <c r="F18" s="18" t="n">
        <v>50</v>
      </c>
      <c r="G18" s="18" t="n">
        <v>9</v>
      </c>
      <c r="H18" s="20" t="n">
        <f aca="false">ROUND(D18*$N$2+E18*$N$3+F18*$N$4,1)</f>
        <v>71.9</v>
      </c>
      <c r="I18" s="21" t="str">
        <f aca="false">VLOOKUP(H18,Acuan!$A$2:$B$6,2,TRUE())</f>
        <v>C</v>
      </c>
      <c r="J18" s="21" t="str">
        <f aca="false">IF(AND(H18&gt;=$N$5,G18&gt;=$N$6),"Lulus","Tidak Lulus")</f>
        <v>Lulus</v>
      </c>
      <c r="K18" s="22" t="n">
        <f aca="false">RANK(H18,$H$2:$H$25)</f>
        <v>16</v>
      </c>
    </row>
    <row r="19" customFormat="false" ht="15" hidden="false" customHeight="false" outlineLevel="0" collapsed="false">
      <c r="A19" s="18" t="n">
        <v>18</v>
      </c>
      <c r="B19" s="19" t="s">
        <v>103</v>
      </c>
      <c r="C19" s="19" t="s">
        <v>91</v>
      </c>
      <c r="D19" s="18" t="n">
        <v>62</v>
      </c>
      <c r="E19" s="18" t="n">
        <v>78</v>
      </c>
      <c r="F19" s="18" t="n">
        <v>84</v>
      </c>
      <c r="G19" s="18" t="n">
        <v>9</v>
      </c>
      <c r="H19" s="20" t="n">
        <f aca="false">ROUND(D19*$N$2+E19*$N$3+F19*$N$4,1)</f>
        <v>75.6</v>
      </c>
      <c r="I19" s="21" t="str">
        <f aca="false">VLOOKUP(H19,Acuan!$A$2:$B$6,2,TRUE())</f>
        <v>C</v>
      </c>
      <c r="J19" s="21" t="str">
        <f aca="false">IF(AND(H19&gt;=$N$5,G19&gt;=$N$6),"Lulus","Tidak Lulus")</f>
        <v>Lulus</v>
      </c>
      <c r="K19" s="22" t="n">
        <f aca="false">RANK(H19,$H$2:$H$25)</f>
        <v>8</v>
      </c>
    </row>
    <row r="20" customFormat="false" ht="15" hidden="false" customHeight="false" outlineLevel="0" collapsed="false">
      <c r="A20" s="18" t="n">
        <v>19</v>
      </c>
      <c r="B20" s="19" t="s">
        <v>104</v>
      </c>
      <c r="C20" s="19" t="s">
        <v>77</v>
      </c>
      <c r="D20" s="18" t="n">
        <v>61</v>
      </c>
      <c r="E20" s="18" t="n">
        <v>78</v>
      </c>
      <c r="F20" s="18" t="n">
        <v>78</v>
      </c>
      <c r="G20" s="18" t="n">
        <v>10</v>
      </c>
      <c r="H20" s="20" t="n">
        <f aca="false">ROUND(D20*$N$2+E20*$N$3+F20*$N$4,1)</f>
        <v>72.9</v>
      </c>
      <c r="I20" s="21" t="str">
        <f aca="false">VLOOKUP(H20,Acuan!$A$2:$B$6,2,TRUE())</f>
        <v>C</v>
      </c>
      <c r="J20" s="21" t="str">
        <f aca="false">IF(AND(H20&gt;=$N$5,G20&gt;=$N$6),"Lulus","Tidak Lulus")</f>
        <v>Lulus</v>
      </c>
      <c r="K20" s="22" t="n">
        <f aca="false">RANK(H20,$H$2:$H$25)</f>
        <v>15</v>
      </c>
    </row>
    <row r="21" customFormat="false" ht="15" hidden="false" customHeight="false" outlineLevel="0" collapsed="false">
      <c r="A21" s="18" t="n">
        <v>20</v>
      </c>
      <c r="B21" s="19" t="s">
        <v>105</v>
      </c>
      <c r="C21" s="19" t="s">
        <v>91</v>
      </c>
      <c r="D21" s="18" t="n">
        <v>98</v>
      </c>
      <c r="E21" s="18" t="n">
        <v>64</v>
      </c>
      <c r="F21" s="18" t="n">
        <v>61</v>
      </c>
      <c r="G21" s="18" t="n">
        <v>7</v>
      </c>
      <c r="H21" s="20" t="n">
        <f aca="false">ROUND(D21*$N$2+E21*$N$3+F21*$N$4,1)</f>
        <v>73</v>
      </c>
      <c r="I21" s="21" t="str">
        <f aca="false">VLOOKUP(H21,Acuan!$A$2:$B$6,2,TRUE())</f>
        <v>C</v>
      </c>
      <c r="J21" s="21" t="str">
        <f aca="false">IF(AND(H21&gt;=$N$5,G21&gt;=$N$6),"Lulus","Tidak Lulus")</f>
        <v>Tidak Lulus</v>
      </c>
      <c r="K21" s="22" t="n">
        <f aca="false">RANK(H21,$H$2:$H$25)</f>
        <v>14</v>
      </c>
    </row>
    <row r="22" customFormat="false" ht="15" hidden="false" customHeight="false" outlineLevel="0" collapsed="false">
      <c r="A22" s="18" t="n">
        <v>21</v>
      </c>
      <c r="B22" s="19" t="s">
        <v>106</v>
      </c>
      <c r="C22" s="19" t="s">
        <v>80</v>
      </c>
      <c r="D22" s="18" t="n">
        <v>95</v>
      </c>
      <c r="E22" s="18" t="n">
        <v>98</v>
      </c>
      <c r="F22" s="18" t="n">
        <v>40</v>
      </c>
      <c r="G22" s="18" t="n">
        <v>10</v>
      </c>
      <c r="H22" s="20" t="n">
        <f aca="false">ROUND(D22*$N$2+E22*$N$3+F22*$N$4,1)</f>
        <v>73.9</v>
      </c>
      <c r="I22" s="21" t="str">
        <f aca="false">VLOOKUP(H22,Acuan!$A$2:$B$6,2,TRUE())</f>
        <v>C</v>
      </c>
      <c r="J22" s="21" t="str">
        <f aca="false">IF(AND(H22&gt;=$N$5,G22&gt;=$N$6),"Lulus","Tidak Lulus")</f>
        <v>Lulus</v>
      </c>
      <c r="K22" s="22" t="n">
        <f aca="false">RANK(H22,$H$2:$H$25)</f>
        <v>12</v>
      </c>
    </row>
    <row r="23" customFormat="false" ht="15" hidden="false" customHeight="false" outlineLevel="0" collapsed="false">
      <c r="A23" s="18" t="n">
        <v>22</v>
      </c>
      <c r="B23" s="19" t="s">
        <v>107</v>
      </c>
      <c r="C23" s="19" t="s">
        <v>77</v>
      </c>
      <c r="D23" s="18" t="n">
        <v>63</v>
      </c>
      <c r="E23" s="18" t="n">
        <v>68</v>
      </c>
      <c r="F23" s="18" t="n">
        <v>60</v>
      </c>
      <c r="G23" s="18" t="n">
        <v>10</v>
      </c>
      <c r="H23" s="20" t="n">
        <f aca="false">ROUND(D23*$N$2+E23*$N$3+F23*$N$4,1)</f>
        <v>63.3</v>
      </c>
      <c r="I23" s="21" t="str">
        <f aca="false">VLOOKUP(H23,Acuan!$A$2:$B$6,2,TRUE())</f>
        <v>D</v>
      </c>
      <c r="J23" s="21" t="str">
        <f aca="false">IF(AND(H23&gt;=$N$5,G23&gt;=$N$6),"Lulus","Tidak Lulus")</f>
        <v>Tidak Lulus</v>
      </c>
      <c r="K23" s="22" t="n">
        <f aca="false">RANK(H23,$H$2:$H$25)</f>
        <v>22</v>
      </c>
    </row>
    <row r="24" customFormat="false" ht="15" hidden="false" customHeight="false" outlineLevel="0" collapsed="false">
      <c r="A24" s="18" t="n">
        <v>23</v>
      </c>
      <c r="B24" s="19" t="s">
        <v>108</v>
      </c>
      <c r="C24" s="19" t="s">
        <v>77</v>
      </c>
      <c r="D24" s="18" t="n">
        <v>66</v>
      </c>
      <c r="E24" s="18" t="n">
        <v>65</v>
      </c>
      <c r="F24" s="18" t="n">
        <v>69</v>
      </c>
      <c r="G24" s="18" t="n">
        <v>7</v>
      </c>
      <c r="H24" s="20" t="n">
        <f aca="false">ROUND(D24*$N$2+E24*$N$3+F24*$N$4,1)</f>
        <v>66.9</v>
      </c>
      <c r="I24" s="21" t="str">
        <f aca="false">VLOOKUP(H24,Acuan!$A$2:$B$6,2,TRUE())</f>
        <v>C</v>
      </c>
      <c r="J24" s="21" t="str">
        <f aca="false">IF(AND(H24&gt;=$N$5,G24&gt;=$N$6),"Lulus","Tidak Lulus")</f>
        <v>Tidak Lulus</v>
      </c>
      <c r="K24" s="22" t="n">
        <f aca="false">RANK(H24,$H$2:$H$25)</f>
        <v>20</v>
      </c>
    </row>
    <row r="25" customFormat="false" ht="15" hidden="false" customHeight="false" outlineLevel="0" collapsed="false">
      <c r="A25" s="18" t="n">
        <v>24</v>
      </c>
      <c r="B25" s="19" t="s">
        <v>109</v>
      </c>
      <c r="C25" s="19" t="s">
        <v>80</v>
      </c>
      <c r="D25" s="18" t="n">
        <v>78</v>
      </c>
      <c r="E25" s="18" t="n">
        <v>93</v>
      </c>
      <c r="F25" s="18" t="n">
        <v>92</v>
      </c>
      <c r="G25" s="18" t="n">
        <v>8</v>
      </c>
      <c r="H25" s="20" t="n">
        <f aca="false">ROUND(D25*$N$2+E25*$N$3+F25*$N$4,1)</f>
        <v>88.1</v>
      </c>
      <c r="I25" s="21" t="str">
        <f aca="false">VLOOKUP(H25,Acuan!$A$2:$B$6,2,TRUE())</f>
        <v>A</v>
      </c>
      <c r="J25" s="21" t="str">
        <f aca="false">IF(AND(H25&gt;=$N$5,G25&gt;=$N$6),"Lulus","Tidak Lulus")</f>
        <v>Lulus</v>
      </c>
      <c r="K25" s="22" t="n">
        <f aca="false">RANK(H25,$H$2:$H$25)</f>
        <v>2</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1"/>
  </cols>
  <sheetData>
    <row r="1" customFormat="false" ht="33.75" hidden="false" customHeight="true" outlineLevel="0" collapsed="false">
      <c r="A1" s="12" t="s">
        <v>110</v>
      </c>
      <c r="B1" s="12" t="s">
        <v>70</v>
      </c>
    </row>
    <row r="2" customFormat="false" ht="15" hidden="false" customHeight="false" outlineLevel="0" collapsed="false">
      <c r="A2" s="18" t="n">
        <v>0</v>
      </c>
      <c r="B2" s="19" t="s">
        <v>111</v>
      </c>
    </row>
    <row r="3" customFormat="false" ht="15" hidden="false" customHeight="false" outlineLevel="0" collapsed="false">
      <c r="A3" s="18" t="n">
        <v>56</v>
      </c>
      <c r="B3" s="19" t="s">
        <v>112</v>
      </c>
    </row>
    <row r="4" customFormat="false" ht="15" hidden="false" customHeight="false" outlineLevel="0" collapsed="false">
      <c r="A4" s="18" t="n">
        <v>66</v>
      </c>
      <c r="B4" s="19" t="s">
        <v>80</v>
      </c>
    </row>
    <row r="5" customFormat="false" ht="15" hidden="false" customHeight="false" outlineLevel="0" collapsed="false">
      <c r="A5" s="18" t="n">
        <v>76</v>
      </c>
      <c r="B5" s="19" t="s">
        <v>77</v>
      </c>
    </row>
    <row r="6" customFormat="false" ht="15" hidden="false" customHeight="false" outlineLevel="0" collapsed="false">
      <c r="A6" s="18" t="n">
        <v>86</v>
      </c>
      <c r="B6" s="19" t="s">
        <v>91</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78"/>
    <col collapsed="false" customWidth="true" hidden="false" outlineLevel="0" max="3" min="3" style="0" width="26"/>
    <col collapsed="false" customWidth="true" hidden="false" outlineLevel="0" max="4" min="4" style="0" width="32"/>
  </cols>
  <sheetData>
    <row r="1" customFormat="false" ht="16.15" hidden="false" customHeight="false" outlineLevel="0" collapsed="false">
      <c r="A1" s="27" t="s">
        <v>113</v>
      </c>
      <c r="B1" s="27"/>
      <c r="C1" s="27"/>
      <c r="D1" s="27"/>
    </row>
    <row r="2" customFormat="false" ht="15" hidden="false" customHeight="false" outlineLevel="0" collapsed="false">
      <c r="A2" s="28" t="s">
        <v>114</v>
      </c>
      <c r="B2" s="28"/>
      <c r="C2" s="28"/>
      <c r="D2" s="28"/>
    </row>
    <row r="3" customFormat="false" ht="15" hidden="false" customHeight="false" outlineLevel="0" collapsed="false">
      <c r="A3" s="12" t="s">
        <v>19</v>
      </c>
      <c r="B3" s="12" t="s">
        <v>115</v>
      </c>
      <c r="C3" s="12" t="s">
        <v>116</v>
      </c>
      <c r="D3" s="12" t="s">
        <v>117</v>
      </c>
    </row>
    <row r="4" customFormat="false" ht="19.5" hidden="false" customHeight="true" outlineLevel="0" collapsed="false">
      <c r="A4" s="29" t="s">
        <v>39</v>
      </c>
      <c r="B4" s="30" t="s">
        <v>118</v>
      </c>
      <c r="C4" s="31" t="n">
        <f aca="false">AVERAGE(Data!$H$2:$H$25)</f>
        <v>74.3208333333333</v>
      </c>
      <c r="D4" s="25" t="s">
        <v>119</v>
      </c>
    </row>
    <row r="5" customFormat="false" ht="19.5" hidden="false" customHeight="true" outlineLevel="0" collapsed="false">
      <c r="A5" s="29" t="s">
        <v>43</v>
      </c>
      <c r="B5" s="30" t="s">
        <v>120</v>
      </c>
      <c r="C5" s="21" t="str">
        <f aca="false">INDEX(Data!$B$2:$B$25,MATCH(MAX(Data!$H$2:$H$25),Data!$H$2:$H$25,0))</f>
        <v>Prasetyo Susanto</v>
      </c>
      <c r="D5" s="25" t="s">
        <v>121</v>
      </c>
    </row>
    <row r="6" customFormat="false" ht="19.5" hidden="false" customHeight="true" outlineLevel="0" collapsed="false">
      <c r="A6" s="29" t="s">
        <v>47</v>
      </c>
      <c r="B6" s="30" t="s">
        <v>122</v>
      </c>
      <c r="C6" s="22" t="n">
        <f aca="false">COUNTIF(Data!$J$2:$J$25,"Lulus")</f>
        <v>16</v>
      </c>
      <c r="D6" s="25" t="s">
        <v>123</v>
      </c>
    </row>
    <row r="7" customFormat="false" ht="19.5" hidden="false" customHeight="true" outlineLevel="0" collapsed="false">
      <c r="A7" s="29" t="s">
        <v>124</v>
      </c>
      <c r="B7" s="30" t="s">
        <v>125</v>
      </c>
      <c r="C7" s="22" t="n">
        <f aca="false">COUNTIF(Data!$I$2:$I$25,"A")</f>
        <v>3</v>
      </c>
      <c r="D7" s="25" t="s">
        <v>126</v>
      </c>
    </row>
    <row r="8" customFormat="false" ht="19.5" hidden="false" customHeight="true" outlineLevel="0" collapsed="false">
      <c r="A8" s="29" t="s">
        <v>127</v>
      </c>
      <c r="B8" s="30" t="s">
        <v>128</v>
      </c>
      <c r="C8" s="22" t="n">
        <f aca="false">COUNTIF(Data!$I$2:$I$25,"B")</f>
        <v>4</v>
      </c>
      <c r="D8" s="25" t="s">
        <v>126</v>
      </c>
    </row>
    <row r="9" customFormat="false" ht="19.5" hidden="false" customHeight="true" outlineLevel="0" collapsed="false">
      <c r="A9" s="29" t="s">
        <v>129</v>
      </c>
      <c r="B9" s="30" t="s">
        <v>130</v>
      </c>
      <c r="C9" s="22" t="n">
        <f aca="false">COUNTIF(Data!$I$2:$I$25,"C")</f>
        <v>14</v>
      </c>
      <c r="D9" s="25" t="s">
        <v>126</v>
      </c>
    </row>
    <row r="10" customFormat="false" ht="19.5" hidden="false" customHeight="true" outlineLevel="0" collapsed="false">
      <c r="A10" s="29" t="s">
        <v>131</v>
      </c>
      <c r="B10" s="30" t="s">
        <v>132</v>
      </c>
      <c r="C10" s="22" t="n">
        <f aca="false">COUNTIF(Data!$I$2:$I$25,"D")</f>
        <v>2</v>
      </c>
      <c r="D10" s="25" t="s">
        <v>126</v>
      </c>
    </row>
    <row r="11" customFormat="false" ht="19.5" hidden="false" customHeight="true" outlineLevel="0" collapsed="false">
      <c r="A11" s="29" t="s">
        <v>133</v>
      </c>
      <c r="B11" s="30" t="s">
        <v>134</v>
      </c>
      <c r="C11" s="22" t="n">
        <f aca="false">COUNTIF(Data!$I$2:$I$25,"E")</f>
        <v>1</v>
      </c>
      <c r="D11" s="25" t="s">
        <v>126</v>
      </c>
    </row>
    <row r="12" customFormat="false" ht="19.5" hidden="false" customHeight="true" outlineLevel="0" collapsed="false">
      <c r="A12" s="29" t="s">
        <v>135</v>
      </c>
      <c r="B12" s="30" t="s">
        <v>136</v>
      </c>
      <c r="C12" s="31" t="n">
        <f aca="false">AVERAGEIF(Data!$C$2:$C$25,"A",Data!$H$2:$H$25)</f>
        <v>75.1375</v>
      </c>
      <c r="D12" s="25" t="s">
        <v>137</v>
      </c>
    </row>
    <row r="13" customFormat="false" ht="19.5" hidden="false" customHeight="true" outlineLevel="0" collapsed="false">
      <c r="A13" s="29" t="s">
        <v>138</v>
      </c>
      <c r="B13" s="30" t="s">
        <v>139</v>
      </c>
      <c r="C13" s="31" t="n">
        <f aca="false">AVERAGEIF(Data!$C$2:$C$25,"B",Data!$H$2:$H$25)</f>
        <v>74.8625</v>
      </c>
      <c r="D13" s="25" t="s">
        <v>137</v>
      </c>
    </row>
    <row r="14" customFormat="false" ht="19.5" hidden="false" customHeight="true" outlineLevel="0" collapsed="false">
      <c r="A14" s="29" t="s">
        <v>140</v>
      </c>
      <c r="B14" s="30" t="s">
        <v>141</v>
      </c>
      <c r="C14" s="31" t="n">
        <f aca="false">AVERAGEIF(Data!$C$2:$C$25,"C",Data!$H$2:$H$25)</f>
        <v>72.9625</v>
      </c>
      <c r="D14" s="25" t="s">
        <v>137</v>
      </c>
    </row>
    <row r="15" customFormat="false" ht="19.5" hidden="false" customHeight="true" outlineLevel="0" collapsed="false">
      <c r="A15" s="29" t="s">
        <v>59</v>
      </c>
      <c r="B15" s="30" t="s">
        <v>142</v>
      </c>
      <c r="C15" s="32" t="n">
        <f aca="false">COUNTIF(Data!$J$2:$J$25,"Lulus")/COUNTA(Data!$B$2:$B$25)</f>
        <v>0.666666666666667</v>
      </c>
      <c r="D15" s="25" t="s">
        <v>143</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2026-10-10T06:49:17Z</dcterms:created>
  <dc:creator>PushExcel</dc:creator>
  <dc:description/>
  <dc:language>en-US</dc:language>
  <cp:lastModifiedBy/>
  <dcterms:modified xsi:type="dcterms:W3CDTF">2026-10-10T06:49:17Z</dcterms:modified>
  <cp:revision>0</cp:revision>
  <dc:subject/>
  <dc:title>Rekap Nilai Peserta Pelatihan - Kunci</dc:title>
</cp:coreProperties>
</file>

<file path=docProps/custom.xml><?xml version="1.0" encoding="utf-8"?>
<Properties xmlns="http://schemas.openxmlformats.org/officeDocument/2006/custom-properties" xmlns:vt="http://schemas.openxmlformats.org/officeDocument/2006/docPropsVTypes"/>
</file>