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<sst xmlns="http://schemas.openxmlformats.org/spreadsheetml/2006/main" count="214" uniqueCount="208">
  <si>
    <t xml:space="preserve">Kunci Jawaban: Segmentasi Pelanggan dengan Skor RFM</t>
  </si>
  <si>
    <t xml:space="preserve">Latihan 92 dari 40  |  Tingkat: Lanjutan  |  Perkiraan waktu: 65 menit  |  pushexcel.github.io/Pushexcel</t>
  </si>
  <si>
    <t xml:space="preserve">Skenario</t>
  </si>
  <si>
    <t xml:space="preserve">Kamu staf pemasaran Toko Kopi Nusa yang menyegmentasikan 32 pelanggan berdasarkan RFM. Tiap pelanggan punya tanggal belanja terakhir, frekuensi belanja (jumlah transaksi dalam 12 bulan terakhir), dan total nilai belanja. Hari sejak belanja dihitung dari tanggal acuan 31 Desember 2026 (ada di blok Parameter). Skor R, F, dan M (1 sampai 5) diambil dari tabel batas di sheet Acuan: makin baru belanja makin tinggi skor R, makin sering dan makin besar belanja makin tinggi skor F dan M. Skor total adalah jumlah ketiga skor, lalu segmen ditentukan dari tabel segmen di sheet Acuan.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</si>
  <si>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</si>
  <si>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</si>
  <si>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</si>
  <si>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</si>
  <si>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</si>
  <si>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</si>
  <si>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</si>
  <si>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</si>
  <si>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</si>
  <si>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</si>
  <si>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</si>
  <si>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</si>
  <si>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</si>
  <si>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</si>
  <si>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</si>
  <si>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</si>
  <si>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</si>
  <si>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</si>
  <si>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</si>
  <si>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</si>
  <si>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berapa hari sejak belanja terakhir sampai tanggal acuan di sel Parameter.</t>
  </si>
  <si>
    <t xml:space="preserve">Sheet Data, kolom F (Hari Sejak Belanja), baris 2 sampai 33</t>
  </si>
  <si>
    <t xml:space="preserve">=$O$2-C2</t>
  </si>
  <si>
    <t xml:space="preserve">2</t>
  </si>
  <si>
    <t xml:space="preserve">Ambil skor R dari tabel Batas Hari di sheet Acuan memakai hari sejak belanja (pencocokan perkiraan).</t>
  </si>
  <si>
    <t xml:space="preserve">Sheet Data, kolom G (Skor R), baris 2 sampai 33</t>
  </si>
  <si>
    <t xml:space="preserve">=VLOOKUP(F2;Acuan!$A$2:$B$6;2;TRUE)</t>
  </si>
  <si>
    <t xml:space="preserve">3</t>
  </si>
  <si>
    <t xml:space="preserve">Ambil skor F dari tabel Batas Frekuensi di sheet Acuan memakai frekuensi belanja.</t>
  </si>
  <si>
    <t xml:space="preserve">Sheet Data, kolom H (Skor F), baris 2 sampai 33</t>
  </si>
  <si>
    <t xml:space="preserve">=VLOOKUP(D2;Acuan!$C$2:$D$6;2;TRUE)</t>
  </si>
  <si>
    <t xml:space="preserve">4</t>
  </si>
  <si>
    <t xml:space="preserve">Ambil skor M dari tabel Batas Nilai di sheet Acuan memakai nilai belanja.</t>
  </si>
  <si>
    <t xml:space="preserve">Sheet Data, kolom I (Skor M), baris 2 sampai 33</t>
  </si>
  <si>
    <t xml:space="preserve">=VLOOKUP(E2;Acuan!$E$2:$F$6;2;TRUE)</t>
  </si>
  <si>
    <t xml:space="preserve">5</t>
  </si>
  <si>
    <t xml:space="preserve">Hitung skor total: Skor R ditambah Skor F ditambah Skor M.</t>
  </si>
  <si>
    <t xml:space="preserve">Sheet Data, kolom J (Skor Total), baris 2 sampai 33</t>
  </si>
  <si>
    <t xml:space="preserve">=G2+H2+I2</t>
  </si>
  <si>
    <t xml:space="preserve">6</t>
  </si>
  <si>
    <t xml:space="preserve">Tentukan segmen dari skor total memakai tabel Skor Total Minimal di sheet Acuan (pencocokan perkiraan).</t>
  </si>
  <si>
    <t xml:space="preserve">Sheet Data, kolom K (Segmen), baris 2 sampai 33</t>
  </si>
  <si>
    <t xml:space="preserve">=VLOOKUP(J2;Acuan!$G$2:$H$6;2;TRUE)</t>
  </si>
  <si>
    <t xml:space="preserve">7</t>
  </si>
  <si>
    <t xml:space="preserve">Hitung rata-rata nilai satu transaksi: nilai belanja dibagi frekuensi.</t>
  </si>
  <si>
    <t xml:space="preserve">Sheet Data, kolom L (Nilai per Transaksi), baris 2 sampai 33</t>
  </si>
  <si>
    <t xml:space="preserve">=E2/D2</t>
  </si>
  <si>
    <t xml:space="preserve">8</t>
  </si>
  <si>
    <t xml:space="preserve">Pada sheet Acuan, hitung jumlah pelanggan tiap segmen.</t>
  </si>
  <si>
    <t xml:space="preserve">Sheet Acuan, kolom I (Jumlah Pelanggan), baris 2 sampai 6</t>
  </si>
  <si>
    <t xml:space="preserve">=COUNTIF(Data!$K$2:$K$33;H2)</t>
  </si>
  <si>
    <t xml:space="preserve">9</t>
  </si>
  <si>
    <t xml:space="preserve">Pada sheet Acuan, hitung total nilai belanja tiap segmen.</t>
  </si>
  <si>
    <t xml:space="preserve">Sheet Acuan, kolom J (Total Nilai Segmen), baris 2 sampai 6</t>
  </si>
  <si>
    <t xml:space="preserve">=SUMIF(Data!$K$2:$K$33;H2;Data!$E$2:$E$33)</t>
  </si>
  <si>
    <t xml:space="preserve">10</t>
  </si>
  <si>
    <t xml:space="preserve">Berapa rata-rata hari sejak belanja seluruh pelanggan, dan berapa pelanggan yang belanja dalam 30 hari terakhir?</t>
  </si>
  <si>
    <t xml:space="preserve">Sheet Ringkasan, sel C4 sampai C5</t>
  </si>
  <si>
    <t xml:space="preserve">=AVERAGE(Data!$F$2:$F$33)
=COUNTIF(Data!$F$2:$F$33;"&lt;=30")</t>
  </si>
  <si>
    <t xml:space="preserve">11</t>
  </si>
  <si>
    <t xml:space="preserve">Berapa total nilai belanja seluruh pelanggan, dan berapa rata-rata skor total?</t>
  </si>
  <si>
    <t xml:space="preserve">Sheet Ringkasan, sel C6 sampai C7</t>
  </si>
  <si>
    <t xml:space="preserve">=SUM(Data!$E$2:$E$33)
=AVERAGE(Data!$J$2:$J$33)</t>
  </si>
  <si>
    <t xml:space="preserve">12</t>
  </si>
  <si>
    <t xml:space="preserve">Siapa pelanggan dengan nilai belanja terbesar, dan siapa yang paling lama tidak belanja?</t>
  </si>
  <si>
    <t xml:space="preserve">Sheet Ringkasan, sel C8 sampai C9</t>
  </si>
  <si>
    <t xml:space="preserve">=INDEX(Data!$B$2:$B$33;MATCH(MAX(Data!$E$2:$E$33);Data!$E$2:$E$33;0))
=INDEX(Data!$B$2:$B$33;MATCH(MAX(Data!$F$2:$F$33);Data!$F$2:$F$33;0))</t>
  </si>
  <si>
    <t xml:space="preserve">13</t>
  </si>
  <si>
    <t xml:space="preserve">Berapa pelanggan segmen Juara dan segmen Hilang, dan segmen apa yang pelanggannya paling banyak?</t>
  </si>
  <si>
    <t xml:space="preserve">Sheet Ringkasan, sel C10 sampai C12</t>
  </si>
  <si>
    <t xml:space="preserve">=COUNTIF(Data!$K$2:$K$33;"Juara")
=COUNTIF(Data!$K$2:$K$33;"Hilang")
=INDEX(Acuan!$H$2:$H$6;MATCH(MAX(Acuan!$I$2:$I$6);Acuan!$I$2:$I$6;0))</t>
  </si>
  <si>
    <t xml:space="preserve">14</t>
  </si>
  <si>
    <t xml:space="preserve">Berapa pelanggan yang baru belanja (Skor R 4 ke atas) tetapi jarang belanja (Skor F 2 ke bawah), dan berapa persen nilai belanja total yang disumbang segmen Juara?</t>
  </si>
  <si>
    <t xml:space="preserve">Sheet Ringkasan, sel C13 sampai C14</t>
  </si>
  <si>
    <t xml:space="preserve">=COUNTIFS(Data!$G$2:$G$33;"&gt;=4";Data!$H$2:$H$33;"&lt;=2")
=SUMIF(Data!$K$2:$K$33;"Juara";Data!$E$2:$E$33)/SUM(Data!$E$2:$E$33)</t>
  </si>
  <si>
    <t xml:space="preserve">ID</t>
  </si>
  <si>
    <t xml:space="preserve">Nama Pelanggan</t>
  </si>
  <si>
    <t xml:space="preserve">Belanja Terakhir</t>
  </si>
  <si>
    <t xml:space="preserve">Frekuensi</t>
  </si>
  <si>
    <t xml:space="preserve">Nilai Belanja</t>
  </si>
  <si>
    <t xml:space="preserve">Hari Sejak Belanja</t>
  </si>
  <si>
    <t xml:space="preserve">Skor R</t>
  </si>
  <si>
    <t xml:space="preserve">Skor F</t>
  </si>
  <si>
    <t xml:space="preserve">Skor M</t>
  </si>
  <si>
    <t xml:space="preserve">Skor Total</t>
  </si>
  <si>
    <t xml:space="preserve">Segmen</t>
  </si>
  <si>
    <t xml:space="preserve">Nilai per Transaksi</t>
  </si>
  <si>
    <t xml:space="preserve">Parameter</t>
  </si>
  <si>
    <t xml:space="preserve">Nilai</t>
  </si>
  <si>
    <t xml:space="preserve">Keterangan</t>
  </si>
  <si>
    <t xml:space="preserve">PLG-01</t>
  </si>
  <si>
    <t xml:space="preserve">Indah Sari</t>
  </si>
  <si>
    <t xml:space="preserve">Tanggal acuan</t>
  </si>
  <si>
    <t xml:space="preserve">Pengganti tanggal hari ini</t>
  </si>
  <si>
    <t xml:space="preserve">PLG-02</t>
  </si>
  <si>
    <t xml:space="preserve">Fitri Amalia</t>
  </si>
  <si>
    <t xml:space="preserve">PLG-03</t>
  </si>
  <si>
    <t xml:space="preserve">Bambang Kurniawan</t>
  </si>
  <si>
    <t xml:space="preserve">PLG-04</t>
  </si>
  <si>
    <t xml:space="preserve">Lina Pangestu</t>
  </si>
  <si>
    <t xml:space="preserve">PLG-05</t>
  </si>
  <si>
    <t xml:space="preserve">Yoga Suryani</t>
  </si>
  <si>
    <t xml:space="preserve">PLG-06</t>
  </si>
  <si>
    <t xml:space="preserve">Lestari Kurniawan</t>
  </si>
  <si>
    <t xml:space="preserve">PLG-07</t>
  </si>
  <si>
    <t xml:space="preserve">Zainal Ramadhan</t>
  </si>
  <si>
    <t xml:space="preserve">PLG-08</t>
  </si>
  <si>
    <t xml:space="preserve">Kartika Wijaya</t>
  </si>
  <si>
    <t xml:space="preserve">PLG-09</t>
  </si>
  <si>
    <t xml:space="preserve">Lina Nugroho</t>
  </si>
  <si>
    <t xml:space="preserve">PLG-10</t>
  </si>
  <si>
    <t xml:space="preserve">Zainal Putra</t>
  </si>
  <si>
    <t xml:space="preserve">PLG-11</t>
  </si>
  <si>
    <t xml:space="preserve">Dewi Syahputra</t>
  </si>
  <si>
    <t xml:space="preserve">PLG-12</t>
  </si>
  <si>
    <t xml:space="preserve">Lina Hidayat</t>
  </si>
  <si>
    <t xml:space="preserve">PLG-13</t>
  </si>
  <si>
    <t xml:space="preserve">Farida Permana</t>
  </si>
  <si>
    <t xml:space="preserve">PLG-14</t>
  </si>
  <si>
    <t xml:space="preserve">Yuni Permana</t>
  </si>
  <si>
    <t xml:space="preserve">PLG-15</t>
  </si>
  <si>
    <t xml:space="preserve">Dewi Saputra</t>
  </si>
  <si>
    <t xml:space="preserve">PLG-16</t>
  </si>
  <si>
    <t xml:space="preserve">Prasetyo Hartono</t>
  </si>
  <si>
    <t xml:space="preserve">PLG-17</t>
  </si>
  <si>
    <t xml:space="preserve">Novi Nugroho</t>
  </si>
  <si>
    <t xml:space="preserve">PLG-18</t>
  </si>
  <si>
    <t xml:space="preserve">Bambang Anggraini</t>
  </si>
  <si>
    <t xml:space="preserve">PLG-19</t>
  </si>
  <si>
    <t xml:space="preserve">Wahyu Putra</t>
  </si>
  <si>
    <t xml:space="preserve">PLG-20</t>
  </si>
  <si>
    <t xml:space="preserve">Andi Amalia</t>
  </si>
  <si>
    <t xml:space="preserve">PLG-21</t>
  </si>
  <si>
    <t xml:space="preserve">Fajar Fauzi</t>
  </si>
  <si>
    <t xml:space="preserve">PLG-22</t>
  </si>
  <si>
    <t xml:space="preserve">Bambang Putra</t>
  </si>
  <si>
    <t xml:space="preserve">PLG-23</t>
  </si>
  <si>
    <t xml:space="preserve">Dian Hartono</t>
  </si>
  <si>
    <t xml:space="preserve">PLG-24</t>
  </si>
  <si>
    <t xml:space="preserve">Sari Saputra</t>
  </si>
  <si>
    <t xml:space="preserve">PLG-25</t>
  </si>
  <si>
    <t xml:space="preserve">Irfan Firmansyah</t>
  </si>
  <si>
    <t xml:space="preserve">PLG-26</t>
  </si>
  <si>
    <t xml:space="preserve">Dewi Kusuma</t>
  </si>
  <si>
    <t xml:space="preserve">PLG-27</t>
  </si>
  <si>
    <t xml:space="preserve">Rizki Rahayu</t>
  </si>
  <si>
    <t xml:space="preserve">PLG-28</t>
  </si>
  <si>
    <t xml:space="preserve">Rahmat Hidayat</t>
  </si>
  <si>
    <t xml:space="preserve">PLG-29</t>
  </si>
  <si>
    <t xml:space="preserve">Agus Hartono</t>
  </si>
  <si>
    <t xml:space="preserve">PLG-30</t>
  </si>
  <si>
    <t xml:space="preserve">Khoirul Santoso</t>
  </si>
  <si>
    <t xml:space="preserve">PLG-31</t>
  </si>
  <si>
    <t xml:space="preserve">Galih Fauzi</t>
  </si>
  <si>
    <t xml:space="preserve">PLG-32</t>
  </si>
  <si>
    <t xml:space="preserve">Eka Firmansyah</t>
  </si>
  <si>
    <t xml:space="preserve">Batas Hari</t>
  </si>
  <si>
    <t xml:space="preserve">Batas Frekuensi</t>
  </si>
  <si>
    <t xml:space="preserve">Batas Nilai</t>
  </si>
  <si>
    <t xml:space="preserve">Skor Total Minimal</t>
  </si>
  <si>
    <t xml:space="preserve">Jumlah Pelanggan</t>
  </si>
  <si>
    <t xml:space="preserve">Total Nilai Segmen</t>
  </si>
  <si>
    <t xml:space="preserve">Hilang</t>
  </si>
  <si>
    <t xml:space="preserve">Tidur</t>
  </si>
  <si>
    <t xml:space="preserve">Berpotensi</t>
  </si>
  <si>
    <t xml:space="preserve">Setia</t>
  </si>
  <si>
    <t xml:space="preserve">Juara</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</si>
  <si>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</si>
  <si>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</si>
  <si>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</si>
  <si>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</si>
  <si>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</si>
  <si>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</si>
  <si>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Rata-rata hari sejak belanja</t>
  </si>
  <si>
    <t xml:space="preserve">Angka desimal, mis. 85,5</t>
  </si>
  <si>
    <t xml:space="preserve">10b</t>
  </si>
  <si>
    <t xml:space="preserve">Pelanggan belanja dalam 30 hari terakhir</t>
  </si>
  <si>
    <t xml:space="preserve">Angka bulat, mis. 9</t>
  </si>
  <si>
    <t xml:space="preserve">11a</t>
  </si>
  <si>
    <t xml:space="preserve">Total nilai belanja</t>
  </si>
  <si>
    <t xml:space="preserve">Rupiah, mis. Rp 250.000.000</t>
  </si>
  <si>
    <t xml:space="preserve">11b</t>
  </si>
  <si>
    <t xml:space="preserve">Rata-rata skor total</t>
  </si>
  <si>
    <t xml:space="preserve">Angka desimal, mis. 8,25</t>
  </si>
  <si>
    <t xml:space="preserve">12a</t>
  </si>
  <si>
    <t xml:space="preserve">Pelanggan dengan nilai belanja terbesar</t>
  </si>
  <si>
    <t xml:space="preserve">Teks: nama pelanggan</t>
  </si>
  <si>
    <t xml:space="preserve">12b</t>
  </si>
  <si>
    <t xml:space="preserve">Pelanggan paling lama tidak belanja</t>
  </si>
  <si>
    <t xml:space="preserve">13a</t>
  </si>
  <si>
    <t xml:space="preserve">Pelanggan segmen Juara</t>
  </si>
  <si>
    <t xml:space="preserve">Angka bulat, mis. 2</t>
  </si>
  <si>
    <t xml:space="preserve">13b</t>
  </si>
  <si>
    <t xml:space="preserve">Pelanggan segmen Hilang</t>
  </si>
  <si>
    <t xml:space="preserve">Angka bulat, mis. 4</t>
  </si>
  <si>
    <t xml:space="preserve">13c</t>
  </si>
  <si>
    <t xml:space="preserve">Segmen dengan pelanggan terbanyak</t>
  </si>
  <si>
    <t xml:space="preserve">Teks: nama segmen</t>
  </si>
  <si>
    <t xml:space="preserve">14a</t>
  </si>
  <si>
    <t xml:space="preserve">Pelanggan baru tetapi jarang belanja</t>
  </si>
  <si>
    <t xml:space="preserve">Angka bulat, mis. 5</t>
  </si>
  <si>
    <t xml:space="preserve">14b</t>
  </si>
  <si>
    <t xml:space="preserve">Persen nilai belanja segmen Juara</t>
  </si>
  <si>
    <t xml:space="preserve">Persen, mis. 25,5%</t>
  </si>
</sst>
</file>

<file path=xl/styles.xml><?xml version="1.0" encoding="utf-8"?>
<styleSheet xmlns="http://schemas.openxmlformats.org/spreadsheetml/2006/main">
  <numFmts count="7">
    <numFmt numFmtId="164" formatCode="General"/>
    <numFmt numFmtId="165" formatCode="dd/mm/yyyy"/>
    <numFmt numFmtId="166" formatCode="0"/>
    <numFmt numFmtId="167" formatCode="&quot;Rp &quot;#,##0"/>
    <numFmt numFmtId="168" formatCode="0.0"/>
    <numFmt numFmtId="169" formatCode="0.0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69.75"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6"/>
    <col collapsed="false" customWidth="true" hidden="false" outlineLevel="0" max="4" min="4" style="0" width="11"/>
    <col collapsed="false" customWidth="true" hidden="false" outlineLevel="0" max="5" min="5" style="0" width="15"/>
    <col collapsed="false" customWidth="true" hidden="false" outlineLevel="0" max="6" min="6" style="0" width="18"/>
    <col collapsed="false" customWidth="true" hidden="false" outlineLevel="0" max="9" min="7" style="0" width="9"/>
    <col collapsed="false" customWidth="true" hidden="false" outlineLevel="0" max="10" min="10" style="0" width="12"/>
    <col collapsed="false" customWidth="true" hidden="false" outlineLevel="0" max="11" min="11" style="0" width="13"/>
    <col collapsed="false" customWidth="true" hidden="false" outlineLevel="0" max="12" min="12" style="0" width="19"/>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79</v>
      </c>
      <c r="B1" s="11" t="s">
        <v>80</v>
      </c>
      <c r="C1" s="11" t="s">
        <v>81</v>
      </c>
      <c r="D1" s="11" t="s">
        <v>82</v>
      </c>
      <c r="E1" s="11" t="s">
        <v>83</v>
      </c>
      <c r="F1" s="15" t="s">
        <v>84</v>
      </c>
      <c r="G1" s="15" t="s">
        <v>85</v>
      </c>
      <c r="H1" s="15" t="s">
        <v>86</v>
      </c>
      <c r="I1" s="15" t="s">
        <v>87</v>
      </c>
      <c r="J1" s="15" t="s">
        <v>88</v>
      </c>
      <c r="K1" s="15" t="s">
        <v>89</v>
      </c>
      <c r="L1" s="15" t="s">
        <v>90</v>
      </c>
      <c r="N1" s="16" t="s">
        <v>91</v>
      </c>
      <c r="O1" s="16" t="s">
        <v>92</v>
      </c>
      <c r="P1" s="16" t="s">
        <v>93</v>
      </c>
    </row>
    <row r="2" customFormat="false" ht="15" hidden="false" customHeight="false" outlineLevel="0" collapsed="false">
      <c r="A2" s="17" t="s">
        <v>94</v>
      </c>
      <c r="B2" s="17" t="s">
        <v>95</v>
      </c>
      <c r="C2" s="18" t="n">
        <v>46305</v>
      </c>
      <c r="D2" s="19" t="n">
        <v>5</v>
      </c>
      <c r="E2" s="20" t="n">
        <v>2250000</v>
      </c>
      <c r="F2" s="21" t="n">
        <f aca="false">$O$2-C2</f>
        <v>82</v>
      </c>
      <c r="G2" s="21" t="n">
        <f aca="false">VLOOKUP(F2,Acuan!$A$2:$B$6,2,TRUE())</f>
        <v>3</v>
      </c>
      <c r="H2" s="21" t="n">
        <f aca="false">VLOOKUP(D2,Acuan!$C$2:$D$6,2,TRUE())</f>
        <v>2</v>
      </c>
      <c r="I2" s="21" t="n">
        <f aca="false">VLOOKUP(E2,Acuan!$E$2:$F$6,2,TRUE())</f>
        <v>2</v>
      </c>
      <c r="J2" s="21" t="n">
        <f aca="false">G2+H2+I2</f>
        <v>7</v>
      </c>
      <c r="K2" s="22" t="str">
        <f aca="false">VLOOKUP(J2,Acuan!$G$2:$H$6,2,TRUE())</f>
        <v>Tidur</v>
      </c>
      <c r="L2" s="23" t="n">
        <f aca="false">E2/D2</f>
        <v>450000</v>
      </c>
      <c r="N2" s="24" t="s">
        <v>96</v>
      </c>
      <c r="O2" s="25" t="n">
        <v>46387</v>
      </c>
      <c r="P2" s="24" t="s">
        <v>97</v>
      </c>
    </row>
    <row r="3" customFormat="false" ht="15" hidden="false" customHeight="false" outlineLevel="0" collapsed="false">
      <c r="A3" s="17" t="s">
        <v>98</v>
      </c>
      <c r="B3" s="17" t="s">
        <v>99</v>
      </c>
      <c r="C3" s="18" t="n">
        <v>46346</v>
      </c>
      <c r="D3" s="19" t="n">
        <v>13</v>
      </c>
      <c r="E3" s="20" t="n">
        <v>7800000</v>
      </c>
      <c r="F3" s="21" t="n">
        <f aca="false">$O$2-C3</f>
        <v>41</v>
      </c>
      <c r="G3" s="21" t="n">
        <f aca="false">VLOOKUP(F3,Acuan!$A$2:$B$6,2,TRUE())</f>
        <v>4</v>
      </c>
      <c r="H3" s="21" t="n">
        <f aca="false">VLOOKUP(D3,Acuan!$C$2:$D$6,2,TRUE())</f>
        <v>4</v>
      </c>
      <c r="I3" s="21" t="n">
        <f aca="false">VLOOKUP(E3,Acuan!$E$2:$F$6,2,TRUE())</f>
        <v>4</v>
      </c>
      <c r="J3" s="21" t="n">
        <f aca="false">G3+H3+I3</f>
        <v>12</v>
      </c>
      <c r="K3" s="22" t="str">
        <f aca="false">VLOOKUP(J3,Acuan!$G$2:$H$6,2,TRUE())</f>
        <v>Setia</v>
      </c>
      <c r="L3" s="23" t="n">
        <f aca="false">E3/D3</f>
        <v>600000</v>
      </c>
    </row>
    <row r="4" customFormat="false" ht="15" hidden="false" customHeight="false" outlineLevel="0" collapsed="false">
      <c r="A4" s="17" t="s">
        <v>100</v>
      </c>
      <c r="B4" s="17" t="s">
        <v>101</v>
      </c>
      <c r="C4" s="18" t="n">
        <v>46192</v>
      </c>
      <c r="D4" s="19" t="n">
        <v>7</v>
      </c>
      <c r="E4" s="20" t="n">
        <v>2100000</v>
      </c>
      <c r="F4" s="21" t="n">
        <f aca="false">$O$2-C4</f>
        <v>195</v>
      </c>
      <c r="G4" s="21" t="n">
        <f aca="false">VLOOKUP(F4,Acuan!$A$2:$B$6,2,TRUE())</f>
        <v>2</v>
      </c>
      <c r="H4" s="21" t="n">
        <f aca="false">VLOOKUP(D4,Acuan!$C$2:$D$6,2,TRUE())</f>
        <v>3</v>
      </c>
      <c r="I4" s="21" t="n">
        <f aca="false">VLOOKUP(E4,Acuan!$E$2:$F$6,2,TRUE())</f>
        <v>2</v>
      </c>
      <c r="J4" s="21" t="n">
        <f aca="false">G4+H4+I4</f>
        <v>7</v>
      </c>
      <c r="K4" s="22" t="str">
        <f aca="false">VLOOKUP(J4,Acuan!$G$2:$H$6,2,TRUE())</f>
        <v>Tidur</v>
      </c>
      <c r="L4" s="23" t="n">
        <f aca="false">E4/D4</f>
        <v>300000</v>
      </c>
    </row>
    <row r="5" customFormat="false" ht="15" hidden="false" customHeight="false" outlineLevel="0" collapsed="false">
      <c r="A5" s="17" t="s">
        <v>102</v>
      </c>
      <c r="B5" s="17" t="s">
        <v>103</v>
      </c>
      <c r="C5" s="18" t="n">
        <v>46175</v>
      </c>
      <c r="D5" s="19" t="n">
        <v>1</v>
      </c>
      <c r="E5" s="20" t="n">
        <v>350000</v>
      </c>
      <c r="F5" s="21" t="n">
        <f aca="false">$O$2-C5</f>
        <v>212</v>
      </c>
      <c r="G5" s="21" t="n">
        <f aca="false">VLOOKUP(F5,Acuan!$A$2:$B$6,2,TRUE())</f>
        <v>2</v>
      </c>
      <c r="H5" s="21" t="n">
        <f aca="false">VLOOKUP(D5,Acuan!$C$2:$D$6,2,TRUE())</f>
        <v>1</v>
      </c>
      <c r="I5" s="21" t="n">
        <f aca="false">VLOOKUP(E5,Acuan!$E$2:$F$6,2,TRUE())</f>
        <v>1</v>
      </c>
      <c r="J5" s="21" t="n">
        <f aca="false">G5+H5+I5</f>
        <v>4</v>
      </c>
      <c r="K5" s="22" t="str">
        <f aca="false">VLOOKUP(J5,Acuan!$G$2:$H$6,2,TRUE())</f>
        <v>Hilang</v>
      </c>
      <c r="L5" s="23" t="n">
        <f aca="false">E5/D5</f>
        <v>350000</v>
      </c>
    </row>
    <row r="6" customFormat="false" ht="15" hidden="false" customHeight="false" outlineLevel="0" collapsed="false">
      <c r="A6" s="17" t="s">
        <v>104</v>
      </c>
      <c r="B6" s="17" t="s">
        <v>105</v>
      </c>
      <c r="C6" s="18" t="n">
        <v>46331</v>
      </c>
      <c r="D6" s="19" t="n">
        <v>3</v>
      </c>
      <c r="E6" s="20" t="n">
        <v>1350000</v>
      </c>
      <c r="F6" s="21" t="n">
        <f aca="false">$O$2-C6</f>
        <v>56</v>
      </c>
      <c r="G6" s="21" t="n">
        <f aca="false">VLOOKUP(F6,Acuan!$A$2:$B$6,2,TRUE())</f>
        <v>4</v>
      </c>
      <c r="H6" s="21" t="n">
        <f aca="false">VLOOKUP(D6,Acuan!$C$2:$D$6,2,TRUE())</f>
        <v>2</v>
      </c>
      <c r="I6" s="21" t="n">
        <f aca="false">VLOOKUP(E6,Acuan!$E$2:$F$6,2,TRUE())</f>
        <v>2</v>
      </c>
      <c r="J6" s="21" t="n">
        <f aca="false">G6+H6+I6</f>
        <v>8</v>
      </c>
      <c r="K6" s="22" t="str">
        <f aca="false">VLOOKUP(J6,Acuan!$G$2:$H$6,2,TRUE())</f>
        <v>Berpotensi</v>
      </c>
      <c r="L6" s="23" t="n">
        <f aca="false">E6/D6</f>
        <v>450000</v>
      </c>
    </row>
    <row r="7" customFormat="false" ht="15" hidden="false" customHeight="false" outlineLevel="0" collapsed="false">
      <c r="A7" s="17" t="s">
        <v>106</v>
      </c>
      <c r="B7" s="17" t="s">
        <v>107</v>
      </c>
      <c r="C7" s="18" t="n">
        <v>46230</v>
      </c>
      <c r="D7" s="19" t="n">
        <v>6</v>
      </c>
      <c r="E7" s="20" t="n">
        <v>1200000</v>
      </c>
      <c r="F7" s="21" t="n">
        <f aca="false">$O$2-C7</f>
        <v>157</v>
      </c>
      <c r="G7" s="21" t="n">
        <f aca="false">VLOOKUP(F7,Acuan!$A$2:$B$6,2,TRUE())</f>
        <v>2</v>
      </c>
      <c r="H7" s="21" t="n">
        <f aca="false">VLOOKUP(D7,Acuan!$C$2:$D$6,2,TRUE())</f>
        <v>3</v>
      </c>
      <c r="I7" s="21" t="n">
        <f aca="false">VLOOKUP(E7,Acuan!$E$2:$F$6,2,TRUE())</f>
        <v>2</v>
      </c>
      <c r="J7" s="21" t="n">
        <f aca="false">G7+H7+I7</f>
        <v>7</v>
      </c>
      <c r="K7" s="22" t="str">
        <f aca="false">VLOOKUP(J7,Acuan!$G$2:$H$6,2,TRUE())</f>
        <v>Tidur</v>
      </c>
      <c r="L7" s="23" t="n">
        <f aca="false">E7/D7</f>
        <v>200000</v>
      </c>
    </row>
    <row r="8" customFormat="false" ht="15" hidden="false" customHeight="false" outlineLevel="0" collapsed="false">
      <c r="A8" s="17" t="s">
        <v>108</v>
      </c>
      <c r="B8" s="17" t="s">
        <v>109</v>
      </c>
      <c r="C8" s="18" t="n">
        <v>46350</v>
      </c>
      <c r="D8" s="19" t="n">
        <v>6</v>
      </c>
      <c r="E8" s="20" t="n">
        <v>1800000</v>
      </c>
      <c r="F8" s="21" t="n">
        <f aca="false">$O$2-C8</f>
        <v>37</v>
      </c>
      <c r="G8" s="21" t="n">
        <f aca="false">VLOOKUP(F8,Acuan!$A$2:$B$6,2,TRUE())</f>
        <v>4</v>
      </c>
      <c r="H8" s="21" t="n">
        <f aca="false">VLOOKUP(D8,Acuan!$C$2:$D$6,2,TRUE())</f>
        <v>3</v>
      </c>
      <c r="I8" s="21" t="n">
        <f aca="false">VLOOKUP(E8,Acuan!$E$2:$F$6,2,TRUE())</f>
        <v>2</v>
      </c>
      <c r="J8" s="21" t="n">
        <f aca="false">G8+H8+I8</f>
        <v>9</v>
      </c>
      <c r="K8" s="22" t="str">
        <f aca="false">VLOOKUP(J8,Acuan!$G$2:$H$6,2,TRUE())</f>
        <v>Berpotensi</v>
      </c>
      <c r="L8" s="23" t="n">
        <f aca="false">E8/D8</f>
        <v>300000</v>
      </c>
    </row>
    <row r="9" customFormat="false" ht="15" hidden="false" customHeight="false" outlineLevel="0" collapsed="false">
      <c r="A9" s="17" t="s">
        <v>110</v>
      </c>
      <c r="B9" s="17" t="s">
        <v>111</v>
      </c>
      <c r="C9" s="18" t="n">
        <v>46302</v>
      </c>
      <c r="D9" s="19" t="n">
        <v>5</v>
      </c>
      <c r="E9" s="20" t="n">
        <v>750000</v>
      </c>
      <c r="F9" s="21" t="n">
        <f aca="false">$O$2-C9</f>
        <v>85</v>
      </c>
      <c r="G9" s="21" t="n">
        <f aca="false">VLOOKUP(F9,Acuan!$A$2:$B$6,2,TRUE())</f>
        <v>3</v>
      </c>
      <c r="H9" s="21" t="n">
        <f aca="false">VLOOKUP(D9,Acuan!$C$2:$D$6,2,TRUE())</f>
        <v>2</v>
      </c>
      <c r="I9" s="21" t="n">
        <f aca="false">VLOOKUP(E9,Acuan!$E$2:$F$6,2,TRUE())</f>
        <v>1</v>
      </c>
      <c r="J9" s="21" t="n">
        <f aca="false">G9+H9+I9</f>
        <v>6</v>
      </c>
      <c r="K9" s="22" t="str">
        <f aca="false">VLOOKUP(J9,Acuan!$G$2:$H$6,2,TRUE())</f>
        <v>Tidur</v>
      </c>
      <c r="L9" s="23" t="n">
        <f aca="false">E9/D9</f>
        <v>150000</v>
      </c>
    </row>
    <row r="10" customFormat="false" ht="15" hidden="false" customHeight="false" outlineLevel="0" collapsed="false">
      <c r="A10" s="17" t="s">
        <v>112</v>
      </c>
      <c r="B10" s="17" t="s">
        <v>113</v>
      </c>
      <c r="C10" s="18" t="n">
        <v>46371</v>
      </c>
      <c r="D10" s="19" t="n">
        <v>2</v>
      </c>
      <c r="E10" s="20" t="n">
        <v>400000</v>
      </c>
      <c r="F10" s="21" t="n">
        <f aca="false">$O$2-C10</f>
        <v>16</v>
      </c>
      <c r="G10" s="21" t="n">
        <f aca="false">VLOOKUP(F10,Acuan!$A$2:$B$6,2,TRUE())</f>
        <v>5</v>
      </c>
      <c r="H10" s="21" t="n">
        <f aca="false">VLOOKUP(D10,Acuan!$C$2:$D$6,2,TRUE())</f>
        <v>1</v>
      </c>
      <c r="I10" s="21" t="n">
        <f aca="false">VLOOKUP(E10,Acuan!$E$2:$F$6,2,TRUE())</f>
        <v>1</v>
      </c>
      <c r="J10" s="21" t="n">
        <f aca="false">G10+H10+I10</f>
        <v>7</v>
      </c>
      <c r="K10" s="22" t="str">
        <f aca="false">VLOOKUP(J10,Acuan!$G$2:$H$6,2,TRUE())</f>
        <v>Tidur</v>
      </c>
      <c r="L10" s="23" t="n">
        <f aca="false">E10/D10</f>
        <v>200000</v>
      </c>
    </row>
    <row r="11" customFormat="false" ht="15" hidden="false" customHeight="false" outlineLevel="0" collapsed="false">
      <c r="A11" s="17" t="s">
        <v>114</v>
      </c>
      <c r="B11" s="17" t="s">
        <v>115</v>
      </c>
      <c r="C11" s="18" t="n">
        <v>46150</v>
      </c>
      <c r="D11" s="19" t="n">
        <v>1</v>
      </c>
      <c r="E11" s="20" t="n">
        <v>100000</v>
      </c>
      <c r="F11" s="21" t="n">
        <f aca="false">$O$2-C11</f>
        <v>237</v>
      </c>
      <c r="G11" s="21" t="n">
        <f aca="false">VLOOKUP(F11,Acuan!$A$2:$B$6,2,TRUE())</f>
        <v>2</v>
      </c>
      <c r="H11" s="21" t="n">
        <f aca="false">VLOOKUP(D11,Acuan!$C$2:$D$6,2,TRUE())</f>
        <v>1</v>
      </c>
      <c r="I11" s="21" t="n">
        <f aca="false">VLOOKUP(E11,Acuan!$E$2:$F$6,2,TRUE())</f>
        <v>1</v>
      </c>
      <c r="J11" s="21" t="n">
        <f aca="false">G11+H11+I11</f>
        <v>4</v>
      </c>
      <c r="K11" s="22" t="str">
        <f aca="false">VLOOKUP(J11,Acuan!$G$2:$H$6,2,TRUE())</f>
        <v>Hilang</v>
      </c>
      <c r="L11" s="23" t="n">
        <f aca="false">E11/D11</f>
        <v>100000</v>
      </c>
    </row>
    <row r="12" customFormat="false" ht="15" hidden="false" customHeight="false" outlineLevel="0" collapsed="false">
      <c r="A12" s="17" t="s">
        <v>116</v>
      </c>
      <c r="B12" s="17" t="s">
        <v>117</v>
      </c>
      <c r="C12" s="18" t="n">
        <v>46334</v>
      </c>
      <c r="D12" s="19" t="n">
        <v>8</v>
      </c>
      <c r="E12" s="20" t="n">
        <v>2400000</v>
      </c>
      <c r="F12" s="21" t="n">
        <f aca="false">$O$2-C12</f>
        <v>53</v>
      </c>
      <c r="G12" s="21" t="n">
        <f aca="false">VLOOKUP(F12,Acuan!$A$2:$B$6,2,TRUE())</f>
        <v>4</v>
      </c>
      <c r="H12" s="21" t="n">
        <f aca="false">VLOOKUP(D12,Acuan!$C$2:$D$6,2,TRUE())</f>
        <v>3</v>
      </c>
      <c r="I12" s="21" t="n">
        <f aca="false">VLOOKUP(E12,Acuan!$E$2:$F$6,2,TRUE())</f>
        <v>2</v>
      </c>
      <c r="J12" s="21" t="n">
        <f aca="false">G12+H12+I12</f>
        <v>9</v>
      </c>
      <c r="K12" s="22" t="str">
        <f aca="false">VLOOKUP(J12,Acuan!$G$2:$H$6,2,TRUE())</f>
        <v>Berpotensi</v>
      </c>
      <c r="L12" s="23" t="n">
        <f aca="false">E12/D12</f>
        <v>300000</v>
      </c>
    </row>
    <row r="13" customFormat="false" ht="15" hidden="false" customHeight="false" outlineLevel="0" collapsed="false">
      <c r="A13" s="17" t="s">
        <v>118</v>
      </c>
      <c r="B13" s="17" t="s">
        <v>119</v>
      </c>
      <c r="C13" s="18" t="n">
        <v>46327</v>
      </c>
      <c r="D13" s="19" t="n">
        <v>13</v>
      </c>
      <c r="E13" s="20" t="n">
        <v>4550000</v>
      </c>
      <c r="F13" s="21" t="n">
        <f aca="false">$O$2-C13</f>
        <v>60</v>
      </c>
      <c r="G13" s="21" t="n">
        <f aca="false">VLOOKUP(F13,Acuan!$A$2:$B$6,2,TRUE())</f>
        <v>4</v>
      </c>
      <c r="H13" s="21" t="n">
        <f aca="false">VLOOKUP(D13,Acuan!$C$2:$D$6,2,TRUE())</f>
        <v>4</v>
      </c>
      <c r="I13" s="21" t="n">
        <f aca="false">VLOOKUP(E13,Acuan!$E$2:$F$6,2,TRUE())</f>
        <v>3</v>
      </c>
      <c r="J13" s="21" t="n">
        <f aca="false">G13+H13+I13</f>
        <v>11</v>
      </c>
      <c r="K13" s="22" t="str">
        <f aca="false">VLOOKUP(J13,Acuan!$G$2:$H$6,2,TRUE())</f>
        <v>Setia</v>
      </c>
      <c r="L13" s="23" t="n">
        <f aca="false">E13/D13</f>
        <v>350000</v>
      </c>
    </row>
    <row r="14" customFormat="false" ht="15" hidden="false" customHeight="false" outlineLevel="0" collapsed="false">
      <c r="A14" s="17" t="s">
        <v>120</v>
      </c>
      <c r="B14" s="17" t="s">
        <v>121</v>
      </c>
      <c r="C14" s="18" t="n">
        <v>46372</v>
      </c>
      <c r="D14" s="19" t="n">
        <v>13</v>
      </c>
      <c r="E14" s="20" t="n">
        <v>3900000</v>
      </c>
      <c r="F14" s="21" t="n">
        <f aca="false">$O$2-C14</f>
        <v>15</v>
      </c>
      <c r="G14" s="21" t="n">
        <f aca="false">VLOOKUP(F14,Acuan!$A$2:$B$6,2,TRUE())</f>
        <v>5</v>
      </c>
      <c r="H14" s="21" t="n">
        <f aca="false">VLOOKUP(D14,Acuan!$C$2:$D$6,2,TRUE())</f>
        <v>4</v>
      </c>
      <c r="I14" s="21" t="n">
        <f aca="false">VLOOKUP(E14,Acuan!$E$2:$F$6,2,TRUE())</f>
        <v>3</v>
      </c>
      <c r="J14" s="21" t="n">
        <f aca="false">G14+H14+I14</f>
        <v>12</v>
      </c>
      <c r="K14" s="22" t="str">
        <f aca="false">VLOOKUP(J14,Acuan!$G$2:$H$6,2,TRUE())</f>
        <v>Setia</v>
      </c>
      <c r="L14" s="23" t="n">
        <f aca="false">E14/D14</f>
        <v>300000</v>
      </c>
    </row>
    <row r="15" customFormat="false" ht="15" hidden="false" customHeight="false" outlineLevel="0" collapsed="false">
      <c r="A15" s="17" t="s">
        <v>122</v>
      </c>
      <c r="B15" s="17" t="s">
        <v>123</v>
      </c>
      <c r="C15" s="18" t="n">
        <v>46334</v>
      </c>
      <c r="D15" s="19" t="n">
        <v>14</v>
      </c>
      <c r="E15" s="20" t="n">
        <v>6300000</v>
      </c>
      <c r="F15" s="21" t="n">
        <f aca="false">$O$2-C15</f>
        <v>53</v>
      </c>
      <c r="G15" s="21" t="n">
        <f aca="false">VLOOKUP(F15,Acuan!$A$2:$B$6,2,TRUE())</f>
        <v>4</v>
      </c>
      <c r="H15" s="21" t="n">
        <f aca="false">VLOOKUP(D15,Acuan!$C$2:$D$6,2,TRUE())</f>
        <v>4</v>
      </c>
      <c r="I15" s="21" t="n">
        <f aca="false">VLOOKUP(E15,Acuan!$E$2:$F$6,2,TRUE())</f>
        <v>4</v>
      </c>
      <c r="J15" s="21" t="n">
        <f aca="false">G15+H15+I15</f>
        <v>12</v>
      </c>
      <c r="K15" s="22" t="str">
        <f aca="false">VLOOKUP(J15,Acuan!$G$2:$H$6,2,TRUE())</f>
        <v>Setia</v>
      </c>
      <c r="L15" s="23" t="n">
        <f aca="false">E15/D15</f>
        <v>450000</v>
      </c>
    </row>
    <row r="16" customFormat="false" ht="15" hidden="false" customHeight="false" outlineLevel="0" collapsed="false">
      <c r="A16" s="17" t="s">
        <v>124</v>
      </c>
      <c r="B16" s="17" t="s">
        <v>125</v>
      </c>
      <c r="C16" s="18" t="n">
        <v>46346</v>
      </c>
      <c r="D16" s="19" t="n">
        <v>8</v>
      </c>
      <c r="E16" s="20" t="n">
        <v>2800000</v>
      </c>
      <c r="F16" s="21" t="n">
        <f aca="false">$O$2-C16</f>
        <v>41</v>
      </c>
      <c r="G16" s="21" t="n">
        <f aca="false">VLOOKUP(F16,Acuan!$A$2:$B$6,2,TRUE())</f>
        <v>4</v>
      </c>
      <c r="H16" s="21" t="n">
        <f aca="false">VLOOKUP(D16,Acuan!$C$2:$D$6,2,TRUE())</f>
        <v>3</v>
      </c>
      <c r="I16" s="21" t="n">
        <f aca="false">VLOOKUP(E16,Acuan!$E$2:$F$6,2,TRUE())</f>
        <v>2</v>
      </c>
      <c r="J16" s="21" t="n">
        <f aca="false">G16+H16+I16</f>
        <v>9</v>
      </c>
      <c r="K16" s="22" t="str">
        <f aca="false">VLOOKUP(J16,Acuan!$G$2:$H$6,2,TRUE())</f>
        <v>Berpotensi</v>
      </c>
      <c r="L16" s="23" t="n">
        <f aca="false">E16/D16</f>
        <v>350000</v>
      </c>
    </row>
    <row r="17" customFormat="false" ht="15" hidden="false" customHeight="false" outlineLevel="0" collapsed="false">
      <c r="A17" s="17" t="s">
        <v>126</v>
      </c>
      <c r="B17" s="17" t="s">
        <v>127</v>
      </c>
      <c r="C17" s="18" t="n">
        <v>46288</v>
      </c>
      <c r="D17" s="19" t="n">
        <v>8</v>
      </c>
      <c r="E17" s="20" t="n">
        <v>4000000</v>
      </c>
      <c r="F17" s="21" t="n">
        <f aca="false">$O$2-C17</f>
        <v>99</v>
      </c>
      <c r="G17" s="21" t="n">
        <f aca="false">VLOOKUP(F17,Acuan!$A$2:$B$6,2,TRUE())</f>
        <v>3</v>
      </c>
      <c r="H17" s="21" t="n">
        <f aca="false">VLOOKUP(D17,Acuan!$C$2:$D$6,2,TRUE())</f>
        <v>3</v>
      </c>
      <c r="I17" s="21" t="n">
        <f aca="false">VLOOKUP(E17,Acuan!$E$2:$F$6,2,TRUE())</f>
        <v>3</v>
      </c>
      <c r="J17" s="21" t="n">
        <f aca="false">G17+H17+I17</f>
        <v>9</v>
      </c>
      <c r="K17" s="22" t="str">
        <f aca="false">VLOOKUP(J17,Acuan!$G$2:$H$6,2,TRUE())</f>
        <v>Berpotensi</v>
      </c>
      <c r="L17" s="23" t="n">
        <f aca="false">E17/D17</f>
        <v>500000</v>
      </c>
    </row>
    <row r="18" customFormat="false" ht="15" hidden="false" customHeight="false" outlineLevel="0" collapsed="false">
      <c r="A18" s="17" t="s">
        <v>128</v>
      </c>
      <c r="B18" s="17" t="s">
        <v>129</v>
      </c>
      <c r="C18" s="18" t="n">
        <v>46141</v>
      </c>
      <c r="D18" s="19" t="n">
        <v>4</v>
      </c>
      <c r="E18" s="20" t="n">
        <v>600000</v>
      </c>
      <c r="F18" s="21" t="n">
        <f aca="false">$O$2-C18</f>
        <v>246</v>
      </c>
      <c r="G18" s="21" t="n">
        <f aca="false">VLOOKUP(F18,Acuan!$A$2:$B$6,2,TRUE())</f>
        <v>1</v>
      </c>
      <c r="H18" s="21" t="n">
        <f aca="false">VLOOKUP(D18,Acuan!$C$2:$D$6,2,TRUE())</f>
        <v>2</v>
      </c>
      <c r="I18" s="21" t="n">
        <f aca="false">VLOOKUP(E18,Acuan!$E$2:$F$6,2,TRUE())</f>
        <v>1</v>
      </c>
      <c r="J18" s="21" t="n">
        <f aca="false">G18+H18+I18</f>
        <v>4</v>
      </c>
      <c r="K18" s="22" t="str">
        <f aca="false">VLOOKUP(J18,Acuan!$G$2:$H$6,2,TRUE())</f>
        <v>Hilang</v>
      </c>
      <c r="L18" s="23" t="n">
        <f aca="false">E18/D18</f>
        <v>150000</v>
      </c>
    </row>
    <row r="19" customFormat="false" ht="15" hidden="false" customHeight="false" outlineLevel="0" collapsed="false">
      <c r="A19" s="17" t="s">
        <v>130</v>
      </c>
      <c r="B19" s="17" t="s">
        <v>131</v>
      </c>
      <c r="C19" s="18" t="n">
        <v>46370</v>
      </c>
      <c r="D19" s="19" t="n">
        <v>8</v>
      </c>
      <c r="E19" s="20" t="n">
        <v>4800000</v>
      </c>
      <c r="F19" s="21" t="n">
        <f aca="false">$O$2-C19</f>
        <v>17</v>
      </c>
      <c r="G19" s="21" t="n">
        <f aca="false">VLOOKUP(F19,Acuan!$A$2:$B$6,2,TRUE())</f>
        <v>5</v>
      </c>
      <c r="H19" s="21" t="n">
        <f aca="false">VLOOKUP(D19,Acuan!$C$2:$D$6,2,TRUE())</f>
        <v>3</v>
      </c>
      <c r="I19" s="21" t="n">
        <f aca="false">VLOOKUP(E19,Acuan!$E$2:$F$6,2,TRUE())</f>
        <v>3</v>
      </c>
      <c r="J19" s="21" t="n">
        <f aca="false">G19+H19+I19</f>
        <v>11</v>
      </c>
      <c r="K19" s="22" t="str">
        <f aca="false">VLOOKUP(J19,Acuan!$G$2:$H$6,2,TRUE())</f>
        <v>Setia</v>
      </c>
      <c r="L19" s="23" t="n">
        <f aca="false">E19/D19</f>
        <v>600000</v>
      </c>
    </row>
    <row r="20" customFormat="false" ht="15" hidden="false" customHeight="false" outlineLevel="0" collapsed="false">
      <c r="A20" s="17" t="s">
        <v>132</v>
      </c>
      <c r="B20" s="17" t="s">
        <v>133</v>
      </c>
      <c r="C20" s="18" t="n">
        <v>46383</v>
      </c>
      <c r="D20" s="19" t="n">
        <v>18</v>
      </c>
      <c r="E20" s="20" t="n">
        <v>12600000</v>
      </c>
      <c r="F20" s="21" t="n">
        <f aca="false">$O$2-C20</f>
        <v>4</v>
      </c>
      <c r="G20" s="21" t="n">
        <f aca="false">VLOOKUP(F20,Acuan!$A$2:$B$6,2,TRUE())</f>
        <v>5</v>
      </c>
      <c r="H20" s="21" t="n">
        <f aca="false">VLOOKUP(D20,Acuan!$C$2:$D$6,2,TRUE())</f>
        <v>5</v>
      </c>
      <c r="I20" s="21" t="n">
        <f aca="false">VLOOKUP(E20,Acuan!$E$2:$F$6,2,TRUE())</f>
        <v>5</v>
      </c>
      <c r="J20" s="21" t="n">
        <f aca="false">G20+H20+I20</f>
        <v>15</v>
      </c>
      <c r="K20" s="22" t="str">
        <f aca="false">VLOOKUP(J20,Acuan!$G$2:$H$6,2,TRUE())</f>
        <v>Juara</v>
      </c>
      <c r="L20" s="23" t="n">
        <f aca="false">E20/D20</f>
        <v>700000</v>
      </c>
    </row>
    <row r="21" customFormat="false" ht="15" hidden="false" customHeight="false" outlineLevel="0" collapsed="false">
      <c r="A21" s="17" t="s">
        <v>134</v>
      </c>
      <c r="B21" s="17" t="s">
        <v>135</v>
      </c>
      <c r="C21" s="18" t="n">
        <v>46288</v>
      </c>
      <c r="D21" s="19" t="n">
        <v>5</v>
      </c>
      <c r="E21" s="20" t="n">
        <v>1000000</v>
      </c>
      <c r="F21" s="21" t="n">
        <f aca="false">$O$2-C21</f>
        <v>99</v>
      </c>
      <c r="G21" s="21" t="n">
        <f aca="false">VLOOKUP(F21,Acuan!$A$2:$B$6,2,TRUE())</f>
        <v>3</v>
      </c>
      <c r="H21" s="21" t="n">
        <f aca="false">VLOOKUP(D21,Acuan!$C$2:$D$6,2,TRUE())</f>
        <v>2</v>
      </c>
      <c r="I21" s="21" t="n">
        <f aca="false">VLOOKUP(E21,Acuan!$E$2:$F$6,2,TRUE())</f>
        <v>2</v>
      </c>
      <c r="J21" s="21" t="n">
        <f aca="false">G21+H21+I21</f>
        <v>7</v>
      </c>
      <c r="K21" s="22" t="str">
        <f aca="false">VLOOKUP(J21,Acuan!$G$2:$H$6,2,TRUE())</f>
        <v>Tidur</v>
      </c>
      <c r="L21" s="23" t="n">
        <f aca="false">E21/D21</f>
        <v>200000</v>
      </c>
    </row>
    <row r="22" customFormat="false" ht="15" hidden="false" customHeight="false" outlineLevel="0" collapsed="false">
      <c r="A22" s="17" t="s">
        <v>136</v>
      </c>
      <c r="B22" s="17" t="s">
        <v>137</v>
      </c>
      <c r="C22" s="18" t="n">
        <v>46348</v>
      </c>
      <c r="D22" s="19" t="n">
        <v>2</v>
      </c>
      <c r="E22" s="20" t="n">
        <v>1400000</v>
      </c>
      <c r="F22" s="21" t="n">
        <f aca="false">$O$2-C22</f>
        <v>39</v>
      </c>
      <c r="G22" s="21" t="n">
        <f aca="false">VLOOKUP(F22,Acuan!$A$2:$B$6,2,TRUE())</f>
        <v>4</v>
      </c>
      <c r="H22" s="21" t="n">
        <f aca="false">VLOOKUP(D22,Acuan!$C$2:$D$6,2,TRUE())</f>
        <v>1</v>
      </c>
      <c r="I22" s="21" t="n">
        <f aca="false">VLOOKUP(E22,Acuan!$E$2:$F$6,2,TRUE())</f>
        <v>2</v>
      </c>
      <c r="J22" s="21" t="n">
        <f aca="false">G22+H22+I22</f>
        <v>7</v>
      </c>
      <c r="K22" s="22" t="str">
        <f aca="false">VLOOKUP(J22,Acuan!$G$2:$H$6,2,TRUE())</f>
        <v>Tidur</v>
      </c>
      <c r="L22" s="23" t="n">
        <f aca="false">E22/D22</f>
        <v>700000</v>
      </c>
    </row>
    <row r="23" customFormat="false" ht="15" hidden="false" customHeight="false" outlineLevel="0" collapsed="false">
      <c r="A23" s="17" t="s">
        <v>138</v>
      </c>
      <c r="B23" s="17" t="s">
        <v>139</v>
      </c>
      <c r="C23" s="18" t="n">
        <v>46372</v>
      </c>
      <c r="D23" s="19" t="n">
        <v>17</v>
      </c>
      <c r="E23" s="20" t="n">
        <v>6800000</v>
      </c>
      <c r="F23" s="21" t="n">
        <f aca="false">$O$2-C23</f>
        <v>15</v>
      </c>
      <c r="G23" s="21" t="n">
        <f aca="false">VLOOKUP(F23,Acuan!$A$2:$B$6,2,TRUE())</f>
        <v>5</v>
      </c>
      <c r="H23" s="21" t="n">
        <f aca="false">VLOOKUP(D23,Acuan!$C$2:$D$6,2,TRUE())</f>
        <v>5</v>
      </c>
      <c r="I23" s="21" t="n">
        <f aca="false">VLOOKUP(E23,Acuan!$E$2:$F$6,2,TRUE())</f>
        <v>4</v>
      </c>
      <c r="J23" s="21" t="n">
        <f aca="false">G23+H23+I23</f>
        <v>14</v>
      </c>
      <c r="K23" s="22" t="str">
        <f aca="false">VLOOKUP(J23,Acuan!$G$2:$H$6,2,TRUE())</f>
        <v>Juara</v>
      </c>
      <c r="L23" s="23" t="n">
        <f aca="false">E23/D23</f>
        <v>400000</v>
      </c>
    </row>
    <row r="24" customFormat="false" ht="15" hidden="false" customHeight="false" outlineLevel="0" collapsed="false">
      <c r="A24" s="17" t="s">
        <v>140</v>
      </c>
      <c r="B24" s="17" t="s">
        <v>141</v>
      </c>
      <c r="C24" s="18" t="n">
        <v>46248</v>
      </c>
      <c r="D24" s="19" t="n">
        <v>9</v>
      </c>
      <c r="E24" s="20" t="n">
        <v>3150000</v>
      </c>
      <c r="F24" s="21" t="n">
        <f aca="false">$O$2-C24</f>
        <v>139</v>
      </c>
      <c r="G24" s="21" t="n">
        <f aca="false">VLOOKUP(F24,Acuan!$A$2:$B$6,2,TRUE())</f>
        <v>2</v>
      </c>
      <c r="H24" s="21" t="n">
        <f aca="false">VLOOKUP(D24,Acuan!$C$2:$D$6,2,TRUE())</f>
        <v>3</v>
      </c>
      <c r="I24" s="21" t="n">
        <f aca="false">VLOOKUP(E24,Acuan!$E$2:$F$6,2,TRUE())</f>
        <v>3</v>
      </c>
      <c r="J24" s="21" t="n">
        <f aca="false">G24+H24+I24</f>
        <v>8</v>
      </c>
      <c r="K24" s="22" t="str">
        <f aca="false">VLOOKUP(J24,Acuan!$G$2:$H$6,2,TRUE())</f>
        <v>Berpotensi</v>
      </c>
      <c r="L24" s="23" t="n">
        <f aca="false">E24/D24</f>
        <v>350000</v>
      </c>
    </row>
    <row r="25" customFormat="false" ht="15" hidden="false" customHeight="false" outlineLevel="0" collapsed="false">
      <c r="A25" s="17" t="s">
        <v>142</v>
      </c>
      <c r="B25" s="17" t="s">
        <v>143</v>
      </c>
      <c r="C25" s="18" t="n">
        <v>46060</v>
      </c>
      <c r="D25" s="19" t="n">
        <v>2</v>
      </c>
      <c r="E25" s="20" t="n">
        <v>500000</v>
      </c>
      <c r="F25" s="21" t="n">
        <f aca="false">$O$2-C25</f>
        <v>327</v>
      </c>
      <c r="G25" s="21" t="n">
        <f aca="false">VLOOKUP(F25,Acuan!$A$2:$B$6,2,TRUE())</f>
        <v>1</v>
      </c>
      <c r="H25" s="21" t="n">
        <f aca="false">VLOOKUP(D25,Acuan!$C$2:$D$6,2,TRUE())</f>
        <v>1</v>
      </c>
      <c r="I25" s="21" t="n">
        <f aca="false">VLOOKUP(E25,Acuan!$E$2:$F$6,2,TRUE())</f>
        <v>1</v>
      </c>
      <c r="J25" s="21" t="n">
        <f aca="false">G25+H25+I25</f>
        <v>3</v>
      </c>
      <c r="K25" s="22" t="str">
        <f aca="false">VLOOKUP(J25,Acuan!$G$2:$H$6,2,TRUE())</f>
        <v>Hilang</v>
      </c>
      <c r="L25" s="23" t="n">
        <f aca="false">E25/D25</f>
        <v>250000</v>
      </c>
    </row>
    <row r="26" customFormat="false" ht="15" hidden="false" customHeight="false" outlineLevel="0" collapsed="false">
      <c r="A26" s="17" t="s">
        <v>144</v>
      </c>
      <c r="B26" s="17" t="s">
        <v>145</v>
      </c>
      <c r="C26" s="18" t="n">
        <v>46355</v>
      </c>
      <c r="D26" s="19" t="n">
        <v>13</v>
      </c>
      <c r="E26" s="20" t="n">
        <v>5850000</v>
      </c>
      <c r="F26" s="21" t="n">
        <f aca="false">$O$2-C26</f>
        <v>32</v>
      </c>
      <c r="G26" s="21" t="n">
        <f aca="false">VLOOKUP(F26,Acuan!$A$2:$B$6,2,TRUE())</f>
        <v>4</v>
      </c>
      <c r="H26" s="21" t="n">
        <f aca="false">VLOOKUP(D26,Acuan!$C$2:$D$6,2,TRUE())</f>
        <v>4</v>
      </c>
      <c r="I26" s="21" t="n">
        <f aca="false">VLOOKUP(E26,Acuan!$E$2:$F$6,2,TRUE())</f>
        <v>3</v>
      </c>
      <c r="J26" s="21" t="n">
        <f aca="false">G26+H26+I26</f>
        <v>11</v>
      </c>
      <c r="K26" s="22" t="str">
        <f aca="false">VLOOKUP(J26,Acuan!$G$2:$H$6,2,TRUE())</f>
        <v>Setia</v>
      </c>
      <c r="L26" s="23" t="n">
        <f aca="false">E26/D26</f>
        <v>450000</v>
      </c>
    </row>
    <row r="27" customFormat="false" ht="15" hidden="false" customHeight="false" outlineLevel="0" collapsed="false">
      <c r="A27" s="17" t="s">
        <v>146</v>
      </c>
      <c r="B27" s="17" t="s">
        <v>147</v>
      </c>
      <c r="C27" s="18" t="n">
        <v>46200</v>
      </c>
      <c r="D27" s="19" t="n">
        <v>9</v>
      </c>
      <c r="E27" s="20" t="n">
        <v>4500000</v>
      </c>
      <c r="F27" s="21" t="n">
        <f aca="false">$O$2-C27</f>
        <v>187</v>
      </c>
      <c r="G27" s="21" t="n">
        <f aca="false">VLOOKUP(F27,Acuan!$A$2:$B$6,2,TRUE())</f>
        <v>2</v>
      </c>
      <c r="H27" s="21" t="n">
        <f aca="false">VLOOKUP(D27,Acuan!$C$2:$D$6,2,TRUE())</f>
        <v>3</v>
      </c>
      <c r="I27" s="21" t="n">
        <f aca="false">VLOOKUP(E27,Acuan!$E$2:$F$6,2,TRUE())</f>
        <v>3</v>
      </c>
      <c r="J27" s="21" t="n">
        <f aca="false">G27+H27+I27</f>
        <v>8</v>
      </c>
      <c r="K27" s="22" t="str">
        <f aca="false">VLOOKUP(J27,Acuan!$G$2:$H$6,2,TRUE())</f>
        <v>Berpotensi</v>
      </c>
      <c r="L27" s="23" t="n">
        <f aca="false">E27/D27</f>
        <v>500000</v>
      </c>
    </row>
    <row r="28" customFormat="false" ht="15" hidden="false" customHeight="false" outlineLevel="0" collapsed="false">
      <c r="A28" s="17" t="s">
        <v>148</v>
      </c>
      <c r="B28" s="17" t="s">
        <v>149</v>
      </c>
      <c r="C28" s="18" t="n">
        <v>46225</v>
      </c>
      <c r="D28" s="19" t="n">
        <v>6</v>
      </c>
      <c r="E28" s="20" t="n">
        <v>3000000</v>
      </c>
      <c r="F28" s="21" t="n">
        <f aca="false">$O$2-C28</f>
        <v>162</v>
      </c>
      <c r="G28" s="21" t="n">
        <f aca="false">VLOOKUP(F28,Acuan!$A$2:$B$6,2,TRUE())</f>
        <v>2</v>
      </c>
      <c r="H28" s="21" t="n">
        <f aca="false">VLOOKUP(D28,Acuan!$C$2:$D$6,2,TRUE())</f>
        <v>3</v>
      </c>
      <c r="I28" s="21" t="n">
        <f aca="false">VLOOKUP(E28,Acuan!$E$2:$F$6,2,TRUE())</f>
        <v>3</v>
      </c>
      <c r="J28" s="21" t="n">
        <f aca="false">G28+H28+I28</f>
        <v>8</v>
      </c>
      <c r="K28" s="22" t="str">
        <f aca="false">VLOOKUP(J28,Acuan!$G$2:$H$6,2,TRUE())</f>
        <v>Berpotensi</v>
      </c>
      <c r="L28" s="23" t="n">
        <f aca="false">E28/D28</f>
        <v>500000</v>
      </c>
    </row>
    <row r="29" customFormat="false" ht="15" hidden="false" customHeight="false" outlineLevel="0" collapsed="false">
      <c r="A29" s="17" t="s">
        <v>150</v>
      </c>
      <c r="B29" s="17" t="s">
        <v>151</v>
      </c>
      <c r="C29" s="18" t="n">
        <v>46372</v>
      </c>
      <c r="D29" s="19" t="n">
        <v>12</v>
      </c>
      <c r="E29" s="20" t="n">
        <v>10200000</v>
      </c>
      <c r="F29" s="21" t="n">
        <f aca="false">$O$2-C29</f>
        <v>15</v>
      </c>
      <c r="G29" s="21" t="n">
        <f aca="false">VLOOKUP(F29,Acuan!$A$2:$B$6,2,TRUE())</f>
        <v>5</v>
      </c>
      <c r="H29" s="21" t="n">
        <f aca="false">VLOOKUP(D29,Acuan!$C$2:$D$6,2,TRUE())</f>
        <v>4</v>
      </c>
      <c r="I29" s="21" t="n">
        <f aca="false">VLOOKUP(E29,Acuan!$E$2:$F$6,2,TRUE())</f>
        <v>5</v>
      </c>
      <c r="J29" s="21" t="n">
        <f aca="false">G29+H29+I29</f>
        <v>14</v>
      </c>
      <c r="K29" s="22" t="str">
        <f aca="false">VLOOKUP(J29,Acuan!$G$2:$H$6,2,TRUE())</f>
        <v>Juara</v>
      </c>
      <c r="L29" s="23" t="n">
        <f aca="false">E29/D29</f>
        <v>850000</v>
      </c>
    </row>
    <row r="30" customFormat="false" ht="15" hidden="false" customHeight="false" outlineLevel="0" collapsed="false">
      <c r="A30" s="17" t="s">
        <v>152</v>
      </c>
      <c r="B30" s="17" t="s">
        <v>153</v>
      </c>
      <c r="C30" s="18" t="n">
        <v>46069</v>
      </c>
      <c r="D30" s="19" t="n">
        <v>1</v>
      </c>
      <c r="E30" s="20" t="n">
        <v>300000</v>
      </c>
      <c r="F30" s="21" t="n">
        <f aca="false">$O$2-C30</f>
        <v>318</v>
      </c>
      <c r="G30" s="21" t="n">
        <f aca="false">VLOOKUP(F30,Acuan!$A$2:$B$6,2,TRUE())</f>
        <v>1</v>
      </c>
      <c r="H30" s="21" t="n">
        <f aca="false">VLOOKUP(D30,Acuan!$C$2:$D$6,2,TRUE())</f>
        <v>1</v>
      </c>
      <c r="I30" s="21" t="n">
        <f aca="false">VLOOKUP(E30,Acuan!$E$2:$F$6,2,TRUE())</f>
        <v>1</v>
      </c>
      <c r="J30" s="21" t="n">
        <f aca="false">G30+H30+I30</f>
        <v>3</v>
      </c>
      <c r="K30" s="22" t="str">
        <f aca="false">VLOOKUP(J30,Acuan!$G$2:$H$6,2,TRUE())</f>
        <v>Hilang</v>
      </c>
      <c r="L30" s="23" t="n">
        <f aca="false">E30/D30</f>
        <v>300000</v>
      </c>
    </row>
    <row r="31" customFormat="false" ht="15" hidden="false" customHeight="false" outlineLevel="0" collapsed="false">
      <c r="A31" s="17" t="s">
        <v>154</v>
      </c>
      <c r="B31" s="17" t="s">
        <v>155</v>
      </c>
      <c r="C31" s="18" t="n">
        <v>46304</v>
      </c>
      <c r="D31" s="19" t="n">
        <v>4</v>
      </c>
      <c r="E31" s="20" t="n">
        <v>2000000</v>
      </c>
      <c r="F31" s="21" t="n">
        <f aca="false">$O$2-C31</f>
        <v>83</v>
      </c>
      <c r="G31" s="21" t="n">
        <f aca="false">VLOOKUP(F31,Acuan!$A$2:$B$6,2,TRUE())</f>
        <v>3</v>
      </c>
      <c r="H31" s="21" t="n">
        <f aca="false">VLOOKUP(D31,Acuan!$C$2:$D$6,2,TRUE())</f>
        <v>2</v>
      </c>
      <c r="I31" s="21" t="n">
        <f aca="false">VLOOKUP(E31,Acuan!$E$2:$F$6,2,TRUE())</f>
        <v>2</v>
      </c>
      <c r="J31" s="21" t="n">
        <f aca="false">G31+H31+I31</f>
        <v>7</v>
      </c>
      <c r="K31" s="22" t="str">
        <f aca="false">VLOOKUP(J31,Acuan!$G$2:$H$6,2,TRUE())</f>
        <v>Tidur</v>
      </c>
      <c r="L31" s="23" t="n">
        <f aca="false">E31/D31</f>
        <v>500000</v>
      </c>
    </row>
    <row r="32" customFormat="false" ht="15" hidden="false" customHeight="false" outlineLevel="0" collapsed="false">
      <c r="A32" s="17" t="s">
        <v>156</v>
      </c>
      <c r="B32" s="17" t="s">
        <v>157</v>
      </c>
      <c r="C32" s="18" t="n">
        <v>46375</v>
      </c>
      <c r="D32" s="19" t="n">
        <v>2</v>
      </c>
      <c r="E32" s="20" t="n">
        <v>1300000</v>
      </c>
      <c r="F32" s="21" t="n">
        <f aca="false">$O$2-C32</f>
        <v>12</v>
      </c>
      <c r="G32" s="21" t="n">
        <f aca="false">VLOOKUP(F32,Acuan!$A$2:$B$6,2,TRUE())</f>
        <v>5</v>
      </c>
      <c r="H32" s="21" t="n">
        <f aca="false">VLOOKUP(D32,Acuan!$C$2:$D$6,2,TRUE())</f>
        <v>1</v>
      </c>
      <c r="I32" s="21" t="n">
        <f aca="false">VLOOKUP(E32,Acuan!$E$2:$F$6,2,TRUE())</f>
        <v>2</v>
      </c>
      <c r="J32" s="21" t="n">
        <f aca="false">G32+H32+I32</f>
        <v>8</v>
      </c>
      <c r="K32" s="22" t="str">
        <f aca="false">VLOOKUP(J32,Acuan!$G$2:$H$6,2,TRUE())</f>
        <v>Berpotensi</v>
      </c>
      <c r="L32" s="23" t="n">
        <f aca="false">E32/D32</f>
        <v>650000</v>
      </c>
    </row>
    <row r="33" customFormat="false" ht="15" hidden="false" customHeight="false" outlineLevel="0" collapsed="false">
      <c r="A33" s="17" t="s">
        <v>158</v>
      </c>
      <c r="B33" s="17" t="s">
        <v>159</v>
      </c>
      <c r="C33" s="18" t="n">
        <v>46229</v>
      </c>
      <c r="D33" s="19" t="n">
        <v>7</v>
      </c>
      <c r="E33" s="20" t="n">
        <v>3500000</v>
      </c>
      <c r="F33" s="21" t="n">
        <f aca="false">$O$2-C33</f>
        <v>158</v>
      </c>
      <c r="G33" s="21" t="n">
        <f aca="false">VLOOKUP(F33,Acuan!$A$2:$B$6,2,TRUE())</f>
        <v>2</v>
      </c>
      <c r="H33" s="21" t="n">
        <f aca="false">VLOOKUP(D33,Acuan!$C$2:$D$6,2,TRUE())</f>
        <v>3</v>
      </c>
      <c r="I33" s="21" t="n">
        <f aca="false">VLOOKUP(E33,Acuan!$E$2:$F$6,2,TRUE())</f>
        <v>3</v>
      </c>
      <c r="J33" s="21" t="n">
        <f aca="false">G33+H33+I33</f>
        <v>8</v>
      </c>
      <c r="K33" s="22" t="str">
        <f aca="false">VLOOKUP(J33,Acuan!$G$2:$H$6,2,TRUE())</f>
        <v>Berpotensi</v>
      </c>
      <c r="L33" s="23" t="n">
        <f aca="false">E33/D33</f>
        <v>500000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6"/>
    <col collapsed="false" customWidth="true" hidden="false" outlineLevel="0" max="4" min="4" style="0" width="9"/>
    <col collapsed="false" customWidth="true" hidden="false" outlineLevel="0" max="5" min="5" style="0" width="14"/>
    <col collapsed="false" customWidth="true" hidden="false" outlineLevel="0" max="6" min="6" style="0" width="9"/>
    <col collapsed="false" customWidth="true" hidden="false" outlineLevel="0" max="7" min="7" style="0" width="19"/>
    <col collapsed="false" customWidth="true" hidden="false" outlineLevel="0" max="8" min="8" style="0" width="13"/>
    <col collapsed="false" customWidth="true" hidden="false" outlineLevel="0" max="9" min="9" style="0" width="17"/>
    <col collapsed="false" customWidth="true" hidden="false" outlineLevel="0" max="10" min="10" style="0" width="19"/>
  </cols>
  <sheetData>
    <row r="1" customFormat="false" ht="33.75" hidden="false" customHeight="true" outlineLevel="0" collapsed="false">
      <c r="A1" s="11" t="s">
        <v>160</v>
      </c>
      <c r="B1" s="11" t="s">
        <v>85</v>
      </c>
      <c r="C1" s="11" t="s">
        <v>161</v>
      </c>
      <c r="D1" s="11" t="s">
        <v>86</v>
      </c>
      <c r="E1" s="11" t="s">
        <v>162</v>
      </c>
      <c r="F1" s="11" t="s">
        <v>87</v>
      </c>
      <c r="G1" s="11" t="s">
        <v>163</v>
      </c>
      <c r="H1" s="11" t="s">
        <v>89</v>
      </c>
      <c r="I1" s="15" t="s">
        <v>164</v>
      </c>
      <c r="J1" s="15" t="s">
        <v>165</v>
      </c>
    </row>
    <row r="2" customFormat="false" ht="15" hidden="false" customHeight="false" outlineLevel="0" collapsed="false">
      <c r="A2" s="19" t="n">
        <v>0</v>
      </c>
      <c r="B2" s="19" t="n">
        <v>5</v>
      </c>
      <c r="C2" s="19" t="n">
        <v>1</v>
      </c>
      <c r="D2" s="19" t="n">
        <v>1</v>
      </c>
      <c r="E2" s="20" t="n">
        <v>0</v>
      </c>
      <c r="F2" s="19" t="n">
        <v>1</v>
      </c>
      <c r="G2" s="19" t="n">
        <v>3</v>
      </c>
      <c r="H2" s="17" t="s">
        <v>166</v>
      </c>
      <c r="I2" s="21" t="n">
        <f aca="false">COUNTIF(Data!$K$2:$K$33,H2)</f>
        <v>5</v>
      </c>
      <c r="J2" s="23" t="n">
        <f aca="false">SUMIF(Data!$K$2:$K$33,H2,Data!$E$2:$E$33)</f>
        <v>1850000</v>
      </c>
    </row>
    <row r="3" customFormat="false" ht="15" hidden="false" customHeight="false" outlineLevel="0" collapsed="false">
      <c r="A3" s="19" t="n">
        <v>31</v>
      </c>
      <c r="B3" s="19" t="n">
        <v>4</v>
      </c>
      <c r="C3" s="19" t="n">
        <v>3</v>
      </c>
      <c r="D3" s="19" t="n">
        <v>2</v>
      </c>
      <c r="E3" s="20" t="n">
        <v>1000000</v>
      </c>
      <c r="F3" s="19" t="n">
        <v>2</v>
      </c>
      <c r="G3" s="19" t="n">
        <v>6</v>
      </c>
      <c r="H3" s="17" t="s">
        <v>167</v>
      </c>
      <c r="I3" s="21" t="n">
        <f aca="false">COUNTIF(Data!$K$2:$K$33,H3)</f>
        <v>8</v>
      </c>
      <c r="J3" s="23" t="n">
        <f aca="false">SUMIF(Data!$K$2:$K$33,H3,Data!$E$2:$E$33)</f>
        <v>11100000</v>
      </c>
    </row>
    <row r="4" customFormat="false" ht="15" hidden="false" customHeight="false" outlineLevel="0" collapsed="false">
      <c r="A4" s="19" t="n">
        <v>61</v>
      </c>
      <c r="B4" s="19" t="n">
        <v>3</v>
      </c>
      <c r="C4" s="19" t="n">
        <v>6</v>
      </c>
      <c r="D4" s="19" t="n">
        <v>3</v>
      </c>
      <c r="E4" s="20" t="n">
        <v>3000000</v>
      </c>
      <c r="F4" s="19" t="n">
        <v>3</v>
      </c>
      <c r="G4" s="19" t="n">
        <v>8</v>
      </c>
      <c r="H4" s="17" t="s">
        <v>168</v>
      </c>
      <c r="I4" s="21" t="n">
        <f aca="false">COUNTIF(Data!$K$2:$K$33,H4)</f>
        <v>10</v>
      </c>
      <c r="J4" s="23" t="n">
        <f aca="false">SUMIF(Data!$K$2:$K$33,H4,Data!$E$2:$E$33)</f>
        <v>27800000</v>
      </c>
    </row>
    <row r="5" customFormat="false" ht="15" hidden="false" customHeight="false" outlineLevel="0" collapsed="false">
      <c r="A5" s="19" t="n">
        <v>121</v>
      </c>
      <c r="B5" s="19" t="n">
        <v>2</v>
      </c>
      <c r="C5" s="19" t="n">
        <v>10</v>
      </c>
      <c r="D5" s="19" t="n">
        <v>4</v>
      </c>
      <c r="E5" s="20" t="n">
        <v>6000000</v>
      </c>
      <c r="F5" s="19" t="n">
        <v>4</v>
      </c>
      <c r="G5" s="19" t="n">
        <v>11</v>
      </c>
      <c r="H5" s="17" t="s">
        <v>169</v>
      </c>
      <c r="I5" s="21" t="n">
        <f aca="false">COUNTIF(Data!$K$2:$K$33,H5)</f>
        <v>6</v>
      </c>
      <c r="J5" s="23" t="n">
        <f aca="false">SUMIF(Data!$K$2:$K$33,H5,Data!$E$2:$E$33)</f>
        <v>33200000</v>
      </c>
    </row>
    <row r="6" customFormat="false" ht="15" hidden="false" customHeight="false" outlineLevel="0" collapsed="false">
      <c r="A6" s="19" t="n">
        <v>241</v>
      </c>
      <c r="B6" s="19" t="n">
        <v>1</v>
      </c>
      <c r="C6" s="19" t="n">
        <v>15</v>
      </c>
      <c r="D6" s="19" t="n">
        <v>5</v>
      </c>
      <c r="E6" s="20" t="n">
        <v>10000000</v>
      </c>
      <c r="F6" s="19" t="n">
        <v>5</v>
      </c>
      <c r="G6" s="19" t="n">
        <v>13</v>
      </c>
      <c r="H6" s="17" t="s">
        <v>170</v>
      </c>
      <c r="I6" s="21" t="n">
        <f aca="false">COUNTIF(Data!$K$2:$K$33,H6)</f>
        <v>3</v>
      </c>
      <c r="J6" s="23" t="n">
        <f aca="false">SUMIF(Data!$K$2:$K$33,H6,Data!$E$2:$E$33)</f>
        <v>29600000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171</v>
      </c>
      <c r="B1" s="26"/>
      <c r="C1" s="26"/>
      <c r="D1" s="26"/>
    </row>
    <row r="2" customFormat="false" ht="15" hidden="false" customHeight="false" outlineLevel="0" collapsed="false">
      <c r="A2" s="27" t="s">
        <v>172</v>
      </c>
      <c r="B2" s="27"/>
      <c r="C2" s="27"/>
      <c r="D2" s="27"/>
    </row>
    <row r="3" customFormat="false" ht="15" hidden="false" customHeight="false" outlineLevel="0" collapsed="false">
      <c r="A3" s="11" t="s">
        <v>19</v>
      </c>
      <c r="B3" s="11" t="s">
        <v>173</v>
      </c>
      <c r="C3" s="11" t="s">
        <v>174</v>
      </c>
      <c r="D3" s="11" t="s">
        <v>175</v>
      </c>
    </row>
    <row r="4" customFormat="false" ht="15" hidden="false" customHeight="false" outlineLevel="0" collapsed="false">
      <c r="A4" s="28" t="s">
        <v>176</v>
      </c>
      <c r="B4" s="29" t="s">
        <v>177</v>
      </c>
      <c r="C4" s="30" t="n">
        <f aca="false">AVERAGE(Data!$F$2:$F$33)</f>
        <v>102.875</v>
      </c>
      <c r="D4" s="31" t="s">
        <v>178</v>
      </c>
    </row>
    <row r="5" customFormat="false" ht="15" hidden="false" customHeight="false" outlineLevel="0" collapsed="false">
      <c r="A5" s="28" t="s">
        <v>179</v>
      </c>
      <c r="B5" s="29" t="s">
        <v>180</v>
      </c>
      <c r="C5" s="21" t="n">
        <f aca="false">COUNTIF(Data!$F$2:$F$33,"&lt;=30")</f>
        <v>7</v>
      </c>
      <c r="D5" s="31" t="s">
        <v>181</v>
      </c>
    </row>
    <row r="6" customFormat="false" ht="15" hidden="false" customHeight="false" outlineLevel="0" collapsed="false">
      <c r="A6" s="28" t="s">
        <v>182</v>
      </c>
      <c r="B6" s="29" t="s">
        <v>183</v>
      </c>
      <c r="C6" s="23" t="n">
        <f aca="false">SUM(Data!$E$2:$E$33)</f>
        <v>103550000</v>
      </c>
      <c r="D6" s="31" t="s">
        <v>184</v>
      </c>
    </row>
    <row r="7" customFormat="false" ht="15" hidden="false" customHeight="false" outlineLevel="0" collapsed="false">
      <c r="A7" s="28" t="s">
        <v>185</v>
      </c>
      <c r="B7" s="29" t="s">
        <v>186</v>
      </c>
      <c r="C7" s="32" t="n">
        <f aca="false">AVERAGE(Data!$J$2:$J$33)</f>
        <v>8.40625</v>
      </c>
      <c r="D7" s="31" t="s">
        <v>187</v>
      </c>
    </row>
    <row r="8" customFormat="false" ht="15" hidden="false" customHeight="false" outlineLevel="0" collapsed="false">
      <c r="A8" s="28" t="s">
        <v>188</v>
      </c>
      <c r="B8" s="29" t="s">
        <v>189</v>
      </c>
      <c r="C8" s="22" t="str">
        <f aca="false">INDEX(Data!$B$2:$B$33,MATCH(MAX(Data!$E$2:$E$33),Data!$E$2:$E$33,0))</f>
        <v>Wahyu Putra</v>
      </c>
      <c r="D8" s="31" t="s">
        <v>190</v>
      </c>
    </row>
    <row r="9" customFormat="false" ht="15" hidden="false" customHeight="false" outlineLevel="0" collapsed="false">
      <c r="A9" s="28" t="s">
        <v>191</v>
      </c>
      <c r="B9" s="29" t="s">
        <v>192</v>
      </c>
      <c r="C9" s="22" t="str">
        <f aca="false">INDEX(Data!$B$2:$B$33,MATCH(MAX(Data!$F$2:$F$33),Data!$F$2:$F$33,0))</f>
        <v>Sari Saputra</v>
      </c>
      <c r="D9" s="31" t="s">
        <v>190</v>
      </c>
    </row>
    <row r="10" customFormat="false" ht="15" hidden="false" customHeight="false" outlineLevel="0" collapsed="false">
      <c r="A10" s="28" t="s">
        <v>193</v>
      </c>
      <c r="B10" s="29" t="s">
        <v>194</v>
      </c>
      <c r="C10" s="21" t="n">
        <f aca="false">COUNTIF(Data!$K$2:$K$33,"Juara")</f>
        <v>3</v>
      </c>
      <c r="D10" s="31" t="s">
        <v>195</v>
      </c>
    </row>
    <row r="11" customFormat="false" ht="15" hidden="false" customHeight="false" outlineLevel="0" collapsed="false">
      <c r="A11" s="28" t="s">
        <v>196</v>
      </c>
      <c r="B11" s="29" t="s">
        <v>197</v>
      </c>
      <c r="C11" s="21" t="n">
        <f aca="false">COUNTIF(Data!$K$2:$K$33,"Hilang")</f>
        <v>5</v>
      </c>
      <c r="D11" s="31" t="s">
        <v>198</v>
      </c>
    </row>
    <row r="12" customFormat="false" ht="15" hidden="false" customHeight="false" outlineLevel="0" collapsed="false">
      <c r="A12" s="28" t="s">
        <v>199</v>
      </c>
      <c r="B12" s="29" t="s">
        <v>200</v>
      </c>
      <c r="C12" s="22" t="str">
        <f aca="false">INDEX(Acuan!$H$2:$H$6,MATCH(MAX(Acuan!$I$2:$I$6),Acuan!$I$2:$I$6,0))</f>
        <v>Berpotensi</v>
      </c>
      <c r="D12" s="31" t="s">
        <v>201</v>
      </c>
    </row>
    <row r="13" customFormat="false" ht="15" hidden="false" customHeight="false" outlineLevel="0" collapsed="false">
      <c r="A13" s="28" t="s">
        <v>202</v>
      </c>
      <c r="B13" s="29" t="s">
        <v>203</v>
      </c>
      <c r="C13" s="21" t="n">
        <f aca="false">COUNTIFS(Data!$G$2:$G$33,"&gt;=4",Data!$H$2:$H$33,"&lt;=2")</f>
        <v>4</v>
      </c>
      <c r="D13" s="31" t="s">
        <v>204</v>
      </c>
    </row>
    <row r="14" customFormat="false" ht="15" hidden="false" customHeight="false" outlineLevel="0" collapsed="false">
      <c r="A14" s="28" t="s">
        <v>205</v>
      </c>
      <c r="B14" s="29" t="s">
        <v>206</v>
      </c>
      <c r="C14" s="33" t="n">
        <f aca="false">SUMIF(Data!$K$2:$K$33,"Juara",Data!$E$2:$E$33)/SUM(Data!$E$2:$E$33)</f>
        <v>0.285852245292129</v>
      </c>
      <c r="D14" s="31" t="s">
        <v>207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2026-10-17T07:49:36Z</dcterms:created>
  <dc:creator>PushExcel</dc:creator>
  <dc:description/>
  <dc:language>en-US</dc:language>
  <cp:lastModifiedBy/>
  <dcterms:modified xsi:type="dcterms:W3CDTF">2026-10-17T07:49:36Z</dcterms:modified>
  <cp:revision>0</cp:revision>
  <dc:subject/>
  <dc:title>Segmentasi Pelanggan dengan Skor RFM - Kunci</dc:title>
</cp:coreProperties>
</file>

<file path=docProps/custom.xml><?xml version="1.0" encoding="utf-8"?>
<Properties xmlns="http://schemas.openxmlformats.org/officeDocument/2006/custom-properties" xmlns:vt="http://schemas.openxmlformats.org/officeDocument/2006/docPropsVTypes"/>
</file>