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<sst xmlns="http://schemas.openxmlformats.org/spreadsheetml/2006/main" count="245" uniqueCount="209">
  <si>
    <t xml:space="preserve">Kunci Jawaban: Kontrak Sewa Kendaraan Bulanan</t>
  </si>
  <si>
    <t xml:space="preserve">Latihan 96 dari 40  |  Tingkat: Lanjutan  |  Perkiraan waktu: 65 menit  |  pushexcel.github.io/Pushexcel</t>
  </si>
  <si>
    <t xml:space="preserve">Skenario</t>
  </si>
  <si>
    <t xml:space="preserve">Kamu staf administrasi Rental Kencana Motor yang mengelola 30 kontrak sewa kendaraan bulanan. Tiap kontrak punya penyewa, jenis kendaraan, tanggal mulai, dan durasi (bulan). Tarif per bulan diambil dari tabel jenis kendaraan di sheet Acuan. Tanggal akhir adalah satu hari sebelum tanggal yang sama pada bulan ke-durasi berikutnya (EDATE dikurangi 1 hari). Kontrak berdurasi 12 bulan atau lebih mendapat diskon 10 persen dari total (batas durasi dan persen diskon ada di blok Parameter). Tanggal acuan adalah 15 Oktober 2026. Status: Belum Mulai bila tanggal mulai setelah tanggal acuan, Habis bila tanggal akhir sebelum tanggal acuan, selain itu Aktif. Sisa bulan hanya dihitung untuk kontrak Aktif.</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</si>
  <si>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</si>
  <si>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</si>
  <si>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</si>
  <si>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</si>
  <si>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</si>
  <si>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</si>
  <si>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</si>
  <si>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</si>
  <si>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</si>
  <si>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</si>
  <si>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</si>
  <si>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</si>
  <si>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</si>
  <si>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</si>
  <si>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</si>
  <si>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</si>
  <si>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</si>
  <si>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</si>
  <si>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</si>
  <si>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</si>
  <si>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tarif per bulan tiap kontrak dari tabel jenis kendaraan di sheet Acuan, dengan pencocokan persis.</t>
  </si>
  <si>
    <t xml:space="preserve">Sheet Data, kolom F (Tarif per Bulan), baris 2 sampai 31</t>
  </si>
  <si>
    <t xml:space="preserve">=VLOOKUP(C2;Acuan!$A$2:$B$6;2;FALSE)</t>
  </si>
  <si>
    <t xml:space="preserve">2</t>
  </si>
  <si>
    <t xml:space="preserve">Hitung tanggal akhir kontrak: tanggal mulai ditambah durasi bulan dengan EDATE, lalu dikurangi 1 hari.</t>
  </si>
  <si>
    <t xml:space="preserve">Sheet Data, kolom G (Tanggal Akhir), baris 2 sampai 31</t>
  </si>
  <si>
    <t xml:space="preserve">=EDATE(D2;E2)-1</t>
  </si>
  <si>
    <t xml:space="preserve">3</t>
  </si>
  <si>
    <t xml:space="preserve">Hitung total sewa: tarif per bulan dikali durasi, dikurangi diskon bila durasi mencapai durasi minimal diskon. Bulatkan ke rupiah.</t>
  </si>
  <si>
    <t xml:space="preserve">Sheet Data, kolom H (Total Sewa), baris 2 sampai 31</t>
  </si>
  <si>
    <t xml:space="preserve">=ROUND(F2*E2*(1-IF(E2&gt;=$M$3;$M$4;0));0)</t>
  </si>
  <si>
    <t xml:space="preserve">4</t>
  </si>
  <si>
    <t xml:space="preserve">Beri status: Belum Mulai bila tanggal mulai setelah tanggal acuan, Habis bila tanggal akhir sebelum tanggal acuan, selain itu Aktif.</t>
  </si>
  <si>
    <t xml:space="preserve">Sheet Data, kolom I (Status), baris 2 sampai 31</t>
  </si>
  <si>
    <t xml:space="preserve">=IF(D2&gt;$M$2;"Belum Mulai";IF(G2&lt;$M$2;"Habis";"Aktif"))</t>
  </si>
  <si>
    <t xml:space="preserve">5</t>
  </si>
  <si>
    <t xml:space="preserve">Hitung sisa bulan penuh dari tanggal acuan sampai tanggal akhir, hanya untuk kontrak Aktif. Kontrak lain isi 0.</t>
  </si>
  <si>
    <t xml:space="preserve">Sheet Data, kolom J (Sisa Bulan), baris 2 sampai 31</t>
  </si>
  <si>
    <t xml:space="preserve">=IF(I2="Aktif";DATEDIF($M$2;G2;"M");0)</t>
  </si>
  <si>
    <t xml:space="preserve">6</t>
  </si>
  <si>
    <t xml:space="preserve">Pada sheet Acuan, hitung jumlah kontrak tiap jenis kendaraan.</t>
  </si>
  <si>
    <t xml:space="preserve">Sheet Acuan, kolom C (Jumlah Kontrak), baris 2 sampai 6</t>
  </si>
  <si>
    <t xml:space="preserve">=COUNTIF(Data!$C$2:$C$31;A2)</t>
  </si>
  <si>
    <t xml:space="preserve">7</t>
  </si>
  <si>
    <t xml:space="preserve">Pada sheet Acuan, hitung total sewa tiap jenis kendaraan.</t>
  </si>
  <si>
    <t xml:space="preserve">Sheet Acuan, kolom D (Total Sewa Jenis), baris 2 sampai 6</t>
  </si>
  <si>
    <t xml:space="preserve">=SUMIF(Data!$C$2:$C$31;A2;Data!$H$2:$H$31)</t>
  </si>
  <si>
    <t xml:space="preserve">8</t>
  </si>
  <si>
    <t xml:space="preserve">Pada sheet Acuan, hitung jumlah kontrak berstatus Aktif tiap jenis kendaraan.</t>
  </si>
  <si>
    <t xml:space="preserve">Sheet Acuan, kolom E (Kontrak Aktif), baris 2 sampai 6</t>
  </si>
  <si>
    <t xml:space="preserve">=COUNTIFS(Data!$C$2:$C$31;A2;Data!$I$2:$I$31;"Aktif")</t>
  </si>
  <si>
    <t xml:space="preserve">9</t>
  </si>
  <si>
    <t xml:space="preserve">Berapa total sewa seluruh kontrak, dan berapa rata-rata durasi kontrak (bulan)?</t>
  </si>
  <si>
    <t xml:space="preserve">Sheet Ringkasan, sel C4 sampai C5</t>
  </si>
  <si>
    <t xml:space="preserve">=SUM(Data!$H$2:$H$31)
=AVERAGE(Data!$E$2:$E$31)</t>
  </si>
  <si>
    <t xml:space="preserve">10</t>
  </si>
  <si>
    <t xml:space="preserve">Berapa kontrak yang Aktif, Habis, dan Belum Mulai?</t>
  </si>
  <si>
    <t xml:space="preserve">Sheet Ringkasan, sel C6 sampai C8</t>
  </si>
  <si>
    <t xml:space="preserve">=COUNTIF(Data!$I$2:$I$31;"Aktif")
=COUNTIF(Data!$I$2:$I$31;"Habis")
=COUNTIF(Data!$I$2:$I$31;"Belum Mulai")</t>
  </si>
  <si>
    <t xml:space="preserve">11</t>
  </si>
  <si>
    <t xml:space="preserve">Siapa penyewa dengan total sewa terbesar, dan siapa penyewa dengan tanggal akhir kontrak paling akhir?</t>
  </si>
  <si>
    <t xml:space="preserve">Sheet Ringkasan, sel C9 sampai C10</t>
  </si>
  <si>
    <t xml:space="preserve">=INDEX(Data!$B$2:$B$31;MATCH(MAX(Data!$H$2:$H$31);Data!$H$2:$H$31;0))
=INDEX(Data!$B$2:$B$31;MATCH(MAX(Data!$G$2:$G$31);Data!$G$2:$G$31;0))</t>
  </si>
  <si>
    <t xml:space="preserve">12</t>
  </si>
  <si>
    <t xml:space="preserve">Jenis kendaraan apa yang total sewanya terbesar, dan berapa kontrak Avanza yang masih Aktif?</t>
  </si>
  <si>
    <t xml:space="preserve">Sheet Ringkasan, sel C11 sampai C12</t>
  </si>
  <si>
    <t xml:space="preserve">=INDEX(Acuan!$A$2:$A$6;MATCH(MAX(Acuan!$D$2:$D$6);Acuan!$D$2:$D$6;0))
=INDEX(Acuan!$E$2:$E$6;MATCH("Avanza";Acuan!$A$2:$A$6;0))</t>
  </si>
  <si>
    <t xml:space="preserve">13</t>
  </si>
  <si>
    <t xml:space="preserve">Berapa total sewa dari kontrak yang Aktif, dan berapa rata-rata sisa bulan kontrak Aktif?</t>
  </si>
  <si>
    <t xml:space="preserve">Sheet Ringkasan, sel C13 sampai C14</t>
  </si>
  <si>
    <t xml:space="preserve">=SUMIF(Data!$I$2:$I$31;"Aktif";Data!$H$2:$H$31)
=AVERAGEIF(Data!$I$2:$I$31;"Aktif";Data!$J$2:$J$31)</t>
  </si>
  <si>
    <t xml:space="preserve">14</t>
  </si>
  <si>
    <t xml:space="preserve">Kapan tanggal mulai kontrak paling awal dan tanggal akhir kontrak paling akhir, dan berapa kontrak yang mendapat diskon (durasi 12 bulan atau lebih)?</t>
  </si>
  <si>
    <t xml:space="preserve">Sheet Ringkasan, sel C15 sampai C17</t>
  </si>
  <si>
    <t xml:space="preserve">=MIN(Data!$D$2:$D$31)
=MAX(Data!$G$2:$G$31)
=COUNTIF(Data!$E$2:$E$31;"&gt;=12")</t>
  </si>
  <si>
    <t xml:space="preserve">No Kontrak</t>
  </si>
  <si>
    <t xml:space="preserve">Penyewa</t>
  </si>
  <si>
    <t xml:space="preserve">Jenis Kendaraan</t>
  </si>
  <si>
    <t xml:space="preserve">Tanggal Mulai</t>
  </si>
  <si>
    <t xml:space="preserve">Durasi (Bulan)</t>
  </si>
  <si>
    <t xml:space="preserve">Tarif per Bulan</t>
  </si>
  <si>
    <t xml:space="preserve">Tanggal Akhir</t>
  </si>
  <si>
    <t xml:space="preserve">Total Sewa</t>
  </si>
  <si>
    <t xml:space="preserve">Status</t>
  </si>
  <si>
    <t xml:space="preserve">Sisa Bulan</t>
  </si>
  <si>
    <t xml:space="preserve">Parameter</t>
  </si>
  <si>
    <t xml:space="preserve">Nilai</t>
  </si>
  <si>
    <t xml:space="preserve">Keterangan</t>
  </si>
  <si>
    <t xml:space="preserve">KTR-001</t>
  </si>
  <si>
    <t xml:space="preserve">Jihan Lestari</t>
  </si>
  <si>
    <t xml:space="preserve">Pickup Bak</t>
  </si>
  <si>
    <t xml:space="preserve">Tanggal acuan</t>
  </si>
  <si>
    <t xml:space="preserve">Pengganti tanggal hari ini</t>
  </si>
  <si>
    <t xml:space="preserve">KTR-002</t>
  </si>
  <si>
    <t xml:space="preserve">Rahmat Syahputra</t>
  </si>
  <si>
    <t xml:space="preserve">Durasi minimal diskon</t>
  </si>
  <si>
    <t xml:space="preserve">Dalam bulan</t>
  </si>
  <si>
    <t xml:space="preserve">KTR-003</t>
  </si>
  <si>
    <t xml:space="preserve">Hadi Utomo</t>
  </si>
  <si>
    <t xml:space="preserve">Avanza</t>
  </si>
  <si>
    <t xml:space="preserve">Persen diskon</t>
  </si>
  <si>
    <t xml:space="preserve">KTR-004</t>
  </si>
  <si>
    <t xml:space="preserve">Novi Sari</t>
  </si>
  <si>
    <t xml:space="preserve">KTR-005</t>
  </si>
  <si>
    <t xml:space="preserve">Tono Ramadhan</t>
  </si>
  <si>
    <t xml:space="preserve">Innova</t>
  </si>
  <si>
    <t xml:space="preserve">KTR-006</t>
  </si>
  <si>
    <t xml:space="preserve">Novi Maharani</t>
  </si>
  <si>
    <t xml:space="preserve">KTR-007</t>
  </si>
  <si>
    <t xml:space="preserve">Indah Hartono</t>
  </si>
  <si>
    <t xml:space="preserve">Minibus Hiace</t>
  </si>
  <si>
    <t xml:space="preserve">KTR-008</t>
  </si>
  <si>
    <t xml:space="preserve">Maman Nugroho</t>
  </si>
  <si>
    <t xml:space="preserve">KTR-009</t>
  </si>
  <si>
    <t xml:space="preserve">Wahyu Wijaya</t>
  </si>
  <si>
    <t xml:space="preserve">KTR-010</t>
  </si>
  <si>
    <t xml:space="preserve">Jihan Amalia</t>
  </si>
  <si>
    <t xml:space="preserve">KTR-011</t>
  </si>
  <si>
    <t xml:space="preserve">Rizki Putra</t>
  </si>
  <si>
    <t xml:space="preserve">Motor Matic</t>
  </si>
  <si>
    <t xml:space="preserve">KTR-012</t>
  </si>
  <si>
    <t xml:space="preserve">Rizki Handayani</t>
  </si>
  <si>
    <t xml:space="preserve">KTR-013</t>
  </si>
  <si>
    <t xml:space="preserve">Yoga Fauzi</t>
  </si>
  <si>
    <t xml:space="preserve">KTR-014</t>
  </si>
  <si>
    <t xml:space="preserve">Joko Hartono</t>
  </si>
  <si>
    <t xml:space="preserve">KTR-015</t>
  </si>
  <si>
    <t xml:space="preserve">Prasetyo Kurniawan</t>
  </si>
  <si>
    <t xml:space="preserve">KTR-016</t>
  </si>
  <si>
    <t xml:space="preserve">Rizki Hartono</t>
  </si>
  <si>
    <t xml:space="preserve">KTR-017</t>
  </si>
  <si>
    <t xml:space="preserve">Yuni Maharani</t>
  </si>
  <si>
    <t xml:space="preserve">KTR-018</t>
  </si>
  <si>
    <t xml:space="preserve">Yoga Maharani</t>
  </si>
  <si>
    <t xml:space="preserve">KTR-019</t>
  </si>
  <si>
    <t xml:space="preserve">Vivi Saputra</t>
  </si>
  <si>
    <t xml:space="preserve">KTR-020</t>
  </si>
  <si>
    <t xml:space="preserve">Umar Fauzi</t>
  </si>
  <si>
    <t xml:space="preserve">KTR-021</t>
  </si>
  <si>
    <t xml:space="preserve">Bayu Yulianto</t>
  </si>
  <si>
    <t xml:space="preserve">KTR-022</t>
  </si>
  <si>
    <t xml:space="preserve">Irfan Maharani</t>
  </si>
  <si>
    <t xml:space="preserve">KTR-023</t>
  </si>
  <si>
    <t xml:space="preserve">Lestari Pangestu</t>
  </si>
  <si>
    <t xml:space="preserve">KTR-024</t>
  </si>
  <si>
    <t xml:space="preserve">Dian Permana</t>
  </si>
  <si>
    <t xml:space="preserve">KTR-025</t>
  </si>
  <si>
    <t xml:space="preserve">Novi Hidayat</t>
  </si>
  <si>
    <t xml:space="preserve">KTR-026</t>
  </si>
  <si>
    <t xml:space="preserve">Wawan Anggraini</t>
  </si>
  <si>
    <t xml:space="preserve">KTR-027</t>
  </si>
  <si>
    <t xml:space="preserve">Galih Rahayu</t>
  </si>
  <si>
    <t xml:space="preserve">KTR-028</t>
  </si>
  <si>
    <t xml:space="preserve">Eka Suryani</t>
  </si>
  <si>
    <t xml:space="preserve">KTR-029</t>
  </si>
  <si>
    <t xml:space="preserve">Hesti Susanto</t>
  </si>
  <si>
    <t xml:space="preserve">KTR-030</t>
  </si>
  <si>
    <t xml:space="preserve">Tono Yulianto</t>
  </si>
  <si>
    <t xml:space="preserve">Tarif Dasar</t>
  </si>
  <si>
    <t xml:space="preserve">Jumlah Kontrak</t>
  </si>
  <si>
    <t xml:space="preserve">Total Sewa Jenis</t>
  </si>
  <si>
    <t xml:space="preserve">Kontrak Aktif</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</si>
  <si>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</si>
  <si>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</si>
  <si>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</si>
  <si>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</si>
  <si>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</si>
  <si>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</si>
  <si>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sewa seluruh kontrak</t>
  </si>
  <si>
    <t xml:space="preserve">Rupiah, mis. Rp 900.000.000</t>
  </si>
  <si>
    <t xml:space="preserve">9b</t>
  </si>
  <si>
    <t xml:space="preserve">Rata-rata durasi kontrak (bulan)</t>
  </si>
  <si>
    <t xml:space="preserve">Angka desimal, mis. 8,5</t>
  </si>
  <si>
    <t xml:space="preserve">10a</t>
  </si>
  <si>
    <t xml:space="preserve">Angka bulat, mis. 12</t>
  </si>
  <si>
    <t xml:space="preserve">10b</t>
  </si>
  <si>
    <t xml:space="preserve">Kontrak Habis</t>
  </si>
  <si>
    <t xml:space="preserve">Angka bulat, mis. 10</t>
  </si>
  <si>
    <t xml:space="preserve">10c</t>
  </si>
  <si>
    <t xml:space="preserve">Kontrak Belum Mulai</t>
  </si>
  <si>
    <t xml:space="preserve">Angka bulat, mis. 5</t>
  </si>
  <si>
    <t xml:space="preserve">11a</t>
  </si>
  <si>
    <t xml:space="preserve">Penyewa dengan total sewa terbesar</t>
  </si>
  <si>
    <t xml:space="preserve">Teks: nama penyewa</t>
  </si>
  <si>
    <t xml:space="preserve">11b</t>
  </si>
  <si>
    <t xml:space="preserve">Penyewa dengan tanggal akhir paling akhir</t>
  </si>
  <si>
    <t xml:space="preserve">12a</t>
  </si>
  <si>
    <t xml:space="preserve">Jenis dengan total sewa terbesar</t>
  </si>
  <si>
    <t xml:space="preserve">Teks: jenis kendaraan</t>
  </si>
  <si>
    <t xml:space="preserve">12b</t>
  </si>
  <si>
    <t xml:space="preserve">Kontrak Avanza yang Aktif</t>
  </si>
  <si>
    <t xml:space="preserve">Angka bulat, mis. 3</t>
  </si>
  <si>
    <t xml:space="preserve">13a</t>
  </si>
  <si>
    <t xml:space="preserve">Total sewa kontrak Aktif</t>
  </si>
  <si>
    <t xml:space="preserve">Rupiah, mis. Rp 400.000.000</t>
  </si>
  <si>
    <t xml:space="preserve">13b</t>
  </si>
  <si>
    <t xml:space="preserve">Rata-rata sisa bulan kontrak Aktif</t>
  </si>
  <si>
    <t xml:space="preserve">Angka desimal, mis. 6,25</t>
  </si>
  <si>
    <t xml:space="preserve">14a</t>
  </si>
  <si>
    <t xml:space="preserve">Tanggal mulai paling awal</t>
  </si>
  <si>
    <t xml:space="preserve">Tanggal, mis. 14/10/2026</t>
  </si>
  <si>
    <t xml:space="preserve">14b</t>
  </si>
  <si>
    <t xml:space="preserve">Tanggal akhir paling akhir</t>
  </si>
  <si>
    <t xml:space="preserve">14c</t>
  </si>
  <si>
    <t xml:space="preserve">Kontrak yang mendapat diskon</t>
  </si>
</sst>
</file>

<file path=xl/styles.xml><?xml version="1.0" encoding="utf-8"?>
<styleSheet xmlns="http://schemas.openxmlformats.org/spreadsheetml/2006/main">
  <numFmts count="7">
    <numFmt numFmtId="164" formatCode="General"/>
    <numFmt numFmtId="165" formatCode="dd/mm/yyyy"/>
    <numFmt numFmtId="166" formatCode="0"/>
    <numFmt numFmtId="167" formatCode="&quot;Rp &quot;#,##0"/>
    <numFmt numFmtId="168" formatCode="0%"/>
    <numFmt numFmtId="169" formatCode="0.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69.7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7"/>
    <col collapsed="false" customWidth="true" hidden="false" outlineLevel="0" max="5" min="4" style="0" width="14"/>
    <col collapsed="false" customWidth="true" hidden="false" outlineLevel="0" max="6" min="6" style="0" width="15"/>
    <col collapsed="false" customWidth="true" hidden="false" outlineLevel="0" max="7" min="7" style="0" width="14"/>
    <col collapsed="false" customWidth="true" hidden="false" outlineLevel="0" max="8" min="8" style="0" width="16"/>
    <col collapsed="false" customWidth="true" hidden="false" outlineLevel="0" max="9" min="9" style="0" width="13"/>
    <col collapsed="false" customWidth="true" hidden="false" outlineLevel="0" max="10" min="10" style="0" width="11"/>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L1" s="16" t="s">
        <v>89</v>
      </c>
      <c r="M1" s="16" t="s">
        <v>90</v>
      </c>
      <c r="N1" s="16" t="s">
        <v>91</v>
      </c>
    </row>
    <row r="2" customFormat="false" ht="15" hidden="false" customHeight="false" outlineLevel="0" collapsed="false">
      <c r="A2" s="17" t="s">
        <v>92</v>
      </c>
      <c r="B2" s="17" t="s">
        <v>93</v>
      </c>
      <c r="C2" s="17" t="s">
        <v>94</v>
      </c>
      <c r="D2" s="18" t="n">
        <v>45668</v>
      </c>
      <c r="E2" s="19" t="n">
        <v>1</v>
      </c>
      <c r="F2" s="20" t="n">
        <f aca="false">VLOOKUP(C2,Acuan!$A$2:$B$6,2,FALSE())</f>
        <v>4800000</v>
      </c>
      <c r="G2" s="21" t="n">
        <f aca="false">EDATE(D2,E2)-1</f>
        <v>45698</v>
      </c>
      <c r="H2" s="20" t="n">
        <f aca="false">ROUND(F2*E2*(1-IF(E2&gt;=$M$3,$M$4,0)),0)</f>
        <v>4800000</v>
      </c>
      <c r="I2" s="22" t="str">
        <f aca="false">IF(D2&gt;$M$2,"Belum Mulai",IF(G2&lt;$M$2,"Habis","Aktif"))</f>
        <v>Habis</v>
      </c>
      <c r="J2" s="23" t="n">
        <f aca="false">IF(I2="Aktif",DATEDIF($M$2,G2,"M"),0)</f>
        <v>0</v>
      </c>
      <c r="L2" s="24" t="s">
        <v>95</v>
      </c>
      <c r="M2" s="25" t="n">
        <v>46310</v>
      </c>
      <c r="N2" s="24" t="s">
        <v>96</v>
      </c>
    </row>
    <row r="3" customFormat="false" ht="15" hidden="false" customHeight="false" outlineLevel="0" collapsed="false">
      <c r="A3" s="17" t="s">
        <v>97</v>
      </c>
      <c r="B3" s="17" t="s">
        <v>98</v>
      </c>
      <c r="C3" s="17" t="s">
        <v>94</v>
      </c>
      <c r="D3" s="18" t="n">
        <v>45700</v>
      </c>
      <c r="E3" s="19" t="n">
        <v>24</v>
      </c>
      <c r="F3" s="20" t="n">
        <f aca="false">VLOOKUP(C3,Acuan!$A$2:$B$6,2,FALSE())</f>
        <v>4800000</v>
      </c>
      <c r="G3" s="21" t="n">
        <f aca="false">EDATE(D3,E3)-1</f>
        <v>46429</v>
      </c>
      <c r="H3" s="20" t="n">
        <f aca="false">ROUND(F3*E3*(1-IF(E3&gt;=$M$3,$M$4,0)),0)</f>
        <v>103680000</v>
      </c>
      <c r="I3" s="22" t="str">
        <f aca="false">IF(D3&gt;$M$2,"Belum Mulai",IF(G3&lt;$M$2,"Habis","Aktif"))</f>
        <v>Aktif</v>
      </c>
      <c r="J3" s="23" t="n">
        <f aca="false">IF(I3="Aktif",DATEDIF($M$2,G3,"M"),0)</f>
        <v>3</v>
      </c>
      <c r="L3" s="24" t="s">
        <v>99</v>
      </c>
      <c r="M3" s="26" t="n">
        <v>12</v>
      </c>
      <c r="N3" s="24" t="s">
        <v>100</v>
      </c>
    </row>
    <row r="4" customFormat="false" ht="15" hidden="false" customHeight="false" outlineLevel="0" collapsed="false">
      <c r="A4" s="17" t="s">
        <v>101</v>
      </c>
      <c r="B4" s="17" t="s">
        <v>102</v>
      </c>
      <c r="C4" s="17" t="s">
        <v>103</v>
      </c>
      <c r="D4" s="18" t="n">
        <v>45708</v>
      </c>
      <c r="E4" s="19" t="n">
        <v>6</v>
      </c>
      <c r="F4" s="20" t="n">
        <f aca="false">VLOOKUP(C4,Acuan!$A$2:$B$6,2,FALSE())</f>
        <v>5500000</v>
      </c>
      <c r="G4" s="21" t="n">
        <f aca="false">EDATE(D4,E4)-1</f>
        <v>45888</v>
      </c>
      <c r="H4" s="20" t="n">
        <f aca="false">ROUND(F4*E4*(1-IF(E4&gt;=$M$3,$M$4,0)),0)</f>
        <v>33000000</v>
      </c>
      <c r="I4" s="22" t="str">
        <f aca="false">IF(D4&gt;$M$2,"Belum Mulai",IF(G4&lt;$M$2,"Habis","Aktif"))</f>
        <v>Habis</v>
      </c>
      <c r="J4" s="23" t="n">
        <f aca="false">IF(I4="Aktif",DATEDIF($M$2,G4,"M"),0)</f>
        <v>0</v>
      </c>
      <c r="L4" s="24" t="s">
        <v>104</v>
      </c>
      <c r="M4" s="27" t="n">
        <v>0.1</v>
      </c>
      <c r="N4" s="24"/>
    </row>
    <row r="5" customFormat="false" ht="15" hidden="false" customHeight="false" outlineLevel="0" collapsed="false">
      <c r="A5" s="17" t="s">
        <v>105</v>
      </c>
      <c r="B5" s="17" t="s">
        <v>106</v>
      </c>
      <c r="C5" s="17" t="s">
        <v>103</v>
      </c>
      <c r="D5" s="18" t="n">
        <v>45727</v>
      </c>
      <c r="E5" s="19" t="n">
        <v>1</v>
      </c>
      <c r="F5" s="20" t="n">
        <f aca="false">VLOOKUP(C5,Acuan!$A$2:$B$6,2,FALSE())</f>
        <v>5500000</v>
      </c>
      <c r="G5" s="21" t="n">
        <f aca="false">EDATE(D5,E5)-1</f>
        <v>45757</v>
      </c>
      <c r="H5" s="20" t="n">
        <f aca="false">ROUND(F5*E5*(1-IF(E5&gt;=$M$3,$M$4,0)),0)</f>
        <v>5500000</v>
      </c>
      <c r="I5" s="22" t="str">
        <f aca="false">IF(D5&gt;$M$2,"Belum Mulai",IF(G5&lt;$M$2,"Habis","Aktif"))</f>
        <v>Habis</v>
      </c>
      <c r="J5" s="23" t="n">
        <f aca="false">IF(I5="Aktif",DATEDIF($M$2,G5,"M"),0)</f>
        <v>0</v>
      </c>
    </row>
    <row r="6" customFormat="false" ht="15" hidden="false" customHeight="false" outlineLevel="0" collapsed="false">
      <c r="A6" s="17" t="s">
        <v>107</v>
      </c>
      <c r="B6" s="17" t="s">
        <v>108</v>
      </c>
      <c r="C6" s="17" t="s">
        <v>109</v>
      </c>
      <c r="D6" s="18" t="n">
        <v>45774</v>
      </c>
      <c r="E6" s="19" t="n">
        <v>3</v>
      </c>
      <c r="F6" s="20" t="n">
        <f aca="false">VLOOKUP(C6,Acuan!$A$2:$B$6,2,FALSE())</f>
        <v>8500000</v>
      </c>
      <c r="G6" s="21" t="n">
        <f aca="false">EDATE(D6,E6)-1</f>
        <v>45864</v>
      </c>
      <c r="H6" s="20" t="n">
        <f aca="false">ROUND(F6*E6*(1-IF(E6&gt;=$M$3,$M$4,0)),0)</f>
        <v>25500000</v>
      </c>
      <c r="I6" s="22" t="str">
        <f aca="false">IF(D6&gt;$M$2,"Belum Mulai",IF(G6&lt;$M$2,"Habis","Aktif"))</f>
        <v>Habis</v>
      </c>
      <c r="J6" s="23" t="n">
        <f aca="false">IF(I6="Aktif",DATEDIF($M$2,G6,"M"),0)</f>
        <v>0</v>
      </c>
    </row>
    <row r="7" customFormat="false" ht="15" hidden="false" customHeight="false" outlineLevel="0" collapsed="false">
      <c r="A7" s="17" t="s">
        <v>110</v>
      </c>
      <c r="B7" s="17" t="s">
        <v>111</v>
      </c>
      <c r="C7" s="17" t="s">
        <v>109</v>
      </c>
      <c r="D7" s="18" t="n">
        <v>45775</v>
      </c>
      <c r="E7" s="19" t="n">
        <v>18</v>
      </c>
      <c r="F7" s="20" t="n">
        <f aca="false">VLOOKUP(C7,Acuan!$A$2:$B$6,2,FALSE())</f>
        <v>8500000</v>
      </c>
      <c r="G7" s="21" t="n">
        <f aca="false">EDATE(D7,E7)-1</f>
        <v>46322</v>
      </c>
      <c r="H7" s="20" t="n">
        <f aca="false">ROUND(F7*E7*(1-IF(E7&gt;=$M$3,$M$4,0)),0)</f>
        <v>137700000</v>
      </c>
      <c r="I7" s="22" t="str">
        <f aca="false">IF(D7&gt;$M$2,"Belum Mulai",IF(G7&lt;$M$2,"Habis","Aktif"))</f>
        <v>Aktif</v>
      </c>
      <c r="J7" s="23" t="n">
        <f aca="false">IF(I7="Aktif",DATEDIF($M$2,G7,"M"),0)</f>
        <v>0</v>
      </c>
    </row>
    <row r="8" customFormat="false" ht="15" hidden="false" customHeight="false" outlineLevel="0" collapsed="false">
      <c r="A8" s="17" t="s">
        <v>112</v>
      </c>
      <c r="B8" s="17" t="s">
        <v>113</v>
      </c>
      <c r="C8" s="17" t="s">
        <v>114</v>
      </c>
      <c r="D8" s="18" t="n">
        <v>45826</v>
      </c>
      <c r="E8" s="19" t="n">
        <v>3</v>
      </c>
      <c r="F8" s="20" t="n">
        <f aca="false">VLOOKUP(C8,Acuan!$A$2:$B$6,2,FALSE())</f>
        <v>14000000</v>
      </c>
      <c r="G8" s="21" t="n">
        <f aca="false">EDATE(D8,E8)-1</f>
        <v>45917</v>
      </c>
      <c r="H8" s="20" t="n">
        <f aca="false">ROUND(F8*E8*(1-IF(E8&gt;=$M$3,$M$4,0)),0)</f>
        <v>42000000</v>
      </c>
      <c r="I8" s="22" t="str">
        <f aca="false">IF(D8&gt;$M$2,"Belum Mulai",IF(G8&lt;$M$2,"Habis","Aktif"))</f>
        <v>Habis</v>
      </c>
      <c r="J8" s="23" t="n">
        <f aca="false">IF(I8="Aktif",DATEDIF($M$2,G8,"M"),0)</f>
        <v>0</v>
      </c>
    </row>
    <row r="9" customFormat="false" ht="15" hidden="false" customHeight="false" outlineLevel="0" collapsed="false">
      <c r="A9" s="17" t="s">
        <v>115</v>
      </c>
      <c r="B9" s="17" t="s">
        <v>116</v>
      </c>
      <c r="C9" s="17" t="s">
        <v>103</v>
      </c>
      <c r="D9" s="18" t="n">
        <v>45891</v>
      </c>
      <c r="E9" s="19" t="n">
        <v>24</v>
      </c>
      <c r="F9" s="20" t="n">
        <f aca="false">VLOOKUP(C9,Acuan!$A$2:$B$6,2,FALSE())</f>
        <v>5500000</v>
      </c>
      <c r="G9" s="21" t="n">
        <f aca="false">EDATE(D9,E9)-1</f>
        <v>46620</v>
      </c>
      <c r="H9" s="20" t="n">
        <f aca="false">ROUND(F9*E9*(1-IF(E9&gt;=$M$3,$M$4,0)),0)</f>
        <v>118800000</v>
      </c>
      <c r="I9" s="22" t="str">
        <f aca="false">IF(D9&gt;$M$2,"Belum Mulai",IF(G9&lt;$M$2,"Habis","Aktif"))</f>
        <v>Aktif</v>
      </c>
      <c r="J9" s="23" t="n">
        <f aca="false">IF(I9="Aktif",DATEDIF($M$2,G9,"M"),0)</f>
        <v>10</v>
      </c>
    </row>
    <row r="10" customFormat="false" ht="15" hidden="false" customHeight="false" outlineLevel="0" collapsed="false">
      <c r="A10" s="17" t="s">
        <v>117</v>
      </c>
      <c r="B10" s="17" t="s">
        <v>118</v>
      </c>
      <c r="C10" s="17" t="s">
        <v>114</v>
      </c>
      <c r="D10" s="18" t="n">
        <v>45894</v>
      </c>
      <c r="E10" s="19" t="n">
        <v>3</v>
      </c>
      <c r="F10" s="20" t="n">
        <f aca="false">VLOOKUP(C10,Acuan!$A$2:$B$6,2,FALSE())</f>
        <v>14000000</v>
      </c>
      <c r="G10" s="21" t="n">
        <f aca="false">EDATE(D10,E10)-1</f>
        <v>45985</v>
      </c>
      <c r="H10" s="20" t="n">
        <f aca="false">ROUND(F10*E10*(1-IF(E10&gt;=$M$3,$M$4,0)),0)</f>
        <v>42000000</v>
      </c>
      <c r="I10" s="22" t="str">
        <f aca="false">IF(D10&gt;$M$2,"Belum Mulai",IF(G10&lt;$M$2,"Habis","Aktif"))</f>
        <v>Habis</v>
      </c>
      <c r="J10" s="23" t="n">
        <f aca="false">IF(I10="Aktif",DATEDIF($M$2,G10,"M"),0)</f>
        <v>0</v>
      </c>
    </row>
    <row r="11" customFormat="false" ht="15" hidden="false" customHeight="false" outlineLevel="0" collapsed="false">
      <c r="A11" s="17" t="s">
        <v>119</v>
      </c>
      <c r="B11" s="17" t="s">
        <v>120</v>
      </c>
      <c r="C11" s="17" t="s">
        <v>94</v>
      </c>
      <c r="D11" s="18" t="n">
        <v>45994</v>
      </c>
      <c r="E11" s="19" t="n">
        <v>18</v>
      </c>
      <c r="F11" s="20" t="n">
        <f aca="false">VLOOKUP(C11,Acuan!$A$2:$B$6,2,FALSE())</f>
        <v>4800000</v>
      </c>
      <c r="G11" s="21" t="n">
        <f aca="false">EDATE(D11,E11)-1</f>
        <v>46540</v>
      </c>
      <c r="H11" s="20" t="n">
        <f aca="false">ROUND(F11*E11*(1-IF(E11&gt;=$M$3,$M$4,0)),0)</f>
        <v>77760000</v>
      </c>
      <c r="I11" s="22" t="str">
        <f aca="false">IF(D11&gt;$M$2,"Belum Mulai",IF(G11&lt;$M$2,"Habis","Aktif"))</f>
        <v>Aktif</v>
      </c>
      <c r="J11" s="23" t="n">
        <f aca="false">IF(I11="Aktif",DATEDIF($M$2,G11,"M"),0)</f>
        <v>7</v>
      </c>
    </row>
    <row r="12" customFormat="false" ht="15" hidden="false" customHeight="false" outlineLevel="0" collapsed="false">
      <c r="A12" s="17" t="s">
        <v>121</v>
      </c>
      <c r="B12" s="17" t="s">
        <v>122</v>
      </c>
      <c r="C12" s="17" t="s">
        <v>123</v>
      </c>
      <c r="D12" s="18" t="n">
        <v>46009</v>
      </c>
      <c r="E12" s="19" t="n">
        <v>12</v>
      </c>
      <c r="F12" s="20" t="n">
        <f aca="false">VLOOKUP(C12,Acuan!$A$2:$B$6,2,FALSE())</f>
        <v>1100000</v>
      </c>
      <c r="G12" s="21" t="n">
        <f aca="false">EDATE(D12,E12)-1</f>
        <v>46373</v>
      </c>
      <c r="H12" s="20" t="n">
        <f aca="false">ROUND(F12*E12*(1-IF(E12&gt;=$M$3,$M$4,0)),0)</f>
        <v>11880000</v>
      </c>
      <c r="I12" s="22" t="str">
        <f aca="false">IF(D12&gt;$M$2,"Belum Mulai",IF(G12&lt;$M$2,"Habis","Aktif"))</f>
        <v>Aktif</v>
      </c>
      <c r="J12" s="23" t="n">
        <f aca="false">IF(I12="Aktif",DATEDIF($M$2,G12,"M"),0)</f>
        <v>2</v>
      </c>
    </row>
    <row r="13" customFormat="false" ht="15" hidden="false" customHeight="false" outlineLevel="0" collapsed="false">
      <c r="A13" s="17" t="s">
        <v>124</v>
      </c>
      <c r="B13" s="17" t="s">
        <v>125</v>
      </c>
      <c r="C13" s="17" t="s">
        <v>94</v>
      </c>
      <c r="D13" s="18" t="n">
        <v>46017</v>
      </c>
      <c r="E13" s="19" t="n">
        <v>24</v>
      </c>
      <c r="F13" s="20" t="n">
        <f aca="false">VLOOKUP(C13,Acuan!$A$2:$B$6,2,FALSE())</f>
        <v>4800000</v>
      </c>
      <c r="G13" s="21" t="n">
        <f aca="false">EDATE(D13,E13)-1</f>
        <v>46746</v>
      </c>
      <c r="H13" s="20" t="n">
        <f aca="false">ROUND(F13*E13*(1-IF(E13&gt;=$M$3,$M$4,0)),0)</f>
        <v>103680000</v>
      </c>
      <c r="I13" s="22" t="str">
        <f aca="false">IF(D13&gt;$M$2,"Belum Mulai",IF(G13&lt;$M$2,"Habis","Aktif"))</f>
        <v>Aktif</v>
      </c>
      <c r="J13" s="23" t="n">
        <f aca="false">IF(I13="Aktif",DATEDIF($M$2,G13,"M"),0)</f>
        <v>14</v>
      </c>
    </row>
    <row r="14" customFormat="false" ht="15" hidden="false" customHeight="false" outlineLevel="0" collapsed="false">
      <c r="A14" s="17" t="s">
        <v>126</v>
      </c>
      <c r="B14" s="17" t="s">
        <v>127</v>
      </c>
      <c r="C14" s="17" t="s">
        <v>109</v>
      </c>
      <c r="D14" s="18" t="n">
        <v>46045</v>
      </c>
      <c r="E14" s="19" t="n">
        <v>3</v>
      </c>
      <c r="F14" s="20" t="n">
        <f aca="false">VLOOKUP(C14,Acuan!$A$2:$B$6,2,FALSE())</f>
        <v>8500000</v>
      </c>
      <c r="G14" s="21" t="n">
        <f aca="false">EDATE(D14,E14)-1</f>
        <v>46134</v>
      </c>
      <c r="H14" s="20" t="n">
        <f aca="false">ROUND(F14*E14*(1-IF(E14&gt;=$M$3,$M$4,0)),0)</f>
        <v>25500000</v>
      </c>
      <c r="I14" s="22" t="str">
        <f aca="false">IF(D14&gt;$M$2,"Belum Mulai",IF(G14&lt;$M$2,"Habis","Aktif"))</f>
        <v>Habis</v>
      </c>
      <c r="J14" s="23" t="n">
        <f aca="false">IF(I14="Aktif",DATEDIF($M$2,G14,"M"),0)</f>
        <v>0</v>
      </c>
    </row>
    <row r="15" customFormat="false" ht="15" hidden="false" customHeight="false" outlineLevel="0" collapsed="false">
      <c r="A15" s="17" t="s">
        <v>128</v>
      </c>
      <c r="B15" s="17" t="s">
        <v>129</v>
      </c>
      <c r="C15" s="17" t="s">
        <v>94</v>
      </c>
      <c r="D15" s="18" t="n">
        <v>46092</v>
      </c>
      <c r="E15" s="19" t="n">
        <v>6</v>
      </c>
      <c r="F15" s="20" t="n">
        <f aca="false">VLOOKUP(C15,Acuan!$A$2:$B$6,2,FALSE())</f>
        <v>4800000</v>
      </c>
      <c r="G15" s="21" t="n">
        <f aca="false">EDATE(D15,E15)-1</f>
        <v>46275</v>
      </c>
      <c r="H15" s="20" t="n">
        <f aca="false">ROUND(F15*E15*(1-IF(E15&gt;=$M$3,$M$4,0)),0)</f>
        <v>28800000</v>
      </c>
      <c r="I15" s="22" t="str">
        <f aca="false">IF(D15&gt;$M$2,"Belum Mulai",IF(G15&lt;$M$2,"Habis","Aktif"))</f>
        <v>Habis</v>
      </c>
      <c r="J15" s="23" t="n">
        <f aca="false">IF(I15="Aktif",DATEDIF($M$2,G15,"M"),0)</f>
        <v>0</v>
      </c>
    </row>
    <row r="16" customFormat="false" ht="15" hidden="false" customHeight="false" outlineLevel="0" collapsed="false">
      <c r="A16" s="17" t="s">
        <v>130</v>
      </c>
      <c r="B16" s="17" t="s">
        <v>131</v>
      </c>
      <c r="C16" s="17" t="s">
        <v>123</v>
      </c>
      <c r="D16" s="18" t="n">
        <v>46103</v>
      </c>
      <c r="E16" s="19" t="n">
        <v>6</v>
      </c>
      <c r="F16" s="20" t="n">
        <f aca="false">VLOOKUP(C16,Acuan!$A$2:$B$6,2,FALSE())</f>
        <v>1100000</v>
      </c>
      <c r="G16" s="21" t="n">
        <f aca="false">EDATE(D16,E16)-1</f>
        <v>46286</v>
      </c>
      <c r="H16" s="20" t="n">
        <f aca="false">ROUND(F16*E16*(1-IF(E16&gt;=$M$3,$M$4,0)),0)</f>
        <v>6600000</v>
      </c>
      <c r="I16" s="22" t="str">
        <f aca="false">IF(D16&gt;$M$2,"Belum Mulai",IF(G16&lt;$M$2,"Habis","Aktif"))</f>
        <v>Habis</v>
      </c>
      <c r="J16" s="23" t="n">
        <f aca="false">IF(I16="Aktif",DATEDIF($M$2,G16,"M"),0)</f>
        <v>0</v>
      </c>
    </row>
    <row r="17" customFormat="false" ht="15" hidden="false" customHeight="false" outlineLevel="0" collapsed="false">
      <c r="A17" s="17" t="s">
        <v>132</v>
      </c>
      <c r="B17" s="17" t="s">
        <v>133</v>
      </c>
      <c r="C17" s="17" t="s">
        <v>123</v>
      </c>
      <c r="D17" s="18" t="n">
        <v>46105</v>
      </c>
      <c r="E17" s="19" t="n">
        <v>2</v>
      </c>
      <c r="F17" s="20" t="n">
        <f aca="false">VLOOKUP(C17,Acuan!$A$2:$B$6,2,FALSE())</f>
        <v>1100000</v>
      </c>
      <c r="G17" s="21" t="n">
        <f aca="false">EDATE(D17,E17)-1</f>
        <v>46165</v>
      </c>
      <c r="H17" s="20" t="n">
        <f aca="false">ROUND(F17*E17*(1-IF(E17&gt;=$M$3,$M$4,0)),0)</f>
        <v>2200000</v>
      </c>
      <c r="I17" s="22" t="str">
        <f aca="false">IF(D17&gt;$M$2,"Belum Mulai",IF(G17&lt;$M$2,"Habis","Aktif"))</f>
        <v>Habis</v>
      </c>
      <c r="J17" s="23" t="n">
        <f aca="false">IF(I17="Aktif",DATEDIF($M$2,G17,"M"),0)</f>
        <v>0</v>
      </c>
    </row>
    <row r="18" customFormat="false" ht="15" hidden="false" customHeight="false" outlineLevel="0" collapsed="false">
      <c r="A18" s="17" t="s">
        <v>134</v>
      </c>
      <c r="B18" s="17" t="s">
        <v>135</v>
      </c>
      <c r="C18" s="17" t="s">
        <v>114</v>
      </c>
      <c r="D18" s="18" t="n">
        <v>46113</v>
      </c>
      <c r="E18" s="19" t="n">
        <v>9</v>
      </c>
      <c r="F18" s="20" t="n">
        <f aca="false">VLOOKUP(C18,Acuan!$A$2:$B$6,2,FALSE())</f>
        <v>14000000</v>
      </c>
      <c r="G18" s="21" t="n">
        <f aca="false">EDATE(D18,E18)-1</f>
        <v>46387</v>
      </c>
      <c r="H18" s="20" t="n">
        <f aca="false">ROUND(F18*E18*(1-IF(E18&gt;=$M$3,$M$4,0)),0)</f>
        <v>126000000</v>
      </c>
      <c r="I18" s="22" t="str">
        <f aca="false">IF(D18&gt;$M$2,"Belum Mulai",IF(G18&lt;$M$2,"Habis","Aktif"))</f>
        <v>Aktif</v>
      </c>
      <c r="J18" s="23" t="n">
        <f aca="false">IF(I18="Aktif",DATEDIF($M$2,G18,"M"),0)</f>
        <v>2</v>
      </c>
    </row>
    <row r="19" customFormat="false" ht="15" hidden="false" customHeight="false" outlineLevel="0" collapsed="false">
      <c r="A19" s="17" t="s">
        <v>136</v>
      </c>
      <c r="B19" s="17" t="s">
        <v>137</v>
      </c>
      <c r="C19" s="17" t="s">
        <v>103</v>
      </c>
      <c r="D19" s="18" t="n">
        <v>46135</v>
      </c>
      <c r="E19" s="19" t="n">
        <v>12</v>
      </c>
      <c r="F19" s="20" t="n">
        <f aca="false">VLOOKUP(C19,Acuan!$A$2:$B$6,2,FALSE())</f>
        <v>5500000</v>
      </c>
      <c r="G19" s="21" t="n">
        <f aca="false">EDATE(D19,E19)-1</f>
        <v>46499</v>
      </c>
      <c r="H19" s="20" t="n">
        <f aca="false">ROUND(F19*E19*(1-IF(E19&gt;=$M$3,$M$4,0)),0)</f>
        <v>59400000</v>
      </c>
      <c r="I19" s="22" t="str">
        <f aca="false">IF(D19&gt;$M$2,"Belum Mulai",IF(G19&lt;$M$2,"Habis","Aktif"))</f>
        <v>Aktif</v>
      </c>
      <c r="J19" s="23" t="n">
        <f aca="false">IF(I19="Aktif",DATEDIF($M$2,G19,"M"),0)</f>
        <v>6</v>
      </c>
    </row>
    <row r="20" customFormat="false" ht="15" hidden="false" customHeight="false" outlineLevel="0" collapsed="false">
      <c r="A20" s="17" t="s">
        <v>138</v>
      </c>
      <c r="B20" s="17" t="s">
        <v>139</v>
      </c>
      <c r="C20" s="17" t="s">
        <v>103</v>
      </c>
      <c r="D20" s="18" t="n">
        <v>46136</v>
      </c>
      <c r="E20" s="19" t="n">
        <v>3</v>
      </c>
      <c r="F20" s="20" t="n">
        <f aca="false">VLOOKUP(C20,Acuan!$A$2:$B$6,2,FALSE())</f>
        <v>5500000</v>
      </c>
      <c r="G20" s="21" t="n">
        <f aca="false">EDATE(D20,E20)-1</f>
        <v>46226</v>
      </c>
      <c r="H20" s="20" t="n">
        <f aca="false">ROUND(F20*E20*(1-IF(E20&gt;=$M$3,$M$4,0)),0)</f>
        <v>16500000</v>
      </c>
      <c r="I20" s="22" t="str">
        <f aca="false">IF(D20&gt;$M$2,"Belum Mulai",IF(G20&lt;$M$2,"Habis","Aktif"))</f>
        <v>Habis</v>
      </c>
      <c r="J20" s="23" t="n">
        <f aca="false">IF(I20="Aktif",DATEDIF($M$2,G20,"M"),0)</f>
        <v>0</v>
      </c>
    </row>
    <row r="21" customFormat="false" ht="15" hidden="false" customHeight="false" outlineLevel="0" collapsed="false">
      <c r="A21" s="17" t="s">
        <v>140</v>
      </c>
      <c r="B21" s="17" t="s">
        <v>141</v>
      </c>
      <c r="C21" s="17" t="s">
        <v>123</v>
      </c>
      <c r="D21" s="18" t="n">
        <v>46164</v>
      </c>
      <c r="E21" s="19" t="n">
        <v>12</v>
      </c>
      <c r="F21" s="20" t="n">
        <f aca="false">VLOOKUP(C21,Acuan!$A$2:$B$6,2,FALSE())</f>
        <v>1100000</v>
      </c>
      <c r="G21" s="21" t="n">
        <f aca="false">EDATE(D21,E21)-1</f>
        <v>46528</v>
      </c>
      <c r="H21" s="20" t="n">
        <f aca="false">ROUND(F21*E21*(1-IF(E21&gt;=$M$3,$M$4,0)),0)</f>
        <v>11880000</v>
      </c>
      <c r="I21" s="22" t="str">
        <f aca="false">IF(D21&gt;$M$2,"Belum Mulai",IF(G21&lt;$M$2,"Habis","Aktif"))</f>
        <v>Aktif</v>
      </c>
      <c r="J21" s="23" t="n">
        <f aca="false">IF(I21="Aktif",DATEDIF($M$2,G21,"M"),0)</f>
        <v>7</v>
      </c>
    </row>
    <row r="22" customFormat="false" ht="15" hidden="false" customHeight="false" outlineLevel="0" collapsed="false">
      <c r="A22" s="17" t="s">
        <v>142</v>
      </c>
      <c r="B22" s="17" t="s">
        <v>143</v>
      </c>
      <c r="C22" s="17" t="s">
        <v>114</v>
      </c>
      <c r="D22" s="18" t="n">
        <v>46194</v>
      </c>
      <c r="E22" s="19" t="n">
        <v>6</v>
      </c>
      <c r="F22" s="20" t="n">
        <f aca="false">VLOOKUP(C22,Acuan!$A$2:$B$6,2,FALSE())</f>
        <v>14000000</v>
      </c>
      <c r="G22" s="21" t="n">
        <f aca="false">EDATE(D22,E22)-1</f>
        <v>46376</v>
      </c>
      <c r="H22" s="20" t="n">
        <f aca="false">ROUND(F22*E22*(1-IF(E22&gt;=$M$3,$M$4,0)),0)</f>
        <v>84000000</v>
      </c>
      <c r="I22" s="22" t="str">
        <f aca="false">IF(D22&gt;$M$2,"Belum Mulai",IF(G22&lt;$M$2,"Habis","Aktif"))</f>
        <v>Aktif</v>
      </c>
      <c r="J22" s="23" t="n">
        <f aca="false">IF(I22="Aktif",DATEDIF($M$2,G22,"M"),0)</f>
        <v>2</v>
      </c>
    </row>
    <row r="23" customFormat="false" ht="15" hidden="false" customHeight="false" outlineLevel="0" collapsed="false">
      <c r="A23" s="17" t="s">
        <v>144</v>
      </c>
      <c r="B23" s="17" t="s">
        <v>145</v>
      </c>
      <c r="C23" s="17" t="s">
        <v>109</v>
      </c>
      <c r="D23" s="18" t="n">
        <v>46201</v>
      </c>
      <c r="E23" s="19" t="n">
        <v>6</v>
      </c>
      <c r="F23" s="20" t="n">
        <f aca="false">VLOOKUP(C23,Acuan!$A$2:$B$6,2,FALSE())</f>
        <v>8500000</v>
      </c>
      <c r="G23" s="21" t="n">
        <f aca="false">EDATE(D23,E23)-1</f>
        <v>46383</v>
      </c>
      <c r="H23" s="20" t="n">
        <f aca="false">ROUND(F23*E23*(1-IF(E23&gt;=$M$3,$M$4,0)),0)</f>
        <v>51000000</v>
      </c>
      <c r="I23" s="22" t="str">
        <f aca="false">IF(D23&gt;$M$2,"Belum Mulai",IF(G23&lt;$M$2,"Habis","Aktif"))</f>
        <v>Aktif</v>
      </c>
      <c r="J23" s="23" t="n">
        <f aca="false">IF(I23="Aktif",DATEDIF($M$2,G23,"M"),0)</f>
        <v>2</v>
      </c>
    </row>
    <row r="24" customFormat="false" ht="15" hidden="false" customHeight="false" outlineLevel="0" collapsed="false">
      <c r="A24" s="17" t="s">
        <v>146</v>
      </c>
      <c r="B24" s="17" t="s">
        <v>147</v>
      </c>
      <c r="C24" s="17" t="s">
        <v>94</v>
      </c>
      <c r="D24" s="18" t="n">
        <v>46210</v>
      </c>
      <c r="E24" s="19" t="n">
        <v>6</v>
      </c>
      <c r="F24" s="20" t="n">
        <f aca="false">VLOOKUP(C24,Acuan!$A$2:$B$6,2,FALSE())</f>
        <v>4800000</v>
      </c>
      <c r="G24" s="21" t="n">
        <f aca="false">EDATE(D24,E24)-1</f>
        <v>46393</v>
      </c>
      <c r="H24" s="20" t="n">
        <f aca="false">ROUND(F24*E24*(1-IF(E24&gt;=$M$3,$M$4,0)),0)</f>
        <v>28800000</v>
      </c>
      <c r="I24" s="22" t="str">
        <f aca="false">IF(D24&gt;$M$2,"Belum Mulai",IF(G24&lt;$M$2,"Habis","Aktif"))</f>
        <v>Aktif</v>
      </c>
      <c r="J24" s="23" t="n">
        <f aca="false">IF(I24="Aktif",DATEDIF($M$2,G24,"M"),0)</f>
        <v>2</v>
      </c>
    </row>
    <row r="25" customFormat="false" ht="15" hidden="false" customHeight="false" outlineLevel="0" collapsed="false">
      <c r="A25" s="17" t="s">
        <v>148</v>
      </c>
      <c r="B25" s="17" t="s">
        <v>149</v>
      </c>
      <c r="C25" s="17" t="s">
        <v>109</v>
      </c>
      <c r="D25" s="18" t="n">
        <v>46231</v>
      </c>
      <c r="E25" s="19" t="n">
        <v>1</v>
      </c>
      <c r="F25" s="20" t="n">
        <f aca="false">VLOOKUP(C25,Acuan!$A$2:$B$6,2,FALSE())</f>
        <v>8500000</v>
      </c>
      <c r="G25" s="21" t="n">
        <f aca="false">EDATE(D25,E25)-1</f>
        <v>46261</v>
      </c>
      <c r="H25" s="20" t="n">
        <f aca="false">ROUND(F25*E25*(1-IF(E25&gt;=$M$3,$M$4,0)),0)</f>
        <v>8500000</v>
      </c>
      <c r="I25" s="22" t="str">
        <f aca="false">IF(D25&gt;$M$2,"Belum Mulai",IF(G25&lt;$M$2,"Habis","Aktif"))</f>
        <v>Habis</v>
      </c>
      <c r="J25" s="23" t="n">
        <f aca="false">IF(I25="Aktif",DATEDIF($M$2,G25,"M"),0)</f>
        <v>0</v>
      </c>
    </row>
    <row r="26" customFormat="false" ht="15" hidden="false" customHeight="false" outlineLevel="0" collapsed="false">
      <c r="A26" s="17" t="s">
        <v>150</v>
      </c>
      <c r="B26" s="17" t="s">
        <v>151</v>
      </c>
      <c r="C26" s="17" t="s">
        <v>103</v>
      </c>
      <c r="D26" s="18" t="n">
        <v>46285</v>
      </c>
      <c r="E26" s="19" t="n">
        <v>3</v>
      </c>
      <c r="F26" s="20" t="n">
        <f aca="false">VLOOKUP(C26,Acuan!$A$2:$B$6,2,FALSE())</f>
        <v>5500000</v>
      </c>
      <c r="G26" s="21" t="n">
        <f aca="false">EDATE(D26,E26)-1</f>
        <v>46375</v>
      </c>
      <c r="H26" s="20" t="n">
        <f aca="false">ROUND(F26*E26*(1-IF(E26&gt;=$M$3,$M$4,0)),0)</f>
        <v>16500000</v>
      </c>
      <c r="I26" s="22" t="str">
        <f aca="false">IF(D26&gt;$M$2,"Belum Mulai",IF(G26&lt;$M$2,"Habis","Aktif"))</f>
        <v>Aktif</v>
      </c>
      <c r="J26" s="23" t="n">
        <f aca="false">IF(I26="Aktif",DATEDIF($M$2,G26,"M"),0)</f>
        <v>2</v>
      </c>
    </row>
    <row r="27" customFormat="false" ht="15" hidden="false" customHeight="false" outlineLevel="0" collapsed="false">
      <c r="A27" s="17" t="s">
        <v>152</v>
      </c>
      <c r="B27" s="17" t="s">
        <v>153</v>
      </c>
      <c r="C27" s="17" t="s">
        <v>103</v>
      </c>
      <c r="D27" s="18" t="n">
        <v>46297</v>
      </c>
      <c r="E27" s="19" t="n">
        <v>3</v>
      </c>
      <c r="F27" s="20" t="n">
        <f aca="false">VLOOKUP(C27,Acuan!$A$2:$B$6,2,FALSE())</f>
        <v>5500000</v>
      </c>
      <c r="G27" s="21" t="n">
        <f aca="false">EDATE(D27,E27)-1</f>
        <v>46388</v>
      </c>
      <c r="H27" s="20" t="n">
        <f aca="false">ROUND(F27*E27*(1-IF(E27&gt;=$M$3,$M$4,0)),0)</f>
        <v>16500000</v>
      </c>
      <c r="I27" s="22" t="str">
        <f aca="false">IF(D27&gt;$M$2,"Belum Mulai",IF(G27&lt;$M$2,"Habis","Aktif"))</f>
        <v>Aktif</v>
      </c>
      <c r="J27" s="23" t="n">
        <f aca="false">IF(I27="Aktif",DATEDIF($M$2,G27,"M"),0)</f>
        <v>2</v>
      </c>
    </row>
    <row r="28" customFormat="false" ht="15" hidden="false" customHeight="false" outlineLevel="0" collapsed="false">
      <c r="A28" s="17" t="s">
        <v>154</v>
      </c>
      <c r="B28" s="17" t="s">
        <v>155</v>
      </c>
      <c r="C28" s="17" t="s">
        <v>103</v>
      </c>
      <c r="D28" s="18" t="n">
        <v>46313</v>
      </c>
      <c r="E28" s="19" t="n">
        <v>18</v>
      </c>
      <c r="F28" s="20" t="n">
        <f aca="false">VLOOKUP(C28,Acuan!$A$2:$B$6,2,FALSE())</f>
        <v>5500000</v>
      </c>
      <c r="G28" s="21" t="n">
        <f aca="false">EDATE(D28,E28)-1</f>
        <v>46860</v>
      </c>
      <c r="H28" s="20" t="n">
        <f aca="false">ROUND(F28*E28*(1-IF(E28&gt;=$M$3,$M$4,0)),0)</f>
        <v>89100000</v>
      </c>
      <c r="I28" s="22" t="str">
        <f aca="false">IF(D28&gt;$M$2,"Belum Mulai",IF(G28&lt;$M$2,"Habis","Aktif"))</f>
        <v>Belum Mulai</v>
      </c>
      <c r="J28" s="23" t="n">
        <f aca="false">IF(I28="Aktif",DATEDIF($M$2,G28,"M"),0)</f>
        <v>0</v>
      </c>
    </row>
    <row r="29" customFormat="false" ht="15" hidden="false" customHeight="false" outlineLevel="0" collapsed="false">
      <c r="A29" s="17" t="s">
        <v>156</v>
      </c>
      <c r="B29" s="17" t="s">
        <v>157</v>
      </c>
      <c r="C29" s="17" t="s">
        <v>103</v>
      </c>
      <c r="D29" s="18" t="n">
        <v>46322</v>
      </c>
      <c r="E29" s="19" t="n">
        <v>6</v>
      </c>
      <c r="F29" s="20" t="n">
        <f aca="false">VLOOKUP(C29,Acuan!$A$2:$B$6,2,FALSE())</f>
        <v>5500000</v>
      </c>
      <c r="G29" s="21" t="n">
        <f aca="false">EDATE(D29,E29)-1</f>
        <v>46503</v>
      </c>
      <c r="H29" s="20" t="n">
        <f aca="false">ROUND(F29*E29*(1-IF(E29&gt;=$M$3,$M$4,0)),0)</f>
        <v>33000000</v>
      </c>
      <c r="I29" s="22" t="str">
        <f aca="false">IF(D29&gt;$M$2,"Belum Mulai",IF(G29&lt;$M$2,"Habis","Aktif"))</f>
        <v>Belum Mulai</v>
      </c>
      <c r="J29" s="23" t="n">
        <f aca="false">IF(I29="Aktif",DATEDIF($M$2,G29,"M"),0)</f>
        <v>0</v>
      </c>
    </row>
    <row r="30" customFormat="false" ht="15" hidden="false" customHeight="false" outlineLevel="0" collapsed="false">
      <c r="A30" s="17" t="s">
        <v>158</v>
      </c>
      <c r="B30" s="17" t="s">
        <v>159</v>
      </c>
      <c r="C30" s="17" t="s">
        <v>123</v>
      </c>
      <c r="D30" s="18" t="n">
        <v>46348</v>
      </c>
      <c r="E30" s="19" t="n">
        <v>3</v>
      </c>
      <c r="F30" s="20" t="n">
        <f aca="false">VLOOKUP(C30,Acuan!$A$2:$B$6,2,FALSE())</f>
        <v>1100000</v>
      </c>
      <c r="G30" s="21" t="n">
        <f aca="false">EDATE(D30,E30)-1</f>
        <v>46439</v>
      </c>
      <c r="H30" s="20" t="n">
        <f aca="false">ROUND(F30*E30*(1-IF(E30&gt;=$M$3,$M$4,0)),0)</f>
        <v>3300000</v>
      </c>
      <c r="I30" s="22" t="str">
        <f aca="false">IF(D30&gt;$M$2,"Belum Mulai",IF(G30&lt;$M$2,"Habis","Aktif"))</f>
        <v>Belum Mulai</v>
      </c>
      <c r="J30" s="23" t="n">
        <f aca="false">IF(I30="Aktif",DATEDIF($M$2,G30,"M"),0)</f>
        <v>0</v>
      </c>
    </row>
    <row r="31" customFormat="false" ht="15" hidden="false" customHeight="false" outlineLevel="0" collapsed="false">
      <c r="A31" s="17" t="s">
        <v>160</v>
      </c>
      <c r="B31" s="17" t="s">
        <v>161</v>
      </c>
      <c r="C31" s="17" t="s">
        <v>109</v>
      </c>
      <c r="D31" s="18" t="n">
        <v>46353</v>
      </c>
      <c r="E31" s="19" t="n">
        <v>3</v>
      </c>
      <c r="F31" s="20" t="n">
        <f aca="false">VLOOKUP(C31,Acuan!$A$2:$B$6,2,FALSE())</f>
        <v>8500000</v>
      </c>
      <c r="G31" s="21" t="n">
        <f aca="false">EDATE(D31,E31)-1</f>
        <v>46444</v>
      </c>
      <c r="H31" s="20" t="n">
        <f aca="false">ROUND(F31*E31*(1-IF(E31&gt;=$M$3,$M$4,0)),0)</f>
        <v>25500000</v>
      </c>
      <c r="I31" s="22" t="str">
        <f aca="false">IF(D31&gt;$M$2,"Belum Mulai",IF(G31&lt;$M$2,"Habis","Aktif"))</f>
        <v>Belum Mulai</v>
      </c>
      <c r="J31" s="23" t="n">
        <f aca="false">IF(I31="Aktif",DATEDIF($M$2,G31,"M"),0)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14"/>
  </cols>
  <sheetData>
    <row r="1" customFormat="false" ht="33.75" hidden="false" customHeight="true" outlineLevel="0" collapsed="false">
      <c r="A1" s="11" t="s">
        <v>81</v>
      </c>
      <c r="B1" s="11" t="s">
        <v>162</v>
      </c>
      <c r="C1" s="15" t="s">
        <v>163</v>
      </c>
      <c r="D1" s="15" t="s">
        <v>164</v>
      </c>
      <c r="E1" s="15" t="s">
        <v>165</v>
      </c>
    </row>
    <row r="2" customFormat="false" ht="15" hidden="false" customHeight="false" outlineLevel="0" collapsed="false">
      <c r="A2" s="17" t="s">
        <v>123</v>
      </c>
      <c r="B2" s="28" t="n">
        <v>1100000</v>
      </c>
      <c r="C2" s="23" t="n">
        <f aca="false">COUNTIF(Data!$C$2:$C$31,A2)</f>
        <v>5</v>
      </c>
      <c r="D2" s="20" t="n">
        <f aca="false">SUMIF(Data!$C$2:$C$31,A2,Data!$H$2:$H$31)</f>
        <v>35860000</v>
      </c>
      <c r="E2" s="23" t="n">
        <f aca="false">COUNTIFS(Data!$C$2:$C$31,A2,Data!$I$2:$I$31,"Aktif")</f>
        <v>2</v>
      </c>
    </row>
    <row r="3" customFormat="false" ht="15" hidden="false" customHeight="false" outlineLevel="0" collapsed="false">
      <c r="A3" s="17" t="s">
        <v>103</v>
      </c>
      <c r="B3" s="28" t="n">
        <v>5500000</v>
      </c>
      <c r="C3" s="23" t="n">
        <f aca="false">COUNTIF(Data!$C$2:$C$31,A3)</f>
        <v>9</v>
      </c>
      <c r="D3" s="20" t="n">
        <f aca="false">SUMIF(Data!$C$2:$C$31,A3,Data!$H$2:$H$31)</f>
        <v>388300000</v>
      </c>
      <c r="E3" s="23" t="n">
        <f aca="false">COUNTIFS(Data!$C$2:$C$31,A3,Data!$I$2:$I$31,"Aktif")</f>
        <v>4</v>
      </c>
    </row>
    <row r="4" customFormat="false" ht="15" hidden="false" customHeight="false" outlineLevel="0" collapsed="false">
      <c r="A4" s="17" t="s">
        <v>94</v>
      </c>
      <c r="B4" s="28" t="n">
        <v>4800000</v>
      </c>
      <c r="C4" s="23" t="n">
        <f aca="false">COUNTIF(Data!$C$2:$C$31,A4)</f>
        <v>6</v>
      </c>
      <c r="D4" s="20" t="n">
        <f aca="false">SUMIF(Data!$C$2:$C$31,A4,Data!$H$2:$H$31)</f>
        <v>347520000</v>
      </c>
      <c r="E4" s="23" t="n">
        <f aca="false">COUNTIFS(Data!$C$2:$C$31,A4,Data!$I$2:$I$31,"Aktif")</f>
        <v>4</v>
      </c>
    </row>
    <row r="5" customFormat="false" ht="15" hidden="false" customHeight="false" outlineLevel="0" collapsed="false">
      <c r="A5" s="17" t="s">
        <v>109</v>
      </c>
      <c r="B5" s="28" t="n">
        <v>8500000</v>
      </c>
      <c r="C5" s="23" t="n">
        <f aca="false">COUNTIF(Data!$C$2:$C$31,A5)</f>
        <v>6</v>
      </c>
      <c r="D5" s="20" t="n">
        <f aca="false">SUMIF(Data!$C$2:$C$31,A5,Data!$H$2:$H$31)</f>
        <v>273700000</v>
      </c>
      <c r="E5" s="23" t="n">
        <f aca="false">COUNTIFS(Data!$C$2:$C$31,A5,Data!$I$2:$I$31,"Aktif")</f>
        <v>2</v>
      </c>
    </row>
    <row r="6" customFormat="false" ht="15" hidden="false" customHeight="false" outlineLevel="0" collapsed="false">
      <c r="A6" s="17" t="s">
        <v>114</v>
      </c>
      <c r="B6" s="28" t="n">
        <v>14000000</v>
      </c>
      <c r="C6" s="23" t="n">
        <f aca="false">COUNTIF(Data!$C$2:$C$31,A6)</f>
        <v>4</v>
      </c>
      <c r="D6" s="20" t="n">
        <f aca="false">SUMIF(Data!$C$2:$C$31,A6,Data!$H$2:$H$31)</f>
        <v>294000000</v>
      </c>
      <c r="E6" s="23" t="n">
        <f aca="false">COUNTIFS(Data!$C$2:$C$31,A6,Data!$I$2:$I$31,"Aktif")</f>
        <v>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166</v>
      </c>
      <c r="B1" s="29"/>
      <c r="C1" s="29"/>
      <c r="D1" s="29"/>
    </row>
    <row r="2" customFormat="false" ht="15" hidden="false" customHeight="false" outlineLevel="0" collapsed="false">
      <c r="A2" s="30" t="s">
        <v>167</v>
      </c>
      <c r="B2" s="30"/>
      <c r="C2" s="30"/>
      <c r="D2" s="30"/>
    </row>
    <row r="3" customFormat="false" ht="15" hidden="false" customHeight="false" outlineLevel="0" collapsed="false">
      <c r="A3" s="11" t="s">
        <v>19</v>
      </c>
      <c r="B3" s="11" t="s">
        <v>168</v>
      </c>
      <c r="C3" s="11" t="s">
        <v>169</v>
      </c>
      <c r="D3" s="11" t="s">
        <v>170</v>
      </c>
    </row>
    <row r="4" customFormat="false" ht="15" hidden="false" customHeight="false" outlineLevel="0" collapsed="false">
      <c r="A4" s="31" t="s">
        <v>171</v>
      </c>
      <c r="B4" s="32" t="s">
        <v>172</v>
      </c>
      <c r="C4" s="20" t="n">
        <f aca="false">SUM(Data!$H$2:$H$31)</f>
        <v>1339380000</v>
      </c>
      <c r="D4" s="33" t="s">
        <v>173</v>
      </c>
    </row>
    <row r="5" customFormat="false" ht="15" hidden="false" customHeight="false" outlineLevel="0" collapsed="false">
      <c r="A5" s="31" t="s">
        <v>174</v>
      </c>
      <c r="B5" s="32" t="s">
        <v>175</v>
      </c>
      <c r="C5" s="34" t="n">
        <f aca="false">AVERAGE(Data!$E$2:$E$31)</f>
        <v>8.16666666666667</v>
      </c>
      <c r="D5" s="33" t="s">
        <v>176</v>
      </c>
    </row>
    <row r="6" customFormat="false" ht="15" hidden="false" customHeight="false" outlineLevel="0" collapsed="false">
      <c r="A6" s="31" t="s">
        <v>177</v>
      </c>
      <c r="B6" s="32" t="s">
        <v>165</v>
      </c>
      <c r="C6" s="23" t="n">
        <f aca="false">COUNTIF(Data!$I$2:$I$31,"Aktif")</f>
        <v>14</v>
      </c>
      <c r="D6" s="33" t="s">
        <v>178</v>
      </c>
    </row>
    <row r="7" customFormat="false" ht="15" hidden="false" customHeight="false" outlineLevel="0" collapsed="false">
      <c r="A7" s="31" t="s">
        <v>179</v>
      </c>
      <c r="B7" s="32" t="s">
        <v>180</v>
      </c>
      <c r="C7" s="23" t="n">
        <f aca="false">COUNTIF(Data!$I$2:$I$31,"Habis")</f>
        <v>12</v>
      </c>
      <c r="D7" s="33" t="s">
        <v>181</v>
      </c>
    </row>
    <row r="8" customFormat="false" ht="15" hidden="false" customHeight="false" outlineLevel="0" collapsed="false">
      <c r="A8" s="31" t="s">
        <v>182</v>
      </c>
      <c r="B8" s="32" t="s">
        <v>183</v>
      </c>
      <c r="C8" s="23" t="n">
        <f aca="false">COUNTIF(Data!$I$2:$I$31,"Belum Mulai")</f>
        <v>4</v>
      </c>
      <c r="D8" s="33" t="s">
        <v>184</v>
      </c>
    </row>
    <row r="9" customFormat="false" ht="15" hidden="false" customHeight="false" outlineLevel="0" collapsed="false">
      <c r="A9" s="31" t="s">
        <v>185</v>
      </c>
      <c r="B9" s="32" t="s">
        <v>186</v>
      </c>
      <c r="C9" s="22" t="str">
        <f aca="false">INDEX(Data!$B$2:$B$31,MATCH(MAX(Data!$H$2:$H$31),Data!$H$2:$H$31,0))</f>
        <v>Novi Maharani</v>
      </c>
      <c r="D9" s="33" t="s">
        <v>187</v>
      </c>
    </row>
    <row r="10" customFormat="false" ht="15" hidden="false" customHeight="false" outlineLevel="0" collapsed="false">
      <c r="A10" s="31" t="s">
        <v>188</v>
      </c>
      <c r="B10" s="32" t="s">
        <v>189</v>
      </c>
      <c r="C10" s="22" t="str">
        <f aca="false">INDEX(Data!$B$2:$B$31,MATCH(MAX(Data!$G$2:$G$31),Data!$G$2:$G$31,0))</f>
        <v>Galih Rahayu</v>
      </c>
      <c r="D10" s="33" t="s">
        <v>187</v>
      </c>
    </row>
    <row r="11" customFormat="false" ht="15" hidden="false" customHeight="false" outlineLevel="0" collapsed="false">
      <c r="A11" s="31" t="s">
        <v>190</v>
      </c>
      <c r="B11" s="32" t="s">
        <v>191</v>
      </c>
      <c r="C11" s="22" t="str">
        <f aca="false">INDEX(Acuan!$A$2:$A$6,MATCH(MAX(Acuan!$D$2:$D$6),Acuan!$D$2:$D$6,0))</f>
        <v>Avanza</v>
      </c>
      <c r="D11" s="33" t="s">
        <v>192</v>
      </c>
    </row>
    <row r="12" customFormat="false" ht="15" hidden="false" customHeight="false" outlineLevel="0" collapsed="false">
      <c r="A12" s="31" t="s">
        <v>193</v>
      </c>
      <c r="B12" s="32" t="s">
        <v>194</v>
      </c>
      <c r="C12" s="23" t="n">
        <f aca="false">INDEX(Acuan!$E$2:$E$6,MATCH("Avanza",Acuan!$A$2:$A$6,0))</f>
        <v>4</v>
      </c>
      <c r="D12" s="33" t="s">
        <v>195</v>
      </c>
    </row>
    <row r="13" customFormat="false" ht="15" hidden="false" customHeight="false" outlineLevel="0" collapsed="false">
      <c r="A13" s="31" t="s">
        <v>196</v>
      </c>
      <c r="B13" s="32" t="s">
        <v>197</v>
      </c>
      <c r="C13" s="20" t="n">
        <f aca="false">SUMIF(Data!$I$2:$I$31,"Aktif",Data!$H$2:$H$31)</f>
        <v>947580000</v>
      </c>
      <c r="D13" s="33" t="s">
        <v>198</v>
      </c>
    </row>
    <row r="14" customFormat="false" ht="15" hidden="false" customHeight="false" outlineLevel="0" collapsed="false">
      <c r="A14" s="31" t="s">
        <v>199</v>
      </c>
      <c r="B14" s="32" t="s">
        <v>200</v>
      </c>
      <c r="C14" s="35" t="n">
        <f aca="false">AVERAGEIF(Data!$I$2:$I$31,"Aktif",Data!$J$2:$J$31)</f>
        <v>4.35714285714286</v>
      </c>
      <c r="D14" s="33" t="s">
        <v>201</v>
      </c>
    </row>
    <row r="15" customFormat="false" ht="15" hidden="false" customHeight="false" outlineLevel="0" collapsed="false">
      <c r="A15" s="31" t="s">
        <v>202</v>
      </c>
      <c r="B15" s="32" t="s">
        <v>203</v>
      </c>
      <c r="C15" s="21" t="n">
        <f aca="false">MIN(Data!$D$2:$D$31)</f>
        <v>45668</v>
      </c>
      <c r="D15" s="33" t="s">
        <v>204</v>
      </c>
    </row>
    <row r="16" customFormat="false" ht="15" hidden="false" customHeight="false" outlineLevel="0" collapsed="false">
      <c r="A16" s="31" t="s">
        <v>205</v>
      </c>
      <c r="B16" s="32" t="s">
        <v>206</v>
      </c>
      <c r="C16" s="21" t="n">
        <f aca="false">MAX(Data!$G$2:$G$31)</f>
        <v>46860</v>
      </c>
      <c r="D16" s="33" t="s">
        <v>204</v>
      </c>
    </row>
    <row r="17" customFormat="false" ht="15" hidden="false" customHeight="false" outlineLevel="0" collapsed="false">
      <c r="A17" s="31" t="s">
        <v>207</v>
      </c>
      <c r="B17" s="32" t="s">
        <v>208</v>
      </c>
      <c r="C17" s="23" t="n">
        <f aca="false">COUNTIF(Data!$E$2:$E$31,"&gt;=12")</f>
        <v>9</v>
      </c>
      <c r="D17" s="33" t="s">
        <v>181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2026-10-17T07:49:41Z</dcterms:created>
  <dc:creator>PushExcel</dc:creator>
  <dc:description/>
  <dc:language>en-US</dc:language>
  <cp:lastModifiedBy/>
  <dcterms:modified xsi:type="dcterms:W3CDTF">2026-10-17T07:49:41Z</dcterms:modified>
  <cp:revision>0</cp:revision>
  <dc:subject/>
  <dc:title>Kontrak Sewa Kendaraan Bulanan - Kunci</dc:title>
</cp:coreProperties>
</file>

<file path=docProps/custom.xml><?xml version="1.0" encoding="utf-8"?>
<Properties xmlns="http://schemas.openxmlformats.org/officeDocument/2006/custom-properties" xmlns:vt="http://schemas.openxmlformats.org/officeDocument/2006/docPropsVTypes"/>
</file>