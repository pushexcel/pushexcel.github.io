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<sst xmlns="http://schemas.openxmlformats.org/spreadsheetml/2006/main" count="283" uniqueCount="170">
  <si>
    <t xml:space="preserve">Kunci Jawaban: Menghitung IPS, IPK, dan Predikat Mahasiswa</t>
  </si>
  <si>
    <t xml:space="preserve">Latihan 98 dari 40  |  Tingkat: Lanjutan  |  Perkiraan waktu: 65 menit  |  pushexcel.github.io/Pushexcel</t>
  </si>
  <si>
    <t xml:space="preserve">Skenario</t>
  </si>
  <si>
    <t xml:space="preserve">Kamu staf akademik Program Studi Akuntansi Politeknik Cahaya Nusantara. Data berisi 40 nilai mata kuliah dari lima mahasiswa selama dua semester. Bobot tiap nilai huruf ada di sheet Acuan (A = 4, AB = 3,5, B = 3, BC = 2,5, C = 2, D = 1, E = 0). Mutu adalah SKS dikali bobot. IPS adalah total mutu dibagi total SKS pada semester yang sama, sedangkan IPK memakai seluruh semester, keduanya dibulatkan dua desimal. Mata kuliah berstatus Lulus bila bobot minimal 2, selain itu Mengulang. Predikat IPK: Pujian bila minimal 3,50, Sangat Memuaskan bila minimal 3,00, selain itu Memuaskan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</si>
  <si>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</si>
  <si>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</si>
  <si>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</si>
  <si>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</si>
  <si>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</si>
  <si>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</si>
  <si>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</si>
  <si>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</si>
  <si>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</si>
  <si>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</si>
  <si>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</si>
  <si>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</si>
  <si>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</si>
  <si>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</si>
  <si>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</si>
  <si>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</si>
  <si>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</si>
  <si>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</si>
  <si>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</si>
  <si>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</si>
  <si>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bobot tiap nilai huruf dari tabel di sheet Acuan dengan pencocokan persis.</t>
  </si>
  <si>
    <t xml:space="preserve">Sheet Data, kolom F (Bobot), baris 2 sampai 41</t>
  </si>
  <si>
    <t xml:space="preserve">=VLOOKUP(E2;Acuan!$A$2:$B$8;2;FALSE)</t>
  </si>
  <si>
    <t xml:space="preserve">2</t>
  </si>
  <si>
    <t xml:space="preserve">Hitung mutu tiap mata kuliah: SKS dikali bobot.</t>
  </si>
  <si>
    <t xml:space="preserve">Sheet Data, kolom G (Mutu), baris 2 sampai 41</t>
  </si>
  <si>
    <t xml:space="preserve">=D2*F2</t>
  </si>
  <si>
    <t xml:space="preserve">3</t>
  </si>
  <si>
    <t xml:space="preserve">Beri status Lulus bila bobot sama dengan atau lebih dari bobot minimum lulus, selain itu Mengulang.</t>
  </si>
  <si>
    <t xml:space="preserve">Sheet Data, kolom H (Status Mata Kuliah), baris 2 sampai 41</t>
  </si>
  <si>
    <t xml:space="preserve">=IF(F2&gt;=$N$2;"Lulus";"Mengulang")</t>
  </si>
  <si>
    <t xml:space="preserve">4</t>
  </si>
  <si>
    <t xml:space="preserve">Hitung IPS mahasiswa pada semester baris ini: total mutu dibagi total SKS dari baris yang mahasiswa dan semesternya sama. Bulatkan dua desimal.</t>
  </si>
  <si>
    <t xml:space="preserve">Sheet Data, kolom I (IPS Semester), baris 2 sampai 41</t>
  </si>
  <si>
    <t xml:space="preserve">=ROUND(SUMPRODUCT(($A$2:$A$41=A2)*($B$2:$B$41=B2)*$G$2:$G$41)/SUMPRODUCT(($A$2:$A$41=A2)*($B$2:$B$41=B2)*$D$2:$D$41);2)</t>
  </si>
  <si>
    <t xml:space="preserve">5</t>
  </si>
  <si>
    <t xml:space="preserve">Hitung IPK mahasiswa dari seluruh semester: total mutu dibagi total SKS mahasiswa itu, dibulatkan dua desimal.</t>
  </si>
  <si>
    <t xml:space="preserve">Sheet Data, kolom J (IPK), baris 2 sampai 41</t>
  </si>
  <si>
    <t xml:space="preserve">=ROUND(SUMIF($A$2:$A$41;A2;$G$2:$G$41)/SUMIF($A$2:$A$41;A2;$D$2:$D$41);2)</t>
  </si>
  <si>
    <t xml:space="preserve">6</t>
  </si>
  <si>
    <t xml:space="preserve">Tentukan predikat dari IPK: Pujian, Sangat Memuaskan, atau Memuaskan sesuai batas di sel Parameter.</t>
  </si>
  <si>
    <t xml:space="preserve">Sheet Data, kolom K (Predikat), baris 2 sampai 41</t>
  </si>
  <si>
    <t xml:space="preserve">=IF(J2&gt;=$N$3;"Pujian";IF(J2&gt;=$N$4;"Sangat Memuaskan";"Memuaskan"))</t>
  </si>
  <si>
    <t xml:space="preserve">7</t>
  </si>
  <si>
    <t xml:space="preserve">Pada sheet Acuan, hitung berapa kali tiap nilai huruf muncul di data.</t>
  </si>
  <si>
    <t xml:space="preserve">Sheet Acuan, kolom C (Jumlah Nilai), baris 2 sampai 8</t>
  </si>
  <si>
    <t xml:space="preserve">=COUNTIF(Data!$E$2:$E$41;A2)</t>
  </si>
  <si>
    <t xml:space="preserve">8</t>
  </si>
  <si>
    <t xml:space="preserve">Pada sheet Acuan, hitung total SKS dari mata kuliah yang mendapat tiap nilai huruf.</t>
  </si>
  <si>
    <t xml:space="preserve">Sheet Acuan, kolom D (Total SKS), baris 2 sampai 8</t>
  </si>
  <si>
    <t xml:space="preserve">=SUMIF(Data!$E$2:$E$41;A2;Data!$D$2:$D$41)</t>
  </si>
  <si>
    <t xml:space="preserve">9</t>
  </si>
  <si>
    <t xml:space="preserve">Berapa total SKS dan total mutu seluruh data, dan berapa IPK gabungannya (dibulatkan dua desimal)?</t>
  </si>
  <si>
    <t xml:space="preserve">Sheet Ringkasan, sel C4 sampai C6</t>
  </si>
  <si>
    <t xml:space="preserve">=SUM(Data!$D$2:$D$41)
=SUM(Data!$G$2:$G$41)
=ROUND(C5/C4;2)</t>
  </si>
  <si>
    <t xml:space="preserve">10</t>
  </si>
  <si>
    <t xml:space="preserve">Siapa mahasiswa dengan IPK tertinggi, dan siapa yang IPK-nya terendah?</t>
  </si>
  <si>
    <t xml:space="preserve">Sheet Ringkasan, sel C7 sampai C8</t>
  </si>
  <si>
    <t xml:space="preserve">=INDEX(Data!$A$2:$A$41;MATCH(MAX(Data!$J$2:$J$41);Data!$J$2:$J$41;0))
=INDEX(Data!$A$2:$A$41;MATCH(MIN(Data!$J$2:$J$41);Data!$J$2:$J$41;0))</t>
  </si>
  <si>
    <t xml:space="preserve">11</t>
  </si>
  <si>
    <t xml:space="preserve">Berapa IPS semester 2 milik Dimas Purnomo (hitung langsung dari data dengan SUMPRODUCT, dibulatkan dua desimal), dan berapa mata kuliah yang berstatus Mengulang?</t>
  </si>
  <si>
    <t xml:space="preserve">Sheet Ringkasan, sel C9 sampai C10</t>
  </si>
  <si>
    <t xml:space="preserve">=ROUND(SUMPRODUCT((Data!$A$2:$A$41="Dimas Purnomo")*(Data!$B$2:$B$41=2)*Data!$G$2:$G$41)/SUMPRODUCT((Data!$A$2:$A$41="Dimas Purnomo")*(Data!$B$2:$B$41=2)*Data!$D$2:$D$41);2)
=COUNTIF(Data!$H$2:$H$41;"Mengulang")</t>
  </si>
  <si>
    <t xml:space="preserve">12</t>
  </si>
  <si>
    <t xml:space="preserve">Berapa IPS tertinggi di seluruh data, siapa pemiliknya, dan pada semester berapa?</t>
  </si>
  <si>
    <t xml:space="preserve">Sheet Ringkasan, sel C11 sampai C13</t>
  </si>
  <si>
    <t xml:space="preserve">=MAX(Data!$I$2:$I$41)
=INDEX(Data!$A$2:$A$41;MATCH(C11;Data!$I$2:$I$41;0))
=INDEX(Data!$B$2:$B$41;MATCH(C11;Data!$I$2:$I$41;0))</t>
  </si>
  <si>
    <t xml:space="preserve">13</t>
  </si>
  <si>
    <t xml:space="preserve">Berapa mata kuliah bernilai A pada semester 1, berapa total SKS yang harus diulang, dan berapa rata-rata bobot mata kuliah Statistika Dasar?</t>
  </si>
  <si>
    <t xml:space="preserve">Sheet Ringkasan, sel C14 sampai C16</t>
  </si>
  <si>
    <t xml:space="preserve">=COUNTIFS(Data!$B$2:$B$41;1;Data!$E$2:$E$41;"A")
=SUMIF(Data!$H$2:$H$41;"Mengulang";Data!$D$2:$D$41)
=AVERAGEIF(Data!$C$2:$C$41;"Statistika Dasar";Data!$F$2:$F$41)</t>
  </si>
  <si>
    <t xml:space="preserve">14</t>
  </si>
  <si>
    <t xml:space="preserve">Berapa rata-rata IPS semester 1 dan semester 2 dari seluruh data (dibulatkan dua desimal), dan berapa baris data milik mahasiswa berpredikat Pujian?</t>
  </si>
  <si>
    <t xml:space="preserve">Sheet Ringkasan, sel C17 sampai C19</t>
  </si>
  <si>
    <t xml:space="preserve">=ROUND(AVERAGEIF(Data!$B$2:$B$41;1;Data!$I$2:$I$41);2)
=ROUND(AVERAGEIF(Data!$B$2:$B$41;2;Data!$I$2:$I$41);2)
=COUNTIF(Data!$K$2:$K$41;"Pujian")</t>
  </si>
  <si>
    <t xml:space="preserve">Mahasiswa</t>
  </si>
  <si>
    <t xml:space="preserve">Semester</t>
  </si>
  <si>
    <t xml:space="preserve">Mata Kuliah</t>
  </si>
  <si>
    <t xml:space="preserve">SKS</t>
  </si>
  <si>
    <t xml:space="preserve">Nilai Huruf</t>
  </si>
  <si>
    <t xml:space="preserve">Bobot</t>
  </si>
  <si>
    <t xml:space="preserve">Mutu</t>
  </si>
  <si>
    <t xml:space="preserve">Status Mata Kuliah</t>
  </si>
  <si>
    <t xml:space="preserve">IPS Semester</t>
  </si>
  <si>
    <t xml:space="preserve">IPK</t>
  </si>
  <si>
    <t xml:space="preserve">Predikat</t>
  </si>
  <si>
    <t xml:space="preserve">Parameter</t>
  </si>
  <si>
    <t xml:space="preserve">Nilai</t>
  </si>
  <si>
    <t xml:space="preserve">Keterangan</t>
  </si>
  <si>
    <t xml:space="preserve">Citra Susanto</t>
  </si>
  <si>
    <t xml:space="preserve">Pengantar Akuntansi</t>
  </si>
  <si>
    <t xml:space="preserve">E</t>
  </si>
  <si>
    <t xml:space="preserve">Bobot minimum lulus</t>
  </si>
  <si>
    <t xml:space="preserve">Matematika Ekonomi</t>
  </si>
  <si>
    <t xml:space="preserve">D</t>
  </si>
  <si>
    <t xml:space="preserve">Batas pujian</t>
  </si>
  <si>
    <t xml:space="preserve">IPK minimal untuk predikat Pujian</t>
  </si>
  <si>
    <t xml:space="preserve">Bahasa Indonesia</t>
  </si>
  <si>
    <t xml:space="preserve">C</t>
  </si>
  <si>
    <t xml:space="preserve">Batas sangat memuaskan</t>
  </si>
  <si>
    <t xml:space="preserve">IPK minimal untuk predikat Sangat Memuaskan</t>
  </si>
  <si>
    <t xml:space="preserve">Pengantar Manajemen</t>
  </si>
  <si>
    <t xml:space="preserve">Statistika Dasar</t>
  </si>
  <si>
    <t xml:space="preserve">Akuntansi Biaya</t>
  </si>
  <si>
    <t xml:space="preserve">Ekonomi Mikro</t>
  </si>
  <si>
    <t xml:space="preserve">Hukum Bisnis</t>
  </si>
  <si>
    <t xml:space="preserve">Citra Pangestu</t>
  </si>
  <si>
    <t xml:space="preserve">B</t>
  </si>
  <si>
    <t xml:space="preserve">AB</t>
  </si>
  <si>
    <t xml:space="preserve">A</t>
  </si>
  <si>
    <t xml:space="preserve">Dimas Purnomo</t>
  </si>
  <si>
    <t xml:space="preserve">BC</t>
  </si>
  <si>
    <t xml:space="preserve">Galih Wibowo</t>
  </si>
  <si>
    <t xml:space="preserve">Gita Purnomo</t>
  </si>
  <si>
    <t xml:space="preserve">Jumlah Nilai</t>
  </si>
  <si>
    <t xml:space="preserve">Total SKS</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</si>
  <si>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</si>
  <si>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</si>
  <si>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</si>
  <si>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</si>
  <si>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</si>
  <si>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</si>
  <si>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Angka bulat, mis. 200</t>
  </si>
  <si>
    <t xml:space="preserve">9b</t>
  </si>
  <si>
    <t xml:space="preserve">Total mutu</t>
  </si>
  <si>
    <t xml:space="preserve">Angka desimal, mis. 500</t>
  </si>
  <si>
    <t xml:space="preserve">9c</t>
  </si>
  <si>
    <t xml:space="preserve">IPK gabungan</t>
  </si>
  <si>
    <t xml:space="preserve">Angka desimal, mis. 2,95</t>
  </si>
  <si>
    <t xml:space="preserve">10a</t>
  </si>
  <si>
    <t xml:space="preserve">Mahasiswa IPK tertinggi</t>
  </si>
  <si>
    <t xml:space="preserve">Teks: nama mahasiswa</t>
  </si>
  <si>
    <t xml:space="preserve">10b</t>
  </si>
  <si>
    <t xml:space="preserve">Mahasiswa IPK terendah</t>
  </si>
  <si>
    <t xml:space="preserve">11a</t>
  </si>
  <si>
    <t xml:space="preserve">IPS semester 2 Dimas Purnomo</t>
  </si>
  <si>
    <t xml:space="preserve">Angka desimal, mis. 3,10</t>
  </si>
  <si>
    <t xml:space="preserve">11b</t>
  </si>
  <si>
    <t xml:space="preserve">Mata kuliah Mengulang</t>
  </si>
  <si>
    <t xml:space="preserve">Angka bulat, mis. 5</t>
  </si>
  <si>
    <t xml:space="preserve">12a</t>
  </si>
  <si>
    <t xml:space="preserve">IPS tertinggi</t>
  </si>
  <si>
    <t xml:space="preserve">Angka desimal, mis. 3,80</t>
  </si>
  <si>
    <t xml:space="preserve">12b</t>
  </si>
  <si>
    <t xml:space="preserve">Pemilik IPS tertinggi</t>
  </si>
  <si>
    <t xml:space="preserve">12c</t>
  </si>
  <si>
    <t xml:space="preserve">Semester IPS tertinggi</t>
  </si>
  <si>
    <t xml:space="preserve">Angka bulat, nomor semester</t>
  </si>
  <si>
    <t xml:space="preserve">13a</t>
  </si>
  <si>
    <t xml:space="preserve">Nilai A pada semester 1</t>
  </si>
  <si>
    <t xml:space="preserve">Angka bulat, mis. 6</t>
  </si>
  <si>
    <t xml:space="preserve">13b</t>
  </si>
  <si>
    <t xml:space="preserve">Total SKS yang harus diulang</t>
  </si>
  <si>
    <t xml:space="preserve">Angka bulat, mis. 7</t>
  </si>
  <si>
    <t xml:space="preserve">13c</t>
  </si>
  <si>
    <t xml:space="preserve">Rata-rata bobot Statistika Dasar</t>
  </si>
  <si>
    <t xml:space="preserve">Angka desimal, mis. 2,75</t>
  </si>
  <si>
    <t xml:space="preserve">14a</t>
  </si>
  <si>
    <t xml:space="preserve">Rata-rata IPS semester 1</t>
  </si>
  <si>
    <t xml:space="preserve">Angka desimal, mis. 3,05</t>
  </si>
  <si>
    <t xml:space="preserve">14b</t>
  </si>
  <si>
    <t xml:space="preserve">Rata-rata IPS semester 2</t>
  </si>
  <si>
    <t xml:space="preserve">Angka desimal, mis. 2,90</t>
  </si>
  <si>
    <t xml:space="preserve">14c</t>
  </si>
  <si>
    <t xml:space="preserve">Baris mahasiswa berpredikat Pujian</t>
  </si>
  <si>
    <t xml:space="preserve">Angka bulat, mis. 16</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</si>
</sst>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69.75" hidden="false" customHeight="true" outlineLevel="0" collapsed="false">
      <c r="A31" s="12" t="s">
        <v>63</v>
      </c>
      <c r="B31" s="13" t="s">
        <v>64</v>
      </c>
      <c r="C31" s="13" t="s">
        <v>65</v>
      </c>
      <c r="D31" s="14" t="s">
        <v>66</v>
      </c>
    </row>
    <row r="32" customFormat="false" ht="57.75" hidden="false" customHeight="true" outlineLevel="0" collapsed="false">
      <c r="A32" s="12" t="s">
        <v>67</v>
      </c>
      <c r="B32" s="13" t="s">
        <v>68</v>
      </c>
      <c r="C32" s="13" t="s">
        <v>69</v>
      </c>
      <c r="D32" s="14" t="s">
        <v>70</v>
      </c>
    </row>
    <row r="33" customFormat="false" ht="69.75" hidden="false" customHeight="true" outlineLevel="0" collapsed="false">
      <c r="A33" s="12" t="s">
        <v>71</v>
      </c>
      <c r="B33" s="13" t="s">
        <v>72</v>
      </c>
      <c r="C33" s="13" t="s">
        <v>73</v>
      </c>
      <c r="D33" s="14" t="s">
        <v>74</v>
      </c>
    </row>
    <row r="34" customFormat="false" ht="69.7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22"/>
    <col collapsed="false" customWidth="true" hidden="false" outlineLevel="0" max="4" min="4" style="0" width="8"/>
    <col collapsed="false" customWidth="true" hidden="false" outlineLevel="0" max="5" min="5" style="0" width="11"/>
    <col collapsed="false" customWidth="true" hidden="false" outlineLevel="0" max="7" min="6" style="0" width="9"/>
    <col collapsed="false" customWidth="true" hidden="false" outlineLevel="0" max="8" min="8" style="0" width="14"/>
    <col collapsed="false" customWidth="true" hidden="false" outlineLevel="0" max="9" min="9" style="0" width="13"/>
    <col collapsed="false" customWidth="true" hidden="false" outlineLevel="0" max="10" min="10" style="0" width="9"/>
    <col collapsed="false" customWidth="true" hidden="false" outlineLevel="0" max="11" min="11" style="0" width="17"/>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79</v>
      </c>
      <c r="B1" s="11" t="s">
        <v>80</v>
      </c>
      <c r="C1" s="11" t="s">
        <v>81</v>
      </c>
      <c r="D1" s="11" t="s">
        <v>82</v>
      </c>
      <c r="E1" s="11" t="s">
        <v>83</v>
      </c>
      <c r="F1" s="15" t="s">
        <v>84</v>
      </c>
      <c r="G1" s="15" t="s">
        <v>85</v>
      </c>
      <c r="H1" s="15" t="s">
        <v>86</v>
      </c>
      <c r="I1" s="15" t="s">
        <v>87</v>
      </c>
      <c r="J1" s="15" t="s">
        <v>88</v>
      </c>
      <c r="K1" s="15" t="s">
        <v>89</v>
      </c>
      <c r="M1" s="16" t="s">
        <v>90</v>
      </c>
      <c r="N1" s="16" t="s">
        <v>91</v>
      </c>
      <c r="O1" s="16" t="s">
        <v>92</v>
      </c>
    </row>
    <row r="2" customFormat="false" ht="15" hidden="false" customHeight="false" outlineLevel="0" collapsed="false">
      <c r="A2" s="17" t="s">
        <v>93</v>
      </c>
      <c r="B2" s="18" t="n">
        <v>1</v>
      </c>
      <c r="C2" s="17" t="s">
        <v>94</v>
      </c>
      <c r="D2" s="18" t="n">
        <v>3</v>
      </c>
      <c r="E2" s="17" t="s">
        <v>95</v>
      </c>
      <c r="F2" s="19" t="n">
        <f aca="false">VLOOKUP(E2,Acuan!$A$2:$B$8,2,FALSE())</f>
        <v>0</v>
      </c>
      <c r="G2" s="19" t="n">
        <f aca="false">D2*F2</f>
        <v>0</v>
      </c>
      <c r="H2" s="20" t="str">
        <f aca="false">IF(F2&gt;=$N$2,"Lulus","Mengulang")</f>
        <v>Mengulang</v>
      </c>
      <c r="I2" s="21" t="n">
        <f aca="false">ROUND(SUMPRODUCT(($A$2:$A$41=A2)*($B$2:$B$41=B2)*$G$2:$G$41)/SUMPRODUCT(($A$2:$A$41=A2)*($B$2:$B$41=B2)*$D$2:$D$41),2)</f>
        <v>1.18</v>
      </c>
      <c r="J2" s="21" t="n">
        <f aca="false">ROUND(SUMIF($A$2:$A$41,A2,$G$2:$G$41)/SUMIF($A$2:$A$41,A2,$D$2:$D$41),2)</f>
        <v>1.52</v>
      </c>
      <c r="K2" s="20" t="str">
        <f aca="false">IF(J2&gt;=$N$3,"Pujian",IF(J2&gt;=$N$4,"Sangat Memuaskan","Memuaskan"))</f>
        <v>Memuaskan</v>
      </c>
      <c r="M2" s="22" t="s">
        <v>96</v>
      </c>
      <c r="N2" s="23" t="n">
        <v>2</v>
      </c>
      <c r="O2" s="22"/>
    </row>
    <row r="3" customFormat="false" ht="15" hidden="false" customHeight="false" outlineLevel="0" collapsed="false">
      <c r="A3" s="17" t="s">
        <v>93</v>
      </c>
      <c r="B3" s="18" t="n">
        <v>1</v>
      </c>
      <c r="C3" s="17" t="s">
        <v>97</v>
      </c>
      <c r="D3" s="18" t="n">
        <v>3</v>
      </c>
      <c r="E3" s="17" t="s">
        <v>98</v>
      </c>
      <c r="F3" s="19" t="n">
        <f aca="false">VLOOKUP(E3,Acuan!$A$2:$B$8,2,FALSE())</f>
        <v>1</v>
      </c>
      <c r="G3" s="19" t="n">
        <f aca="false">D3*F3</f>
        <v>3</v>
      </c>
      <c r="H3" s="20" t="str">
        <f aca="false">IF(F3&gt;=$N$2,"Lulus","Mengulang")</f>
        <v>Mengulang</v>
      </c>
      <c r="I3" s="21" t="n">
        <f aca="false">ROUND(SUMPRODUCT(($A$2:$A$41=A3)*($B$2:$B$41=B3)*$G$2:$G$41)/SUMPRODUCT(($A$2:$A$41=A3)*($B$2:$B$41=B3)*$D$2:$D$41),2)</f>
        <v>1.18</v>
      </c>
      <c r="J3" s="21" t="n">
        <f aca="false">ROUND(SUMIF($A$2:$A$41,A3,$G$2:$G$41)/SUMIF($A$2:$A$41,A3,$D$2:$D$41),2)</f>
        <v>1.52</v>
      </c>
      <c r="K3" s="20" t="str">
        <f aca="false">IF(J3&gt;=$N$3,"Pujian",IF(J3&gt;=$N$4,"Sangat Memuaskan","Memuaskan"))</f>
        <v>Memuaskan</v>
      </c>
      <c r="M3" s="22" t="s">
        <v>99</v>
      </c>
      <c r="N3" s="24" t="n">
        <v>3.5</v>
      </c>
      <c r="O3" s="22" t="s">
        <v>100</v>
      </c>
    </row>
    <row r="4" customFormat="false" ht="15" hidden="false" customHeight="false" outlineLevel="0" collapsed="false">
      <c r="A4" s="17" t="s">
        <v>93</v>
      </c>
      <c r="B4" s="18" t="n">
        <v>1</v>
      </c>
      <c r="C4" s="17" t="s">
        <v>101</v>
      </c>
      <c r="D4" s="18" t="n">
        <v>2</v>
      </c>
      <c r="E4" s="17" t="s">
        <v>102</v>
      </c>
      <c r="F4" s="19" t="n">
        <f aca="false">VLOOKUP(E4,Acuan!$A$2:$B$8,2,FALSE())</f>
        <v>2</v>
      </c>
      <c r="G4" s="19" t="n">
        <f aca="false">D4*F4</f>
        <v>4</v>
      </c>
      <c r="H4" s="20" t="str">
        <f aca="false">IF(F4&gt;=$N$2,"Lulus","Mengulang")</f>
        <v>Lulus</v>
      </c>
      <c r="I4" s="21" t="n">
        <f aca="false">ROUND(SUMPRODUCT(($A$2:$A$41=A4)*($B$2:$B$41=B4)*$G$2:$G$41)/SUMPRODUCT(($A$2:$A$41=A4)*($B$2:$B$41=B4)*$D$2:$D$41),2)</f>
        <v>1.18</v>
      </c>
      <c r="J4" s="21" t="n">
        <f aca="false">ROUND(SUMIF($A$2:$A$41,A4,$G$2:$G$41)/SUMIF($A$2:$A$41,A4,$D$2:$D$41),2)</f>
        <v>1.52</v>
      </c>
      <c r="K4" s="20" t="str">
        <f aca="false">IF(J4&gt;=$N$3,"Pujian",IF(J4&gt;=$N$4,"Sangat Memuaskan","Memuaskan"))</f>
        <v>Memuaskan</v>
      </c>
      <c r="M4" s="22" t="s">
        <v>103</v>
      </c>
      <c r="N4" s="24" t="n">
        <v>3</v>
      </c>
      <c r="O4" s="22" t="s">
        <v>104</v>
      </c>
    </row>
    <row r="5" customFormat="false" ht="15" hidden="false" customHeight="false" outlineLevel="0" collapsed="false">
      <c r="A5" s="17" t="s">
        <v>93</v>
      </c>
      <c r="B5" s="18" t="n">
        <v>1</v>
      </c>
      <c r="C5" s="17" t="s">
        <v>105</v>
      </c>
      <c r="D5" s="18" t="n">
        <v>3</v>
      </c>
      <c r="E5" s="17" t="s">
        <v>102</v>
      </c>
      <c r="F5" s="19" t="n">
        <f aca="false">VLOOKUP(E5,Acuan!$A$2:$B$8,2,FALSE())</f>
        <v>2</v>
      </c>
      <c r="G5" s="19" t="n">
        <f aca="false">D5*F5</f>
        <v>6</v>
      </c>
      <c r="H5" s="20" t="str">
        <f aca="false">IF(F5&gt;=$N$2,"Lulus","Mengulang")</f>
        <v>Lulus</v>
      </c>
      <c r="I5" s="21" t="n">
        <f aca="false">ROUND(SUMPRODUCT(($A$2:$A$41=A5)*($B$2:$B$41=B5)*$G$2:$G$41)/SUMPRODUCT(($A$2:$A$41=A5)*($B$2:$B$41=B5)*$D$2:$D$41),2)</f>
        <v>1.18</v>
      </c>
      <c r="J5" s="21" t="n">
        <f aca="false">ROUND(SUMIF($A$2:$A$41,A5,$G$2:$G$41)/SUMIF($A$2:$A$41,A5,$D$2:$D$41),2)</f>
        <v>1.52</v>
      </c>
      <c r="K5" s="20" t="str">
        <f aca="false">IF(J5&gt;=$N$3,"Pujian",IF(J5&gt;=$N$4,"Sangat Memuaskan","Memuaskan"))</f>
        <v>Memuaskan</v>
      </c>
    </row>
    <row r="6" customFormat="false" ht="15" hidden="false" customHeight="false" outlineLevel="0" collapsed="false">
      <c r="A6" s="17" t="s">
        <v>93</v>
      </c>
      <c r="B6" s="18" t="n">
        <v>2</v>
      </c>
      <c r="C6" s="17" t="s">
        <v>106</v>
      </c>
      <c r="D6" s="18" t="n">
        <v>3</v>
      </c>
      <c r="E6" s="17" t="s">
        <v>102</v>
      </c>
      <c r="F6" s="19" t="n">
        <f aca="false">VLOOKUP(E6,Acuan!$A$2:$B$8,2,FALSE())</f>
        <v>2</v>
      </c>
      <c r="G6" s="19" t="n">
        <f aca="false">D6*F6</f>
        <v>6</v>
      </c>
      <c r="H6" s="20" t="str">
        <f aca="false">IF(F6&gt;=$N$2,"Lulus","Mengulang")</f>
        <v>Lulus</v>
      </c>
      <c r="I6" s="21" t="n">
        <f aca="false">ROUND(SUMPRODUCT(($A$2:$A$41=A6)*($B$2:$B$41=B6)*$G$2:$G$41)/SUMPRODUCT(($A$2:$A$41=A6)*($B$2:$B$41=B6)*$D$2:$D$41),2)</f>
        <v>1.83</v>
      </c>
      <c r="J6" s="21" t="n">
        <f aca="false">ROUND(SUMIF($A$2:$A$41,A6,$G$2:$G$41)/SUMIF($A$2:$A$41,A6,$D$2:$D$41),2)</f>
        <v>1.52</v>
      </c>
      <c r="K6" s="20" t="str">
        <f aca="false">IF(J6&gt;=$N$3,"Pujian",IF(J6&gt;=$N$4,"Sangat Memuaskan","Memuaskan"))</f>
        <v>Memuaskan</v>
      </c>
    </row>
    <row r="7" customFormat="false" ht="15" hidden="false" customHeight="false" outlineLevel="0" collapsed="false">
      <c r="A7" s="17" t="s">
        <v>93</v>
      </c>
      <c r="B7" s="18" t="n">
        <v>2</v>
      </c>
      <c r="C7" s="17" t="s">
        <v>107</v>
      </c>
      <c r="D7" s="18" t="n">
        <v>4</v>
      </c>
      <c r="E7" s="17" t="s">
        <v>102</v>
      </c>
      <c r="F7" s="19" t="n">
        <f aca="false">VLOOKUP(E7,Acuan!$A$2:$B$8,2,FALSE())</f>
        <v>2</v>
      </c>
      <c r="G7" s="19" t="n">
        <f aca="false">D7*F7</f>
        <v>8</v>
      </c>
      <c r="H7" s="20" t="str">
        <f aca="false">IF(F7&gt;=$N$2,"Lulus","Mengulang")</f>
        <v>Lulus</v>
      </c>
      <c r="I7" s="21" t="n">
        <f aca="false">ROUND(SUMPRODUCT(($A$2:$A$41=A7)*($B$2:$B$41=B7)*$G$2:$G$41)/SUMPRODUCT(($A$2:$A$41=A7)*($B$2:$B$41=B7)*$D$2:$D$41),2)</f>
        <v>1.83</v>
      </c>
      <c r="J7" s="21" t="n">
        <f aca="false">ROUND(SUMIF($A$2:$A$41,A7,$G$2:$G$41)/SUMIF($A$2:$A$41,A7,$D$2:$D$41),2)</f>
        <v>1.52</v>
      </c>
      <c r="K7" s="20" t="str">
        <f aca="false">IF(J7&gt;=$N$3,"Pujian",IF(J7&gt;=$N$4,"Sangat Memuaskan","Memuaskan"))</f>
        <v>Memuaskan</v>
      </c>
    </row>
    <row r="8" customFormat="false" ht="15" hidden="false" customHeight="false" outlineLevel="0" collapsed="false">
      <c r="A8" s="17" t="s">
        <v>93</v>
      </c>
      <c r="B8" s="18" t="n">
        <v>2</v>
      </c>
      <c r="C8" s="17" t="s">
        <v>108</v>
      </c>
      <c r="D8" s="18" t="n">
        <v>3</v>
      </c>
      <c r="E8" s="17" t="s">
        <v>102</v>
      </c>
      <c r="F8" s="19" t="n">
        <f aca="false">VLOOKUP(E8,Acuan!$A$2:$B$8,2,FALSE())</f>
        <v>2</v>
      </c>
      <c r="G8" s="19" t="n">
        <f aca="false">D8*F8</f>
        <v>6</v>
      </c>
      <c r="H8" s="20" t="str">
        <f aca="false">IF(F8&gt;=$N$2,"Lulus","Mengulang")</f>
        <v>Lulus</v>
      </c>
      <c r="I8" s="21" t="n">
        <f aca="false">ROUND(SUMPRODUCT(($A$2:$A$41=A8)*($B$2:$B$41=B8)*$G$2:$G$41)/SUMPRODUCT(($A$2:$A$41=A8)*($B$2:$B$41=B8)*$D$2:$D$41),2)</f>
        <v>1.83</v>
      </c>
      <c r="J8" s="21" t="n">
        <f aca="false">ROUND(SUMIF($A$2:$A$41,A8,$G$2:$G$41)/SUMIF($A$2:$A$41,A8,$D$2:$D$41),2)</f>
        <v>1.52</v>
      </c>
      <c r="K8" s="20" t="str">
        <f aca="false">IF(J8&gt;=$N$3,"Pujian",IF(J8&gt;=$N$4,"Sangat Memuaskan","Memuaskan"))</f>
        <v>Memuaskan</v>
      </c>
    </row>
    <row r="9" customFormat="false" ht="15" hidden="false" customHeight="false" outlineLevel="0" collapsed="false">
      <c r="A9" s="17" t="s">
        <v>93</v>
      </c>
      <c r="B9" s="18" t="n">
        <v>2</v>
      </c>
      <c r="C9" s="17" t="s">
        <v>109</v>
      </c>
      <c r="D9" s="18" t="n">
        <v>2</v>
      </c>
      <c r="E9" s="17" t="s">
        <v>98</v>
      </c>
      <c r="F9" s="19" t="n">
        <f aca="false">VLOOKUP(E9,Acuan!$A$2:$B$8,2,FALSE())</f>
        <v>1</v>
      </c>
      <c r="G9" s="19" t="n">
        <f aca="false">D9*F9</f>
        <v>2</v>
      </c>
      <c r="H9" s="20" t="str">
        <f aca="false">IF(F9&gt;=$N$2,"Lulus","Mengulang")</f>
        <v>Mengulang</v>
      </c>
      <c r="I9" s="21" t="n">
        <f aca="false">ROUND(SUMPRODUCT(($A$2:$A$41=A9)*($B$2:$B$41=B9)*$G$2:$G$41)/SUMPRODUCT(($A$2:$A$41=A9)*($B$2:$B$41=B9)*$D$2:$D$41),2)</f>
        <v>1.83</v>
      </c>
      <c r="J9" s="21" t="n">
        <f aca="false">ROUND(SUMIF($A$2:$A$41,A9,$G$2:$G$41)/SUMIF($A$2:$A$41,A9,$D$2:$D$41),2)</f>
        <v>1.52</v>
      </c>
      <c r="K9" s="20" t="str">
        <f aca="false">IF(J9&gt;=$N$3,"Pujian",IF(J9&gt;=$N$4,"Sangat Memuaskan","Memuaskan"))</f>
        <v>Memuaskan</v>
      </c>
    </row>
    <row r="10" customFormat="false" ht="15" hidden="false" customHeight="false" outlineLevel="0" collapsed="false">
      <c r="A10" s="17" t="s">
        <v>110</v>
      </c>
      <c r="B10" s="18" t="n">
        <v>1</v>
      </c>
      <c r="C10" s="17" t="s">
        <v>94</v>
      </c>
      <c r="D10" s="18" t="n">
        <v>3</v>
      </c>
      <c r="E10" s="17" t="s">
        <v>111</v>
      </c>
      <c r="F10" s="19" t="n">
        <f aca="false">VLOOKUP(E10,Acuan!$A$2:$B$8,2,FALSE())</f>
        <v>3</v>
      </c>
      <c r="G10" s="19" t="n">
        <f aca="false">D10*F10</f>
        <v>9</v>
      </c>
      <c r="H10" s="20" t="str">
        <f aca="false">IF(F10&gt;=$N$2,"Lulus","Mengulang")</f>
        <v>Lulus</v>
      </c>
      <c r="I10" s="21" t="n">
        <f aca="false">ROUND(SUMPRODUCT(($A$2:$A$41=A10)*($B$2:$B$41=B10)*$G$2:$G$41)/SUMPRODUCT(($A$2:$A$41=A10)*($B$2:$B$41=B10)*$D$2:$D$41),2)</f>
        <v>3.5</v>
      </c>
      <c r="J10" s="21" t="n">
        <f aca="false">ROUND(SUMIF($A$2:$A$41,A10,$G$2:$G$41)/SUMIF($A$2:$A$41,A10,$D$2:$D$41),2)</f>
        <v>3.35</v>
      </c>
      <c r="K10" s="20" t="str">
        <f aca="false">IF(J10&gt;=$N$3,"Pujian",IF(J10&gt;=$N$4,"Sangat Memuaskan","Memuaskan"))</f>
        <v>Sangat Memuaskan</v>
      </c>
    </row>
    <row r="11" customFormat="false" ht="15" hidden="false" customHeight="false" outlineLevel="0" collapsed="false">
      <c r="A11" s="17" t="s">
        <v>110</v>
      </c>
      <c r="B11" s="18" t="n">
        <v>1</v>
      </c>
      <c r="C11" s="17" t="s">
        <v>97</v>
      </c>
      <c r="D11" s="18" t="n">
        <v>3</v>
      </c>
      <c r="E11" s="17" t="s">
        <v>112</v>
      </c>
      <c r="F11" s="19" t="n">
        <f aca="false">VLOOKUP(E11,Acuan!$A$2:$B$8,2,FALSE())</f>
        <v>3.5</v>
      </c>
      <c r="G11" s="19" t="n">
        <f aca="false">D11*F11</f>
        <v>10.5</v>
      </c>
      <c r="H11" s="20" t="str">
        <f aca="false">IF(F11&gt;=$N$2,"Lulus","Mengulang")</f>
        <v>Lulus</v>
      </c>
      <c r="I11" s="21" t="n">
        <f aca="false">ROUND(SUMPRODUCT(($A$2:$A$41=A11)*($B$2:$B$41=B11)*$G$2:$G$41)/SUMPRODUCT(($A$2:$A$41=A11)*($B$2:$B$41=B11)*$D$2:$D$41),2)</f>
        <v>3.5</v>
      </c>
      <c r="J11" s="21" t="n">
        <f aca="false">ROUND(SUMIF($A$2:$A$41,A11,$G$2:$G$41)/SUMIF($A$2:$A$41,A11,$D$2:$D$41),2)</f>
        <v>3.35</v>
      </c>
      <c r="K11" s="20" t="str">
        <f aca="false">IF(J11&gt;=$N$3,"Pujian",IF(J11&gt;=$N$4,"Sangat Memuaskan","Memuaskan"))</f>
        <v>Sangat Memuaskan</v>
      </c>
    </row>
    <row r="12" customFormat="false" ht="15" hidden="false" customHeight="false" outlineLevel="0" collapsed="false">
      <c r="A12" s="17" t="s">
        <v>110</v>
      </c>
      <c r="B12" s="18" t="n">
        <v>1</v>
      </c>
      <c r="C12" s="17" t="s">
        <v>101</v>
      </c>
      <c r="D12" s="18" t="n">
        <v>2</v>
      </c>
      <c r="E12" s="17" t="s">
        <v>112</v>
      </c>
      <c r="F12" s="19" t="n">
        <f aca="false">VLOOKUP(E12,Acuan!$A$2:$B$8,2,FALSE())</f>
        <v>3.5</v>
      </c>
      <c r="G12" s="19" t="n">
        <f aca="false">D12*F12</f>
        <v>7</v>
      </c>
      <c r="H12" s="20" t="str">
        <f aca="false">IF(F12&gt;=$N$2,"Lulus","Mengulang")</f>
        <v>Lulus</v>
      </c>
      <c r="I12" s="21" t="n">
        <f aca="false">ROUND(SUMPRODUCT(($A$2:$A$41=A12)*($B$2:$B$41=B12)*$G$2:$G$41)/SUMPRODUCT(($A$2:$A$41=A12)*($B$2:$B$41=B12)*$D$2:$D$41),2)</f>
        <v>3.5</v>
      </c>
      <c r="J12" s="21" t="n">
        <f aca="false">ROUND(SUMIF($A$2:$A$41,A12,$G$2:$G$41)/SUMIF($A$2:$A$41,A12,$D$2:$D$41),2)</f>
        <v>3.35</v>
      </c>
      <c r="K12" s="20" t="str">
        <f aca="false">IF(J12&gt;=$N$3,"Pujian",IF(J12&gt;=$N$4,"Sangat Memuaskan","Memuaskan"))</f>
        <v>Sangat Memuaskan</v>
      </c>
    </row>
    <row r="13" customFormat="false" ht="15" hidden="false" customHeight="false" outlineLevel="0" collapsed="false">
      <c r="A13" s="17" t="s">
        <v>110</v>
      </c>
      <c r="B13" s="18" t="n">
        <v>1</v>
      </c>
      <c r="C13" s="17" t="s">
        <v>105</v>
      </c>
      <c r="D13" s="18" t="n">
        <v>3</v>
      </c>
      <c r="E13" s="17" t="s">
        <v>113</v>
      </c>
      <c r="F13" s="19" t="n">
        <f aca="false">VLOOKUP(E13,Acuan!$A$2:$B$8,2,FALSE())</f>
        <v>4</v>
      </c>
      <c r="G13" s="19" t="n">
        <f aca="false">D13*F13</f>
        <v>12</v>
      </c>
      <c r="H13" s="20" t="str">
        <f aca="false">IF(F13&gt;=$N$2,"Lulus","Mengulang")</f>
        <v>Lulus</v>
      </c>
      <c r="I13" s="21" t="n">
        <f aca="false">ROUND(SUMPRODUCT(($A$2:$A$41=A13)*($B$2:$B$41=B13)*$G$2:$G$41)/SUMPRODUCT(($A$2:$A$41=A13)*($B$2:$B$41=B13)*$D$2:$D$41),2)</f>
        <v>3.5</v>
      </c>
      <c r="J13" s="21" t="n">
        <f aca="false">ROUND(SUMIF($A$2:$A$41,A13,$G$2:$G$41)/SUMIF($A$2:$A$41,A13,$D$2:$D$41),2)</f>
        <v>3.35</v>
      </c>
      <c r="K13" s="20" t="str">
        <f aca="false">IF(J13&gt;=$N$3,"Pujian",IF(J13&gt;=$N$4,"Sangat Memuaskan","Memuaskan"))</f>
        <v>Sangat Memuaskan</v>
      </c>
    </row>
    <row r="14" customFormat="false" ht="15" hidden="false" customHeight="false" outlineLevel="0" collapsed="false">
      <c r="A14" s="17" t="s">
        <v>110</v>
      </c>
      <c r="B14" s="18" t="n">
        <v>2</v>
      </c>
      <c r="C14" s="17" t="s">
        <v>106</v>
      </c>
      <c r="D14" s="18" t="n">
        <v>3</v>
      </c>
      <c r="E14" s="17" t="s">
        <v>112</v>
      </c>
      <c r="F14" s="19" t="n">
        <f aca="false">VLOOKUP(E14,Acuan!$A$2:$B$8,2,FALSE())</f>
        <v>3.5</v>
      </c>
      <c r="G14" s="19" t="n">
        <f aca="false">D14*F14</f>
        <v>10.5</v>
      </c>
      <c r="H14" s="20" t="str">
        <f aca="false">IF(F14&gt;=$N$2,"Lulus","Mengulang")</f>
        <v>Lulus</v>
      </c>
      <c r="I14" s="21" t="n">
        <f aca="false">ROUND(SUMPRODUCT(($A$2:$A$41=A14)*($B$2:$B$41=B14)*$G$2:$G$41)/SUMPRODUCT(($A$2:$A$41=A14)*($B$2:$B$41=B14)*$D$2:$D$41),2)</f>
        <v>3.21</v>
      </c>
      <c r="J14" s="21" t="n">
        <f aca="false">ROUND(SUMIF($A$2:$A$41,A14,$G$2:$G$41)/SUMIF($A$2:$A$41,A14,$D$2:$D$41),2)</f>
        <v>3.35</v>
      </c>
      <c r="K14" s="20" t="str">
        <f aca="false">IF(J14&gt;=$N$3,"Pujian",IF(J14&gt;=$N$4,"Sangat Memuaskan","Memuaskan"))</f>
        <v>Sangat Memuaskan</v>
      </c>
    </row>
    <row r="15" customFormat="false" ht="15" hidden="false" customHeight="false" outlineLevel="0" collapsed="false">
      <c r="A15" s="17" t="s">
        <v>110</v>
      </c>
      <c r="B15" s="18" t="n">
        <v>2</v>
      </c>
      <c r="C15" s="17" t="s">
        <v>107</v>
      </c>
      <c r="D15" s="18" t="n">
        <v>4</v>
      </c>
      <c r="E15" s="17" t="s">
        <v>111</v>
      </c>
      <c r="F15" s="19" t="n">
        <f aca="false">VLOOKUP(E15,Acuan!$A$2:$B$8,2,FALSE())</f>
        <v>3</v>
      </c>
      <c r="G15" s="19" t="n">
        <f aca="false">D15*F15</f>
        <v>12</v>
      </c>
      <c r="H15" s="20" t="str">
        <f aca="false">IF(F15&gt;=$N$2,"Lulus","Mengulang")</f>
        <v>Lulus</v>
      </c>
      <c r="I15" s="21" t="n">
        <f aca="false">ROUND(SUMPRODUCT(($A$2:$A$41=A15)*($B$2:$B$41=B15)*$G$2:$G$41)/SUMPRODUCT(($A$2:$A$41=A15)*($B$2:$B$41=B15)*$D$2:$D$41),2)</f>
        <v>3.21</v>
      </c>
      <c r="J15" s="21" t="n">
        <f aca="false">ROUND(SUMIF($A$2:$A$41,A15,$G$2:$G$41)/SUMIF($A$2:$A$41,A15,$D$2:$D$41),2)</f>
        <v>3.35</v>
      </c>
      <c r="K15" s="20" t="str">
        <f aca="false">IF(J15&gt;=$N$3,"Pujian",IF(J15&gt;=$N$4,"Sangat Memuaskan","Memuaskan"))</f>
        <v>Sangat Memuaskan</v>
      </c>
    </row>
    <row r="16" customFormat="false" ht="15" hidden="false" customHeight="false" outlineLevel="0" collapsed="false">
      <c r="A16" s="17" t="s">
        <v>110</v>
      </c>
      <c r="B16" s="18" t="n">
        <v>2</v>
      </c>
      <c r="C16" s="17" t="s">
        <v>108</v>
      </c>
      <c r="D16" s="18" t="n">
        <v>3</v>
      </c>
      <c r="E16" s="17" t="s">
        <v>111</v>
      </c>
      <c r="F16" s="19" t="n">
        <f aca="false">VLOOKUP(E16,Acuan!$A$2:$B$8,2,FALSE())</f>
        <v>3</v>
      </c>
      <c r="G16" s="19" t="n">
        <f aca="false">D16*F16</f>
        <v>9</v>
      </c>
      <c r="H16" s="20" t="str">
        <f aca="false">IF(F16&gt;=$N$2,"Lulus","Mengulang")</f>
        <v>Lulus</v>
      </c>
      <c r="I16" s="21" t="n">
        <f aca="false">ROUND(SUMPRODUCT(($A$2:$A$41=A16)*($B$2:$B$41=B16)*$G$2:$G$41)/SUMPRODUCT(($A$2:$A$41=A16)*($B$2:$B$41=B16)*$D$2:$D$41),2)</f>
        <v>3.21</v>
      </c>
      <c r="J16" s="21" t="n">
        <f aca="false">ROUND(SUMIF($A$2:$A$41,A16,$G$2:$G$41)/SUMIF($A$2:$A$41,A16,$D$2:$D$41),2)</f>
        <v>3.35</v>
      </c>
      <c r="K16" s="20" t="str">
        <f aca="false">IF(J16&gt;=$N$3,"Pujian",IF(J16&gt;=$N$4,"Sangat Memuaskan","Memuaskan"))</f>
        <v>Sangat Memuaskan</v>
      </c>
    </row>
    <row r="17" customFormat="false" ht="15" hidden="false" customHeight="false" outlineLevel="0" collapsed="false">
      <c r="A17" s="17" t="s">
        <v>110</v>
      </c>
      <c r="B17" s="18" t="n">
        <v>2</v>
      </c>
      <c r="C17" s="17" t="s">
        <v>109</v>
      </c>
      <c r="D17" s="18" t="n">
        <v>2</v>
      </c>
      <c r="E17" s="17" t="s">
        <v>112</v>
      </c>
      <c r="F17" s="19" t="n">
        <f aca="false">VLOOKUP(E17,Acuan!$A$2:$B$8,2,FALSE())</f>
        <v>3.5</v>
      </c>
      <c r="G17" s="19" t="n">
        <f aca="false">D17*F17</f>
        <v>7</v>
      </c>
      <c r="H17" s="20" t="str">
        <f aca="false">IF(F17&gt;=$N$2,"Lulus","Mengulang")</f>
        <v>Lulus</v>
      </c>
      <c r="I17" s="21" t="n">
        <f aca="false">ROUND(SUMPRODUCT(($A$2:$A$41=A17)*($B$2:$B$41=B17)*$G$2:$G$41)/SUMPRODUCT(($A$2:$A$41=A17)*($B$2:$B$41=B17)*$D$2:$D$41),2)</f>
        <v>3.21</v>
      </c>
      <c r="J17" s="21" t="n">
        <f aca="false">ROUND(SUMIF($A$2:$A$41,A17,$G$2:$G$41)/SUMIF($A$2:$A$41,A17,$D$2:$D$41),2)</f>
        <v>3.35</v>
      </c>
      <c r="K17" s="20" t="str">
        <f aca="false">IF(J17&gt;=$N$3,"Pujian",IF(J17&gt;=$N$4,"Sangat Memuaskan","Memuaskan"))</f>
        <v>Sangat Memuaskan</v>
      </c>
    </row>
    <row r="18" customFormat="false" ht="15" hidden="false" customHeight="false" outlineLevel="0" collapsed="false">
      <c r="A18" s="17" t="s">
        <v>114</v>
      </c>
      <c r="B18" s="18" t="n">
        <v>1</v>
      </c>
      <c r="C18" s="17" t="s">
        <v>94</v>
      </c>
      <c r="D18" s="18" t="n">
        <v>3</v>
      </c>
      <c r="E18" s="17" t="s">
        <v>112</v>
      </c>
      <c r="F18" s="19" t="n">
        <f aca="false">VLOOKUP(E18,Acuan!$A$2:$B$8,2,FALSE())</f>
        <v>3.5</v>
      </c>
      <c r="G18" s="19" t="n">
        <f aca="false">D18*F18</f>
        <v>10.5</v>
      </c>
      <c r="H18" s="20" t="str">
        <f aca="false">IF(F18&gt;=$N$2,"Lulus","Mengulang")</f>
        <v>Lulus</v>
      </c>
      <c r="I18" s="21" t="n">
        <f aca="false">ROUND(SUMPRODUCT(($A$2:$A$41=A18)*($B$2:$B$41=B18)*$G$2:$G$41)/SUMPRODUCT(($A$2:$A$41=A18)*($B$2:$B$41=B18)*$D$2:$D$41),2)</f>
        <v>3.36</v>
      </c>
      <c r="J18" s="21" t="n">
        <f aca="false">ROUND(SUMIF($A$2:$A$41,A18,$G$2:$G$41)/SUMIF($A$2:$A$41,A18,$D$2:$D$41),2)</f>
        <v>3.02</v>
      </c>
      <c r="K18" s="20" t="str">
        <f aca="false">IF(J18&gt;=$N$3,"Pujian",IF(J18&gt;=$N$4,"Sangat Memuaskan","Memuaskan"))</f>
        <v>Sangat Memuaskan</v>
      </c>
    </row>
    <row r="19" customFormat="false" ht="15" hidden="false" customHeight="false" outlineLevel="0" collapsed="false">
      <c r="A19" s="17" t="s">
        <v>114</v>
      </c>
      <c r="B19" s="18" t="n">
        <v>1</v>
      </c>
      <c r="C19" s="17" t="s">
        <v>97</v>
      </c>
      <c r="D19" s="18" t="n">
        <v>3</v>
      </c>
      <c r="E19" s="17" t="s">
        <v>111</v>
      </c>
      <c r="F19" s="19" t="n">
        <f aca="false">VLOOKUP(E19,Acuan!$A$2:$B$8,2,FALSE())</f>
        <v>3</v>
      </c>
      <c r="G19" s="19" t="n">
        <f aca="false">D19*F19</f>
        <v>9</v>
      </c>
      <c r="H19" s="20" t="str">
        <f aca="false">IF(F19&gt;=$N$2,"Lulus","Mengulang")</f>
        <v>Lulus</v>
      </c>
      <c r="I19" s="21" t="n">
        <f aca="false">ROUND(SUMPRODUCT(($A$2:$A$41=A19)*($B$2:$B$41=B19)*$G$2:$G$41)/SUMPRODUCT(($A$2:$A$41=A19)*($B$2:$B$41=B19)*$D$2:$D$41),2)</f>
        <v>3.36</v>
      </c>
      <c r="J19" s="21" t="n">
        <f aca="false">ROUND(SUMIF($A$2:$A$41,A19,$G$2:$G$41)/SUMIF($A$2:$A$41,A19,$D$2:$D$41),2)</f>
        <v>3.02</v>
      </c>
      <c r="K19" s="20" t="str">
        <f aca="false">IF(J19&gt;=$N$3,"Pujian",IF(J19&gt;=$N$4,"Sangat Memuaskan","Memuaskan"))</f>
        <v>Sangat Memuaskan</v>
      </c>
    </row>
    <row r="20" customFormat="false" ht="15" hidden="false" customHeight="false" outlineLevel="0" collapsed="false">
      <c r="A20" s="17" t="s">
        <v>114</v>
      </c>
      <c r="B20" s="18" t="n">
        <v>1</v>
      </c>
      <c r="C20" s="17" t="s">
        <v>101</v>
      </c>
      <c r="D20" s="18" t="n">
        <v>2</v>
      </c>
      <c r="E20" s="17" t="s">
        <v>112</v>
      </c>
      <c r="F20" s="19" t="n">
        <f aca="false">VLOOKUP(E20,Acuan!$A$2:$B$8,2,FALSE())</f>
        <v>3.5</v>
      </c>
      <c r="G20" s="19" t="n">
        <f aca="false">D20*F20</f>
        <v>7</v>
      </c>
      <c r="H20" s="20" t="str">
        <f aca="false">IF(F20&gt;=$N$2,"Lulus","Mengulang")</f>
        <v>Lulus</v>
      </c>
      <c r="I20" s="21" t="n">
        <f aca="false">ROUND(SUMPRODUCT(($A$2:$A$41=A20)*($B$2:$B$41=B20)*$G$2:$G$41)/SUMPRODUCT(($A$2:$A$41=A20)*($B$2:$B$41=B20)*$D$2:$D$41),2)</f>
        <v>3.36</v>
      </c>
      <c r="J20" s="21" t="n">
        <f aca="false">ROUND(SUMIF($A$2:$A$41,A20,$G$2:$G$41)/SUMIF($A$2:$A$41,A20,$D$2:$D$41),2)</f>
        <v>3.02</v>
      </c>
      <c r="K20" s="20" t="str">
        <f aca="false">IF(J20&gt;=$N$3,"Pujian",IF(J20&gt;=$N$4,"Sangat Memuaskan","Memuaskan"))</f>
        <v>Sangat Memuaskan</v>
      </c>
    </row>
    <row r="21" customFormat="false" ht="15" hidden="false" customHeight="false" outlineLevel="0" collapsed="false">
      <c r="A21" s="17" t="s">
        <v>114</v>
      </c>
      <c r="B21" s="18" t="n">
        <v>1</v>
      </c>
      <c r="C21" s="17" t="s">
        <v>105</v>
      </c>
      <c r="D21" s="18" t="n">
        <v>3</v>
      </c>
      <c r="E21" s="17" t="s">
        <v>112</v>
      </c>
      <c r="F21" s="19" t="n">
        <f aca="false">VLOOKUP(E21,Acuan!$A$2:$B$8,2,FALSE())</f>
        <v>3.5</v>
      </c>
      <c r="G21" s="19" t="n">
        <f aca="false">D21*F21</f>
        <v>10.5</v>
      </c>
      <c r="H21" s="20" t="str">
        <f aca="false">IF(F21&gt;=$N$2,"Lulus","Mengulang")</f>
        <v>Lulus</v>
      </c>
      <c r="I21" s="21" t="n">
        <f aca="false">ROUND(SUMPRODUCT(($A$2:$A$41=A21)*($B$2:$B$41=B21)*$G$2:$G$41)/SUMPRODUCT(($A$2:$A$41=A21)*($B$2:$B$41=B21)*$D$2:$D$41),2)</f>
        <v>3.36</v>
      </c>
      <c r="J21" s="21" t="n">
        <f aca="false">ROUND(SUMIF($A$2:$A$41,A21,$G$2:$G$41)/SUMIF($A$2:$A$41,A21,$D$2:$D$41),2)</f>
        <v>3.02</v>
      </c>
      <c r="K21" s="20" t="str">
        <f aca="false">IF(J21&gt;=$N$3,"Pujian",IF(J21&gt;=$N$4,"Sangat Memuaskan","Memuaskan"))</f>
        <v>Sangat Memuaskan</v>
      </c>
    </row>
    <row r="22" customFormat="false" ht="15" hidden="false" customHeight="false" outlineLevel="0" collapsed="false">
      <c r="A22" s="17" t="s">
        <v>114</v>
      </c>
      <c r="B22" s="18" t="n">
        <v>2</v>
      </c>
      <c r="C22" s="17" t="s">
        <v>106</v>
      </c>
      <c r="D22" s="18" t="n">
        <v>3</v>
      </c>
      <c r="E22" s="17" t="s">
        <v>115</v>
      </c>
      <c r="F22" s="19" t="n">
        <f aca="false">VLOOKUP(E22,Acuan!$A$2:$B$8,2,FALSE())</f>
        <v>2.5</v>
      </c>
      <c r="G22" s="19" t="n">
        <f aca="false">D22*F22</f>
        <v>7.5</v>
      </c>
      <c r="H22" s="20" t="str">
        <f aca="false">IF(F22&gt;=$N$2,"Lulus","Mengulang")</f>
        <v>Lulus</v>
      </c>
      <c r="I22" s="21" t="n">
        <f aca="false">ROUND(SUMPRODUCT(($A$2:$A$41=A22)*($B$2:$B$41=B22)*$G$2:$G$41)/SUMPRODUCT(($A$2:$A$41=A22)*($B$2:$B$41=B22)*$D$2:$D$41),2)</f>
        <v>2.71</v>
      </c>
      <c r="J22" s="21" t="n">
        <f aca="false">ROUND(SUMIF($A$2:$A$41,A22,$G$2:$G$41)/SUMIF($A$2:$A$41,A22,$D$2:$D$41),2)</f>
        <v>3.02</v>
      </c>
      <c r="K22" s="20" t="str">
        <f aca="false">IF(J22&gt;=$N$3,"Pujian",IF(J22&gt;=$N$4,"Sangat Memuaskan","Memuaskan"))</f>
        <v>Sangat Memuaskan</v>
      </c>
    </row>
    <row r="23" customFormat="false" ht="15" hidden="false" customHeight="false" outlineLevel="0" collapsed="false">
      <c r="A23" s="17" t="s">
        <v>114</v>
      </c>
      <c r="B23" s="18" t="n">
        <v>2</v>
      </c>
      <c r="C23" s="17" t="s">
        <v>107</v>
      </c>
      <c r="D23" s="18" t="n">
        <v>4</v>
      </c>
      <c r="E23" s="17" t="s">
        <v>111</v>
      </c>
      <c r="F23" s="19" t="n">
        <f aca="false">VLOOKUP(E23,Acuan!$A$2:$B$8,2,FALSE())</f>
        <v>3</v>
      </c>
      <c r="G23" s="19" t="n">
        <f aca="false">D23*F23</f>
        <v>12</v>
      </c>
      <c r="H23" s="20" t="str">
        <f aca="false">IF(F23&gt;=$N$2,"Lulus","Mengulang")</f>
        <v>Lulus</v>
      </c>
      <c r="I23" s="21" t="n">
        <f aca="false">ROUND(SUMPRODUCT(($A$2:$A$41=A23)*($B$2:$B$41=B23)*$G$2:$G$41)/SUMPRODUCT(($A$2:$A$41=A23)*($B$2:$B$41=B23)*$D$2:$D$41),2)</f>
        <v>2.71</v>
      </c>
      <c r="J23" s="21" t="n">
        <f aca="false">ROUND(SUMIF($A$2:$A$41,A23,$G$2:$G$41)/SUMIF($A$2:$A$41,A23,$D$2:$D$41),2)</f>
        <v>3.02</v>
      </c>
      <c r="K23" s="20" t="str">
        <f aca="false">IF(J23&gt;=$N$3,"Pujian",IF(J23&gt;=$N$4,"Sangat Memuaskan","Memuaskan"))</f>
        <v>Sangat Memuaskan</v>
      </c>
    </row>
    <row r="24" customFormat="false" ht="15" hidden="false" customHeight="false" outlineLevel="0" collapsed="false">
      <c r="A24" s="17" t="s">
        <v>114</v>
      </c>
      <c r="B24" s="18" t="n">
        <v>2</v>
      </c>
      <c r="C24" s="17" t="s">
        <v>108</v>
      </c>
      <c r="D24" s="18" t="n">
        <v>3</v>
      </c>
      <c r="E24" s="17" t="s">
        <v>111</v>
      </c>
      <c r="F24" s="19" t="n">
        <f aca="false">VLOOKUP(E24,Acuan!$A$2:$B$8,2,FALSE())</f>
        <v>3</v>
      </c>
      <c r="G24" s="19" t="n">
        <f aca="false">D24*F24</f>
        <v>9</v>
      </c>
      <c r="H24" s="20" t="str">
        <f aca="false">IF(F24&gt;=$N$2,"Lulus","Mengulang")</f>
        <v>Lulus</v>
      </c>
      <c r="I24" s="21" t="n">
        <f aca="false">ROUND(SUMPRODUCT(($A$2:$A$41=A24)*($B$2:$B$41=B24)*$G$2:$G$41)/SUMPRODUCT(($A$2:$A$41=A24)*($B$2:$B$41=B24)*$D$2:$D$41),2)</f>
        <v>2.71</v>
      </c>
      <c r="J24" s="21" t="n">
        <f aca="false">ROUND(SUMIF($A$2:$A$41,A24,$G$2:$G$41)/SUMIF($A$2:$A$41,A24,$D$2:$D$41),2)</f>
        <v>3.02</v>
      </c>
      <c r="K24" s="20" t="str">
        <f aca="false">IF(J24&gt;=$N$3,"Pujian",IF(J24&gt;=$N$4,"Sangat Memuaskan","Memuaskan"))</f>
        <v>Sangat Memuaskan</v>
      </c>
    </row>
    <row r="25" customFormat="false" ht="15" hidden="false" customHeight="false" outlineLevel="0" collapsed="false">
      <c r="A25" s="17" t="s">
        <v>114</v>
      </c>
      <c r="B25" s="18" t="n">
        <v>2</v>
      </c>
      <c r="C25" s="17" t="s">
        <v>109</v>
      </c>
      <c r="D25" s="18" t="n">
        <v>2</v>
      </c>
      <c r="E25" s="17" t="s">
        <v>102</v>
      </c>
      <c r="F25" s="19" t="n">
        <f aca="false">VLOOKUP(E25,Acuan!$A$2:$B$8,2,FALSE())</f>
        <v>2</v>
      </c>
      <c r="G25" s="19" t="n">
        <f aca="false">D25*F25</f>
        <v>4</v>
      </c>
      <c r="H25" s="20" t="str">
        <f aca="false">IF(F25&gt;=$N$2,"Lulus","Mengulang")</f>
        <v>Lulus</v>
      </c>
      <c r="I25" s="21" t="n">
        <f aca="false">ROUND(SUMPRODUCT(($A$2:$A$41=A25)*($B$2:$B$41=B25)*$G$2:$G$41)/SUMPRODUCT(($A$2:$A$41=A25)*($B$2:$B$41=B25)*$D$2:$D$41),2)</f>
        <v>2.71</v>
      </c>
      <c r="J25" s="21" t="n">
        <f aca="false">ROUND(SUMIF($A$2:$A$41,A25,$G$2:$G$41)/SUMIF($A$2:$A$41,A25,$D$2:$D$41),2)</f>
        <v>3.02</v>
      </c>
      <c r="K25" s="20" t="str">
        <f aca="false">IF(J25&gt;=$N$3,"Pujian",IF(J25&gt;=$N$4,"Sangat Memuaskan","Memuaskan"))</f>
        <v>Sangat Memuaskan</v>
      </c>
    </row>
    <row r="26" customFormat="false" ht="15" hidden="false" customHeight="false" outlineLevel="0" collapsed="false">
      <c r="A26" s="17" t="s">
        <v>116</v>
      </c>
      <c r="B26" s="18" t="n">
        <v>1</v>
      </c>
      <c r="C26" s="17" t="s">
        <v>94</v>
      </c>
      <c r="D26" s="18" t="n">
        <v>3</v>
      </c>
      <c r="E26" s="17" t="s">
        <v>111</v>
      </c>
      <c r="F26" s="19" t="n">
        <f aca="false">VLOOKUP(E26,Acuan!$A$2:$B$8,2,FALSE())</f>
        <v>3</v>
      </c>
      <c r="G26" s="19" t="n">
        <f aca="false">D26*F26</f>
        <v>9</v>
      </c>
      <c r="H26" s="20" t="str">
        <f aca="false">IF(F26&gt;=$N$2,"Lulus","Mengulang")</f>
        <v>Lulus</v>
      </c>
      <c r="I26" s="21" t="n">
        <f aca="false">ROUND(SUMPRODUCT(($A$2:$A$41=A26)*($B$2:$B$41=B26)*$G$2:$G$41)/SUMPRODUCT(($A$2:$A$41=A26)*($B$2:$B$41=B26)*$D$2:$D$41),2)</f>
        <v>3.18</v>
      </c>
      <c r="J26" s="21" t="n">
        <f aca="false">ROUND(SUMIF($A$2:$A$41,A26,$G$2:$G$41)/SUMIF($A$2:$A$41,A26,$D$2:$D$41),2)</f>
        <v>3.26</v>
      </c>
      <c r="K26" s="20" t="str">
        <f aca="false">IF(J26&gt;=$N$3,"Pujian",IF(J26&gt;=$N$4,"Sangat Memuaskan","Memuaskan"))</f>
        <v>Sangat Memuaskan</v>
      </c>
    </row>
    <row r="27" customFormat="false" ht="15" hidden="false" customHeight="false" outlineLevel="0" collapsed="false">
      <c r="A27" s="17" t="s">
        <v>116</v>
      </c>
      <c r="B27" s="18" t="n">
        <v>1</v>
      </c>
      <c r="C27" s="17" t="s">
        <v>97</v>
      </c>
      <c r="D27" s="18" t="n">
        <v>3</v>
      </c>
      <c r="E27" s="17" t="s">
        <v>113</v>
      </c>
      <c r="F27" s="19" t="n">
        <f aca="false">VLOOKUP(E27,Acuan!$A$2:$B$8,2,FALSE())</f>
        <v>4</v>
      </c>
      <c r="G27" s="19" t="n">
        <f aca="false">D27*F27</f>
        <v>12</v>
      </c>
      <c r="H27" s="20" t="str">
        <f aca="false">IF(F27&gt;=$N$2,"Lulus","Mengulang")</f>
        <v>Lulus</v>
      </c>
      <c r="I27" s="21" t="n">
        <f aca="false">ROUND(SUMPRODUCT(($A$2:$A$41=A27)*($B$2:$B$41=B27)*$G$2:$G$41)/SUMPRODUCT(($A$2:$A$41=A27)*($B$2:$B$41=B27)*$D$2:$D$41),2)</f>
        <v>3.18</v>
      </c>
      <c r="J27" s="21" t="n">
        <f aca="false">ROUND(SUMIF($A$2:$A$41,A27,$G$2:$G$41)/SUMIF($A$2:$A$41,A27,$D$2:$D$41),2)</f>
        <v>3.26</v>
      </c>
      <c r="K27" s="20" t="str">
        <f aca="false">IF(J27&gt;=$N$3,"Pujian",IF(J27&gt;=$N$4,"Sangat Memuaskan","Memuaskan"))</f>
        <v>Sangat Memuaskan</v>
      </c>
    </row>
    <row r="28" customFormat="false" ht="15" hidden="false" customHeight="false" outlineLevel="0" collapsed="false">
      <c r="A28" s="17" t="s">
        <v>116</v>
      </c>
      <c r="B28" s="18" t="n">
        <v>1</v>
      </c>
      <c r="C28" s="17" t="s">
        <v>101</v>
      </c>
      <c r="D28" s="18" t="n">
        <v>2</v>
      </c>
      <c r="E28" s="17" t="s">
        <v>115</v>
      </c>
      <c r="F28" s="19" t="n">
        <f aca="false">VLOOKUP(E28,Acuan!$A$2:$B$8,2,FALSE())</f>
        <v>2.5</v>
      </c>
      <c r="G28" s="19" t="n">
        <f aca="false">D28*F28</f>
        <v>5</v>
      </c>
      <c r="H28" s="20" t="str">
        <f aca="false">IF(F28&gt;=$N$2,"Lulus","Mengulang")</f>
        <v>Lulus</v>
      </c>
      <c r="I28" s="21" t="n">
        <f aca="false">ROUND(SUMPRODUCT(($A$2:$A$41=A28)*($B$2:$B$41=B28)*$G$2:$G$41)/SUMPRODUCT(($A$2:$A$41=A28)*($B$2:$B$41=B28)*$D$2:$D$41),2)</f>
        <v>3.18</v>
      </c>
      <c r="J28" s="21" t="n">
        <f aca="false">ROUND(SUMIF($A$2:$A$41,A28,$G$2:$G$41)/SUMIF($A$2:$A$41,A28,$D$2:$D$41),2)</f>
        <v>3.26</v>
      </c>
      <c r="K28" s="20" t="str">
        <f aca="false">IF(J28&gt;=$N$3,"Pujian",IF(J28&gt;=$N$4,"Sangat Memuaskan","Memuaskan"))</f>
        <v>Sangat Memuaskan</v>
      </c>
    </row>
    <row r="29" customFormat="false" ht="15" hidden="false" customHeight="false" outlineLevel="0" collapsed="false">
      <c r="A29" s="17" t="s">
        <v>116</v>
      </c>
      <c r="B29" s="18" t="n">
        <v>1</v>
      </c>
      <c r="C29" s="17" t="s">
        <v>105</v>
      </c>
      <c r="D29" s="18" t="n">
        <v>3</v>
      </c>
      <c r="E29" s="17" t="s">
        <v>111</v>
      </c>
      <c r="F29" s="19" t="n">
        <f aca="false">VLOOKUP(E29,Acuan!$A$2:$B$8,2,FALSE())</f>
        <v>3</v>
      </c>
      <c r="G29" s="19" t="n">
        <f aca="false">D29*F29</f>
        <v>9</v>
      </c>
      <c r="H29" s="20" t="str">
        <f aca="false">IF(F29&gt;=$N$2,"Lulus","Mengulang")</f>
        <v>Lulus</v>
      </c>
      <c r="I29" s="21" t="n">
        <f aca="false">ROUND(SUMPRODUCT(($A$2:$A$41=A29)*($B$2:$B$41=B29)*$G$2:$G$41)/SUMPRODUCT(($A$2:$A$41=A29)*($B$2:$B$41=B29)*$D$2:$D$41),2)</f>
        <v>3.18</v>
      </c>
      <c r="J29" s="21" t="n">
        <f aca="false">ROUND(SUMIF($A$2:$A$41,A29,$G$2:$G$41)/SUMIF($A$2:$A$41,A29,$D$2:$D$41),2)</f>
        <v>3.26</v>
      </c>
      <c r="K29" s="20" t="str">
        <f aca="false">IF(J29&gt;=$N$3,"Pujian",IF(J29&gt;=$N$4,"Sangat Memuaskan","Memuaskan"))</f>
        <v>Sangat Memuaskan</v>
      </c>
    </row>
    <row r="30" customFormat="false" ht="15" hidden="false" customHeight="false" outlineLevel="0" collapsed="false">
      <c r="A30" s="17" t="s">
        <v>116</v>
      </c>
      <c r="B30" s="18" t="n">
        <v>2</v>
      </c>
      <c r="C30" s="17" t="s">
        <v>106</v>
      </c>
      <c r="D30" s="18" t="n">
        <v>3</v>
      </c>
      <c r="E30" s="17" t="s">
        <v>113</v>
      </c>
      <c r="F30" s="19" t="n">
        <f aca="false">VLOOKUP(E30,Acuan!$A$2:$B$8,2,FALSE())</f>
        <v>4</v>
      </c>
      <c r="G30" s="19" t="n">
        <f aca="false">D30*F30</f>
        <v>12</v>
      </c>
      <c r="H30" s="20" t="str">
        <f aca="false">IF(F30&gt;=$N$2,"Lulus","Mengulang")</f>
        <v>Lulus</v>
      </c>
      <c r="I30" s="21" t="n">
        <f aca="false">ROUND(SUMPRODUCT(($A$2:$A$41=A30)*($B$2:$B$41=B30)*$G$2:$G$41)/SUMPRODUCT(($A$2:$A$41=A30)*($B$2:$B$41=B30)*$D$2:$D$41),2)</f>
        <v>3.33</v>
      </c>
      <c r="J30" s="21" t="n">
        <f aca="false">ROUND(SUMIF($A$2:$A$41,A30,$G$2:$G$41)/SUMIF($A$2:$A$41,A30,$D$2:$D$41),2)</f>
        <v>3.26</v>
      </c>
      <c r="K30" s="20" t="str">
        <f aca="false">IF(J30&gt;=$N$3,"Pujian",IF(J30&gt;=$N$4,"Sangat Memuaskan","Memuaskan"))</f>
        <v>Sangat Memuaskan</v>
      </c>
    </row>
    <row r="31" customFormat="false" ht="15" hidden="false" customHeight="false" outlineLevel="0" collapsed="false">
      <c r="A31" s="17" t="s">
        <v>116</v>
      </c>
      <c r="B31" s="18" t="n">
        <v>2</v>
      </c>
      <c r="C31" s="17" t="s">
        <v>107</v>
      </c>
      <c r="D31" s="18" t="n">
        <v>4</v>
      </c>
      <c r="E31" s="17" t="s">
        <v>111</v>
      </c>
      <c r="F31" s="19" t="n">
        <f aca="false">VLOOKUP(E31,Acuan!$A$2:$B$8,2,FALSE())</f>
        <v>3</v>
      </c>
      <c r="G31" s="19" t="n">
        <f aca="false">D31*F31</f>
        <v>12</v>
      </c>
      <c r="H31" s="20" t="str">
        <f aca="false">IF(F31&gt;=$N$2,"Lulus","Mengulang")</f>
        <v>Lulus</v>
      </c>
      <c r="I31" s="21" t="n">
        <f aca="false">ROUND(SUMPRODUCT(($A$2:$A$41=A31)*($B$2:$B$41=B31)*$G$2:$G$41)/SUMPRODUCT(($A$2:$A$41=A31)*($B$2:$B$41=B31)*$D$2:$D$41),2)</f>
        <v>3.33</v>
      </c>
      <c r="J31" s="21" t="n">
        <f aca="false">ROUND(SUMIF($A$2:$A$41,A31,$G$2:$G$41)/SUMIF($A$2:$A$41,A31,$D$2:$D$41),2)</f>
        <v>3.26</v>
      </c>
      <c r="K31" s="20" t="str">
        <f aca="false">IF(J31&gt;=$N$3,"Pujian",IF(J31&gt;=$N$4,"Sangat Memuaskan","Memuaskan"))</f>
        <v>Sangat Memuaskan</v>
      </c>
    </row>
    <row r="32" customFormat="false" ht="15" hidden="false" customHeight="false" outlineLevel="0" collapsed="false">
      <c r="A32" s="17" t="s">
        <v>116</v>
      </c>
      <c r="B32" s="18" t="n">
        <v>2</v>
      </c>
      <c r="C32" s="17" t="s">
        <v>108</v>
      </c>
      <c r="D32" s="18" t="n">
        <v>3</v>
      </c>
      <c r="E32" s="17" t="s">
        <v>113</v>
      </c>
      <c r="F32" s="19" t="n">
        <f aca="false">VLOOKUP(E32,Acuan!$A$2:$B$8,2,FALSE())</f>
        <v>4</v>
      </c>
      <c r="G32" s="19" t="n">
        <f aca="false">D32*F32</f>
        <v>12</v>
      </c>
      <c r="H32" s="20" t="str">
        <f aca="false">IF(F32&gt;=$N$2,"Lulus","Mengulang")</f>
        <v>Lulus</v>
      </c>
      <c r="I32" s="21" t="n">
        <f aca="false">ROUND(SUMPRODUCT(($A$2:$A$41=A32)*($B$2:$B$41=B32)*$G$2:$G$41)/SUMPRODUCT(($A$2:$A$41=A32)*($B$2:$B$41=B32)*$D$2:$D$41),2)</f>
        <v>3.33</v>
      </c>
      <c r="J32" s="21" t="n">
        <f aca="false">ROUND(SUMIF($A$2:$A$41,A32,$G$2:$G$41)/SUMIF($A$2:$A$41,A32,$D$2:$D$41),2)</f>
        <v>3.26</v>
      </c>
      <c r="K32" s="20" t="str">
        <f aca="false">IF(J32&gt;=$N$3,"Pujian",IF(J32&gt;=$N$4,"Sangat Memuaskan","Memuaskan"))</f>
        <v>Sangat Memuaskan</v>
      </c>
    </row>
    <row r="33" customFormat="false" ht="15" hidden="false" customHeight="false" outlineLevel="0" collapsed="false">
      <c r="A33" s="17" t="s">
        <v>116</v>
      </c>
      <c r="B33" s="18" t="n">
        <v>2</v>
      </c>
      <c r="C33" s="17" t="s">
        <v>109</v>
      </c>
      <c r="D33" s="18" t="n">
        <v>2</v>
      </c>
      <c r="E33" s="17" t="s">
        <v>102</v>
      </c>
      <c r="F33" s="19" t="n">
        <f aca="false">VLOOKUP(E33,Acuan!$A$2:$B$8,2,FALSE())</f>
        <v>2</v>
      </c>
      <c r="G33" s="19" t="n">
        <f aca="false">D33*F33</f>
        <v>4</v>
      </c>
      <c r="H33" s="20" t="str">
        <f aca="false">IF(F33&gt;=$N$2,"Lulus","Mengulang")</f>
        <v>Lulus</v>
      </c>
      <c r="I33" s="21" t="n">
        <f aca="false">ROUND(SUMPRODUCT(($A$2:$A$41=A33)*($B$2:$B$41=B33)*$G$2:$G$41)/SUMPRODUCT(($A$2:$A$41=A33)*($B$2:$B$41=B33)*$D$2:$D$41),2)</f>
        <v>3.33</v>
      </c>
      <c r="J33" s="21" t="n">
        <f aca="false">ROUND(SUMIF($A$2:$A$41,A33,$G$2:$G$41)/SUMIF($A$2:$A$41,A33,$D$2:$D$41),2)</f>
        <v>3.26</v>
      </c>
      <c r="K33" s="20" t="str">
        <f aca="false">IF(J33&gt;=$N$3,"Pujian",IF(J33&gt;=$N$4,"Sangat Memuaskan","Memuaskan"))</f>
        <v>Sangat Memuaskan</v>
      </c>
    </row>
    <row r="34" customFormat="false" ht="15" hidden="false" customHeight="false" outlineLevel="0" collapsed="false">
      <c r="A34" s="17" t="s">
        <v>117</v>
      </c>
      <c r="B34" s="18" t="n">
        <v>1</v>
      </c>
      <c r="C34" s="17" t="s">
        <v>94</v>
      </c>
      <c r="D34" s="18" t="n">
        <v>3</v>
      </c>
      <c r="E34" s="17" t="s">
        <v>113</v>
      </c>
      <c r="F34" s="19" t="n">
        <f aca="false">VLOOKUP(E34,Acuan!$A$2:$B$8,2,FALSE())</f>
        <v>4</v>
      </c>
      <c r="G34" s="19" t="n">
        <f aca="false">D34*F34</f>
        <v>12</v>
      </c>
      <c r="H34" s="20" t="str">
        <f aca="false">IF(F34&gt;=$N$2,"Lulus","Mengulang")</f>
        <v>Lulus</v>
      </c>
      <c r="I34" s="21" t="n">
        <f aca="false">ROUND(SUMPRODUCT(($A$2:$A$41=A34)*($B$2:$B$41=B34)*$G$2:$G$41)/SUMPRODUCT(($A$2:$A$41=A34)*($B$2:$B$41=B34)*$D$2:$D$41),2)</f>
        <v>3.77</v>
      </c>
      <c r="J34" s="21" t="n">
        <f aca="false">ROUND(SUMIF($A$2:$A$41,A34,$G$2:$G$41)/SUMIF($A$2:$A$41,A34,$D$2:$D$41),2)</f>
        <v>3.74</v>
      </c>
      <c r="K34" s="20" t="str">
        <f aca="false">IF(J34&gt;=$N$3,"Pujian",IF(J34&gt;=$N$4,"Sangat Memuaskan","Memuaskan"))</f>
        <v>Pujian</v>
      </c>
    </row>
    <row r="35" customFormat="false" ht="15" hidden="false" customHeight="false" outlineLevel="0" collapsed="false">
      <c r="A35" s="17" t="s">
        <v>117</v>
      </c>
      <c r="B35" s="18" t="n">
        <v>1</v>
      </c>
      <c r="C35" s="17" t="s">
        <v>97</v>
      </c>
      <c r="D35" s="18" t="n">
        <v>3</v>
      </c>
      <c r="E35" s="17" t="s">
        <v>113</v>
      </c>
      <c r="F35" s="19" t="n">
        <f aca="false">VLOOKUP(E35,Acuan!$A$2:$B$8,2,FALSE())</f>
        <v>4</v>
      </c>
      <c r="G35" s="19" t="n">
        <f aca="false">D35*F35</f>
        <v>12</v>
      </c>
      <c r="H35" s="20" t="str">
        <f aca="false">IF(F35&gt;=$N$2,"Lulus","Mengulang")</f>
        <v>Lulus</v>
      </c>
      <c r="I35" s="21" t="n">
        <f aca="false">ROUND(SUMPRODUCT(($A$2:$A$41=A35)*($B$2:$B$41=B35)*$G$2:$G$41)/SUMPRODUCT(($A$2:$A$41=A35)*($B$2:$B$41=B35)*$D$2:$D$41),2)</f>
        <v>3.77</v>
      </c>
      <c r="J35" s="21" t="n">
        <f aca="false">ROUND(SUMIF($A$2:$A$41,A35,$G$2:$G$41)/SUMIF($A$2:$A$41,A35,$D$2:$D$41),2)</f>
        <v>3.74</v>
      </c>
      <c r="K35" s="20" t="str">
        <f aca="false">IF(J35&gt;=$N$3,"Pujian",IF(J35&gt;=$N$4,"Sangat Memuaskan","Memuaskan"))</f>
        <v>Pujian</v>
      </c>
    </row>
    <row r="36" customFormat="false" ht="15" hidden="false" customHeight="false" outlineLevel="0" collapsed="false">
      <c r="A36" s="17" t="s">
        <v>117</v>
      </c>
      <c r="B36" s="18" t="n">
        <v>1</v>
      </c>
      <c r="C36" s="17" t="s">
        <v>101</v>
      </c>
      <c r="D36" s="18" t="n">
        <v>2</v>
      </c>
      <c r="E36" s="17" t="s">
        <v>112</v>
      </c>
      <c r="F36" s="19" t="n">
        <f aca="false">VLOOKUP(E36,Acuan!$A$2:$B$8,2,FALSE())</f>
        <v>3.5</v>
      </c>
      <c r="G36" s="19" t="n">
        <f aca="false">D36*F36</f>
        <v>7</v>
      </c>
      <c r="H36" s="20" t="str">
        <f aca="false">IF(F36&gt;=$N$2,"Lulus","Mengulang")</f>
        <v>Lulus</v>
      </c>
      <c r="I36" s="21" t="n">
        <f aca="false">ROUND(SUMPRODUCT(($A$2:$A$41=A36)*($B$2:$B$41=B36)*$G$2:$G$41)/SUMPRODUCT(($A$2:$A$41=A36)*($B$2:$B$41=B36)*$D$2:$D$41),2)</f>
        <v>3.77</v>
      </c>
      <c r="J36" s="21" t="n">
        <f aca="false">ROUND(SUMIF($A$2:$A$41,A36,$G$2:$G$41)/SUMIF($A$2:$A$41,A36,$D$2:$D$41),2)</f>
        <v>3.74</v>
      </c>
      <c r="K36" s="20" t="str">
        <f aca="false">IF(J36&gt;=$N$3,"Pujian",IF(J36&gt;=$N$4,"Sangat Memuaskan","Memuaskan"))</f>
        <v>Pujian</v>
      </c>
    </row>
    <row r="37" customFormat="false" ht="15" hidden="false" customHeight="false" outlineLevel="0" collapsed="false">
      <c r="A37" s="17" t="s">
        <v>117</v>
      </c>
      <c r="B37" s="18" t="n">
        <v>1</v>
      </c>
      <c r="C37" s="17" t="s">
        <v>105</v>
      </c>
      <c r="D37" s="18" t="n">
        <v>3</v>
      </c>
      <c r="E37" s="17" t="s">
        <v>112</v>
      </c>
      <c r="F37" s="19" t="n">
        <f aca="false">VLOOKUP(E37,Acuan!$A$2:$B$8,2,FALSE())</f>
        <v>3.5</v>
      </c>
      <c r="G37" s="19" t="n">
        <f aca="false">D37*F37</f>
        <v>10.5</v>
      </c>
      <c r="H37" s="20" t="str">
        <f aca="false">IF(F37&gt;=$N$2,"Lulus","Mengulang")</f>
        <v>Lulus</v>
      </c>
      <c r="I37" s="21" t="n">
        <f aca="false">ROUND(SUMPRODUCT(($A$2:$A$41=A37)*($B$2:$B$41=B37)*$G$2:$G$41)/SUMPRODUCT(($A$2:$A$41=A37)*($B$2:$B$41=B37)*$D$2:$D$41),2)</f>
        <v>3.77</v>
      </c>
      <c r="J37" s="21" t="n">
        <f aca="false">ROUND(SUMIF($A$2:$A$41,A37,$G$2:$G$41)/SUMIF($A$2:$A$41,A37,$D$2:$D$41),2)</f>
        <v>3.74</v>
      </c>
      <c r="K37" s="20" t="str">
        <f aca="false">IF(J37&gt;=$N$3,"Pujian",IF(J37&gt;=$N$4,"Sangat Memuaskan","Memuaskan"))</f>
        <v>Pujian</v>
      </c>
    </row>
    <row r="38" customFormat="false" ht="15" hidden="false" customHeight="false" outlineLevel="0" collapsed="false">
      <c r="A38" s="17" t="s">
        <v>117</v>
      </c>
      <c r="B38" s="18" t="n">
        <v>2</v>
      </c>
      <c r="C38" s="17" t="s">
        <v>106</v>
      </c>
      <c r="D38" s="18" t="n">
        <v>3</v>
      </c>
      <c r="E38" s="17" t="s">
        <v>113</v>
      </c>
      <c r="F38" s="19" t="n">
        <f aca="false">VLOOKUP(E38,Acuan!$A$2:$B$8,2,FALSE())</f>
        <v>4</v>
      </c>
      <c r="G38" s="19" t="n">
        <f aca="false">D38*F38</f>
        <v>12</v>
      </c>
      <c r="H38" s="20" t="str">
        <f aca="false">IF(F38&gt;=$N$2,"Lulus","Mengulang")</f>
        <v>Lulus</v>
      </c>
      <c r="I38" s="21" t="n">
        <f aca="false">ROUND(SUMPRODUCT(($A$2:$A$41=A38)*($B$2:$B$41=B38)*$G$2:$G$41)/SUMPRODUCT(($A$2:$A$41=A38)*($B$2:$B$41=B38)*$D$2:$D$41),2)</f>
        <v>3.71</v>
      </c>
      <c r="J38" s="21" t="n">
        <f aca="false">ROUND(SUMIF($A$2:$A$41,A38,$G$2:$G$41)/SUMIF($A$2:$A$41,A38,$D$2:$D$41),2)</f>
        <v>3.74</v>
      </c>
      <c r="K38" s="20" t="str">
        <f aca="false">IF(J38&gt;=$N$3,"Pujian",IF(J38&gt;=$N$4,"Sangat Memuaskan","Memuaskan"))</f>
        <v>Pujian</v>
      </c>
    </row>
    <row r="39" customFormat="false" ht="15" hidden="false" customHeight="false" outlineLevel="0" collapsed="false">
      <c r="A39" s="17" t="s">
        <v>117</v>
      </c>
      <c r="B39" s="18" t="n">
        <v>2</v>
      </c>
      <c r="C39" s="17" t="s">
        <v>107</v>
      </c>
      <c r="D39" s="18" t="n">
        <v>4</v>
      </c>
      <c r="E39" s="17" t="s">
        <v>112</v>
      </c>
      <c r="F39" s="19" t="n">
        <f aca="false">VLOOKUP(E39,Acuan!$A$2:$B$8,2,FALSE())</f>
        <v>3.5</v>
      </c>
      <c r="G39" s="19" t="n">
        <f aca="false">D39*F39</f>
        <v>14</v>
      </c>
      <c r="H39" s="20" t="str">
        <f aca="false">IF(F39&gt;=$N$2,"Lulus","Mengulang")</f>
        <v>Lulus</v>
      </c>
      <c r="I39" s="21" t="n">
        <f aca="false">ROUND(SUMPRODUCT(($A$2:$A$41=A39)*($B$2:$B$41=B39)*$G$2:$G$41)/SUMPRODUCT(($A$2:$A$41=A39)*($B$2:$B$41=B39)*$D$2:$D$41),2)</f>
        <v>3.71</v>
      </c>
      <c r="J39" s="21" t="n">
        <f aca="false">ROUND(SUMIF($A$2:$A$41,A39,$G$2:$G$41)/SUMIF($A$2:$A$41,A39,$D$2:$D$41),2)</f>
        <v>3.74</v>
      </c>
      <c r="K39" s="20" t="str">
        <f aca="false">IF(J39&gt;=$N$3,"Pujian",IF(J39&gt;=$N$4,"Sangat Memuaskan","Memuaskan"))</f>
        <v>Pujian</v>
      </c>
    </row>
    <row r="40" customFormat="false" ht="15" hidden="false" customHeight="false" outlineLevel="0" collapsed="false">
      <c r="A40" s="17" t="s">
        <v>117</v>
      </c>
      <c r="B40" s="18" t="n">
        <v>2</v>
      </c>
      <c r="C40" s="17" t="s">
        <v>108</v>
      </c>
      <c r="D40" s="18" t="n">
        <v>3</v>
      </c>
      <c r="E40" s="17" t="s">
        <v>112</v>
      </c>
      <c r="F40" s="19" t="n">
        <f aca="false">VLOOKUP(E40,Acuan!$A$2:$B$8,2,FALSE())</f>
        <v>3.5</v>
      </c>
      <c r="G40" s="19" t="n">
        <f aca="false">D40*F40</f>
        <v>10.5</v>
      </c>
      <c r="H40" s="20" t="str">
        <f aca="false">IF(F40&gt;=$N$2,"Lulus","Mengulang")</f>
        <v>Lulus</v>
      </c>
      <c r="I40" s="21" t="n">
        <f aca="false">ROUND(SUMPRODUCT(($A$2:$A$41=A40)*($B$2:$B$41=B40)*$G$2:$G$41)/SUMPRODUCT(($A$2:$A$41=A40)*($B$2:$B$41=B40)*$D$2:$D$41),2)</f>
        <v>3.71</v>
      </c>
      <c r="J40" s="21" t="n">
        <f aca="false">ROUND(SUMIF($A$2:$A$41,A40,$G$2:$G$41)/SUMIF($A$2:$A$41,A40,$D$2:$D$41),2)</f>
        <v>3.74</v>
      </c>
      <c r="K40" s="20" t="str">
        <f aca="false">IF(J40&gt;=$N$3,"Pujian",IF(J40&gt;=$N$4,"Sangat Memuaskan","Memuaskan"))</f>
        <v>Pujian</v>
      </c>
    </row>
    <row r="41" customFormat="false" ht="15" hidden="false" customHeight="false" outlineLevel="0" collapsed="false">
      <c r="A41" s="17" t="s">
        <v>117</v>
      </c>
      <c r="B41" s="18" t="n">
        <v>2</v>
      </c>
      <c r="C41" s="17" t="s">
        <v>109</v>
      </c>
      <c r="D41" s="18" t="n">
        <v>2</v>
      </c>
      <c r="E41" s="17" t="s">
        <v>113</v>
      </c>
      <c r="F41" s="19" t="n">
        <f aca="false">VLOOKUP(E41,Acuan!$A$2:$B$8,2,FALSE())</f>
        <v>4</v>
      </c>
      <c r="G41" s="19" t="n">
        <f aca="false">D41*F41</f>
        <v>8</v>
      </c>
      <c r="H41" s="20" t="str">
        <f aca="false">IF(F41&gt;=$N$2,"Lulus","Mengulang")</f>
        <v>Lulus</v>
      </c>
      <c r="I41" s="21" t="n">
        <f aca="false">ROUND(SUMPRODUCT(($A$2:$A$41=A41)*($B$2:$B$41=B41)*$G$2:$G$41)/SUMPRODUCT(($A$2:$A$41=A41)*($B$2:$B$41=B41)*$D$2:$D$41),2)</f>
        <v>3.71</v>
      </c>
      <c r="J41" s="21" t="n">
        <f aca="false">ROUND(SUMIF($A$2:$A$41,A41,$G$2:$G$41)/SUMIF($A$2:$A$41,A41,$D$2:$D$41),2)</f>
        <v>3.74</v>
      </c>
      <c r="K41" s="20" t="str">
        <f aca="false">IF(J41&gt;=$N$3,"Pujian",IF(J41&gt;=$N$4,"Sangat Memuaskan","Memuaskan"))</f>
        <v>Pujian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3"/>
    <col collapsed="false" customWidth="true" hidden="false" outlineLevel="0" max="4" min="4" style="0" width="11"/>
  </cols>
  <sheetData>
    <row r="1" customFormat="false" ht="33.75" hidden="false" customHeight="true" outlineLevel="0" collapsed="false">
      <c r="A1" s="11" t="s">
        <v>83</v>
      </c>
      <c r="B1" s="11" t="s">
        <v>84</v>
      </c>
      <c r="C1" s="15" t="s">
        <v>118</v>
      </c>
      <c r="D1" s="15" t="s">
        <v>119</v>
      </c>
    </row>
    <row r="2" customFormat="false" ht="15" hidden="false" customHeight="false" outlineLevel="0" collapsed="false">
      <c r="A2" s="17" t="s">
        <v>113</v>
      </c>
      <c r="B2" s="25" t="n">
        <v>4</v>
      </c>
      <c r="C2" s="26" t="n">
        <f aca="false">COUNTIF(Data!$E$2:$E$41,A2)</f>
        <v>8</v>
      </c>
      <c r="D2" s="26" t="n">
        <f aca="false">SUMIF(Data!$E$2:$E$41,A2,Data!$D$2:$D$41)</f>
        <v>23</v>
      </c>
    </row>
    <row r="3" customFormat="false" ht="15" hidden="false" customHeight="false" outlineLevel="0" collapsed="false">
      <c r="A3" s="17" t="s">
        <v>112</v>
      </c>
      <c r="B3" s="25" t="n">
        <v>3.5</v>
      </c>
      <c r="C3" s="26" t="n">
        <f aca="false">COUNTIF(Data!$E$2:$E$41,A3)</f>
        <v>11</v>
      </c>
      <c r="D3" s="26" t="n">
        <f aca="false">SUMIF(Data!$E$2:$E$41,A3,Data!$D$2:$D$41)</f>
        <v>30</v>
      </c>
    </row>
    <row r="4" customFormat="false" ht="15" hidden="false" customHeight="false" outlineLevel="0" collapsed="false">
      <c r="A4" s="17" t="s">
        <v>111</v>
      </c>
      <c r="B4" s="25" t="n">
        <v>3</v>
      </c>
      <c r="C4" s="26" t="n">
        <f aca="false">COUNTIF(Data!$E$2:$E$41,A4)</f>
        <v>9</v>
      </c>
      <c r="D4" s="26" t="n">
        <f aca="false">SUMIF(Data!$E$2:$E$41,A4,Data!$D$2:$D$41)</f>
        <v>30</v>
      </c>
    </row>
    <row r="5" customFormat="false" ht="15" hidden="false" customHeight="false" outlineLevel="0" collapsed="false">
      <c r="A5" s="17" t="s">
        <v>115</v>
      </c>
      <c r="B5" s="25" t="n">
        <v>2.5</v>
      </c>
      <c r="C5" s="26" t="n">
        <f aca="false">COUNTIF(Data!$E$2:$E$41,A5)</f>
        <v>2</v>
      </c>
      <c r="D5" s="26" t="n">
        <f aca="false">SUMIF(Data!$E$2:$E$41,A5,Data!$D$2:$D$41)</f>
        <v>5</v>
      </c>
    </row>
    <row r="6" customFormat="false" ht="15" hidden="false" customHeight="false" outlineLevel="0" collapsed="false">
      <c r="A6" s="17" t="s">
        <v>102</v>
      </c>
      <c r="B6" s="25" t="n">
        <v>2</v>
      </c>
      <c r="C6" s="26" t="n">
        <f aca="false">COUNTIF(Data!$E$2:$E$41,A6)</f>
        <v>7</v>
      </c>
      <c r="D6" s="26" t="n">
        <f aca="false">SUMIF(Data!$E$2:$E$41,A6,Data!$D$2:$D$41)</f>
        <v>19</v>
      </c>
    </row>
    <row r="7" customFormat="false" ht="15" hidden="false" customHeight="false" outlineLevel="0" collapsed="false">
      <c r="A7" s="17" t="s">
        <v>98</v>
      </c>
      <c r="B7" s="25" t="n">
        <v>1</v>
      </c>
      <c r="C7" s="26" t="n">
        <f aca="false">COUNTIF(Data!$E$2:$E$41,A7)</f>
        <v>2</v>
      </c>
      <c r="D7" s="26" t="n">
        <f aca="false">SUMIF(Data!$E$2:$E$41,A7,Data!$D$2:$D$41)</f>
        <v>5</v>
      </c>
    </row>
    <row r="8" customFormat="false" ht="15" hidden="false" customHeight="false" outlineLevel="0" collapsed="false">
      <c r="A8" s="17" t="s">
        <v>95</v>
      </c>
      <c r="B8" s="25" t="n">
        <v>0</v>
      </c>
      <c r="C8" s="26" t="n">
        <f aca="false">COUNTIF(Data!$E$2:$E$41,A8)</f>
        <v>1</v>
      </c>
      <c r="D8" s="26" t="n">
        <f aca="false">SUMIF(Data!$E$2:$E$41,A8,Data!$D$2:$D$41)</f>
        <v>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120</v>
      </c>
      <c r="B1" s="27"/>
      <c r="C1" s="27"/>
      <c r="D1" s="27"/>
    </row>
    <row r="2" customFormat="false" ht="15" hidden="false" customHeight="false" outlineLevel="0" collapsed="false">
      <c r="A2" s="28" t="s">
        <v>121</v>
      </c>
      <c r="B2" s="28"/>
      <c r="C2" s="28"/>
      <c r="D2" s="28"/>
    </row>
    <row r="3" customFormat="false" ht="15" hidden="false" customHeight="false" outlineLevel="0" collapsed="false">
      <c r="A3" s="11" t="s">
        <v>19</v>
      </c>
      <c r="B3" s="11" t="s">
        <v>122</v>
      </c>
      <c r="C3" s="11" t="s">
        <v>123</v>
      </c>
      <c r="D3" s="11" t="s">
        <v>124</v>
      </c>
    </row>
    <row r="4" customFormat="false" ht="15" hidden="false" customHeight="false" outlineLevel="0" collapsed="false">
      <c r="A4" s="29" t="s">
        <v>125</v>
      </c>
      <c r="B4" s="30" t="s">
        <v>119</v>
      </c>
      <c r="C4" s="26" t="n">
        <f aca="false">SUM(Data!$D$2:$D$41)</f>
        <v>115</v>
      </c>
      <c r="D4" s="31" t="s">
        <v>126</v>
      </c>
    </row>
    <row r="5" customFormat="false" ht="15" hidden="false" customHeight="false" outlineLevel="0" collapsed="false">
      <c r="A5" s="29" t="s">
        <v>127</v>
      </c>
      <c r="B5" s="30" t="s">
        <v>128</v>
      </c>
      <c r="C5" s="19" t="n">
        <f aca="false">SUM(Data!$G$2:$G$41)</f>
        <v>342.5</v>
      </c>
      <c r="D5" s="31" t="s">
        <v>129</v>
      </c>
    </row>
    <row r="6" customFormat="false" ht="15" hidden="false" customHeight="false" outlineLevel="0" collapsed="false">
      <c r="A6" s="29" t="s">
        <v>130</v>
      </c>
      <c r="B6" s="30" t="s">
        <v>131</v>
      </c>
      <c r="C6" s="21" t="n">
        <f aca="false">ROUND(C5/C4,2)</f>
        <v>2.98</v>
      </c>
      <c r="D6" s="31" t="s">
        <v>132</v>
      </c>
    </row>
    <row r="7" customFormat="false" ht="15" hidden="false" customHeight="false" outlineLevel="0" collapsed="false">
      <c r="A7" s="29" t="s">
        <v>133</v>
      </c>
      <c r="B7" s="30" t="s">
        <v>134</v>
      </c>
      <c r="C7" s="20" t="str">
        <f aca="false">INDEX(Data!$A$2:$A$41,MATCH(MAX(Data!$J$2:$J$41),Data!$J$2:$J$41,0))</f>
        <v>Gita Purnomo</v>
      </c>
      <c r="D7" s="31" t="s">
        <v>135</v>
      </c>
    </row>
    <row r="8" customFormat="false" ht="15" hidden="false" customHeight="false" outlineLevel="0" collapsed="false">
      <c r="A8" s="29" t="s">
        <v>136</v>
      </c>
      <c r="B8" s="30" t="s">
        <v>137</v>
      </c>
      <c r="C8" s="20" t="str">
        <f aca="false">INDEX(Data!$A$2:$A$41,MATCH(MIN(Data!$J$2:$J$41),Data!$J$2:$J$41,0))</f>
        <v>Citra Susanto</v>
      </c>
      <c r="D8" s="31" t="s">
        <v>135</v>
      </c>
    </row>
    <row r="9" customFormat="false" ht="15" hidden="false" customHeight="false" outlineLevel="0" collapsed="false">
      <c r="A9" s="29" t="s">
        <v>138</v>
      </c>
      <c r="B9" s="30" t="s">
        <v>139</v>
      </c>
      <c r="C9" s="21" t="n">
        <f aca="false">ROUND(SUMPRODUCT((Data!$A$2:$A$41="Dimas Purnomo")*(Data!$B$2:$B$41=2)*Data!$G$2:$G$41)/SUMPRODUCT((Data!$A$2:$A$41="Dimas Purnomo")*(Data!$B$2:$B$41=2)*Data!$D$2:$D$41),2)</f>
        <v>2.71</v>
      </c>
      <c r="D9" s="31" t="s">
        <v>140</v>
      </c>
    </row>
    <row r="10" customFormat="false" ht="15" hidden="false" customHeight="false" outlineLevel="0" collapsed="false">
      <c r="A10" s="29" t="s">
        <v>141</v>
      </c>
      <c r="B10" s="30" t="s">
        <v>142</v>
      </c>
      <c r="C10" s="26" t="n">
        <f aca="false">COUNTIF(Data!$H$2:$H$41,"Mengulang")</f>
        <v>3</v>
      </c>
      <c r="D10" s="31" t="s">
        <v>143</v>
      </c>
    </row>
    <row r="11" customFormat="false" ht="15" hidden="false" customHeight="false" outlineLevel="0" collapsed="false">
      <c r="A11" s="29" t="s">
        <v>144</v>
      </c>
      <c r="B11" s="30" t="s">
        <v>145</v>
      </c>
      <c r="C11" s="21" t="n">
        <f aca="false">MAX(Data!$I$2:$I$41)</f>
        <v>3.77</v>
      </c>
      <c r="D11" s="31" t="s">
        <v>146</v>
      </c>
    </row>
    <row r="12" customFormat="false" ht="15" hidden="false" customHeight="false" outlineLevel="0" collapsed="false">
      <c r="A12" s="29" t="s">
        <v>147</v>
      </c>
      <c r="B12" s="30" t="s">
        <v>148</v>
      </c>
      <c r="C12" s="20" t="str">
        <f aca="false">INDEX(Data!$A$2:$A$41,MATCH(C11,Data!$I$2:$I$41,0))</f>
        <v>Gita Purnomo</v>
      </c>
      <c r="D12" s="31" t="s">
        <v>135</v>
      </c>
    </row>
    <row r="13" customFormat="false" ht="15" hidden="false" customHeight="false" outlineLevel="0" collapsed="false">
      <c r="A13" s="29" t="s">
        <v>149</v>
      </c>
      <c r="B13" s="30" t="s">
        <v>150</v>
      </c>
      <c r="C13" s="26" t="n">
        <f aca="false">INDEX(Data!$B$2:$B$41,MATCH(C11,Data!$I$2:$I$41,0))</f>
        <v>1</v>
      </c>
      <c r="D13" s="31" t="s">
        <v>151</v>
      </c>
    </row>
    <row r="14" customFormat="false" ht="15" hidden="false" customHeight="false" outlineLevel="0" collapsed="false">
      <c r="A14" s="29" t="s">
        <v>152</v>
      </c>
      <c r="B14" s="30" t="s">
        <v>153</v>
      </c>
      <c r="C14" s="26" t="n">
        <f aca="false">COUNTIFS(Data!$B$2:$B$41,1,Data!$E$2:$E$41,"A")</f>
        <v>4</v>
      </c>
      <c r="D14" s="31" t="s">
        <v>154</v>
      </c>
    </row>
    <row r="15" customFormat="false" ht="15" hidden="false" customHeight="false" outlineLevel="0" collapsed="false">
      <c r="A15" s="29" t="s">
        <v>155</v>
      </c>
      <c r="B15" s="30" t="s">
        <v>156</v>
      </c>
      <c r="C15" s="26" t="n">
        <f aca="false">SUMIF(Data!$H$2:$H$41,"Mengulang",Data!$D$2:$D$41)</f>
        <v>8</v>
      </c>
      <c r="D15" s="31" t="s">
        <v>157</v>
      </c>
    </row>
    <row r="16" customFormat="false" ht="15" hidden="false" customHeight="false" outlineLevel="0" collapsed="false">
      <c r="A16" s="29" t="s">
        <v>158</v>
      </c>
      <c r="B16" s="30" t="s">
        <v>159</v>
      </c>
      <c r="C16" s="21" t="n">
        <f aca="false">AVERAGEIF(Data!$C$2:$C$41,"Statistika Dasar",Data!$F$2:$F$41)</f>
        <v>3.2</v>
      </c>
      <c r="D16" s="31" t="s">
        <v>160</v>
      </c>
    </row>
    <row r="17" customFormat="false" ht="15" hidden="false" customHeight="false" outlineLevel="0" collapsed="false">
      <c r="A17" s="29" t="s">
        <v>161</v>
      </c>
      <c r="B17" s="30" t="s">
        <v>162</v>
      </c>
      <c r="C17" s="21" t="n">
        <f aca="false">ROUND(AVERAGEIF(Data!$B$2:$B$41,1,Data!$I$2:$I$41),2)</f>
        <v>3</v>
      </c>
      <c r="D17" s="31" t="s">
        <v>163</v>
      </c>
    </row>
    <row r="18" customFormat="false" ht="15" hidden="false" customHeight="false" outlineLevel="0" collapsed="false">
      <c r="A18" s="29" t="s">
        <v>164</v>
      </c>
      <c r="B18" s="30" t="s">
        <v>165</v>
      </c>
      <c r="C18" s="21" t="n">
        <f aca="false">ROUND(AVERAGEIF(Data!$B$2:$B$41,2,Data!$I$2:$I$41),2)</f>
        <v>2.96</v>
      </c>
      <c r="D18" s="31" t="s">
        <v>166</v>
      </c>
    </row>
    <row r="19" customFormat="false" ht="15" hidden="false" customHeight="false" outlineLevel="0" collapsed="false">
      <c r="A19" s="29" t="s">
        <v>167</v>
      </c>
      <c r="B19" s="30" t="s">
        <v>168</v>
      </c>
      <c r="C19" s="26" t="n">
        <f aca="false">COUNTIF(Data!$K$2:$K$41,"Pujian")</f>
        <v>8</v>
      </c>
      <c r="D19" s="31" t="s">
        <v>169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2026-10-18T00:01:30Z</dcterms:created>
  <dc:creator>PushExcel</dc:creator>
  <dc:description/>
  <dc:language>en-US</dc:language>
  <cp:lastModifiedBy/>
  <dcterms:modified xsi:type="dcterms:W3CDTF">2026-10-18T00:01:31Z</dcterms:modified>
  <cp:revision>0</cp:revision>
  <dc:subject/>
  <dc:title>Menghitung IPS, IPK, dan Predikat Mahasiswa - Kunci</dc:title>
</cp:coreProperties>
</file>

<file path=docProps/custom.xml><?xml version="1.0" encoding="utf-8"?>
<Properties xmlns="http://schemas.openxmlformats.org/officeDocument/2006/custom-properties" xmlns:vt="http://schemas.openxmlformats.org/officeDocument/2006/docPropsVTypes"/>
</file>