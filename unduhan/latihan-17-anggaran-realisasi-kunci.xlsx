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<sst xmlns="http://schemas.openxmlformats.org/spreadsheetml/2006/main" count="188" uniqueCount="155">
  <si>
    <t xml:space="preserve">Kunci Jawaban: Anggaran dan Realisasi Biaya</t>
  </si>
  <si>
    <t xml:space="preserve">Latihan 17 dari 104  |  Tingkat: Pemula  |  Perkiraan waktu: 40 menit  |  pushexcel.github.io/Pushexcel</t>
  </si>
  <si>
    <t xml:space="preserve">Skenario</t>
  </si>
  <si>
    <t xml:space="preserve">Kamu staf keuangan di PT Mitra Andalan. Akhir tahun, atasan meminta laporan anggaran biaya dibandingkan realisasinya untuk 24 pos di empat departemen. Pos yang realisasinya melebihi anggaran harus dilaporkan, dan pos yang sudah mencapai 90 persen anggaran diberi peringatan.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</si>
  <si>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</si>
  <si>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</si>
  <si>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</si>
  <si>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</si>
  <si>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</si>
  <si>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</si>
  <si>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</si>
  <si>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</si>
  <si>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</si>
  <si>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</si>
  <si>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</si>
  <si>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</si>
  <si>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</si>
  <si>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</si>
  <si>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</si>
  <si>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</si>
  <si>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</si>
  <si>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</si>
  <si>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</si>
  <si>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</si>
  <si>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sisa anggaran: anggaran dikurangi realisasi. Hasil negatif berarti anggaran terlampaui.</t>
  </si>
  <si>
    <t xml:space="preserve">Sheet Data, kolom G (Sisa Anggaran), baris 2 sampai 25</t>
  </si>
  <si>
    <t xml:space="preserve">=E2-F2</t>
  </si>
  <si>
    <t xml:space="preserve">2</t>
  </si>
  <si>
    <t xml:space="preserve">Hitung persentase realisasi terhadap anggaran.</t>
  </si>
  <si>
    <t xml:space="preserve">Sheet Data, kolom H (Realisasi (%)), baris 2 sampai 25</t>
  </si>
  <si>
    <t xml:space="preserve">=F2/E2</t>
  </si>
  <si>
    <t xml:space="preserve">3</t>
  </si>
  <si>
    <t xml:space="preserve">Beri status Melebihi bila realisasi di atas 100 persen, Hampir Habis bila mencapai batas peringatan, selain itu Aman.</t>
  </si>
  <si>
    <t xml:space="preserve">Sheet Data, kolom I (Status), baris 2 sampai 25</t>
  </si>
  <si>
    <t xml:space="preserve">=IF(H2&gt;1;"Melebihi";IF(H2&gt;=$L$2;"Hampir Habis";"Aman"))</t>
  </si>
  <si>
    <t xml:space="preserve">4</t>
  </si>
  <si>
    <t xml:space="preserve">Berapa total anggaran dan total realisasi seluruh pos?</t>
  </si>
  <si>
    <t xml:space="preserve">Sheet Ringkasan, sel C4 sampai C5</t>
  </si>
  <si>
    <t xml:space="preserve">=SUM(Data!$E$2:$E$25)
=SUM(Data!$F$2:$F$25)</t>
  </si>
  <si>
    <t xml:space="preserve">5</t>
  </si>
  <si>
    <t xml:space="preserve">Berapa persen realisasi keseluruhan terhadap total anggaran?</t>
  </si>
  <si>
    <t xml:space="preserve">Sheet Ringkasan, sel C6</t>
  </si>
  <si>
    <t xml:space="preserve">=SUM(Data!$F$2:$F$25)/SUM(Data!$E$2:$E$25)</t>
  </si>
  <si>
    <t xml:space="preserve">6</t>
  </si>
  <si>
    <t xml:space="preserve">Berapa pos yang Melebihi anggaran, dan berapa yang Hampir Habis?</t>
  </si>
  <si>
    <t xml:space="preserve">Sheet Ringkasan, sel C7 sampai C8</t>
  </si>
  <si>
    <t xml:space="preserve">=COUNTIF(Data!$I$2:$I$25;"Melebihi")
=COUNTIF(Data!$I$2:$I$25;"Hampir Habis")</t>
  </si>
  <si>
    <t xml:space="preserve">7</t>
  </si>
  <si>
    <t xml:space="preserve">Berapa total kelebihan anggaran dari semua pos yang terlampaui? (tulis sebagai angka positif)</t>
  </si>
  <si>
    <t xml:space="preserve">Sheet Ringkasan, sel C9</t>
  </si>
  <si>
    <t xml:space="preserve">=-SUMIF(Data!$G$2:$G$25;"&lt;0")</t>
  </si>
  <si>
    <t xml:space="preserve">8</t>
  </si>
  <si>
    <t xml:space="preserve">Pada sheet Acuan, hitung total anggaran tiap departemen.</t>
  </si>
  <si>
    <t xml:space="preserve">Sheet Acuan, kolom B (Total Anggaran), baris 2 sampai 5</t>
  </si>
  <si>
    <t xml:space="preserve">=SUMIF(Data!$D$2:$D$25;A2;Data!$E$2:$E$25)</t>
  </si>
  <si>
    <t xml:space="preserve">9</t>
  </si>
  <si>
    <t xml:space="preserve">Pada sheet Acuan, hitung total realisasi tiap departemen.</t>
  </si>
  <si>
    <t xml:space="preserve">Sheet Acuan, kolom C (Total Realisasi), baris 2 sampai 5</t>
  </si>
  <si>
    <t xml:space="preserve">=SUMIF(Data!$D$2:$D$25;A2;Data!$F$2:$F$25)</t>
  </si>
  <si>
    <t xml:space="preserve">10</t>
  </si>
  <si>
    <t xml:space="preserve">Pada sheet Acuan, hitung persentase realisasi tiap departemen.</t>
  </si>
  <si>
    <t xml:space="preserve">Sheet Acuan, kolom D (Realisasi (%)), baris 2 sampai 5</t>
  </si>
  <si>
    <t xml:space="preserve">=C2/B2</t>
  </si>
  <si>
    <t xml:space="preserve">11</t>
  </si>
  <si>
    <t xml:space="preserve">Departemen mana yang persentase realisasinya paling tinggi?</t>
  </si>
  <si>
    <t xml:space="preserve">Sheet Ringkasan, sel C10</t>
  </si>
  <si>
    <t xml:space="preserve">=INDEX(Acuan!$A$2:$A$5;MATCH(MAX(Acuan!$D$2:$D$5);Acuan!$D$2:$D$5;0))</t>
  </si>
  <si>
    <t xml:space="preserve">Kode</t>
  </si>
  <si>
    <t xml:space="preserve">Pos Biaya</t>
  </si>
  <si>
    <t xml:space="preserve">Departemen</t>
  </si>
  <si>
    <t xml:space="preserve">Anggaran</t>
  </si>
  <si>
    <t xml:space="preserve">Realisasi</t>
  </si>
  <si>
    <t xml:space="preserve">Sisa Anggaran</t>
  </si>
  <si>
    <t xml:space="preserve">Realisasi (%)</t>
  </si>
  <si>
    <t xml:space="preserve">Status</t>
  </si>
  <si>
    <t xml:space="preserve">Parameter</t>
  </si>
  <si>
    <t xml:space="preserve">Nilai</t>
  </si>
  <si>
    <t xml:space="preserve">Keterangan</t>
  </si>
  <si>
    <t xml:space="preserve">B-01</t>
  </si>
  <si>
    <t xml:space="preserve">Kemasan</t>
  </si>
  <si>
    <t xml:space="preserve">Produksi</t>
  </si>
  <si>
    <t xml:space="preserve">Batas peringatan</t>
  </si>
  <si>
    <t xml:space="preserve">Realisasi sama dengan atau di atas persen ini dari anggaran = Hampir Habis</t>
  </si>
  <si>
    <t xml:space="preserve">B-02</t>
  </si>
  <si>
    <t xml:space="preserve">Asuransi</t>
  </si>
  <si>
    <t xml:space="preserve">Keuangan</t>
  </si>
  <si>
    <t xml:space="preserve">B-03</t>
  </si>
  <si>
    <t xml:space="preserve">Pameran dagang</t>
  </si>
  <si>
    <t xml:space="preserve">Pemasaran</t>
  </si>
  <si>
    <t xml:space="preserve">B-04</t>
  </si>
  <si>
    <t xml:space="preserve">Iklan digital</t>
  </si>
  <si>
    <t xml:space="preserve">B-05</t>
  </si>
  <si>
    <t xml:space="preserve">Sampel produk</t>
  </si>
  <si>
    <t xml:space="preserve">B-06</t>
  </si>
  <si>
    <t xml:space="preserve">Konsumsi rapat</t>
  </si>
  <si>
    <t xml:space="preserve">Umum</t>
  </si>
  <si>
    <t xml:space="preserve">B-07</t>
  </si>
  <si>
    <t xml:space="preserve">Kebersihan kantor</t>
  </si>
  <si>
    <t xml:space="preserve">B-08</t>
  </si>
  <si>
    <t xml:space="preserve">Bahan baku</t>
  </si>
  <si>
    <t xml:space="preserve">B-09</t>
  </si>
  <si>
    <t xml:space="preserve">Jasa audit</t>
  </si>
  <si>
    <t xml:space="preserve">B-10</t>
  </si>
  <si>
    <t xml:space="preserve">Transportasi sales</t>
  </si>
  <si>
    <t xml:space="preserve">B-11</t>
  </si>
  <si>
    <t xml:space="preserve">Perlengkapan kantor</t>
  </si>
  <si>
    <t xml:space="preserve">B-12</t>
  </si>
  <si>
    <t xml:space="preserve">Upah borongan</t>
  </si>
  <si>
    <t xml:space="preserve">B-13</t>
  </si>
  <si>
    <t xml:space="preserve">Brosur dan spanduk</t>
  </si>
  <si>
    <t xml:space="preserve">B-14</t>
  </si>
  <si>
    <t xml:space="preserve">Pemeliharaan gedung</t>
  </si>
  <si>
    <t xml:space="preserve">B-15</t>
  </si>
  <si>
    <t xml:space="preserve">Biaya notaris</t>
  </si>
  <si>
    <t xml:space="preserve">B-16</t>
  </si>
  <si>
    <t xml:space="preserve">Hadiah pelanggan</t>
  </si>
  <si>
    <t xml:space="preserve">B-17</t>
  </si>
  <si>
    <t xml:space="preserve">Listrik dan air</t>
  </si>
  <si>
    <t xml:space="preserve">B-18</t>
  </si>
  <si>
    <t xml:space="preserve">Telepon dan internet</t>
  </si>
  <si>
    <t xml:space="preserve">B-19</t>
  </si>
  <si>
    <t xml:space="preserve">Bahan bakar</t>
  </si>
  <si>
    <t xml:space="preserve">B-20</t>
  </si>
  <si>
    <t xml:space="preserve">Peralatan kerja</t>
  </si>
  <si>
    <t xml:space="preserve">B-21</t>
  </si>
  <si>
    <t xml:space="preserve">Perawatan mesin</t>
  </si>
  <si>
    <t xml:space="preserve">B-22</t>
  </si>
  <si>
    <t xml:space="preserve">Software akuntansi</t>
  </si>
  <si>
    <t xml:space="preserve">B-23</t>
  </si>
  <si>
    <t xml:space="preserve">Biaya bank</t>
  </si>
  <si>
    <t xml:space="preserve">B-24</t>
  </si>
  <si>
    <t xml:space="preserve">Pelatihan staf</t>
  </si>
  <si>
    <t xml:space="preserve">Total Anggaran</t>
  </si>
  <si>
    <t xml:space="preserve">Total Realisasi</t>
  </si>
  <si>
    <t xml:space="preserve">Ringkasan: lembar jawaban soal berjenis ringkasan</t>
  </si>
  <si>
    <t xml:space="preserve">Sel hijau berisi rumus kunci.</t>
  </si>
  <si>
    <t xml:space="preserve">Pertanyaan</t>
  </si>
  <si>
    <t xml:space="preserve">Jawaban</t>
  </si>
  <si>
    <t xml:space="preserve">Contoh format hasil</t>
  </si>
  <si>
    <t xml:space="preserve">4a</t>
  </si>
  <si>
    <t xml:space="preserve">Total anggaran seluruh pos</t>
  </si>
  <si>
    <t xml:space="preserve">Rupiah, mis. Rp 900.000.000</t>
  </si>
  <si>
    <t xml:space="preserve">4b</t>
  </si>
  <si>
    <t xml:space="preserve">Total realisasi seluruh pos</t>
  </si>
  <si>
    <t xml:space="preserve">Realisasi keseluruhan (%)</t>
  </si>
  <si>
    <t xml:space="preserve">Persen, mis. 86,3%</t>
  </si>
  <si>
    <t xml:space="preserve">6a</t>
  </si>
  <si>
    <t xml:space="preserve">Jumlah pos yang melebihi anggaran</t>
  </si>
  <si>
    <t xml:space="preserve">Angka bulat, mis. 5</t>
  </si>
  <si>
    <t xml:space="preserve">6b</t>
  </si>
  <si>
    <t xml:space="preserve">Jumlah pos berstatus Hampir Habis</t>
  </si>
  <si>
    <t xml:space="preserve">Total kelebihan anggaran</t>
  </si>
  <si>
    <t xml:space="preserve">Rupiah, mis. Rp 12.000.000</t>
  </si>
  <si>
    <t xml:space="preserve">Departemen dengan realisasi tertinggi</t>
  </si>
  <si>
    <t xml:space="preserve">Teks: nama departemen</t>
  </si>
</sst>
</file>

<file path=xl/styles.xml><?xml version="1.0" encoding="utf-8"?>
<styleSheet xmlns="http://schemas.openxmlformats.org/spreadsheetml/2006/main">
  <numFmts count="5">
    <numFmt numFmtId="164" formatCode="General"/>
    <numFmt numFmtId="165" formatCode="0"/>
    <numFmt numFmtId="166" formatCode="&quot;Rp &quot;#,##0"/>
    <numFmt numFmtId="167" formatCode="0.0%"/>
    <numFmt numFmtId="168" formatCode="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42" hidden="false" customHeight="true" outlineLevel="0" collapsed="false">
      <c r="A23" s="13" t="s">
        <v>31</v>
      </c>
      <c r="B23" s="14" t="s">
        <v>32</v>
      </c>
      <c r="C23" s="14" t="s">
        <v>33</v>
      </c>
      <c r="D23" s="15" t="s">
        <v>34</v>
      </c>
    </row>
    <row r="24" customFormat="false" ht="30"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42"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row r="31" customFormat="false" ht="30" hidden="false" customHeight="true" outlineLevel="0" collapsed="false">
      <c r="A31" s="13" t="s">
        <v>63</v>
      </c>
      <c r="B31" s="14" t="s">
        <v>64</v>
      </c>
      <c r="C31" s="14" t="s">
        <v>65</v>
      </c>
      <c r="D31" s="15" t="s">
        <v>66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26"/>
    <col collapsed="false" customWidth="true" hidden="false" outlineLevel="0" max="4" min="4" style="0" width="13"/>
    <col collapsed="false" customWidth="true" hidden="false" outlineLevel="0" max="7" min="5" style="0" width="15"/>
    <col collapsed="false" customWidth="true" hidden="false" outlineLevel="0" max="8" min="8" style="0" width="13"/>
    <col collapsed="false" customWidth="true" hidden="false" outlineLevel="0" max="9" min="9" style="0" width="14"/>
    <col collapsed="false" customWidth="true" hidden="false" outlineLevel="0" max="10" min="10" style="0" width="3"/>
    <col collapsed="false" customWidth="true" hidden="false" outlineLevel="0" max="11" min="11" style="0" width="30"/>
    <col collapsed="false" customWidth="true" hidden="false" outlineLevel="0" max="12" min="12" style="0" width="16"/>
    <col collapsed="false" customWidth="true" hidden="false" outlineLevel="0" max="13" min="13" style="0" width="42"/>
  </cols>
  <sheetData>
    <row r="1" customFormat="false" ht="33.75" hidden="false" customHeight="true" outlineLevel="0" collapsed="false">
      <c r="A1" s="12" t="s">
        <v>19</v>
      </c>
      <c r="B1" s="12" t="s">
        <v>67</v>
      </c>
      <c r="C1" s="12" t="s">
        <v>68</v>
      </c>
      <c r="D1" s="12" t="s">
        <v>69</v>
      </c>
      <c r="E1" s="12" t="s">
        <v>70</v>
      </c>
      <c r="F1" s="12" t="s">
        <v>71</v>
      </c>
      <c r="G1" s="16" t="s">
        <v>72</v>
      </c>
      <c r="H1" s="16" t="s">
        <v>73</v>
      </c>
      <c r="I1" s="16" t="s">
        <v>74</v>
      </c>
      <c r="K1" s="17" t="s">
        <v>75</v>
      </c>
      <c r="L1" s="17" t="s">
        <v>76</v>
      </c>
      <c r="M1" s="17" t="s">
        <v>77</v>
      </c>
    </row>
    <row r="2" customFormat="false" ht="22.35" hidden="false" customHeight="false" outlineLevel="0" collapsed="false">
      <c r="A2" s="18" t="n">
        <v>1</v>
      </c>
      <c r="B2" s="19" t="s">
        <v>78</v>
      </c>
      <c r="C2" s="19" t="s">
        <v>79</v>
      </c>
      <c r="D2" s="19" t="s">
        <v>80</v>
      </c>
      <c r="E2" s="20" t="n">
        <v>48500000</v>
      </c>
      <c r="F2" s="20" t="n">
        <v>35000000</v>
      </c>
      <c r="G2" s="21" t="n">
        <f aca="false">E2-F2</f>
        <v>13500000</v>
      </c>
      <c r="H2" s="22" t="n">
        <f aca="false">F2/E2</f>
        <v>0.721649484536083</v>
      </c>
      <c r="I2" s="23" t="str">
        <f aca="false">IF(H2&gt;1,"Melebihi",IF(H2&gt;=$L$2,"Hampir Habis","Aman"))</f>
        <v>Aman</v>
      </c>
      <c r="K2" s="24" t="s">
        <v>81</v>
      </c>
      <c r="L2" s="25" t="n">
        <v>0.9</v>
      </c>
      <c r="M2" s="26" t="s">
        <v>82</v>
      </c>
    </row>
    <row r="3" customFormat="false" ht="15" hidden="false" customHeight="false" outlineLevel="0" collapsed="false">
      <c r="A3" s="18" t="n">
        <v>2</v>
      </c>
      <c r="B3" s="19" t="s">
        <v>83</v>
      </c>
      <c r="C3" s="19" t="s">
        <v>84</v>
      </c>
      <c r="D3" s="19" t="s">
        <v>85</v>
      </c>
      <c r="E3" s="20" t="n">
        <v>42000000</v>
      </c>
      <c r="F3" s="20" t="n">
        <v>37200000</v>
      </c>
      <c r="G3" s="21" t="n">
        <f aca="false">E3-F3</f>
        <v>4800000</v>
      </c>
      <c r="H3" s="22" t="n">
        <f aca="false">F3/E3</f>
        <v>0.885714285714286</v>
      </c>
      <c r="I3" s="23" t="str">
        <f aca="false">IF(H3&gt;1,"Melebihi",IF(H3&gt;=$L$2,"Hampir Habis","Aman"))</f>
        <v>Aman</v>
      </c>
    </row>
    <row r="4" customFormat="false" ht="15" hidden="false" customHeight="false" outlineLevel="0" collapsed="false">
      <c r="A4" s="18" t="n">
        <v>3</v>
      </c>
      <c r="B4" s="19" t="s">
        <v>86</v>
      </c>
      <c r="C4" s="19" t="s">
        <v>87</v>
      </c>
      <c r="D4" s="19" t="s">
        <v>88</v>
      </c>
      <c r="E4" s="20" t="n">
        <v>37000000</v>
      </c>
      <c r="F4" s="20" t="n">
        <v>35100000</v>
      </c>
      <c r="G4" s="21" t="n">
        <f aca="false">E4-F4</f>
        <v>1900000</v>
      </c>
      <c r="H4" s="22" t="n">
        <f aca="false">F4/E4</f>
        <v>0.948648648648649</v>
      </c>
      <c r="I4" s="23" t="str">
        <f aca="false">IF(H4&gt;1,"Melebihi",IF(H4&gt;=$L$2,"Hampir Habis","Aman"))</f>
        <v>Hampir Habis</v>
      </c>
    </row>
    <row r="5" customFormat="false" ht="15" hidden="false" customHeight="false" outlineLevel="0" collapsed="false">
      <c r="A5" s="18" t="n">
        <v>4</v>
      </c>
      <c r="B5" s="19" t="s">
        <v>89</v>
      </c>
      <c r="C5" s="19" t="s">
        <v>90</v>
      </c>
      <c r="D5" s="19" t="s">
        <v>88</v>
      </c>
      <c r="E5" s="20" t="n">
        <v>8500000</v>
      </c>
      <c r="F5" s="20" t="n">
        <v>8700000</v>
      </c>
      <c r="G5" s="21" t="n">
        <f aca="false">E5-F5</f>
        <v>-200000</v>
      </c>
      <c r="H5" s="22" t="n">
        <f aca="false">F5/E5</f>
        <v>1.02352941176471</v>
      </c>
      <c r="I5" s="23" t="str">
        <f aca="false">IF(H5&gt;1,"Melebihi",IF(H5&gt;=$L$2,"Hampir Habis","Aman"))</f>
        <v>Melebihi</v>
      </c>
    </row>
    <row r="6" customFormat="false" ht="15" hidden="false" customHeight="false" outlineLevel="0" collapsed="false">
      <c r="A6" s="18" t="n">
        <v>5</v>
      </c>
      <c r="B6" s="19" t="s">
        <v>91</v>
      </c>
      <c r="C6" s="19" t="s">
        <v>92</v>
      </c>
      <c r="D6" s="19" t="s">
        <v>88</v>
      </c>
      <c r="E6" s="20" t="n">
        <v>25000000</v>
      </c>
      <c r="F6" s="20" t="n">
        <v>23900000</v>
      </c>
      <c r="G6" s="21" t="n">
        <f aca="false">E6-F6</f>
        <v>1100000</v>
      </c>
      <c r="H6" s="22" t="n">
        <f aca="false">F6/E6</f>
        <v>0.956</v>
      </c>
      <c r="I6" s="23" t="str">
        <f aca="false">IF(H6&gt;1,"Melebihi",IF(H6&gt;=$L$2,"Hampir Habis","Aman"))</f>
        <v>Hampir Habis</v>
      </c>
    </row>
    <row r="7" customFormat="false" ht="15" hidden="false" customHeight="false" outlineLevel="0" collapsed="false">
      <c r="A7" s="18" t="n">
        <v>6</v>
      </c>
      <c r="B7" s="19" t="s">
        <v>93</v>
      </c>
      <c r="C7" s="19" t="s">
        <v>94</v>
      </c>
      <c r="D7" s="19" t="s">
        <v>95</v>
      </c>
      <c r="E7" s="20" t="n">
        <v>37500000</v>
      </c>
      <c r="F7" s="20" t="n">
        <v>44900000</v>
      </c>
      <c r="G7" s="21" t="n">
        <f aca="false">E7-F7</f>
        <v>-7400000</v>
      </c>
      <c r="H7" s="22" t="n">
        <f aca="false">F7/E7</f>
        <v>1.19733333333333</v>
      </c>
      <c r="I7" s="23" t="str">
        <f aca="false">IF(H7&gt;1,"Melebihi",IF(H7&gt;=$L$2,"Hampir Habis","Aman"))</f>
        <v>Melebihi</v>
      </c>
    </row>
    <row r="8" customFormat="false" ht="15" hidden="false" customHeight="false" outlineLevel="0" collapsed="false">
      <c r="A8" s="18" t="n">
        <v>7</v>
      </c>
      <c r="B8" s="19" t="s">
        <v>96</v>
      </c>
      <c r="C8" s="19" t="s">
        <v>97</v>
      </c>
      <c r="D8" s="19" t="s">
        <v>95</v>
      </c>
      <c r="E8" s="20" t="n">
        <v>39000000</v>
      </c>
      <c r="F8" s="20" t="n">
        <v>37000000</v>
      </c>
      <c r="G8" s="21" t="n">
        <f aca="false">E8-F8</f>
        <v>2000000</v>
      </c>
      <c r="H8" s="22" t="n">
        <f aca="false">F8/E8</f>
        <v>0.948717948717949</v>
      </c>
      <c r="I8" s="23" t="str">
        <f aca="false">IF(H8&gt;1,"Melebihi",IF(H8&gt;=$L$2,"Hampir Habis","Aman"))</f>
        <v>Hampir Habis</v>
      </c>
    </row>
    <row r="9" customFormat="false" ht="15" hidden="false" customHeight="false" outlineLevel="0" collapsed="false">
      <c r="A9" s="18" t="n">
        <v>8</v>
      </c>
      <c r="B9" s="19" t="s">
        <v>98</v>
      </c>
      <c r="C9" s="19" t="s">
        <v>99</v>
      </c>
      <c r="D9" s="19" t="s">
        <v>80</v>
      </c>
      <c r="E9" s="20" t="n">
        <v>14000000</v>
      </c>
      <c r="F9" s="20" t="n">
        <v>15000000</v>
      </c>
      <c r="G9" s="21" t="n">
        <f aca="false">E9-F9</f>
        <v>-1000000</v>
      </c>
      <c r="H9" s="22" t="n">
        <f aca="false">F9/E9</f>
        <v>1.07142857142857</v>
      </c>
      <c r="I9" s="23" t="str">
        <f aca="false">IF(H9&gt;1,"Melebihi",IF(H9&gt;=$L$2,"Hampir Habis","Aman"))</f>
        <v>Melebihi</v>
      </c>
    </row>
    <row r="10" customFormat="false" ht="15" hidden="false" customHeight="false" outlineLevel="0" collapsed="false">
      <c r="A10" s="18" t="n">
        <v>9</v>
      </c>
      <c r="B10" s="19" t="s">
        <v>100</v>
      </c>
      <c r="C10" s="19" t="s">
        <v>101</v>
      </c>
      <c r="D10" s="19" t="s">
        <v>85</v>
      </c>
      <c r="E10" s="20" t="n">
        <v>41500000</v>
      </c>
      <c r="F10" s="20" t="n">
        <v>38000000</v>
      </c>
      <c r="G10" s="21" t="n">
        <f aca="false">E10-F10</f>
        <v>3500000</v>
      </c>
      <c r="H10" s="22" t="n">
        <f aca="false">F10/E10</f>
        <v>0.91566265060241</v>
      </c>
      <c r="I10" s="23" t="str">
        <f aca="false">IF(H10&gt;1,"Melebihi",IF(H10&gt;=$L$2,"Hampir Habis","Aman"))</f>
        <v>Hampir Habis</v>
      </c>
    </row>
    <row r="11" customFormat="false" ht="15" hidden="false" customHeight="false" outlineLevel="0" collapsed="false">
      <c r="A11" s="18" t="n">
        <v>10</v>
      </c>
      <c r="B11" s="19" t="s">
        <v>102</v>
      </c>
      <c r="C11" s="19" t="s">
        <v>103</v>
      </c>
      <c r="D11" s="19" t="s">
        <v>88</v>
      </c>
      <c r="E11" s="20" t="n">
        <v>56000000</v>
      </c>
      <c r="F11" s="20" t="n">
        <v>63900000</v>
      </c>
      <c r="G11" s="21" t="n">
        <f aca="false">E11-F11</f>
        <v>-7900000</v>
      </c>
      <c r="H11" s="22" t="n">
        <f aca="false">F11/E11</f>
        <v>1.14107142857143</v>
      </c>
      <c r="I11" s="23" t="str">
        <f aca="false">IF(H11&gt;1,"Melebihi",IF(H11&gt;=$L$2,"Hampir Habis","Aman"))</f>
        <v>Melebihi</v>
      </c>
    </row>
    <row r="12" customFormat="false" ht="15" hidden="false" customHeight="false" outlineLevel="0" collapsed="false">
      <c r="A12" s="18" t="n">
        <v>11</v>
      </c>
      <c r="B12" s="19" t="s">
        <v>104</v>
      </c>
      <c r="C12" s="19" t="s">
        <v>105</v>
      </c>
      <c r="D12" s="19" t="s">
        <v>95</v>
      </c>
      <c r="E12" s="20" t="n">
        <v>38000000</v>
      </c>
      <c r="F12" s="20" t="n">
        <v>45300000</v>
      </c>
      <c r="G12" s="21" t="n">
        <f aca="false">E12-F12</f>
        <v>-7300000</v>
      </c>
      <c r="H12" s="22" t="n">
        <f aca="false">F12/E12</f>
        <v>1.19210526315789</v>
      </c>
      <c r="I12" s="23" t="str">
        <f aca="false">IF(H12&gt;1,"Melebihi",IF(H12&gt;=$L$2,"Hampir Habis","Aman"))</f>
        <v>Melebihi</v>
      </c>
    </row>
    <row r="13" customFormat="false" ht="15" hidden="false" customHeight="false" outlineLevel="0" collapsed="false">
      <c r="A13" s="18" t="n">
        <v>12</v>
      </c>
      <c r="B13" s="19" t="s">
        <v>106</v>
      </c>
      <c r="C13" s="19" t="s">
        <v>107</v>
      </c>
      <c r="D13" s="19" t="s">
        <v>80</v>
      </c>
      <c r="E13" s="20" t="n">
        <v>17500000</v>
      </c>
      <c r="F13" s="20" t="n">
        <v>16900000</v>
      </c>
      <c r="G13" s="21" t="n">
        <f aca="false">E13-F13</f>
        <v>600000</v>
      </c>
      <c r="H13" s="22" t="n">
        <f aca="false">F13/E13</f>
        <v>0.965714285714286</v>
      </c>
      <c r="I13" s="23" t="str">
        <f aca="false">IF(H13&gt;1,"Melebihi",IF(H13&gt;=$L$2,"Hampir Habis","Aman"))</f>
        <v>Hampir Habis</v>
      </c>
    </row>
    <row r="14" customFormat="false" ht="15" hidden="false" customHeight="false" outlineLevel="0" collapsed="false">
      <c r="A14" s="18" t="n">
        <v>13</v>
      </c>
      <c r="B14" s="19" t="s">
        <v>108</v>
      </c>
      <c r="C14" s="19" t="s">
        <v>109</v>
      </c>
      <c r="D14" s="19" t="s">
        <v>88</v>
      </c>
      <c r="E14" s="20" t="n">
        <v>29000000</v>
      </c>
      <c r="F14" s="20" t="n">
        <v>22300000</v>
      </c>
      <c r="G14" s="21" t="n">
        <f aca="false">E14-F14</f>
        <v>6700000</v>
      </c>
      <c r="H14" s="22" t="n">
        <f aca="false">F14/E14</f>
        <v>0.768965517241379</v>
      </c>
      <c r="I14" s="23" t="str">
        <f aca="false">IF(H14&gt;1,"Melebihi",IF(H14&gt;=$L$2,"Hampir Habis","Aman"))</f>
        <v>Aman</v>
      </c>
    </row>
    <row r="15" customFormat="false" ht="15" hidden="false" customHeight="false" outlineLevel="0" collapsed="false">
      <c r="A15" s="18" t="n">
        <v>14</v>
      </c>
      <c r="B15" s="19" t="s">
        <v>110</v>
      </c>
      <c r="C15" s="19" t="s">
        <v>111</v>
      </c>
      <c r="D15" s="19" t="s">
        <v>95</v>
      </c>
      <c r="E15" s="20" t="n">
        <v>8500000</v>
      </c>
      <c r="F15" s="20" t="n">
        <v>7900000</v>
      </c>
      <c r="G15" s="21" t="n">
        <f aca="false">E15-F15</f>
        <v>600000</v>
      </c>
      <c r="H15" s="22" t="n">
        <f aca="false">F15/E15</f>
        <v>0.929411764705882</v>
      </c>
      <c r="I15" s="23" t="str">
        <f aca="false">IF(H15&gt;1,"Melebihi",IF(H15&gt;=$L$2,"Hampir Habis","Aman"))</f>
        <v>Hampir Habis</v>
      </c>
    </row>
    <row r="16" customFormat="false" ht="15" hidden="false" customHeight="false" outlineLevel="0" collapsed="false">
      <c r="A16" s="18" t="n">
        <v>15</v>
      </c>
      <c r="B16" s="19" t="s">
        <v>112</v>
      </c>
      <c r="C16" s="19" t="s">
        <v>113</v>
      </c>
      <c r="D16" s="19" t="s">
        <v>85</v>
      </c>
      <c r="E16" s="20" t="n">
        <v>5000000</v>
      </c>
      <c r="F16" s="20" t="n">
        <v>3900000</v>
      </c>
      <c r="G16" s="21" t="n">
        <f aca="false">E16-F16</f>
        <v>1100000</v>
      </c>
      <c r="H16" s="22" t="n">
        <f aca="false">F16/E16</f>
        <v>0.78</v>
      </c>
      <c r="I16" s="23" t="str">
        <f aca="false">IF(H16&gt;1,"Melebihi",IF(H16&gt;=$L$2,"Hampir Habis","Aman"))</f>
        <v>Aman</v>
      </c>
    </row>
    <row r="17" customFormat="false" ht="15" hidden="false" customHeight="false" outlineLevel="0" collapsed="false">
      <c r="A17" s="18" t="n">
        <v>16</v>
      </c>
      <c r="B17" s="19" t="s">
        <v>114</v>
      </c>
      <c r="C17" s="19" t="s">
        <v>115</v>
      </c>
      <c r="D17" s="19" t="s">
        <v>88</v>
      </c>
      <c r="E17" s="20" t="n">
        <v>32000000</v>
      </c>
      <c r="F17" s="20" t="n">
        <v>37600000</v>
      </c>
      <c r="G17" s="21" t="n">
        <f aca="false">E17-F17</f>
        <v>-5600000</v>
      </c>
      <c r="H17" s="22" t="n">
        <f aca="false">F17/E17</f>
        <v>1.175</v>
      </c>
      <c r="I17" s="23" t="str">
        <f aca="false">IF(H17&gt;1,"Melebihi",IF(H17&gt;=$L$2,"Hampir Habis","Aman"))</f>
        <v>Melebihi</v>
      </c>
    </row>
    <row r="18" customFormat="false" ht="15" hidden="false" customHeight="false" outlineLevel="0" collapsed="false">
      <c r="A18" s="18" t="n">
        <v>17</v>
      </c>
      <c r="B18" s="19" t="s">
        <v>116</v>
      </c>
      <c r="C18" s="19" t="s">
        <v>117</v>
      </c>
      <c r="D18" s="19" t="s">
        <v>95</v>
      </c>
      <c r="E18" s="20" t="n">
        <v>27500000</v>
      </c>
      <c r="F18" s="20" t="n">
        <v>15600000</v>
      </c>
      <c r="G18" s="21" t="n">
        <f aca="false">E18-F18</f>
        <v>11900000</v>
      </c>
      <c r="H18" s="22" t="n">
        <f aca="false">F18/E18</f>
        <v>0.567272727272727</v>
      </c>
      <c r="I18" s="23" t="str">
        <f aca="false">IF(H18&gt;1,"Melebihi",IF(H18&gt;=$L$2,"Hampir Habis","Aman"))</f>
        <v>Aman</v>
      </c>
    </row>
    <row r="19" customFormat="false" ht="15" hidden="false" customHeight="false" outlineLevel="0" collapsed="false">
      <c r="A19" s="18" t="n">
        <v>18</v>
      </c>
      <c r="B19" s="19" t="s">
        <v>118</v>
      </c>
      <c r="C19" s="19" t="s">
        <v>119</v>
      </c>
      <c r="D19" s="19" t="s">
        <v>95</v>
      </c>
      <c r="E19" s="20" t="n">
        <v>47500000</v>
      </c>
      <c r="F19" s="20" t="n">
        <v>34000000</v>
      </c>
      <c r="G19" s="21" t="n">
        <f aca="false">E19-F19</f>
        <v>13500000</v>
      </c>
      <c r="H19" s="22" t="n">
        <f aca="false">F19/E19</f>
        <v>0.715789473684211</v>
      </c>
      <c r="I19" s="23" t="str">
        <f aca="false">IF(H19&gt;1,"Melebihi",IF(H19&gt;=$L$2,"Hampir Habis","Aman"))</f>
        <v>Aman</v>
      </c>
    </row>
    <row r="20" customFormat="false" ht="15" hidden="false" customHeight="false" outlineLevel="0" collapsed="false">
      <c r="A20" s="18" t="n">
        <v>19</v>
      </c>
      <c r="B20" s="19" t="s">
        <v>120</v>
      </c>
      <c r="C20" s="19" t="s">
        <v>121</v>
      </c>
      <c r="D20" s="19" t="s">
        <v>80</v>
      </c>
      <c r="E20" s="20" t="n">
        <v>42000000</v>
      </c>
      <c r="F20" s="20" t="n">
        <v>39500000</v>
      </c>
      <c r="G20" s="21" t="n">
        <f aca="false">E20-F20</f>
        <v>2500000</v>
      </c>
      <c r="H20" s="22" t="n">
        <f aca="false">F20/E20</f>
        <v>0.940476190476191</v>
      </c>
      <c r="I20" s="23" t="str">
        <f aca="false">IF(H20&gt;1,"Melebihi",IF(H20&gt;=$L$2,"Hampir Habis","Aman"))</f>
        <v>Hampir Habis</v>
      </c>
    </row>
    <row r="21" customFormat="false" ht="15" hidden="false" customHeight="false" outlineLevel="0" collapsed="false">
      <c r="A21" s="18" t="n">
        <v>20</v>
      </c>
      <c r="B21" s="19" t="s">
        <v>122</v>
      </c>
      <c r="C21" s="19" t="s">
        <v>123</v>
      </c>
      <c r="D21" s="19" t="s">
        <v>80</v>
      </c>
      <c r="E21" s="20" t="n">
        <v>20000000</v>
      </c>
      <c r="F21" s="20" t="n">
        <v>13800000</v>
      </c>
      <c r="G21" s="21" t="n">
        <f aca="false">E21-F21</f>
        <v>6200000</v>
      </c>
      <c r="H21" s="22" t="n">
        <f aca="false">F21/E21</f>
        <v>0.69</v>
      </c>
      <c r="I21" s="23" t="str">
        <f aca="false">IF(H21&gt;1,"Melebihi",IF(H21&gt;=$L$2,"Hampir Habis","Aman"))</f>
        <v>Aman</v>
      </c>
    </row>
    <row r="22" customFormat="false" ht="15" hidden="false" customHeight="false" outlineLevel="0" collapsed="false">
      <c r="A22" s="18" t="n">
        <v>21</v>
      </c>
      <c r="B22" s="19" t="s">
        <v>124</v>
      </c>
      <c r="C22" s="19" t="s">
        <v>125</v>
      </c>
      <c r="D22" s="19" t="s">
        <v>80</v>
      </c>
      <c r="E22" s="20" t="n">
        <v>28500000</v>
      </c>
      <c r="F22" s="20" t="n">
        <v>21500000</v>
      </c>
      <c r="G22" s="21" t="n">
        <f aca="false">E22-F22</f>
        <v>7000000</v>
      </c>
      <c r="H22" s="22" t="n">
        <f aca="false">F22/E22</f>
        <v>0.754385964912281</v>
      </c>
      <c r="I22" s="23" t="str">
        <f aca="false">IF(H22&gt;1,"Melebihi",IF(H22&gt;=$L$2,"Hampir Habis","Aman"))</f>
        <v>Aman</v>
      </c>
    </row>
    <row r="23" customFormat="false" ht="15" hidden="false" customHeight="false" outlineLevel="0" collapsed="false">
      <c r="A23" s="18" t="n">
        <v>22</v>
      </c>
      <c r="B23" s="19" t="s">
        <v>126</v>
      </c>
      <c r="C23" s="19" t="s">
        <v>127</v>
      </c>
      <c r="D23" s="19" t="s">
        <v>85</v>
      </c>
      <c r="E23" s="20" t="n">
        <v>37500000</v>
      </c>
      <c r="F23" s="20" t="n">
        <v>21400000</v>
      </c>
      <c r="G23" s="21" t="n">
        <f aca="false">E23-F23</f>
        <v>16100000</v>
      </c>
      <c r="H23" s="22" t="n">
        <f aca="false">F23/E23</f>
        <v>0.570666666666667</v>
      </c>
      <c r="I23" s="23" t="str">
        <f aca="false">IF(H23&gt;1,"Melebihi",IF(H23&gt;=$L$2,"Hampir Habis","Aman"))</f>
        <v>Aman</v>
      </c>
    </row>
    <row r="24" customFormat="false" ht="15" hidden="false" customHeight="false" outlineLevel="0" collapsed="false">
      <c r="A24" s="18" t="n">
        <v>23</v>
      </c>
      <c r="B24" s="19" t="s">
        <v>128</v>
      </c>
      <c r="C24" s="19" t="s">
        <v>129</v>
      </c>
      <c r="D24" s="19" t="s">
        <v>85</v>
      </c>
      <c r="E24" s="20" t="n">
        <v>58500000</v>
      </c>
      <c r="F24" s="20" t="n">
        <v>55800000</v>
      </c>
      <c r="G24" s="21" t="n">
        <f aca="false">E24-F24</f>
        <v>2700000</v>
      </c>
      <c r="H24" s="22" t="n">
        <f aca="false">F24/E24</f>
        <v>0.953846153846154</v>
      </c>
      <c r="I24" s="23" t="str">
        <f aca="false">IF(H24&gt;1,"Melebihi",IF(H24&gt;=$L$2,"Hampir Habis","Aman"))</f>
        <v>Hampir Habis</v>
      </c>
    </row>
    <row r="25" customFormat="false" ht="15" hidden="false" customHeight="false" outlineLevel="0" collapsed="false">
      <c r="A25" s="18" t="n">
        <v>24</v>
      </c>
      <c r="B25" s="19" t="s">
        <v>130</v>
      </c>
      <c r="C25" s="19" t="s">
        <v>131</v>
      </c>
      <c r="D25" s="19" t="s">
        <v>85</v>
      </c>
      <c r="E25" s="20" t="n">
        <v>45500000</v>
      </c>
      <c r="F25" s="20" t="n">
        <v>41200000</v>
      </c>
      <c r="G25" s="21" t="n">
        <f aca="false">E25-F25</f>
        <v>4300000</v>
      </c>
      <c r="H25" s="22" t="n">
        <f aca="false">F25/E25</f>
        <v>0.905494505494506</v>
      </c>
      <c r="I25" s="23" t="str">
        <f aca="false">IF(H25&gt;1,"Melebihi",IF(H25&gt;=$L$2,"Hampir Habis","Aman"))</f>
        <v>Hampir Habis</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4" min="4" style="0" width="13"/>
  </cols>
  <sheetData>
    <row r="1" customFormat="false" ht="33.75" hidden="false" customHeight="true" outlineLevel="0" collapsed="false">
      <c r="A1" s="12" t="s">
        <v>69</v>
      </c>
      <c r="B1" s="16" t="s">
        <v>132</v>
      </c>
      <c r="C1" s="16" t="s">
        <v>133</v>
      </c>
      <c r="D1" s="16" t="s">
        <v>73</v>
      </c>
    </row>
    <row r="2" customFormat="false" ht="15" hidden="false" customHeight="false" outlineLevel="0" collapsed="false">
      <c r="A2" s="19" t="s">
        <v>95</v>
      </c>
      <c r="B2" s="21" t="n">
        <f aca="false">SUMIF(Data!$D$2:$D$25,A2,Data!$E$2:$E$25)</f>
        <v>198000000</v>
      </c>
      <c r="C2" s="21" t="n">
        <f aca="false">SUMIF(Data!$D$2:$D$25,A2,Data!$F$2:$F$25)</f>
        <v>184700000</v>
      </c>
      <c r="D2" s="22" t="n">
        <f aca="false">C2/B2</f>
        <v>0.932828282828283</v>
      </c>
    </row>
    <row r="3" customFormat="false" ht="15" hidden="false" customHeight="false" outlineLevel="0" collapsed="false">
      <c r="A3" s="19" t="s">
        <v>88</v>
      </c>
      <c r="B3" s="21" t="n">
        <f aca="false">SUMIF(Data!$D$2:$D$25,A3,Data!$E$2:$E$25)</f>
        <v>187500000</v>
      </c>
      <c r="C3" s="21" t="n">
        <f aca="false">SUMIF(Data!$D$2:$D$25,A3,Data!$F$2:$F$25)</f>
        <v>191500000</v>
      </c>
      <c r="D3" s="22" t="n">
        <f aca="false">C3/B3</f>
        <v>1.02133333333333</v>
      </c>
    </row>
    <row r="4" customFormat="false" ht="15" hidden="false" customHeight="false" outlineLevel="0" collapsed="false">
      <c r="A4" s="19" t="s">
        <v>80</v>
      </c>
      <c r="B4" s="21" t="n">
        <f aca="false">SUMIF(Data!$D$2:$D$25,A4,Data!$E$2:$E$25)</f>
        <v>170500000</v>
      </c>
      <c r="C4" s="21" t="n">
        <f aca="false">SUMIF(Data!$D$2:$D$25,A4,Data!$F$2:$F$25)</f>
        <v>141700000</v>
      </c>
      <c r="D4" s="22" t="n">
        <f aca="false">C4/B4</f>
        <v>0.83108504398827</v>
      </c>
    </row>
    <row r="5" customFormat="false" ht="15" hidden="false" customHeight="false" outlineLevel="0" collapsed="false">
      <c r="A5" s="19" t="s">
        <v>85</v>
      </c>
      <c r="B5" s="21" t="n">
        <f aca="false">SUMIF(Data!$D$2:$D$25,A5,Data!$E$2:$E$25)</f>
        <v>230000000</v>
      </c>
      <c r="C5" s="21" t="n">
        <f aca="false">SUMIF(Data!$D$2:$D$25,A5,Data!$F$2:$F$25)</f>
        <v>197500000</v>
      </c>
      <c r="D5" s="22" t="n">
        <f aca="false">C5/B5</f>
        <v>0.858695652173913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7" t="s">
        <v>134</v>
      </c>
      <c r="B1" s="27"/>
      <c r="C1" s="27"/>
      <c r="D1" s="27"/>
    </row>
    <row r="2" customFormat="false" ht="15" hidden="false" customHeight="false" outlineLevel="0" collapsed="false">
      <c r="A2" s="28" t="s">
        <v>135</v>
      </c>
      <c r="B2" s="28"/>
      <c r="C2" s="28"/>
      <c r="D2" s="28"/>
    </row>
    <row r="3" customFormat="false" ht="15" hidden="false" customHeight="false" outlineLevel="0" collapsed="false">
      <c r="A3" s="12" t="s">
        <v>19</v>
      </c>
      <c r="B3" s="12" t="s">
        <v>136</v>
      </c>
      <c r="C3" s="12" t="s">
        <v>137</v>
      </c>
      <c r="D3" s="12" t="s">
        <v>138</v>
      </c>
    </row>
    <row r="4" customFormat="false" ht="19.5" hidden="false" customHeight="true" outlineLevel="0" collapsed="false">
      <c r="A4" s="29" t="s">
        <v>139</v>
      </c>
      <c r="B4" s="30" t="s">
        <v>140</v>
      </c>
      <c r="C4" s="21" t="n">
        <f aca="false">SUM(Data!$E$2:$E$25)</f>
        <v>786000000</v>
      </c>
      <c r="D4" s="26" t="s">
        <v>141</v>
      </c>
    </row>
    <row r="5" customFormat="false" ht="19.5" hidden="false" customHeight="true" outlineLevel="0" collapsed="false">
      <c r="A5" s="29" t="s">
        <v>142</v>
      </c>
      <c r="B5" s="30" t="s">
        <v>143</v>
      </c>
      <c r="C5" s="21" t="n">
        <f aca="false">SUM(Data!$F$2:$F$25)</f>
        <v>715400000</v>
      </c>
      <c r="D5" s="26" t="s">
        <v>141</v>
      </c>
    </row>
    <row r="6" customFormat="false" ht="19.5" hidden="false" customHeight="true" outlineLevel="0" collapsed="false">
      <c r="A6" s="29" t="s">
        <v>39</v>
      </c>
      <c r="B6" s="30" t="s">
        <v>144</v>
      </c>
      <c r="C6" s="22" t="n">
        <f aca="false">SUM(Data!$F$2:$F$25)/SUM(Data!$E$2:$E$25)</f>
        <v>0.910178117048346</v>
      </c>
      <c r="D6" s="26" t="s">
        <v>145</v>
      </c>
    </row>
    <row r="7" customFormat="false" ht="19.5" hidden="false" customHeight="true" outlineLevel="0" collapsed="false">
      <c r="A7" s="29" t="s">
        <v>146</v>
      </c>
      <c r="B7" s="30" t="s">
        <v>147</v>
      </c>
      <c r="C7" s="31" t="n">
        <f aca="false">COUNTIF(Data!$I$2:$I$25,"Melebihi")</f>
        <v>6</v>
      </c>
      <c r="D7" s="26" t="s">
        <v>148</v>
      </c>
    </row>
    <row r="8" customFormat="false" ht="19.5" hidden="false" customHeight="true" outlineLevel="0" collapsed="false">
      <c r="A8" s="29" t="s">
        <v>149</v>
      </c>
      <c r="B8" s="30" t="s">
        <v>150</v>
      </c>
      <c r="C8" s="31" t="n">
        <f aca="false">COUNTIF(Data!$I$2:$I$25,"Hampir Habis")</f>
        <v>9</v>
      </c>
      <c r="D8" s="26" t="s">
        <v>148</v>
      </c>
    </row>
    <row r="9" customFormat="false" ht="19.5" hidden="false" customHeight="true" outlineLevel="0" collapsed="false">
      <c r="A9" s="29" t="s">
        <v>47</v>
      </c>
      <c r="B9" s="30" t="s">
        <v>151</v>
      </c>
      <c r="C9" s="21" t="n">
        <f aca="false">-SUMIF(Data!$G$2:$G$25,"&lt;0")</f>
        <v>29400000</v>
      </c>
      <c r="D9" s="26" t="s">
        <v>152</v>
      </c>
    </row>
    <row r="10" customFormat="false" ht="19.5" hidden="false" customHeight="true" outlineLevel="0" collapsed="false">
      <c r="A10" s="29" t="s">
        <v>63</v>
      </c>
      <c r="B10" s="30" t="s">
        <v>153</v>
      </c>
      <c r="C10" s="23" t="str">
        <f aca="false">INDEX(Acuan!$A$2:$A$5,MATCH(MAX(Acuan!$D$2:$D$5),Acuan!$D$2:$D$5,0))</f>
        <v>Pemasaran</v>
      </c>
      <c r="D10" s="26" t="s">
        <v>154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2026-10-10T06:49:18Z</dcterms:created>
  <dc:creator>PushExcel</dc:creator>
  <dc:description/>
  <dc:language>en-US</dc:language>
  <cp:lastModifiedBy/>
  <dcterms:modified xsi:type="dcterms:W3CDTF">2026-10-10T06:49:18Z</dcterms:modified>
  <cp:revision>0</cp:revision>
  <dc:subject/>
  <dc:title>Anggaran dan Realisasi Biaya - Kunci</dc:title>
</cp:coreProperties>
</file>

<file path=docProps/custom.xml><?xml version="1.0" encoding="utf-8"?>
<Properties xmlns="http://schemas.openxmlformats.org/officeDocument/2006/custom-properties" xmlns:vt="http://schemas.openxmlformats.org/officeDocument/2006/docPropsVTypes"/>
</file>