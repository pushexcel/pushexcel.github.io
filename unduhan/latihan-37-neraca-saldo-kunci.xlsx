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<sst xmlns="http://schemas.openxmlformats.org/spreadsheetml/2006/main" count="240" uniqueCount="171">
  <si>
    <t xml:space="preserve">Kunci Jawaban: Neraca Saldo dari Jurnal Umum</t>
  </si>
  <si>
    <t xml:space="preserve">Latihan 37 dari 56  |  Tingkat: Lanjutan  |  Perkiraan waktu: 70 menit  |  pushexcel.github.io/Pushexcel</t>
  </si>
  <si>
    <t xml:space="preserve">Skenario</t>
  </si>
  <si>
    <t xml:space="preserve">Kamu staf akuntansi UD Berkah Jaya. Jurnal umum bulan Juli sampai September 2026 berisi 43 baris yang sudah seimbang antara debit dan kredit. Daftar 12 akun beserta tipenya ada di sheet Acuan. Kamu menyusun neraca saldo: menjumlahkan debit dan kredit tiap akun, menentukan saldo debit atau saldo kredit, lalu memeriksa apakah total saldo debit sama dengan total saldo kredit dan menghitung laba bersih periode ini.</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</si>
  <si>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</si>
  <si>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</si>
  <si>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</si>
  <si>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</si>
  <si>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</si>
  <si>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</si>
  <si>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</si>
  <si>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</si>
  <si>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</si>
  <si>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</si>
  <si>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</si>
  <si>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</si>
  <si>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</si>
  <si>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Daftar soal</t>
  </si>
  <si>
    <t xml:space="preserve">No</t>
  </si>
  <si>
    <t xml:space="preserve">Soal</t>
  </si>
  <si>
    <t xml:space="preserve">Jawab di</t>
  </si>
  <si>
    <t xml:space="preserve">Rumus kunci</t>
  </si>
  <si>
    <t xml:space="preserve">1</t>
  </si>
  <si>
    <t xml:space="preserve">Ambil nama akun dari sheet Acuan berdasarkan Kode Akun.</t>
  </si>
  <si>
    <t xml:space="preserve">Sheet Data, kolom G (Nama Akun), baris 2 sampai 44</t>
  </si>
  <si>
    <t xml:space="preserve">=VLOOKUP(C2;Acuan!$A$2:$C$13;2;FALSE)</t>
  </si>
  <si>
    <t xml:space="preserve">2</t>
  </si>
  <si>
    <t xml:space="preserve">Ambil tipe akun (Aset, Utang, Modal, Pendapatan, atau Beban) dari sheet Acuan.</t>
  </si>
  <si>
    <t xml:space="preserve">Sheet Data, kolom H (Tipe Akun), baris 2 sampai 44</t>
  </si>
  <si>
    <t xml:space="preserve">=VLOOKUP(C2;Acuan!$A$2:$C$13;3;FALSE)</t>
  </si>
  <si>
    <t xml:space="preserve">3</t>
  </si>
  <si>
    <t xml:space="preserve">Pada sheet Acuan, hitung total debit tiap akun dari jurnal.</t>
  </si>
  <si>
    <t xml:space="preserve">Sheet Acuan, kolom D (Total Debit), baris 2 sampai 13</t>
  </si>
  <si>
    <t xml:space="preserve">=SUMIF(Data!$C$2:$C$44;A2;Data!$E$2:$E$44)</t>
  </si>
  <si>
    <t xml:space="preserve">4</t>
  </si>
  <si>
    <t xml:space="preserve">Pada sheet Acuan, hitung total kredit tiap akun dari jurnal.</t>
  </si>
  <si>
    <t xml:space="preserve">Sheet Acuan, kolom E (Total Kredit), baris 2 sampai 13</t>
  </si>
  <si>
    <t xml:space="preserve">=SUMIF(Data!$C$2:$C$44;A2;Data!$F$2:$F$44)</t>
  </si>
  <si>
    <t xml:space="preserve">5</t>
  </si>
  <si>
    <t xml:space="preserve">Pada sheet Acuan, hitung saldo debit: selisih total debit dan total kredit bila debit lebih besar. Selain itu 0.</t>
  </si>
  <si>
    <t xml:space="preserve">Sheet Acuan, kolom F (Saldo Debit), baris 2 sampai 13</t>
  </si>
  <si>
    <t xml:space="preserve">=IF(D2&gt;E2;D2-E2;0)</t>
  </si>
  <si>
    <t xml:space="preserve">6</t>
  </si>
  <si>
    <t xml:space="preserve">Pada sheet Acuan, hitung saldo kredit: selisih total kredit dan total debit bila kredit lebih besar. Selain itu 0.</t>
  </si>
  <si>
    <t xml:space="preserve">Sheet Acuan, kolom G (Saldo Kredit), baris 2 sampai 13</t>
  </si>
  <si>
    <t xml:space="preserve">=IF(E2&gt;D2;E2-D2;0)</t>
  </si>
  <si>
    <t xml:space="preserve">7</t>
  </si>
  <si>
    <t xml:space="preserve">Berapa total debit dan total kredit seluruh jurnal, dan apakah keduanya seimbang?</t>
  </si>
  <si>
    <t xml:space="preserve">Sheet Ringkasan, sel C4 sampai C6</t>
  </si>
  <si>
    <t xml:space="preserve">=SUM(Data!$E$2:$E$44)
=SUM(Data!$F$2:$F$44)
=IF(C4=C5;"Seimbang";"Tidak Seimbang")</t>
  </si>
  <si>
    <t xml:space="preserve">8</t>
  </si>
  <si>
    <t xml:space="preserve">Berapa total saldo debit dan total saldo kredit pada neraca saldo, dan apakah keduanya sama?</t>
  </si>
  <si>
    <t xml:space="preserve">Sheet Ringkasan, sel C7 sampai C9</t>
  </si>
  <si>
    <t xml:space="preserve">=SUM(Acuan!$F$2:$F$13)
=SUM(Acuan!$G$2:$G$13)
=IF(C7=C8;"Ya";"Tidak")</t>
  </si>
  <si>
    <t xml:space="preserve">9</t>
  </si>
  <si>
    <t xml:space="preserve">Berapa total saldo debit akun bertipe Aset, dan berapa total saldo kredit akun bertipe Utang dan Modal?</t>
  </si>
  <si>
    <t xml:space="preserve">Sheet Ringkasan, sel C10 sampai C11</t>
  </si>
  <si>
    <t xml:space="preserve">=SUMIF(Acuan!$C$2:$C$13;"Aset";Acuan!$F$2:$F$13)
=SUMIF(Acuan!$C$2:$C$13;"Utang";Acuan!$G$2:$G$13)+SUMIF(Acuan!$C$2:$C$13;"Modal";Acuan!$G$2:$G$13)</t>
  </si>
  <si>
    <t xml:space="preserve">10</t>
  </si>
  <si>
    <t xml:space="preserve">Berapa laba bersih periode ini, yaitu pendapatan dikurangi seluruh beban?</t>
  </si>
  <si>
    <t xml:space="preserve">Sheet Ringkasan, sel C12</t>
  </si>
  <si>
    <t xml:space="preserve">=SUMIF(Acuan!$C$2:$C$13;"Pendapatan";Acuan!$G$2:$G$13)-SUMIF(Acuan!$C$2:$C$13;"Beban";Acuan!$F$2:$F$13)</t>
  </si>
  <si>
    <t xml:space="preserve">11</t>
  </si>
  <si>
    <t xml:space="preserve">Akun apa yang saldo debitnya terbesar, dan berapa akun yang bersaldo kredit?</t>
  </si>
  <si>
    <t xml:space="preserve">Sheet Ringkasan, sel C13 sampai C14</t>
  </si>
  <si>
    <t xml:space="preserve">=INDEX(Acuan!$B$2:$B$13;MATCH(MAX(Acuan!$F$2:$F$13);Acuan!$F$2:$F$13;0))
=COUNTIF(Acuan!$G$2:$G$13;"&gt;0")</t>
  </si>
  <si>
    <t xml:space="preserve">12</t>
  </si>
  <si>
    <t xml:space="preserve">Berapa baris jurnal yang memakai akun Kas (kode 1101), dan berapa total kredit akun Kas?</t>
  </si>
  <si>
    <t xml:space="preserve">Sheet Ringkasan, sel C15 sampai C16</t>
  </si>
  <si>
    <t xml:space="preserve">=COUNTIF(Data!$C$2:$C$44;1101)
=SUMIF(Data!$C$2:$C$44;1101;Data!$F$2:$F$44)</t>
  </si>
  <si>
    <t xml:space="preserve">No Bukti</t>
  </si>
  <si>
    <t xml:space="preserve">Tanggal</t>
  </si>
  <si>
    <t xml:space="preserve">Kode Akun</t>
  </si>
  <si>
    <t xml:space="preserve">Keterangan</t>
  </si>
  <si>
    <t xml:space="preserve">Debit</t>
  </si>
  <si>
    <t xml:space="preserve">Kredit</t>
  </si>
  <si>
    <t xml:space="preserve">Nama Akun</t>
  </si>
  <si>
    <t xml:space="preserve">Tipe Akun</t>
  </si>
  <si>
    <t xml:space="preserve">JU-001</t>
  </si>
  <si>
    <t xml:space="preserve">Setoran modal awal</t>
  </si>
  <si>
    <t xml:space="preserve">JU-002</t>
  </si>
  <si>
    <t xml:space="preserve">Pembayaran gaji</t>
  </si>
  <si>
    <t xml:space="preserve">JU-003</t>
  </si>
  <si>
    <t xml:space="preserve">Penjualan kredit</t>
  </si>
  <si>
    <t xml:space="preserve">JU-004</t>
  </si>
  <si>
    <t xml:space="preserve">JU-005</t>
  </si>
  <si>
    <t xml:space="preserve">Pembayaran listrik dan air</t>
  </si>
  <si>
    <t xml:space="preserve">JU-006</t>
  </si>
  <si>
    <t xml:space="preserve">JU-007</t>
  </si>
  <si>
    <t xml:space="preserve">Harga pokok penjualan</t>
  </si>
  <si>
    <t xml:space="preserve">JU-008</t>
  </si>
  <si>
    <t xml:space="preserve">Penjualan tunai</t>
  </si>
  <si>
    <t xml:space="preserve">JU-009</t>
  </si>
  <si>
    <t xml:space="preserve">Penerimaan piutang</t>
  </si>
  <si>
    <t xml:space="preserve">JU-010</t>
  </si>
  <si>
    <t xml:space="preserve">JU-011</t>
  </si>
  <si>
    <t xml:space="preserve">Pembelian barang kredit</t>
  </si>
  <si>
    <t xml:space="preserve">JU-012</t>
  </si>
  <si>
    <t xml:space="preserve">Pembayaran sewa</t>
  </si>
  <si>
    <t xml:space="preserve">JU-013</t>
  </si>
  <si>
    <t xml:space="preserve">JU-014</t>
  </si>
  <si>
    <t xml:space="preserve">JU-015</t>
  </si>
  <si>
    <t xml:space="preserve">JU-016</t>
  </si>
  <si>
    <t xml:space="preserve">JU-017</t>
  </si>
  <si>
    <t xml:space="preserve">Pembelian perlengkapan</t>
  </si>
  <si>
    <t xml:space="preserve">JU-018</t>
  </si>
  <si>
    <t xml:space="preserve">JU-019</t>
  </si>
  <si>
    <t xml:space="preserve">JU-020</t>
  </si>
  <si>
    <t xml:space="preserve">JU-021</t>
  </si>
  <si>
    <t xml:space="preserve">Total Debit</t>
  </si>
  <si>
    <t xml:space="preserve">Total Kredit</t>
  </si>
  <si>
    <t xml:space="preserve">Saldo Debit</t>
  </si>
  <si>
    <t xml:space="preserve">Saldo Kredit</t>
  </si>
  <si>
    <t xml:space="preserve">Kas</t>
  </si>
  <si>
    <t xml:space="preserve">Aset</t>
  </si>
  <si>
    <t xml:space="preserve">Bank</t>
  </si>
  <si>
    <t xml:space="preserve">Piutang Usaha</t>
  </si>
  <si>
    <t xml:space="preserve">Persediaan Barang</t>
  </si>
  <si>
    <t xml:space="preserve">Utang Usaha</t>
  </si>
  <si>
    <t xml:space="preserve">Utang</t>
  </si>
  <si>
    <t xml:space="preserve">Modal Pemilik</t>
  </si>
  <si>
    <t xml:space="preserve">Modal</t>
  </si>
  <si>
    <t xml:space="preserve">Penjualan</t>
  </si>
  <si>
    <t xml:space="preserve">Pendapatan</t>
  </si>
  <si>
    <t xml:space="preserve">Harga Pokok Penjualan</t>
  </si>
  <si>
    <t xml:space="preserve">Beban</t>
  </si>
  <si>
    <t xml:space="preserve">Beban Gaji</t>
  </si>
  <si>
    <t xml:space="preserve">Beban Listrik dan Air</t>
  </si>
  <si>
    <t xml:space="preserve">Beban Sewa</t>
  </si>
  <si>
    <t xml:space="preserve">Beban Perlengkapan</t>
  </si>
  <si>
    <t xml:space="preserve">Ringkasan: lembar jawaban soal berjenis ringkasan</t>
  </si>
  <si>
    <t xml:space="preserve">Sel hijau berisi rumus kunci.</t>
  </si>
  <si>
    <t xml:space="preserve">Pertanyaan</t>
  </si>
  <si>
    <t xml:space="preserve">Jawaban</t>
  </si>
  <si>
    <t xml:space="preserve">Contoh format hasil</t>
  </si>
  <si>
    <t xml:space="preserve">7a</t>
  </si>
  <si>
    <t xml:space="preserve">Total debit jurnal</t>
  </si>
  <si>
    <t xml:space="preserve">Rupiah, mis. Rp 400.000.000</t>
  </si>
  <si>
    <t xml:space="preserve">7b</t>
  </si>
  <si>
    <t xml:space="preserve">Total kredit jurnal</t>
  </si>
  <si>
    <t xml:space="preserve">7c</t>
  </si>
  <si>
    <t xml:space="preserve">Status keseimbangan jurnal</t>
  </si>
  <si>
    <t xml:space="preserve">Teks: Seimbang atau Tidak Seimbang</t>
  </si>
  <si>
    <t xml:space="preserve">8a</t>
  </si>
  <si>
    <t xml:space="preserve">Total saldo debit</t>
  </si>
  <si>
    <t xml:space="preserve">Rupiah, mis. Rp 300.000.000</t>
  </si>
  <si>
    <t xml:space="preserve">8b</t>
  </si>
  <si>
    <t xml:space="preserve">Total saldo kredit</t>
  </si>
  <si>
    <t xml:space="preserve">8c</t>
  </si>
  <si>
    <t xml:space="preserve">Neraca saldo seimbang?</t>
  </si>
  <si>
    <t xml:space="preserve">Teks: Ya atau Tidak</t>
  </si>
  <si>
    <t xml:space="preserve">9a</t>
  </si>
  <si>
    <t xml:space="preserve">Total aset (saldo debit tipe Aset)</t>
  </si>
  <si>
    <t xml:space="preserve">Rupiah, mis. Rp 250.000.000</t>
  </si>
  <si>
    <t xml:space="preserve">9b</t>
  </si>
  <si>
    <t xml:space="preserve">Total utang dan modal (saldo kredit)</t>
  </si>
  <si>
    <t xml:space="preserve">Rupiah, mis. Rp 200.000.000</t>
  </si>
  <si>
    <t xml:space="preserve">Laba bersih periode ini</t>
  </si>
  <si>
    <t xml:space="preserve">Rupiah, mis. Rp 15.000.000</t>
  </si>
  <si>
    <t xml:space="preserve">11a</t>
  </si>
  <si>
    <t xml:space="preserve">Akun dengan saldo debit terbesar</t>
  </si>
  <si>
    <t xml:space="preserve">Teks: nama akun</t>
  </si>
  <si>
    <t xml:space="preserve">11b</t>
  </si>
  <si>
    <t xml:space="preserve">Jumlah akun bersaldo kredit</t>
  </si>
  <si>
    <t xml:space="preserve">Angka bulat, mis. 4</t>
  </si>
  <si>
    <t xml:space="preserve">12a</t>
  </si>
  <si>
    <t xml:space="preserve">Jumlah baris jurnal akun Kas</t>
  </si>
  <si>
    <t xml:space="preserve">Angka bulat, mis. 10</t>
  </si>
  <si>
    <t xml:space="preserve">12b</t>
  </si>
  <si>
    <t xml:space="preserve">Total kredit akun Kas</t>
  </si>
  <si>
    <t xml:space="preserve">Rupiah, mis. Rp 5.000.000</t>
  </si>
</sst>
</file>

<file path=xl/styles.xml><?xml version="1.0" encoding="utf-8"?>
<styleSheet xmlns="http://schemas.openxmlformats.org/spreadsheetml/2006/main">
  <numFmts count="4">
    <numFmt numFmtId="164" formatCode="General"/>
    <numFmt numFmtId="165" formatCode="dd/mm/yyyy"/>
    <numFmt numFmtId="166" formatCode="0"/>
    <numFmt numFmtId="167" formatCode="&quot;Rp &quot;#,##0"/>
  </numFmts>
  <fonts count="12">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b val="true"/>
      <sz val="13"/>
      <color rgb="FF1F4E3D"/>
      <name val="Arial"/>
      <family val="0"/>
      <charset val="1"/>
    </font>
    <font>
      <i val="true"/>
      <sz val="9"/>
      <color rgb="FF595959"/>
      <name val="Arial"/>
      <family val="0"/>
      <charset val="1"/>
    </font>
  </fonts>
  <fills count="5">
    <fill>
      <patternFill patternType="none"/>
    </fill>
    <fill>
      <patternFill patternType="gray125"/>
    </fill>
    <fill>
      <patternFill patternType="solid">
        <fgColor rgb="FF1F4E3D"/>
        <bgColor rgb="FF003366"/>
      </patternFill>
    </fill>
    <fill>
      <patternFill patternType="solid">
        <fgColor rgb="FFB45F06"/>
        <bgColor rgb="FF808000"/>
      </patternFill>
    </fill>
    <fill>
      <patternFill patternType="solid">
        <fgColor rgb="FFE2EFDA"/>
        <bgColor rgb="FFFFFF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7" fontId="7" fillId="0"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1" fillId="0" borderId="1" xfId="0" applyFont="true" applyBorder="true" applyAlignment="true" applyProtection="false">
      <alignment horizontal="general" vertical="center" textRotation="0" wrapText="tru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333399"/>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0"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8" customFormat="false" ht="15" hidden="false" customHeight="false" outlineLevel="0" collapsed="false">
      <c r="A18" s="3" t="s">
        <v>17</v>
      </c>
    </row>
    <row r="19" customFormat="false" ht="15" hidden="false" customHeight="false" outlineLevel="0" collapsed="false">
      <c r="A19" s="10" t="s">
        <v>18</v>
      </c>
      <c r="B19" s="10" t="s">
        <v>19</v>
      </c>
      <c r="C19" s="10" t="s">
        <v>20</v>
      </c>
      <c r="D19" s="10" t="s">
        <v>21</v>
      </c>
    </row>
    <row r="20" customFormat="false" ht="30" hidden="false" customHeight="true" outlineLevel="0" collapsed="false">
      <c r="A20" s="11" t="s">
        <v>22</v>
      </c>
      <c r="B20" s="12" t="s">
        <v>23</v>
      </c>
      <c r="C20" s="12" t="s">
        <v>24</v>
      </c>
      <c r="D20" s="13" t="s">
        <v>25</v>
      </c>
    </row>
    <row r="21" customFormat="false" ht="30" hidden="false" customHeight="true" outlineLevel="0" collapsed="false">
      <c r="A21" s="11" t="s">
        <v>26</v>
      </c>
      <c r="B21" s="12" t="s">
        <v>27</v>
      </c>
      <c r="C21" s="12" t="s">
        <v>28</v>
      </c>
      <c r="D21" s="13" t="s">
        <v>29</v>
      </c>
    </row>
    <row r="22" customFormat="false" ht="30" hidden="false" customHeight="true" outlineLevel="0" collapsed="false">
      <c r="A22" s="11" t="s">
        <v>30</v>
      </c>
      <c r="B22" s="12" t="s">
        <v>31</v>
      </c>
      <c r="C22" s="12" t="s">
        <v>32</v>
      </c>
      <c r="D22" s="13" t="s">
        <v>33</v>
      </c>
    </row>
    <row r="23" customFormat="false" ht="30" hidden="false" customHeight="true" outlineLevel="0" collapsed="false">
      <c r="A23" s="11" t="s">
        <v>34</v>
      </c>
      <c r="B23" s="12" t="s">
        <v>35</v>
      </c>
      <c r="C23" s="12" t="s">
        <v>36</v>
      </c>
      <c r="D23" s="13" t="s">
        <v>37</v>
      </c>
    </row>
    <row r="24" customFormat="false" ht="30" hidden="false" customHeight="true" outlineLevel="0" collapsed="false">
      <c r="A24" s="11" t="s">
        <v>38</v>
      </c>
      <c r="B24" s="12" t="s">
        <v>39</v>
      </c>
      <c r="C24" s="12" t="s">
        <v>40</v>
      </c>
      <c r="D24" s="13" t="s">
        <v>41</v>
      </c>
    </row>
    <row r="25" customFormat="false" ht="30" hidden="false" customHeight="true" outlineLevel="0" collapsed="false">
      <c r="A25" s="11" t="s">
        <v>42</v>
      </c>
      <c r="B25" s="12" t="s">
        <v>43</v>
      </c>
      <c r="C25" s="12" t="s">
        <v>44</v>
      </c>
      <c r="D25" s="13" t="s">
        <v>45</v>
      </c>
    </row>
    <row r="26" customFormat="false" ht="57.75" hidden="false" customHeight="true" outlineLevel="0" collapsed="false">
      <c r="A26" s="11" t="s">
        <v>46</v>
      </c>
      <c r="B26" s="12" t="s">
        <v>47</v>
      </c>
      <c r="C26" s="12" t="s">
        <v>48</v>
      </c>
      <c r="D26" s="13" t="s">
        <v>49</v>
      </c>
    </row>
    <row r="27" customFormat="false" ht="57.75" hidden="false" customHeight="true" outlineLevel="0" collapsed="false">
      <c r="A27" s="11" t="s">
        <v>50</v>
      </c>
      <c r="B27" s="12" t="s">
        <v>51</v>
      </c>
      <c r="C27" s="12" t="s">
        <v>52</v>
      </c>
      <c r="D27" s="13" t="s">
        <v>53</v>
      </c>
    </row>
    <row r="28" customFormat="false" ht="55.5" hidden="false" customHeight="true" outlineLevel="0" collapsed="false">
      <c r="A28" s="11" t="s">
        <v>54</v>
      </c>
      <c r="B28" s="12" t="s">
        <v>55</v>
      </c>
      <c r="C28" s="12" t="s">
        <v>56</v>
      </c>
      <c r="D28" s="13" t="s">
        <v>57</v>
      </c>
    </row>
    <row r="29" customFormat="false" ht="30" hidden="false" customHeight="true" outlineLevel="0" collapsed="false">
      <c r="A29" s="11" t="s">
        <v>58</v>
      </c>
      <c r="B29" s="12" t="s">
        <v>59</v>
      </c>
      <c r="C29" s="12" t="s">
        <v>60</v>
      </c>
      <c r="D29" s="13" t="s">
        <v>61</v>
      </c>
    </row>
    <row r="30" customFormat="false" ht="43.5" hidden="false" customHeight="true" outlineLevel="0" collapsed="false">
      <c r="A30" s="11" t="s">
        <v>62</v>
      </c>
      <c r="B30" s="12" t="s">
        <v>63</v>
      </c>
      <c r="C30" s="12" t="s">
        <v>64</v>
      </c>
      <c r="D30" s="13" t="s">
        <v>65</v>
      </c>
    </row>
    <row r="31" customFormat="false" ht="43.5" hidden="false" customHeight="true" outlineLevel="0" collapsed="false">
      <c r="A31" s="11" t="s">
        <v>66</v>
      </c>
      <c r="B31" s="12" t="s">
        <v>67</v>
      </c>
      <c r="C31" s="12" t="s">
        <v>68</v>
      </c>
      <c r="D31" s="13" t="s">
        <v>69</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10"/>
    <col collapsed="false" customWidth="true" hidden="false" outlineLevel="0" max="4" min="4" style="0" width="28"/>
    <col collapsed="false" customWidth="true" hidden="false" outlineLevel="0" max="6" min="5" style="0" width="15"/>
    <col collapsed="false" customWidth="true" hidden="false" outlineLevel="0" max="7" min="7" style="0" width="24"/>
    <col collapsed="false" customWidth="true" hidden="false" outlineLevel="0" max="8" min="8" style="0" width="12"/>
  </cols>
  <sheetData>
    <row r="1" customFormat="false" ht="33.75" hidden="false" customHeight="true" outlineLevel="0" collapsed="false">
      <c r="A1" s="10" t="s">
        <v>70</v>
      </c>
      <c r="B1" s="10" t="s">
        <v>71</v>
      </c>
      <c r="C1" s="10" t="s">
        <v>72</v>
      </c>
      <c r="D1" s="10" t="s">
        <v>73</v>
      </c>
      <c r="E1" s="10" t="s">
        <v>74</v>
      </c>
      <c r="F1" s="10" t="s">
        <v>75</v>
      </c>
      <c r="G1" s="14" t="s">
        <v>76</v>
      </c>
      <c r="H1" s="14" t="s">
        <v>77</v>
      </c>
    </row>
    <row r="2" customFormat="false" ht="15" hidden="false" customHeight="false" outlineLevel="0" collapsed="false">
      <c r="A2" s="15" t="s">
        <v>78</v>
      </c>
      <c r="B2" s="16" t="n">
        <v>46204</v>
      </c>
      <c r="C2" s="17" t="n">
        <v>1101</v>
      </c>
      <c r="D2" s="15" t="s">
        <v>79</v>
      </c>
      <c r="E2" s="18" t="n">
        <v>100000000</v>
      </c>
      <c r="F2" s="18" t="n">
        <v>0</v>
      </c>
      <c r="G2" s="19" t="str">
        <f aca="false">VLOOKUP(C2,Acuan!$A$2:$C$13,2,FALSE())</f>
        <v>Kas</v>
      </c>
      <c r="H2" s="19" t="str">
        <f aca="false">VLOOKUP(C2,Acuan!$A$2:$C$13,3,FALSE())</f>
        <v>Aset</v>
      </c>
    </row>
    <row r="3" customFormat="false" ht="15" hidden="false" customHeight="false" outlineLevel="0" collapsed="false">
      <c r="A3" s="15" t="s">
        <v>78</v>
      </c>
      <c r="B3" s="16" t="n">
        <v>46204</v>
      </c>
      <c r="C3" s="17" t="n">
        <v>1102</v>
      </c>
      <c r="D3" s="15" t="s">
        <v>79</v>
      </c>
      <c r="E3" s="18" t="n">
        <v>50000000</v>
      </c>
      <c r="F3" s="18" t="n">
        <v>0</v>
      </c>
      <c r="G3" s="19" t="str">
        <f aca="false">VLOOKUP(C3,Acuan!$A$2:$C$13,2,FALSE())</f>
        <v>Bank</v>
      </c>
      <c r="H3" s="19" t="str">
        <f aca="false">VLOOKUP(C3,Acuan!$A$2:$C$13,3,FALSE())</f>
        <v>Aset</v>
      </c>
    </row>
    <row r="4" customFormat="false" ht="15" hidden="false" customHeight="false" outlineLevel="0" collapsed="false">
      <c r="A4" s="15" t="s">
        <v>78</v>
      </c>
      <c r="B4" s="16" t="n">
        <v>46204</v>
      </c>
      <c r="C4" s="17" t="n">
        <v>3101</v>
      </c>
      <c r="D4" s="15" t="s">
        <v>79</v>
      </c>
      <c r="E4" s="18" t="n">
        <v>0</v>
      </c>
      <c r="F4" s="18" t="n">
        <v>150000000</v>
      </c>
      <c r="G4" s="19" t="str">
        <f aca="false">VLOOKUP(C4,Acuan!$A$2:$C$13,2,FALSE())</f>
        <v>Modal Pemilik</v>
      </c>
      <c r="H4" s="19" t="str">
        <f aca="false">VLOOKUP(C4,Acuan!$A$2:$C$13,3,FALSE())</f>
        <v>Modal</v>
      </c>
    </row>
    <row r="5" customFormat="false" ht="15" hidden="false" customHeight="false" outlineLevel="0" collapsed="false">
      <c r="A5" s="15" t="s">
        <v>80</v>
      </c>
      <c r="B5" s="16" t="n">
        <v>46206</v>
      </c>
      <c r="C5" s="17" t="n">
        <v>5201</v>
      </c>
      <c r="D5" s="15" t="s">
        <v>81</v>
      </c>
      <c r="E5" s="18" t="n">
        <v>3125000</v>
      </c>
      <c r="F5" s="18" t="n">
        <v>0</v>
      </c>
      <c r="G5" s="19" t="str">
        <f aca="false">VLOOKUP(C5,Acuan!$A$2:$C$13,2,FALSE())</f>
        <v>Beban Gaji</v>
      </c>
      <c r="H5" s="19" t="str">
        <f aca="false">VLOOKUP(C5,Acuan!$A$2:$C$13,3,FALSE())</f>
        <v>Beban</v>
      </c>
    </row>
    <row r="6" customFormat="false" ht="15" hidden="false" customHeight="false" outlineLevel="0" collapsed="false">
      <c r="A6" s="15" t="s">
        <v>80</v>
      </c>
      <c r="B6" s="16" t="n">
        <v>46206</v>
      </c>
      <c r="C6" s="17" t="n">
        <v>1101</v>
      </c>
      <c r="D6" s="15" t="s">
        <v>81</v>
      </c>
      <c r="E6" s="18" t="n">
        <v>0</v>
      </c>
      <c r="F6" s="18" t="n">
        <v>3125000</v>
      </c>
      <c r="G6" s="19" t="str">
        <f aca="false">VLOOKUP(C6,Acuan!$A$2:$C$13,2,FALSE())</f>
        <v>Kas</v>
      </c>
      <c r="H6" s="19" t="str">
        <f aca="false">VLOOKUP(C6,Acuan!$A$2:$C$13,3,FALSE())</f>
        <v>Aset</v>
      </c>
    </row>
    <row r="7" customFormat="false" ht="15" hidden="false" customHeight="false" outlineLevel="0" collapsed="false">
      <c r="A7" s="15" t="s">
        <v>82</v>
      </c>
      <c r="B7" s="16" t="n">
        <v>46207</v>
      </c>
      <c r="C7" s="17" t="n">
        <v>1201</v>
      </c>
      <c r="D7" s="15" t="s">
        <v>83</v>
      </c>
      <c r="E7" s="18" t="n">
        <v>2000000</v>
      </c>
      <c r="F7" s="18" t="n">
        <v>0</v>
      </c>
      <c r="G7" s="19" t="str">
        <f aca="false">VLOOKUP(C7,Acuan!$A$2:$C$13,2,FALSE())</f>
        <v>Piutang Usaha</v>
      </c>
      <c r="H7" s="19" t="str">
        <f aca="false">VLOOKUP(C7,Acuan!$A$2:$C$13,3,FALSE())</f>
        <v>Aset</v>
      </c>
    </row>
    <row r="8" customFormat="false" ht="15" hidden="false" customHeight="false" outlineLevel="0" collapsed="false">
      <c r="A8" s="15" t="s">
        <v>82</v>
      </c>
      <c r="B8" s="16" t="n">
        <v>46207</v>
      </c>
      <c r="C8" s="17" t="n">
        <v>4101</v>
      </c>
      <c r="D8" s="15" t="s">
        <v>83</v>
      </c>
      <c r="E8" s="18" t="n">
        <v>0</v>
      </c>
      <c r="F8" s="18" t="n">
        <v>2000000</v>
      </c>
      <c r="G8" s="19" t="str">
        <f aca="false">VLOOKUP(C8,Acuan!$A$2:$C$13,2,FALSE())</f>
        <v>Penjualan</v>
      </c>
      <c r="H8" s="19" t="str">
        <f aca="false">VLOOKUP(C8,Acuan!$A$2:$C$13,3,FALSE())</f>
        <v>Pendapatan</v>
      </c>
    </row>
    <row r="9" customFormat="false" ht="15" hidden="false" customHeight="false" outlineLevel="0" collapsed="false">
      <c r="A9" s="15" t="s">
        <v>84</v>
      </c>
      <c r="B9" s="16" t="n">
        <v>46211</v>
      </c>
      <c r="C9" s="17" t="n">
        <v>1201</v>
      </c>
      <c r="D9" s="15" t="s">
        <v>83</v>
      </c>
      <c r="E9" s="18" t="n">
        <v>2000000</v>
      </c>
      <c r="F9" s="18" t="n">
        <v>0</v>
      </c>
      <c r="G9" s="19" t="str">
        <f aca="false">VLOOKUP(C9,Acuan!$A$2:$C$13,2,FALSE())</f>
        <v>Piutang Usaha</v>
      </c>
      <c r="H9" s="19" t="str">
        <f aca="false">VLOOKUP(C9,Acuan!$A$2:$C$13,3,FALSE())</f>
        <v>Aset</v>
      </c>
    </row>
    <row r="10" customFormat="false" ht="15" hidden="false" customHeight="false" outlineLevel="0" collapsed="false">
      <c r="A10" s="15" t="s">
        <v>84</v>
      </c>
      <c r="B10" s="16" t="n">
        <v>46211</v>
      </c>
      <c r="C10" s="17" t="n">
        <v>4101</v>
      </c>
      <c r="D10" s="15" t="s">
        <v>83</v>
      </c>
      <c r="E10" s="18" t="n">
        <v>0</v>
      </c>
      <c r="F10" s="18" t="n">
        <v>2000000</v>
      </c>
      <c r="G10" s="19" t="str">
        <f aca="false">VLOOKUP(C10,Acuan!$A$2:$C$13,2,FALSE())</f>
        <v>Penjualan</v>
      </c>
      <c r="H10" s="19" t="str">
        <f aca="false">VLOOKUP(C10,Acuan!$A$2:$C$13,3,FALSE())</f>
        <v>Pendapatan</v>
      </c>
    </row>
    <row r="11" customFormat="false" ht="15" hidden="false" customHeight="false" outlineLevel="0" collapsed="false">
      <c r="A11" s="15" t="s">
        <v>85</v>
      </c>
      <c r="B11" s="16" t="n">
        <v>46214</v>
      </c>
      <c r="C11" s="17" t="n">
        <v>5202</v>
      </c>
      <c r="D11" s="15" t="s">
        <v>86</v>
      </c>
      <c r="E11" s="18" t="n">
        <v>812500</v>
      </c>
      <c r="F11" s="18" t="n">
        <v>0</v>
      </c>
      <c r="G11" s="19" t="str">
        <f aca="false">VLOOKUP(C11,Acuan!$A$2:$C$13,2,FALSE())</f>
        <v>Beban Listrik dan Air</v>
      </c>
      <c r="H11" s="19" t="str">
        <f aca="false">VLOOKUP(C11,Acuan!$A$2:$C$13,3,FALSE())</f>
        <v>Beban</v>
      </c>
    </row>
    <row r="12" customFormat="false" ht="15" hidden="false" customHeight="false" outlineLevel="0" collapsed="false">
      <c r="A12" s="15" t="s">
        <v>85</v>
      </c>
      <c r="B12" s="16" t="n">
        <v>46214</v>
      </c>
      <c r="C12" s="17" t="n">
        <v>1102</v>
      </c>
      <c r="D12" s="15" t="s">
        <v>86</v>
      </c>
      <c r="E12" s="18" t="n">
        <v>0</v>
      </c>
      <c r="F12" s="18" t="n">
        <v>812500</v>
      </c>
      <c r="G12" s="19" t="str">
        <f aca="false">VLOOKUP(C12,Acuan!$A$2:$C$13,2,FALSE())</f>
        <v>Bank</v>
      </c>
      <c r="H12" s="19" t="str">
        <f aca="false">VLOOKUP(C12,Acuan!$A$2:$C$13,3,FALSE())</f>
        <v>Aset</v>
      </c>
    </row>
    <row r="13" customFormat="false" ht="15" hidden="false" customHeight="false" outlineLevel="0" collapsed="false">
      <c r="A13" s="15" t="s">
        <v>87</v>
      </c>
      <c r="B13" s="16" t="n">
        <v>46215</v>
      </c>
      <c r="C13" s="17" t="n">
        <v>5201</v>
      </c>
      <c r="D13" s="15" t="s">
        <v>81</v>
      </c>
      <c r="E13" s="18" t="n">
        <v>4875000</v>
      </c>
      <c r="F13" s="18" t="n">
        <v>0</v>
      </c>
      <c r="G13" s="19" t="str">
        <f aca="false">VLOOKUP(C13,Acuan!$A$2:$C$13,2,FALSE())</f>
        <v>Beban Gaji</v>
      </c>
      <c r="H13" s="19" t="str">
        <f aca="false">VLOOKUP(C13,Acuan!$A$2:$C$13,3,FALSE())</f>
        <v>Beban</v>
      </c>
    </row>
    <row r="14" customFormat="false" ht="15" hidden="false" customHeight="false" outlineLevel="0" collapsed="false">
      <c r="A14" s="15" t="s">
        <v>87</v>
      </c>
      <c r="B14" s="16" t="n">
        <v>46215</v>
      </c>
      <c r="C14" s="17" t="n">
        <v>1101</v>
      </c>
      <c r="D14" s="15" t="s">
        <v>81</v>
      </c>
      <c r="E14" s="18" t="n">
        <v>0</v>
      </c>
      <c r="F14" s="18" t="n">
        <v>4875000</v>
      </c>
      <c r="G14" s="19" t="str">
        <f aca="false">VLOOKUP(C14,Acuan!$A$2:$C$13,2,FALSE())</f>
        <v>Kas</v>
      </c>
      <c r="H14" s="19" t="str">
        <f aca="false">VLOOKUP(C14,Acuan!$A$2:$C$13,3,FALSE())</f>
        <v>Aset</v>
      </c>
    </row>
    <row r="15" customFormat="false" ht="15" hidden="false" customHeight="false" outlineLevel="0" collapsed="false">
      <c r="A15" s="15" t="s">
        <v>88</v>
      </c>
      <c r="B15" s="16" t="n">
        <v>46216</v>
      </c>
      <c r="C15" s="17" t="n">
        <v>5101</v>
      </c>
      <c r="D15" s="15" t="s">
        <v>89</v>
      </c>
      <c r="E15" s="18" t="n">
        <v>6000000</v>
      </c>
      <c r="F15" s="18" t="n">
        <v>0</v>
      </c>
      <c r="G15" s="19" t="str">
        <f aca="false">VLOOKUP(C15,Acuan!$A$2:$C$13,2,FALSE())</f>
        <v>Harga Pokok Penjualan</v>
      </c>
      <c r="H15" s="19" t="str">
        <f aca="false">VLOOKUP(C15,Acuan!$A$2:$C$13,3,FALSE())</f>
        <v>Beban</v>
      </c>
    </row>
    <row r="16" customFormat="false" ht="15" hidden="false" customHeight="false" outlineLevel="0" collapsed="false">
      <c r="A16" s="15" t="s">
        <v>88</v>
      </c>
      <c r="B16" s="16" t="n">
        <v>46216</v>
      </c>
      <c r="C16" s="17" t="n">
        <v>1301</v>
      </c>
      <c r="D16" s="15" t="s">
        <v>89</v>
      </c>
      <c r="E16" s="18" t="n">
        <v>0</v>
      </c>
      <c r="F16" s="18" t="n">
        <v>6000000</v>
      </c>
      <c r="G16" s="19" t="str">
        <f aca="false">VLOOKUP(C16,Acuan!$A$2:$C$13,2,FALSE())</f>
        <v>Persediaan Barang</v>
      </c>
      <c r="H16" s="19" t="str">
        <f aca="false">VLOOKUP(C16,Acuan!$A$2:$C$13,3,FALSE())</f>
        <v>Aset</v>
      </c>
    </row>
    <row r="17" customFormat="false" ht="15" hidden="false" customHeight="false" outlineLevel="0" collapsed="false">
      <c r="A17" s="15" t="s">
        <v>90</v>
      </c>
      <c r="B17" s="16" t="n">
        <v>46219</v>
      </c>
      <c r="C17" s="17" t="n">
        <v>1101</v>
      </c>
      <c r="D17" s="15" t="s">
        <v>91</v>
      </c>
      <c r="E17" s="18" t="n">
        <v>16000000</v>
      </c>
      <c r="F17" s="18" t="n">
        <v>0</v>
      </c>
      <c r="G17" s="19" t="str">
        <f aca="false">VLOOKUP(C17,Acuan!$A$2:$C$13,2,FALSE())</f>
        <v>Kas</v>
      </c>
      <c r="H17" s="19" t="str">
        <f aca="false">VLOOKUP(C17,Acuan!$A$2:$C$13,3,FALSE())</f>
        <v>Aset</v>
      </c>
    </row>
    <row r="18" customFormat="false" ht="15" hidden="false" customHeight="false" outlineLevel="0" collapsed="false">
      <c r="A18" s="15" t="s">
        <v>90</v>
      </c>
      <c r="B18" s="16" t="n">
        <v>46219</v>
      </c>
      <c r="C18" s="17" t="n">
        <v>4101</v>
      </c>
      <c r="D18" s="15" t="s">
        <v>91</v>
      </c>
      <c r="E18" s="18" t="n">
        <v>0</v>
      </c>
      <c r="F18" s="18" t="n">
        <v>16000000</v>
      </c>
      <c r="G18" s="19" t="str">
        <f aca="false">VLOOKUP(C18,Acuan!$A$2:$C$13,2,FALSE())</f>
        <v>Penjualan</v>
      </c>
      <c r="H18" s="19" t="str">
        <f aca="false">VLOOKUP(C18,Acuan!$A$2:$C$13,3,FALSE())</f>
        <v>Pendapatan</v>
      </c>
    </row>
    <row r="19" customFormat="false" ht="15" hidden="false" customHeight="false" outlineLevel="0" collapsed="false">
      <c r="A19" s="15" t="s">
        <v>92</v>
      </c>
      <c r="B19" s="16" t="n">
        <v>46222</v>
      </c>
      <c r="C19" s="17" t="n">
        <v>1102</v>
      </c>
      <c r="D19" s="15" t="s">
        <v>93</v>
      </c>
      <c r="E19" s="18" t="n">
        <v>3500000</v>
      </c>
      <c r="F19" s="18" t="n">
        <v>0</v>
      </c>
      <c r="G19" s="19" t="str">
        <f aca="false">VLOOKUP(C19,Acuan!$A$2:$C$13,2,FALSE())</f>
        <v>Bank</v>
      </c>
      <c r="H19" s="19" t="str">
        <f aca="false">VLOOKUP(C19,Acuan!$A$2:$C$13,3,FALSE())</f>
        <v>Aset</v>
      </c>
    </row>
    <row r="20" customFormat="false" ht="15" hidden="false" customHeight="false" outlineLevel="0" collapsed="false">
      <c r="A20" s="15" t="s">
        <v>92</v>
      </c>
      <c r="B20" s="16" t="n">
        <v>46222</v>
      </c>
      <c r="C20" s="17" t="n">
        <v>1201</v>
      </c>
      <c r="D20" s="15" t="s">
        <v>93</v>
      </c>
      <c r="E20" s="18" t="n">
        <v>0</v>
      </c>
      <c r="F20" s="18" t="n">
        <v>3500000</v>
      </c>
      <c r="G20" s="19" t="str">
        <f aca="false">VLOOKUP(C20,Acuan!$A$2:$C$13,2,FALSE())</f>
        <v>Piutang Usaha</v>
      </c>
      <c r="H20" s="19" t="str">
        <f aca="false">VLOOKUP(C20,Acuan!$A$2:$C$13,3,FALSE())</f>
        <v>Aset</v>
      </c>
    </row>
    <row r="21" customFormat="false" ht="15" hidden="false" customHeight="false" outlineLevel="0" collapsed="false">
      <c r="A21" s="15" t="s">
        <v>94</v>
      </c>
      <c r="B21" s="16" t="n">
        <v>46225</v>
      </c>
      <c r="C21" s="17" t="n">
        <v>5202</v>
      </c>
      <c r="D21" s="15" t="s">
        <v>86</v>
      </c>
      <c r="E21" s="18" t="n">
        <v>1875000</v>
      </c>
      <c r="F21" s="18" t="n">
        <v>0</v>
      </c>
      <c r="G21" s="19" t="str">
        <f aca="false">VLOOKUP(C21,Acuan!$A$2:$C$13,2,FALSE())</f>
        <v>Beban Listrik dan Air</v>
      </c>
      <c r="H21" s="19" t="str">
        <f aca="false">VLOOKUP(C21,Acuan!$A$2:$C$13,3,FALSE())</f>
        <v>Beban</v>
      </c>
    </row>
    <row r="22" customFormat="false" ht="15" hidden="false" customHeight="false" outlineLevel="0" collapsed="false">
      <c r="A22" s="15" t="s">
        <v>94</v>
      </c>
      <c r="B22" s="16" t="n">
        <v>46225</v>
      </c>
      <c r="C22" s="17" t="n">
        <v>1102</v>
      </c>
      <c r="D22" s="15" t="s">
        <v>86</v>
      </c>
      <c r="E22" s="18" t="n">
        <v>0</v>
      </c>
      <c r="F22" s="18" t="n">
        <v>1875000</v>
      </c>
      <c r="G22" s="19" t="str">
        <f aca="false">VLOOKUP(C22,Acuan!$A$2:$C$13,2,FALSE())</f>
        <v>Bank</v>
      </c>
      <c r="H22" s="19" t="str">
        <f aca="false">VLOOKUP(C22,Acuan!$A$2:$C$13,3,FALSE())</f>
        <v>Aset</v>
      </c>
    </row>
    <row r="23" customFormat="false" ht="15" hidden="false" customHeight="false" outlineLevel="0" collapsed="false">
      <c r="A23" s="15" t="s">
        <v>95</v>
      </c>
      <c r="B23" s="16" t="n">
        <v>46227</v>
      </c>
      <c r="C23" s="17" t="n">
        <v>1301</v>
      </c>
      <c r="D23" s="15" t="s">
        <v>96</v>
      </c>
      <c r="E23" s="18" t="n">
        <v>17000000</v>
      </c>
      <c r="F23" s="18" t="n">
        <v>0</v>
      </c>
      <c r="G23" s="19" t="str">
        <f aca="false">VLOOKUP(C23,Acuan!$A$2:$C$13,2,FALSE())</f>
        <v>Persediaan Barang</v>
      </c>
      <c r="H23" s="19" t="str">
        <f aca="false">VLOOKUP(C23,Acuan!$A$2:$C$13,3,FALSE())</f>
        <v>Aset</v>
      </c>
    </row>
    <row r="24" customFormat="false" ht="15" hidden="false" customHeight="false" outlineLevel="0" collapsed="false">
      <c r="A24" s="15" t="s">
        <v>95</v>
      </c>
      <c r="B24" s="16" t="n">
        <v>46227</v>
      </c>
      <c r="C24" s="17" t="n">
        <v>2101</v>
      </c>
      <c r="D24" s="15" t="s">
        <v>96</v>
      </c>
      <c r="E24" s="18" t="n">
        <v>0</v>
      </c>
      <c r="F24" s="18" t="n">
        <v>17000000</v>
      </c>
      <c r="G24" s="19" t="str">
        <f aca="false">VLOOKUP(C24,Acuan!$A$2:$C$13,2,FALSE())</f>
        <v>Utang Usaha</v>
      </c>
      <c r="H24" s="19" t="str">
        <f aca="false">VLOOKUP(C24,Acuan!$A$2:$C$13,3,FALSE())</f>
        <v>Utang</v>
      </c>
    </row>
    <row r="25" customFormat="false" ht="15" hidden="false" customHeight="false" outlineLevel="0" collapsed="false">
      <c r="A25" s="15" t="s">
        <v>97</v>
      </c>
      <c r="B25" s="16" t="n">
        <v>46228</v>
      </c>
      <c r="C25" s="17" t="n">
        <v>5203</v>
      </c>
      <c r="D25" s="15" t="s">
        <v>98</v>
      </c>
      <c r="E25" s="18" t="n">
        <v>6000000</v>
      </c>
      <c r="F25" s="18" t="n">
        <v>0</v>
      </c>
      <c r="G25" s="19" t="str">
        <f aca="false">VLOOKUP(C25,Acuan!$A$2:$C$13,2,FALSE())</f>
        <v>Beban Sewa</v>
      </c>
      <c r="H25" s="19" t="str">
        <f aca="false">VLOOKUP(C25,Acuan!$A$2:$C$13,3,FALSE())</f>
        <v>Beban</v>
      </c>
    </row>
    <row r="26" customFormat="false" ht="15" hidden="false" customHeight="false" outlineLevel="0" collapsed="false">
      <c r="A26" s="15" t="s">
        <v>97</v>
      </c>
      <c r="B26" s="16" t="n">
        <v>46228</v>
      </c>
      <c r="C26" s="17" t="n">
        <v>1102</v>
      </c>
      <c r="D26" s="15" t="s">
        <v>98</v>
      </c>
      <c r="E26" s="18" t="n">
        <v>0</v>
      </c>
      <c r="F26" s="18" t="n">
        <v>6000000</v>
      </c>
      <c r="G26" s="19" t="str">
        <f aca="false">VLOOKUP(C26,Acuan!$A$2:$C$13,2,FALSE())</f>
        <v>Bank</v>
      </c>
      <c r="H26" s="19" t="str">
        <f aca="false">VLOOKUP(C26,Acuan!$A$2:$C$13,3,FALSE())</f>
        <v>Aset</v>
      </c>
    </row>
    <row r="27" customFormat="false" ht="15" hidden="false" customHeight="false" outlineLevel="0" collapsed="false">
      <c r="A27" s="15" t="s">
        <v>99</v>
      </c>
      <c r="B27" s="16" t="n">
        <v>46232</v>
      </c>
      <c r="C27" s="17" t="n">
        <v>5201</v>
      </c>
      <c r="D27" s="15" t="s">
        <v>81</v>
      </c>
      <c r="E27" s="18" t="n">
        <v>1750000</v>
      </c>
      <c r="F27" s="18" t="n">
        <v>0</v>
      </c>
      <c r="G27" s="19" t="str">
        <f aca="false">VLOOKUP(C27,Acuan!$A$2:$C$13,2,FALSE())</f>
        <v>Beban Gaji</v>
      </c>
      <c r="H27" s="19" t="str">
        <f aca="false">VLOOKUP(C27,Acuan!$A$2:$C$13,3,FALSE())</f>
        <v>Beban</v>
      </c>
    </row>
    <row r="28" customFormat="false" ht="15" hidden="false" customHeight="false" outlineLevel="0" collapsed="false">
      <c r="A28" s="15" t="s">
        <v>99</v>
      </c>
      <c r="B28" s="16" t="n">
        <v>46232</v>
      </c>
      <c r="C28" s="17" t="n">
        <v>1101</v>
      </c>
      <c r="D28" s="15" t="s">
        <v>81</v>
      </c>
      <c r="E28" s="18" t="n">
        <v>0</v>
      </c>
      <c r="F28" s="18" t="n">
        <v>1750000</v>
      </c>
      <c r="G28" s="19" t="str">
        <f aca="false">VLOOKUP(C28,Acuan!$A$2:$C$13,2,FALSE())</f>
        <v>Kas</v>
      </c>
      <c r="H28" s="19" t="str">
        <f aca="false">VLOOKUP(C28,Acuan!$A$2:$C$13,3,FALSE())</f>
        <v>Aset</v>
      </c>
    </row>
    <row r="29" customFormat="false" ht="15" hidden="false" customHeight="false" outlineLevel="0" collapsed="false">
      <c r="A29" s="15" t="s">
        <v>100</v>
      </c>
      <c r="B29" s="16" t="n">
        <v>46233</v>
      </c>
      <c r="C29" s="17" t="n">
        <v>5201</v>
      </c>
      <c r="D29" s="15" t="s">
        <v>81</v>
      </c>
      <c r="E29" s="18" t="n">
        <v>500000</v>
      </c>
      <c r="F29" s="18" t="n">
        <v>0</v>
      </c>
      <c r="G29" s="19" t="str">
        <f aca="false">VLOOKUP(C29,Acuan!$A$2:$C$13,2,FALSE())</f>
        <v>Beban Gaji</v>
      </c>
      <c r="H29" s="19" t="str">
        <f aca="false">VLOOKUP(C29,Acuan!$A$2:$C$13,3,FALSE())</f>
        <v>Beban</v>
      </c>
    </row>
    <row r="30" customFormat="false" ht="15" hidden="false" customHeight="false" outlineLevel="0" collapsed="false">
      <c r="A30" s="15" t="s">
        <v>100</v>
      </c>
      <c r="B30" s="16" t="n">
        <v>46233</v>
      </c>
      <c r="C30" s="17" t="n">
        <v>1101</v>
      </c>
      <c r="D30" s="15" t="s">
        <v>81</v>
      </c>
      <c r="E30" s="18" t="n">
        <v>0</v>
      </c>
      <c r="F30" s="18" t="n">
        <v>500000</v>
      </c>
      <c r="G30" s="19" t="str">
        <f aca="false">VLOOKUP(C30,Acuan!$A$2:$C$13,2,FALSE())</f>
        <v>Kas</v>
      </c>
      <c r="H30" s="19" t="str">
        <f aca="false">VLOOKUP(C30,Acuan!$A$2:$C$13,3,FALSE())</f>
        <v>Aset</v>
      </c>
    </row>
    <row r="31" customFormat="false" ht="15" hidden="false" customHeight="false" outlineLevel="0" collapsed="false">
      <c r="A31" s="15" t="s">
        <v>101</v>
      </c>
      <c r="B31" s="16" t="n">
        <v>46236</v>
      </c>
      <c r="C31" s="17" t="n">
        <v>1101</v>
      </c>
      <c r="D31" s="15" t="s">
        <v>91</v>
      </c>
      <c r="E31" s="18" t="n">
        <v>15500000</v>
      </c>
      <c r="F31" s="18" t="n">
        <v>0</v>
      </c>
      <c r="G31" s="19" t="str">
        <f aca="false">VLOOKUP(C31,Acuan!$A$2:$C$13,2,FALSE())</f>
        <v>Kas</v>
      </c>
      <c r="H31" s="19" t="str">
        <f aca="false">VLOOKUP(C31,Acuan!$A$2:$C$13,3,FALSE())</f>
        <v>Aset</v>
      </c>
    </row>
    <row r="32" customFormat="false" ht="15" hidden="false" customHeight="false" outlineLevel="0" collapsed="false">
      <c r="A32" s="15" t="s">
        <v>101</v>
      </c>
      <c r="B32" s="16" t="n">
        <v>46236</v>
      </c>
      <c r="C32" s="17" t="n">
        <v>4101</v>
      </c>
      <c r="D32" s="15" t="s">
        <v>91</v>
      </c>
      <c r="E32" s="18" t="n">
        <v>0</v>
      </c>
      <c r="F32" s="18" t="n">
        <v>15500000</v>
      </c>
      <c r="G32" s="19" t="str">
        <f aca="false">VLOOKUP(C32,Acuan!$A$2:$C$13,2,FALSE())</f>
        <v>Penjualan</v>
      </c>
      <c r="H32" s="19" t="str">
        <f aca="false">VLOOKUP(C32,Acuan!$A$2:$C$13,3,FALSE())</f>
        <v>Pendapatan</v>
      </c>
    </row>
    <row r="33" customFormat="false" ht="15" hidden="false" customHeight="false" outlineLevel="0" collapsed="false">
      <c r="A33" s="15" t="s">
        <v>102</v>
      </c>
      <c r="B33" s="16" t="n">
        <v>46239</v>
      </c>
      <c r="C33" s="17" t="n">
        <v>5201</v>
      </c>
      <c r="D33" s="15" t="s">
        <v>81</v>
      </c>
      <c r="E33" s="18" t="n">
        <v>2500000</v>
      </c>
      <c r="F33" s="18" t="n">
        <v>0</v>
      </c>
      <c r="G33" s="19" t="str">
        <f aca="false">VLOOKUP(C33,Acuan!$A$2:$C$13,2,FALSE())</f>
        <v>Beban Gaji</v>
      </c>
      <c r="H33" s="19" t="str">
        <f aca="false">VLOOKUP(C33,Acuan!$A$2:$C$13,3,FALSE())</f>
        <v>Beban</v>
      </c>
    </row>
    <row r="34" customFormat="false" ht="15" hidden="false" customHeight="false" outlineLevel="0" collapsed="false">
      <c r="A34" s="15" t="s">
        <v>102</v>
      </c>
      <c r="B34" s="16" t="n">
        <v>46239</v>
      </c>
      <c r="C34" s="17" t="n">
        <v>1101</v>
      </c>
      <c r="D34" s="15" t="s">
        <v>81</v>
      </c>
      <c r="E34" s="18" t="n">
        <v>0</v>
      </c>
      <c r="F34" s="18" t="n">
        <v>2500000</v>
      </c>
      <c r="G34" s="19" t="str">
        <f aca="false">VLOOKUP(C34,Acuan!$A$2:$C$13,2,FALSE())</f>
        <v>Kas</v>
      </c>
      <c r="H34" s="19" t="str">
        <f aca="false">VLOOKUP(C34,Acuan!$A$2:$C$13,3,FALSE())</f>
        <v>Aset</v>
      </c>
    </row>
    <row r="35" customFormat="false" ht="15" hidden="false" customHeight="false" outlineLevel="0" collapsed="false">
      <c r="A35" s="15" t="s">
        <v>103</v>
      </c>
      <c r="B35" s="16" t="n">
        <v>46240</v>
      </c>
      <c r="C35" s="17" t="n">
        <v>5204</v>
      </c>
      <c r="D35" s="15" t="s">
        <v>104</v>
      </c>
      <c r="E35" s="18" t="n">
        <v>5000000</v>
      </c>
      <c r="F35" s="18" t="n">
        <v>0</v>
      </c>
      <c r="G35" s="19" t="str">
        <f aca="false">VLOOKUP(C35,Acuan!$A$2:$C$13,2,FALSE())</f>
        <v>Beban Perlengkapan</v>
      </c>
      <c r="H35" s="19" t="str">
        <f aca="false">VLOOKUP(C35,Acuan!$A$2:$C$13,3,FALSE())</f>
        <v>Beban</v>
      </c>
    </row>
    <row r="36" customFormat="false" ht="15" hidden="false" customHeight="false" outlineLevel="0" collapsed="false">
      <c r="A36" s="15" t="s">
        <v>103</v>
      </c>
      <c r="B36" s="16" t="n">
        <v>46240</v>
      </c>
      <c r="C36" s="17" t="n">
        <v>1101</v>
      </c>
      <c r="D36" s="15" t="s">
        <v>104</v>
      </c>
      <c r="E36" s="18" t="n">
        <v>0</v>
      </c>
      <c r="F36" s="18" t="n">
        <v>5000000</v>
      </c>
      <c r="G36" s="19" t="str">
        <f aca="false">VLOOKUP(C36,Acuan!$A$2:$C$13,2,FALSE())</f>
        <v>Kas</v>
      </c>
      <c r="H36" s="19" t="str">
        <f aca="false">VLOOKUP(C36,Acuan!$A$2:$C$13,3,FALSE())</f>
        <v>Aset</v>
      </c>
    </row>
    <row r="37" customFormat="false" ht="15" hidden="false" customHeight="false" outlineLevel="0" collapsed="false">
      <c r="A37" s="15" t="s">
        <v>105</v>
      </c>
      <c r="B37" s="16" t="n">
        <v>46241</v>
      </c>
      <c r="C37" s="17" t="n">
        <v>1301</v>
      </c>
      <c r="D37" s="15" t="s">
        <v>96</v>
      </c>
      <c r="E37" s="18" t="n">
        <v>11500000</v>
      </c>
      <c r="F37" s="18" t="n">
        <v>0</v>
      </c>
      <c r="G37" s="19" t="str">
        <f aca="false">VLOOKUP(C37,Acuan!$A$2:$C$13,2,FALSE())</f>
        <v>Persediaan Barang</v>
      </c>
      <c r="H37" s="19" t="str">
        <f aca="false">VLOOKUP(C37,Acuan!$A$2:$C$13,3,FALSE())</f>
        <v>Aset</v>
      </c>
    </row>
    <row r="38" customFormat="false" ht="15" hidden="false" customHeight="false" outlineLevel="0" collapsed="false">
      <c r="A38" s="15" t="s">
        <v>105</v>
      </c>
      <c r="B38" s="16" t="n">
        <v>46241</v>
      </c>
      <c r="C38" s="17" t="n">
        <v>2101</v>
      </c>
      <c r="D38" s="15" t="s">
        <v>96</v>
      </c>
      <c r="E38" s="18" t="n">
        <v>0</v>
      </c>
      <c r="F38" s="18" t="n">
        <v>11500000</v>
      </c>
      <c r="G38" s="19" t="str">
        <f aca="false">VLOOKUP(C38,Acuan!$A$2:$C$13,2,FALSE())</f>
        <v>Utang Usaha</v>
      </c>
      <c r="H38" s="19" t="str">
        <f aca="false">VLOOKUP(C38,Acuan!$A$2:$C$13,3,FALSE())</f>
        <v>Utang</v>
      </c>
    </row>
    <row r="39" customFormat="false" ht="15" hidden="false" customHeight="false" outlineLevel="0" collapsed="false">
      <c r="A39" s="15" t="s">
        <v>106</v>
      </c>
      <c r="B39" s="16" t="n">
        <v>46244</v>
      </c>
      <c r="C39" s="17" t="n">
        <v>1201</v>
      </c>
      <c r="D39" s="15" t="s">
        <v>83</v>
      </c>
      <c r="E39" s="18" t="n">
        <v>3000000</v>
      </c>
      <c r="F39" s="18" t="n">
        <v>0</v>
      </c>
      <c r="G39" s="19" t="str">
        <f aca="false">VLOOKUP(C39,Acuan!$A$2:$C$13,2,FALSE())</f>
        <v>Piutang Usaha</v>
      </c>
      <c r="H39" s="19" t="str">
        <f aca="false">VLOOKUP(C39,Acuan!$A$2:$C$13,3,FALSE())</f>
        <v>Aset</v>
      </c>
    </row>
    <row r="40" customFormat="false" ht="15" hidden="false" customHeight="false" outlineLevel="0" collapsed="false">
      <c r="A40" s="15" t="s">
        <v>106</v>
      </c>
      <c r="B40" s="16" t="n">
        <v>46244</v>
      </c>
      <c r="C40" s="17" t="n">
        <v>4101</v>
      </c>
      <c r="D40" s="15" t="s">
        <v>83</v>
      </c>
      <c r="E40" s="18" t="n">
        <v>0</v>
      </c>
      <c r="F40" s="18" t="n">
        <v>3000000</v>
      </c>
      <c r="G40" s="19" t="str">
        <f aca="false">VLOOKUP(C40,Acuan!$A$2:$C$13,2,FALSE())</f>
        <v>Penjualan</v>
      </c>
      <c r="H40" s="19" t="str">
        <f aca="false">VLOOKUP(C40,Acuan!$A$2:$C$13,3,FALSE())</f>
        <v>Pendapatan</v>
      </c>
    </row>
    <row r="41" customFormat="false" ht="15" hidden="false" customHeight="false" outlineLevel="0" collapsed="false">
      <c r="A41" s="15" t="s">
        <v>107</v>
      </c>
      <c r="B41" s="16" t="n">
        <v>46248</v>
      </c>
      <c r="C41" s="17" t="n">
        <v>5101</v>
      </c>
      <c r="D41" s="15" t="s">
        <v>89</v>
      </c>
      <c r="E41" s="18" t="n">
        <v>3750000</v>
      </c>
      <c r="F41" s="18" t="n">
        <v>0</v>
      </c>
      <c r="G41" s="19" t="str">
        <f aca="false">VLOOKUP(C41,Acuan!$A$2:$C$13,2,FALSE())</f>
        <v>Harga Pokok Penjualan</v>
      </c>
      <c r="H41" s="19" t="str">
        <f aca="false">VLOOKUP(C41,Acuan!$A$2:$C$13,3,FALSE())</f>
        <v>Beban</v>
      </c>
    </row>
    <row r="42" customFormat="false" ht="15" hidden="false" customHeight="false" outlineLevel="0" collapsed="false">
      <c r="A42" s="15" t="s">
        <v>107</v>
      </c>
      <c r="B42" s="16" t="n">
        <v>46248</v>
      </c>
      <c r="C42" s="17" t="n">
        <v>1301</v>
      </c>
      <c r="D42" s="15" t="s">
        <v>89</v>
      </c>
      <c r="E42" s="18" t="n">
        <v>0</v>
      </c>
      <c r="F42" s="18" t="n">
        <v>3750000</v>
      </c>
      <c r="G42" s="19" t="str">
        <f aca="false">VLOOKUP(C42,Acuan!$A$2:$C$13,2,FALSE())</f>
        <v>Persediaan Barang</v>
      </c>
      <c r="H42" s="19" t="str">
        <f aca="false">VLOOKUP(C42,Acuan!$A$2:$C$13,3,FALSE())</f>
        <v>Aset</v>
      </c>
    </row>
    <row r="43" customFormat="false" ht="15" hidden="false" customHeight="false" outlineLevel="0" collapsed="false">
      <c r="A43" s="15" t="s">
        <v>108</v>
      </c>
      <c r="B43" s="16" t="n">
        <v>46251</v>
      </c>
      <c r="C43" s="17" t="n">
        <v>1201</v>
      </c>
      <c r="D43" s="15" t="s">
        <v>83</v>
      </c>
      <c r="E43" s="18" t="n">
        <v>11500000</v>
      </c>
      <c r="F43" s="18" t="n">
        <v>0</v>
      </c>
      <c r="G43" s="19" t="str">
        <f aca="false">VLOOKUP(C43,Acuan!$A$2:$C$13,2,FALSE())</f>
        <v>Piutang Usaha</v>
      </c>
      <c r="H43" s="19" t="str">
        <f aca="false">VLOOKUP(C43,Acuan!$A$2:$C$13,3,FALSE())</f>
        <v>Aset</v>
      </c>
    </row>
    <row r="44" customFormat="false" ht="15" hidden="false" customHeight="false" outlineLevel="0" collapsed="false">
      <c r="A44" s="15" t="s">
        <v>108</v>
      </c>
      <c r="B44" s="16" t="n">
        <v>46251</v>
      </c>
      <c r="C44" s="17" t="n">
        <v>4101</v>
      </c>
      <c r="D44" s="15" t="s">
        <v>83</v>
      </c>
      <c r="E44" s="18" t="n">
        <v>0</v>
      </c>
      <c r="F44" s="18" t="n">
        <v>11500000</v>
      </c>
      <c r="G44" s="19" t="str">
        <f aca="false">VLOOKUP(C44,Acuan!$A$2:$C$13,2,FALSE())</f>
        <v>Penjualan</v>
      </c>
      <c r="H44" s="19" t="str">
        <f aca="false">VLOOKUP(C44,Acuan!$A$2:$C$13,3,FALSE())</f>
        <v>Pendapatan</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4"/>
    <col collapsed="false" customWidth="true" hidden="false" outlineLevel="0" max="3" min="3" style="0" width="12"/>
    <col collapsed="false" customWidth="true" hidden="false" outlineLevel="0" max="7" min="4" style="0" width="15"/>
  </cols>
  <sheetData>
    <row r="1" customFormat="false" ht="33.75" hidden="false" customHeight="true" outlineLevel="0" collapsed="false">
      <c r="A1" s="10" t="s">
        <v>72</v>
      </c>
      <c r="B1" s="10" t="s">
        <v>76</v>
      </c>
      <c r="C1" s="10" t="s">
        <v>77</v>
      </c>
      <c r="D1" s="14" t="s">
        <v>109</v>
      </c>
      <c r="E1" s="14" t="s">
        <v>110</v>
      </c>
      <c r="F1" s="14" t="s">
        <v>111</v>
      </c>
      <c r="G1" s="14" t="s">
        <v>112</v>
      </c>
    </row>
    <row r="2" customFormat="false" ht="15" hidden="false" customHeight="false" outlineLevel="0" collapsed="false">
      <c r="A2" s="17" t="n">
        <v>1101</v>
      </c>
      <c r="B2" s="15" t="s">
        <v>113</v>
      </c>
      <c r="C2" s="15" t="s">
        <v>114</v>
      </c>
      <c r="D2" s="20" t="n">
        <f aca="false">SUMIF(Data!$C$2:$C$44,A2,Data!$E$2:$E$44)</f>
        <v>131500000</v>
      </c>
      <c r="E2" s="20" t="n">
        <f aca="false">SUMIF(Data!$C$2:$C$44,A2,Data!$F$2:$F$44)</f>
        <v>17750000</v>
      </c>
      <c r="F2" s="20" t="n">
        <f aca="false">IF(D2&gt;E2,D2-E2,0)</f>
        <v>113750000</v>
      </c>
      <c r="G2" s="20" t="n">
        <f aca="false">IF(E2&gt;D2,E2-D2,0)</f>
        <v>0</v>
      </c>
    </row>
    <row r="3" customFormat="false" ht="15" hidden="false" customHeight="false" outlineLevel="0" collapsed="false">
      <c r="A3" s="17" t="n">
        <v>1102</v>
      </c>
      <c r="B3" s="15" t="s">
        <v>115</v>
      </c>
      <c r="C3" s="15" t="s">
        <v>114</v>
      </c>
      <c r="D3" s="20" t="n">
        <f aca="false">SUMIF(Data!$C$2:$C$44,A3,Data!$E$2:$E$44)</f>
        <v>53500000</v>
      </c>
      <c r="E3" s="20" t="n">
        <f aca="false">SUMIF(Data!$C$2:$C$44,A3,Data!$F$2:$F$44)</f>
        <v>8687500</v>
      </c>
      <c r="F3" s="20" t="n">
        <f aca="false">IF(D3&gt;E3,D3-E3,0)</f>
        <v>44812500</v>
      </c>
      <c r="G3" s="20" t="n">
        <f aca="false">IF(E3&gt;D3,E3-D3,0)</f>
        <v>0</v>
      </c>
    </row>
    <row r="4" customFormat="false" ht="15" hidden="false" customHeight="false" outlineLevel="0" collapsed="false">
      <c r="A4" s="17" t="n">
        <v>1201</v>
      </c>
      <c r="B4" s="15" t="s">
        <v>116</v>
      </c>
      <c r="C4" s="15" t="s">
        <v>114</v>
      </c>
      <c r="D4" s="20" t="n">
        <f aca="false">SUMIF(Data!$C$2:$C$44,A4,Data!$E$2:$E$44)</f>
        <v>18500000</v>
      </c>
      <c r="E4" s="20" t="n">
        <f aca="false">SUMIF(Data!$C$2:$C$44,A4,Data!$F$2:$F$44)</f>
        <v>3500000</v>
      </c>
      <c r="F4" s="20" t="n">
        <f aca="false">IF(D4&gt;E4,D4-E4,0)</f>
        <v>15000000</v>
      </c>
      <c r="G4" s="20" t="n">
        <f aca="false">IF(E4&gt;D4,E4-D4,0)</f>
        <v>0</v>
      </c>
    </row>
    <row r="5" customFormat="false" ht="15" hidden="false" customHeight="false" outlineLevel="0" collapsed="false">
      <c r="A5" s="17" t="n">
        <v>1301</v>
      </c>
      <c r="B5" s="15" t="s">
        <v>117</v>
      </c>
      <c r="C5" s="15" t="s">
        <v>114</v>
      </c>
      <c r="D5" s="20" t="n">
        <f aca="false">SUMIF(Data!$C$2:$C$44,A5,Data!$E$2:$E$44)</f>
        <v>28500000</v>
      </c>
      <c r="E5" s="20" t="n">
        <f aca="false">SUMIF(Data!$C$2:$C$44,A5,Data!$F$2:$F$44)</f>
        <v>9750000</v>
      </c>
      <c r="F5" s="20" t="n">
        <f aca="false">IF(D5&gt;E5,D5-E5,0)</f>
        <v>18750000</v>
      </c>
      <c r="G5" s="20" t="n">
        <f aca="false">IF(E5&gt;D5,E5-D5,0)</f>
        <v>0</v>
      </c>
    </row>
    <row r="6" customFormat="false" ht="15" hidden="false" customHeight="false" outlineLevel="0" collapsed="false">
      <c r="A6" s="17" t="n">
        <v>2101</v>
      </c>
      <c r="B6" s="15" t="s">
        <v>118</v>
      </c>
      <c r="C6" s="15" t="s">
        <v>119</v>
      </c>
      <c r="D6" s="20" t="n">
        <f aca="false">SUMIF(Data!$C$2:$C$44,A6,Data!$E$2:$E$44)</f>
        <v>0</v>
      </c>
      <c r="E6" s="20" t="n">
        <f aca="false">SUMIF(Data!$C$2:$C$44,A6,Data!$F$2:$F$44)</f>
        <v>28500000</v>
      </c>
      <c r="F6" s="20" t="n">
        <f aca="false">IF(D6&gt;E6,D6-E6,0)</f>
        <v>0</v>
      </c>
      <c r="G6" s="20" t="n">
        <f aca="false">IF(E6&gt;D6,E6-D6,0)</f>
        <v>28500000</v>
      </c>
    </row>
    <row r="7" customFormat="false" ht="15" hidden="false" customHeight="false" outlineLevel="0" collapsed="false">
      <c r="A7" s="17" t="n">
        <v>3101</v>
      </c>
      <c r="B7" s="15" t="s">
        <v>120</v>
      </c>
      <c r="C7" s="15" t="s">
        <v>121</v>
      </c>
      <c r="D7" s="20" t="n">
        <f aca="false">SUMIF(Data!$C$2:$C$44,A7,Data!$E$2:$E$44)</f>
        <v>0</v>
      </c>
      <c r="E7" s="20" t="n">
        <f aca="false">SUMIF(Data!$C$2:$C$44,A7,Data!$F$2:$F$44)</f>
        <v>150000000</v>
      </c>
      <c r="F7" s="20" t="n">
        <f aca="false">IF(D7&gt;E7,D7-E7,0)</f>
        <v>0</v>
      </c>
      <c r="G7" s="20" t="n">
        <f aca="false">IF(E7&gt;D7,E7-D7,0)</f>
        <v>150000000</v>
      </c>
    </row>
    <row r="8" customFormat="false" ht="15" hidden="false" customHeight="false" outlineLevel="0" collapsed="false">
      <c r="A8" s="17" t="n">
        <v>4101</v>
      </c>
      <c r="B8" s="15" t="s">
        <v>122</v>
      </c>
      <c r="C8" s="15" t="s">
        <v>123</v>
      </c>
      <c r="D8" s="20" t="n">
        <f aca="false">SUMIF(Data!$C$2:$C$44,A8,Data!$E$2:$E$44)</f>
        <v>0</v>
      </c>
      <c r="E8" s="20" t="n">
        <f aca="false">SUMIF(Data!$C$2:$C$44,A8,Data!$F$2:$F$44)</f>
        <v>50000000</v>
      </c>
      <c r="F8" s="20" t="n">
        <f aca="false">IF(D8&gt;E8,D8-E8,0)</f>
        <v>0</v>
      </c>
      <c r="G8" s="20" t="n">
        <f aca="false">IF(E8&gt;D8,E8-D8,0)</f>
        <v>50000000</v>
      </c>
    </row>
    <row r="9" customFormat="false" ht="15" hidden="false" customHeight="false" outlineLevel="0" collapsed="false">
      <c r="A9" s="17" t="n">
        <v>5101</v>
      </c>
      <c r="B9" s="15" t="s">
        <v>124</v>
      </c>
      <c r="C9" s="15" t="s">
        <v>125</v>
      </c>
      <c r="D9" s="20" t="n">
        <f aca="false">SUMIF(Data!$C$2:$C$44,A9,Data!$E$2:$E$44)</f>
        <v>9750000</v>
      </c>
      <c r="E9" s="20" t="n">
        <f aca="false">SUMIF(Data!$C$2:$C$44,A9,Data!$F$2:$F$44)</f>
        <v>0</v>
      </c>
      <c r="F9" s="20" t="n">
        <f aca="false">IF(D9&gt;E9,D9-E9,0)</f>
        <v>9750000</v>
      </c>
      <c r="G9" s="20" t="n">
        <f aca="false">IF(E9&gt;D9,E9-D9,0)</f>
        <v>0</v>
      </c>
    </row>
    <row r="10" customFormat="false" ht="15" hidden="false" customHeight="false" outlineLevel="0" collapsed="false">
      <c r="A10" s="17" t="n">
        <v>5201</v>
      </c>
      <c r="B10" s="15" t="s">
        <v>126</v>
      </c>
      <c r="C10" s="15" t="s">
        <v>125</v>
      </c>
      <c r="D10" s="20" t="n">
        <f aca="false">SUMIF(Data!$C$2:$C$44,A10,Data!$E$2:$E$44)</f>
        <v>12750000</v>
      </c>
      <c r="E10" s="20" t="n">
        <f aca="false">SUMIF(Data!$C$2:$C$44,A10,Data!$F$2:$F$44)</f>
        <v>0</v>
      </c>
      <c r="F10" s="20" t="n">
        <f aca="false">IF(D10&gt;E10,D10-E10,0)</f>
        <v>12750000</v>
      </c>
      <c r="G10" s="20" t="n">
        <f aca="false">IF(E10&gt;D10,E10-D10,0)</f>
        <v>0</v>
      </c>
    </row>
    <row r="11" customFormat="false" ht="15" hidden="false" customHeight="false" outlineLevel="0" collapsed="false">
      <c r="A11" s="17" t="n">
        <v>5202</v>
      </c>
      <c r="B11" s="15" t="s">
        <v>127</v>
      </c>
      <c r="C11" s="15" t="s">
        <v>125</v>
      </c>
      <c r="D11" s="20" t="n">
        <f aca="false">SUMIF(Data!$C$2:$C$44,A11,Data!$E$2:$E$44)</f>
        <v>2687500</v>
      </c>
      <c r="E11" s="20" t="n">
        <f aca="false">SUMIF(Data!$C$2:$C$44,A11,Data!$F$2:$F$44)</f>
        <v>0</v>
      </c>
      <c r="F11" s="20" t="n">
        <f aca="false">IF(D11&gt;E11,D11-E11,0)</f>
        <v>2687500</v>
      </c>
      <c r="G11" s="20" t="n">
        <f aca="false">IF(E11&gt;D11,E11-D11,0)</f>
        <v>0</v>
      </c>
    </row>
    <row r="12" customFormat="false" ht="15" hidden="false" customHeight="false" outlineLevel="0" collapsed="false">
      <c r="A12" s="17" t="n">
        <v>5203</v>
      </c>
      <c r="B12" s="15" t="s">
        <v>128</v>
      </c>
      <c r="C12" s="15" t="s">
        <v>125</v>
      </c>
      <c r="D12" s="20" t="n">
        <f aca="false">SUMIF(Data!$C$2:$C$44,A12,Data!$E$2:$E$44)</f>
        <v>6000000</v>
      </c>
      <c r="E12" s="20" t="n">
        <f aca="false">SUMIF(Data!$C$2:$C$44,A12,Data!$F$2:$F$44)</f>
        <v>0</v>
      </c>
      <c r="F12" s="20" t="n">
        <f aca="false">IF(D12&gt;E12,D12-E12,0)</f>
        <v>6000000</v>
      </c>
      <c r="G12" s="20" t="n">
        <f aca="false">IF(E12&gt;D12,E12-D12,0)</f>
        <v>0</v>
      </c>
    </row>
    <row r="13" customFormat="false" ht="15" hidden="false" customHeight="false" outlineLevel="0" collapsed="false">
      <c r="A13" s="17" t="n">
        <v>5204</v>
      </c>
      <c r="B13" s="15" t="s">
        <v>129</v>
      </c>
      <c r="C13" s="15" t="s">
        <v>125</v>
      </c>
      <c r="D13" s="20" t="n">
        <f aca="false">SUMIF(Data!$C$2:$C$44,A13,Data!$E$2:$E$44)</f>
        <v>5000000</v>
      </c>
      <c r="E13" s="20" t="n">
        <f aca="false">SUMIF(Data!$C$2:$C$44,A13,Data!$F$2:$F$44)</f>
        <v>0</v>
      </c>
      <c r="F13" s="20" t="n">
        <f aca="false">IF(D13&gt;E13,D13-E13,0)</f>
        <v>5000000</v>
      </c>
      <c r="G13" s="20" t="n">
        <f aca="false">IF(E13&gt;D13,E13-D13,0)</f>
        <v>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1" t="s">
        <v>130</v>
      </c>
      <c r="B1" s="21"/>
      <c r="C1" s="21"/>
      <c r="D1" s="21"/>
    </row>
    <row r="2" customFormat="false" ht="15" hidden="false" customHeight="false" outlineLevel="0" collapsed="false">
      <c r="A2" s="22" t="s">
        <v>131</v>
      </c>
      <c r="B2" s="22"/>
      <c r="C2" s="22"/>
      <c r="D2" s="22"/>
    </row>
    <row r="3" customFormat="false" ht="15" hidden="false" customHeight="false" outlineLevel="0" collapsed="false">
      <c r="A3" s="10" t="s">
        <v>18</v>
      </c>
      <c r="B3" s="10" t="s">
        <v>132</v>
      </c>
      <c r="C3" s="10" t="s">
        <v>133</v>
      </c>
      <c r="D3" s="10" t="s">
        <v>134</v>
      </c>
    </row>
    <row r="4" customFormat="false" ht="15" hidden="false" customHeight="false" outlineLevel="0" collapsed="false">
      <c r="A4" s="23" t="s">
        <v>135</v>
      </c>
      <c r="B4" s="24" t="s">
        <v>136</v>
      </c>
      <c r="C4" s="20" t="n">
        <f aca="false">SUM(Data!$E$2:$E$44)</f>
        <v>268187500</v>
      </c>
      <c r="D4" s="25" t="s">
        <v>137</v>
      </c>
    </row>
    <row r="5" customFormat="false" ht="15" hidden="false" customHeight="false" outlineLevel="0" collapsed="false">
      <c r="A5" s="23" t="s">
        <v>138</v>
      </c>
      <c r="B5" s="24" t="s">
        <v>139</v>
      </c>
      <c r="C5" s="20" t="n">
        <f aca="false">SUM(Data!$F$2:$F$44)</f>
        <v>268187500</v>
      </c>
      <c r="D5" s="25" t="s">
        <v>137</v>
      </c>
    </row>
    <row r="6" customFormat="false" ht="15" hidden="false" customHeight="false" outlineLevel="0" collapsed="false">
      <c r="A6" s="23" t="s">
        <v>140</v>
      </c>
      <c r="B6" s="24" t="s">
        <v>141</v>
      </c>
      <c r="C6" s="19" t="str">
        <f aca="false">IF(C4=C5,"Seimbang","Tidak Seimbang")</f>
        <v>Seimbang</v>
      </c>
      <c r="D6" s="25" t="s">
        <v>142</v>
      </c>
    </row>
    <row r="7" customFormat="false" ht="15" hidden="false" customHeight="false" outlineLevel="0" collapsed="false">
      <c r="A7" s="23" t="s">
        <v>143</v>
      </c>
      <c r="B7" s="24" t="s">
        <v>144</v>
      </c>
      <c r="C7" s="20" t="n">
        <f aca="false">SUM(Acuan!$F$2:$F$13)</f>
        <v>228500000</v>
      </c>
      <c r="D7" s="25" t="s">
        <v>145</v>
      </c>
    </row>
    <row r="8" customFormat="false" ht="15" hidden="false" customHeight="false" outlineLevel="0" collapsed="false">
      <c r="A8" s="23" t="s">
        <v>146</v>
      </c>
      <c r="B8" s="24" t="s">
        <v>147</v>
      </c>
      <c r="C8" s="20" t="n">
        <f aca="false">SUM(Acuan!$G$2:$G$13)</f>
        <v>228500000</v>
      </c>
      <c r="D8" s="25" t="s">
        <v>145</v>
      </c>
    </row>
    <row r="9" customFormat="false" ht="15" hidden="false" customHeight="false" outlineLevel="0" collapsed="false">
      <c r="A9" s="23" t="s">
        <v>148</v>
      </c>
      <c r="B9" s="24" t="s">
        <v>149</v>
      </c>
      <c r="C9" s="19" t="str">
        <f aca="false">IF(C7=C8,"Ya","Tidak")</f>
        <v>Ya</v>
      </c>
      <c r="D9" s="25" t="s">
        <v>150</v>
      </c>
    </row>
    <row r="10" customFormat="false" ht="15" hidden="false" customHeight="false" outlineLevel="0" collapsed="false">
      <c r="A10" s="23" t="s">
        <v>151</v>
      </c>
      <c r="B10" s="24" t="s">
        <v>152</v>
      </c>
      <c r="C10" s="20" t="n">
        <f aca="false">SUMIF(Acuan!$C$2:$C$13,"Aset",Acuan!$F$2:$F$13)</f>
        <v>192312500</v>
      </c>
      <c r="D10" s="25" t="s">
        <v>153</v>
      </c>
    </row>
    <row r="11" customFormat="false" ht="15" hidden="false" customHeight="false" outlineLevel="0" collapsed="false">
      <c r="A11" s="23" t="s">
        <v>154</v>
      </c>
      <c r="B11" s="24" t="s">
        <v>155</v>
      </c>
      <c r="C11" s="20" t="n">
        <f aca="false">SUMIF(Acuan!$C$2:$C$13,"Utang",Acuan!$G$2:$G$13)+SUMIF(Acuan!$C$2:$C$13,"Modal",Acuan!$G$2:$G$13)</f>
        <v>178500000</v>
      </c>
      <c r="D11" s="25" t="s">
        <v>156</v>
      </c>
    </row>
    <row r="12" customFormat="false" ht="15" hidden="false" customHeight="false" outlineLevel="0" collapsed="false">
      <c r="A12" s="23" t="s">
        <v>58</v>
      </c>
      <c r="B12" s="24" t="s">
        <v>157</v>
      </c>
      <c r="C12" s="20" t="n">
        <f aca="false">SUMIF(Acuan!$C$2:$C$13,"Pendapatan",Acuan!$G$2:$G$13)-SUMIF(Acuan!$C$2:$C$13,"Beban",Acuan!$F$2:$F$13)</f>
        <v>13812500</v>
      </c>
      <c r="D12" s="25" t="s">
        <v>158</v>
      </c>
    </row>
    <row r="13" customFormat="false" ht="15" hidden="false" customHeight="false" outlineLevel="0" collapsed="false">
      <c r="A13" s="23" t="s">
        <v>159</v>
      </c>
      <c r="B13" s="24" t="s">
        <v>160</v>
      </c>
      <c r="C13" s="19" t="str">
        <f aca="false">INDEX(Acuan!$B$2:$B$13,MATCH(MAX(Acuan!$F$2:$F$13),Acuan!$F$2:$F$13,0))</f>
        <v>Kas</v>
      </c>
      <c r="D13" s="25" t="s">
        <v>161</v>
      </c>
    </row>
    <row r="14" customFormat="false" ht="15" hidden="false" customHeight="false" outlineLevel="0" collapsed="false">
      <c r="A14" s="23" t="s">
        <v>162</v>
      </c>
      <c r="B14" s="24" t="s">
        <v>163</v>
      </c>
      <c r="C14" s="26" t="n">
        <f aca="false">COUNTIF(Acuan!$G$2:$G$13,"&gt;0")</f>
        <v>3</v>
      </c>
      <c r="D14" s="25" t="s">
        <v>164</v>
      </c>
    </row>
    <row r="15" customFormat="false" ht="15" hidden="false" customHeight="false" outlineLevel="0" collapsed="false">
      <c r="A15" s="23" t="s">
        <v>165</v>
      </c>
      <c r="B15" s="24" t="s">
        <v>166</v>
      </c>
      <c r="C15" s="26" t="n">
        <f aca="false">COUNTIF(Data!$C$2:$C$44,1101)</f>
        <v>9</v>
      </c>
      <c r="D15" s="25" t="s">
        <v>167</v>
      </c>
    </row>
    <row r="16" customFormat="false" ht="15" hidden="false" customHeight="false" outlineLevel="0" collapsed="false">
      <c r="A16" s="23" t="s">
        <v>168</v>
      </c>
      <c r="B16" s="24" t="s">
        <v>169</v>
      </c>
      <c r="C16" s="20" t="n">
        <f aca="false">SUMIF(Data!$C$2:$C$44,1101,Data!$F$2:$F$44)</f>
        <v>17750000</v>
      </c>
      <c r="D16" s="25" t="s">
        <v>170</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2026-10-14T23:33:54Z</dcterms:created>
  <dc:creator>PushExcel</dc:creator>
  <dc:description/>
  <dc:language>en-US</dc:language>
  <cp:lastModifiedBy/>
  <dcterms:modified xsi:type="dcterms:W3CDTF">2026-10-14T23:33:54Z</dcterms:modified>
  <cp:revision>0</cp:revision>
  <dc:subject/>
  <dc:title>Neraca Saldo dari Jurnal Umum - Kunci</dc:title>
</cp:coreProperties>
</file>

<file path=docProps/custom.xml><?xml version="1.0" encoding="utf-8"?>
<Properties xmlns="http://schemas.openxmlformats.org/officeDocument/2006/custom-properties" xmlns:vt="http://schemas.openxmlformats.org/officeDocument/2006/docPropsVTypes"/>
</file>