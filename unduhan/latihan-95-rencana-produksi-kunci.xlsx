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<sst xmlns="http://schemas.openxmlformats.org/spreadsheetml/2006/main" count="239" uniqueCount="164">
  <si>
    <t xml:space="preserve">Kunci Jawaban: Rencana Produksi dan Kebutuhan Bahan Minuman</t>
  </si>
  <si>
    <t xml:space="preserve">Latihan 95 dari 40  |  Tingkat: Lanjutan  |  Perkiraan waktu: 65 menit  |  pushexcel.github.io/Pushexcel</t>
  </si>
  <si>
    <t xml:space="preserve">Skenario</t>
  </si>
  <si>
    <t xml:space="preserve">Kamu staf produksi Dapur Segar Nusantara yang membuat 9 minuman botolan. Sheet Data berisi 32 baris komposisi (resep): tiap baris menyebut satu bahan yang dipakai satu produk dan jumlahnya per botol. Sheet Acuan berisi dua tabel berdampingan: rencana produksi bulan depan (jumlah botol per produk) di kolom kiri, dan daftar bahan (satuan, harga per satuan, stok gudang) di kolom kanan. Kebutuhan bahan satu baris adalah jumlah produksi produknya dikali komposisi. Bahan yang stoknya kurang harus dibeli mendadak dengan harga naik 10 persen dari harga biasa (angka ini ada di blok Parameter).</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</si>
  <si>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</si>
  <si>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</si>
  <si>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</si>
  <si>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</si>
  <si>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</si>
  <si>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</si>
  <si>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</si>
  <si>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</si>
  <si>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</si>
  <si>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</si>
  <si>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</si>
  <si>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</si>
  <si>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</si>
  <si>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</si>
  <si>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</si>
  <si>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</si>
  <si>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</si>
  <si>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</si>
  <si>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</si>
  <si>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</si>
  <si>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Ambil jumlah produksi tiap produk dari tabel rencana produksi di sheet Acuan, dengan pencocokan persis.</t>
  </si>
  <si>
    <t xml:space="preserve">Sheet Data, kolom D (Jumlah Produksi), baris 2 sampai 33</t>
  </si>
  <si>
    <t xml:space="preserve">=VLOOKUP(A2;Acuan!$A$2:$B$10;2;FALSE)</t>
  </si>
  <si>
    <t xml:space="preserve">2</t>
  </si>
  <si>
    <t xml:space="preserve">Ambil harga per satuan tiap bahan dari tabel bahan di sheet Acuan, dengan pencocokan persis.</t>
  </si>
  <si>
    <t xml:space="preserve">Sheet Data, kolom E (Harga Bahan), baris 2 sampai 33</t>
  </si>
  <si>
    <t xml:space="preserve">=VLOOKUP(B2;Acuan!$C$2:$E$10;3;FALSE)</t>
  </si>
  <si>
    <t xml:space="preserve">3</t>
  </si>
  <si>
    <t xml:space="preserve">Hitung kebutuhan bahan tiap baris: jumlah produksi dikali komposisi per botol.</t>
  </si>
  <si>
    <t xml:space="preserve">Sheet Data, kolom F (Kebutuhan Bahan), baris 2 sampai 33</t>
  </si>
  <si>
    <t xml:space="preserve">=D2*C2</t>
  </si>
  <si>
    <t xml:space="preserve">4</t>
  </si>
  <si>
    <t xml:space="preserve">Hitung biaya bahan tiap baris: kebutuhan bahan dikali harga bahan.</t>
  </si>
  <si>
    <t xml:space="preserve">Sheet Data, kolom G (Biaya Bahan), baris 2 sampai 33</t>
  </si>
  <si>
    <t xml:space="preserve">=F2*E2</t>
  </si>
  <si>
    <t xml:space="preserve">5</t>
  </si>
  <si>
    <t xml:space="preserve">Pada sheet Acuan, hitung total kebutuhan tiap bahan dari seluruh produk.</t>
  </si>
  <si>
    <t xml:space="preserve">Sheet Acuan, kolom G (Total Kebutuhan), baris 2 sampai 10</t>
  </si>
  <si>
    <t xml:space="preserve">=SUMIF(Data!$B$2:$B$33;C2;Data!$F$2:$F$33)</t>
  </si>
  <si>
    <t xml:space="preserve">6</t>
  </si>
  <si>
    <t xml:space="preserve">Pada sheet Acuan, hitung total biaya tiap bahan dari seluruh produk.</t>
  </si>
  <si>
    <t xml:space="preserve">Sheet Acuan, kolom H (Total Biaya Bahan), baris 2 sampai 10</t>
  </si>
  <si>
    <t xml:space="preserve">=SUMIF(Data!$B$2:$B$33;C2;Data!$G$2:$G$33)</t>
  </si>
  <si>
    <t xml:space="preserve">7</t>
  </si>
  <si>
    <t xml:space="preserve">Pada sheet Acuan, hitung kekurangan stok: total kebutuhan dikurangi stok gudang. Bila stok cukup, isi 0.</t>
  </si>
  <si>
    <t xml:space="preserve">Sheet Acuan, kolom I (Kekurangan Stok), baris 2 sampai 10</t>
  </si>
  <si>
    <t xml:space="preserve">=MAX(0;G2-F2)</t>
  </si>
  <si>
    <t xml:space="preserve">8</t>
  </si>
  <si>
    <t xml:space="preserve">Beri status Kurang bila kekurangan stok lebih dari 0. Selain itu Cukup.</t>
  </si>
  <si>
    <t xml:space="preserve">Sheet Acuan, kolom J (Status Stok), baris 2 sampai 10</t>
  </si>
  <si>
    <t xml:space="preserve">=IF(I2&gt;0;"Kurang";"Cukup")</t>
  </si>
  <si>
    <t xml:space="preserve">9</t>
  </si>
  <si>
    <t xml:space="preserve">Pada sheet Acuan, hitung biaya membeli kekurangan stok dengan harga naik: kekurangan dikali harga per satuan dikali (1 + kenaikan harga), dibulatkan ke rupiah.</t>
  </si>
  <si>
    <t xml:space="preserve">Sheet Acuan, kolom K (Biaya Pembelian Mendadak), baris 2 sampai 10</t>
  </si>
  <si>
    <t xml:space="preserve">=ROUND(I2*E2*(1+Data!$J$2);0)</t>
  </si>
  <si>
    <t xml:space="preserve">10</t>
  </si>
  <si>
    <t xml:space="preserve">Berapa total biaya bahan seluruh produksi, dan berapa jumlah botol yang direncanakan seluruhnya?</t>
  </si>
  <si>
    <t xml:space="preserve">Sheet Ringkasan, sel C4 sampai C5</t>
  </si>
  <si>
    <t xml:space="preserve">=SUM(Data!$G$2:$G$33)
=SUM(Acuan!$B$2:$B$10)</t>
  </si>
  <si>
    <t xml:space="preserve">11</t>
  </si>
  <si>
    <t xml:space="preserve">Hitung total biaya bahan memakai SUMPRODUCT dari tabel bahan (total kebutuhan dikali harga per satuan), dan total biaya pembelian mendadak seluruh bahan.</t>
  </si>
  <si>
    <t xml:space="preserve">Sheet Ringkasan, sel C6 sampai C7</t>
  </si>
  <si>
    <t xml:space="preserve">=SUMPRODUCT(Acuan!$G$2:$G$10;Acuan!$E$2:$E$10)
=SUM(Acuan!$K$2:$K$10)</t>
  </si>
  <si>
    <t xml:space="preserve">12</t>
  </si>
  <si>
    <t xml:space="preserve">Bahan apa yang total biayanya terbesar, dan bahan apa yang kekurangan stoknya terbesar?</t>
  </si>
  <si>
    <t xml:space="preserve">Sheet Ringkasan, sel C8 sampai C9</t>
  </si>
  <si>
    <t xml:space="preserve">=INDEX(Acuan!$C$2:$C$10;MATCH(MAX(Acuan!$H$2:$H$10);Acuan!$H$2:$H$10;0))
=INDEX(Acuan!$C$2:$C$10;MATCH(MAX(Acuan!$I$2:$I$10);Acuan!$I$2:$I$10;0))</t>
  </si>
  <si>
    <t xml:space="preserve">13</t>
  </si>
  <si>
    <t xml:space="preserve">Berapa bahan yang stoknya Kurang, dan berapa banyak bahan yang dipakai produk Kopi Susu?</t>
  </si>
  <si>
    <t xml:space="preserve">Sheet Ringkasan, sel C10 sampai C11</t>
  </si>
  <si>
    <t xml:space="preserve">=COUNTIF(Acuan!$J$2:$J$10;"Kurang")
=COUNTIF(Data!$A$2:$A$33;"Kopi Susu")</t>
  </si>
  <si>
    <t xml:space="preserve">14</t>
  </si>
  <si>
    <t xml:space="preserve">Berapa total biaya bahan produk Teh Susu, dan berapa rata-rata biaya bahan per baris komposisi seluruh produk?</t>
  </si>
  <si>
    <t xml:space="preserve">Sheet Ringkasan, sel C12 sampai C13</t>
  </si>
  <si>
    <t xml:space="preserve">=SUMIF(Data!$A$2:$A$33;"Teh Susu";Data!$G$2:$G$33)
=AVERAGE(Data!$G$2:$G$33)</t>
  </si>
  <si>
    <t xml:space="preserve">15</t>
  </si>
  <si>
    <t xml:space="preserve">Berapa biaya bahan per botol produk Kopi Aren, dan berapa kebutuhan susu cair seluruhnya dalam liter?</t>
  </si>
  <si>
    <t xml:space="preserve">Sheet Ringkasan, sel C14 sampai C15</t>
  </si>
  <si>
    <t xml:space="preserve">=SUMIF(Data!$A$2:$A$33;"Kopi Aren";Data!$G$2:$G$33)/INDEX(Acuan!$B$2:$B$10;MATCH("Kopi Aren";Acuan!$A$2:$A$10;0))
=INDEX(Acuan!$G$2:$G$10;MATCH("Susu cair";Acuan!$C$2:$C$10;0))/1000</t>
  </si>
  <si>
    <t xml:space="preserve">Produk</t>
  </si>
  <si>
    <t xml:space="preserve">Bahan</t>
  </si>
  <si>
    <t xml:space="preserve">Komposisi per Botol</t>
  </si>
  <si>
    <t xml:space="preserve">Jumlah Produksi</t>
  </si>
  <si>
    <t xml:space="preserve">Harga Bahan</t>
  </si>
  <si>
    <t xml:space="preserve">Kebutuhan Bahan</t>
  </si>
  <si>
    <t xml:space="preserve">Biaya Bahan</t>
  </si>
  <si>
    <t xml:space="preserve">Parameter</t>
  </si>
  <si>
    <t xml:space="preserve">Nilai</t>
  </si>
  <si>
    <t xml:space="preserve">Keterangan</t>
  </si>
  <si>
    <t xml:space="preserve">Teh Lemon</t>
  </si>
  <si>
    <t xml:space="preserve">Daun teh</t>
  </si>
  <si>
    <t xml:space="preserve">Kenaikan harga beli mendadak</t>
  </si>
  <si>
    <t xml:space="preserve">Tambahan harga untuk bahan yang harus dibeli karena stok kurang</t>
  </si>
  <si>
    <t xml:space="preserve">Gula pasir</t>
  </si>
  <si>
    <t xml:space="preserve">Jeruk peras</t>
  </si>
  <si>
    <t xml:space="preserve">Botol dan tutup</t>
  </si>
  <si>
    <t xml:space="preserve">Teh Manis</t>
  </si>
  <si>
    <t xml:space="preserve">Teh Susu</t>
  </si>
  <si>
    <t xml:space="preserve">Susu cair</t>
  </si>
  <si>
    <t xml:space="preserve">Kopi Susu</t>
  </si>
  <si>
    <t xml:space="preserve">Biji kopi</t>
  </si>
  <si>
    <t xml:space="preserve">Gula aren</t>
  </si>
  <si>
    <t xml:space="preserve">Kopi Aren</t>
  </si>
  <si>
    <t xml:space="preserve">Jus Jeruk</t>
  </si>
  <si>
    <t xml:space="preserve">Cokelat Dingin</t>
  </si>
  <si>
    <t xml:space="preserve">Bubuk cokelat</t>
  </si>
  <si>
    <t xml:space="preserve">Susu Cokelat</t>
  </si>
  <si>
    <t xml:space="preserve">Susu Jahe</t>
  </si>
  <si>
    <t xml:space="preserve">Jahe segar</t>
  </si>
  <si>
    <t xml:space="preserve">Satuan</t>
  </si>
  <si>
    <t xml:space="preserve">Harga per Satuan</t>
  </si>
  <si>
    <t xml:space="preserve">Stok Gudang</t>
  </si>
  <si>
    <t xml:space="preserve">Total Kebutuhan</t>
  </si>
  <si>
    <t xml:space="preserve">Total Biaya Bahan</t>
  </si>
  <si>
    <t xml:space="preserve">Kekurangan Stok</t>
  </si>
  <si>
    <t xml:space="preserve">Status Stok</t>
  </si>
  <si>
    <t xml:space="preserve">Biaya Pembelian Mendadak</t>
  </si>
  <si>
    <t xml:space="preserve">gram</t>
  </si>
  <si>
    <t xml:space="preserve">ml</t>
  </si>
  <si>
    <t xml:space="preserve">pcs</t>
  </si>
  <si>
    <t xml:space="preserve">Ringkasan: lembar jawaban soal berjenis ringkasan</t>
  </si>
  <si>
    <t xml:space="preserve">Sel hijau berisi rumus kunci.</t>
  </si>
  <si>
    <t xml:space="preserve">Pertanyaan</t>
  </si>
  <si>
    <t xml:space="preserve">Jawaban</t>
  </si>
  <si>
    <t xml:space="preserve">Contoh format hasil</t>
  </si>
  <si>
    <t xml:space="preserve">10a</t>
  </si>
  <si>
    <t xml:space="preserve">Total biaya bahan seluruh produksi</t>
  </si>
  <si>
    <t xml:space="preserve">Rupiah, mis. Rp 250.000.000</t>
  </si>
  <si>
    <t xml:space="preserve">10b</t>
  </si>
  <si>
    <t xml:space="preserve">Total botol yang direncanakan</t>
  </si>
  <si>
    <t xml:space="preserve">Angka bulat, mis. 9.000</t>
  </si>
  <si>
    <t xml:space="preserve">11a</t>
  </si>
  <si>
    <t xml:space="preserve">Total biaya bahan (SUMPRODUCT)</t>
  </si>
  <si>
    <t xml:space="preserve">Rupiah, mis. Rp 260.000.000</t>
  </si>
  <si>
    <t xml:space="preserve">11b</t>
  </si>
  <si>
    <t xml:space="preserve">Total biaya pembelian mendadak</t>
  </si>
  <si>
    <t xml:space="preserve">Rupiah, mis. Rp 12.000.000</t>
  </si>
  <si>
    <t xml:space="preserve">12a</t>
  </si>
  <si>
    <t xml:space="preserve">Bahan dengan total biaya terbesar</t>
  </si>
  <si>
    <t xml:space="preserve">Teks: nama bahan</t>
  </si>
  <si>
    <t xml:space="preserve">12b</t>
  </si>
  <si>
    <t xml:space="preserve">Bahan dengan kekurangan stok terbesar</t>
  </si>
  <si>
    <t xml:space="preserve">13a</t>
  </si>
  <si>
    <t xml:space="preserve">Bahan berstatus Kurang</t>
  </si>
  <si>
    <t xml:space="preserve">Angka bulat, mis. 2</t>
  </si>
  <si>
    <t xml:space="preserve">13b</t>
  </si>
  <si>
    <t xml:space="preserve">Jumlah bahan produk Kopi Susu</t>
  </si>
  <si>
    <t xml:space="preserve">Angka bulat, mis. 3</t>
  </si>
  <si>
    <t xml:space="preserve">14a</t>
  </si>
  <si>
    <t xml:space="preserve">Total biaya bahan Teh Susu</t>
  </si>
  <si>
    <t xml:space="preserve">Rupiah, mis. Rp 15.000.000</t>
  </si>
  <si>
    <t xml:space="preserve">14b</t>
  </si>
  <si>
    <t xml:space="preserve">Rata-rata biaya bahan per baris</t>
  </si>
  <si>
    <t xml:space="preserve">Rupiah, mis. Rp 4.500.000</t>
  </si>
  <si>
    <t xml:space="preserve">15a</t>
  </si>
  <si>
    <t xml:space="preserve">Biaya bahan per botol Kopi Aren</t>
  </si>
  <si>
    <t xml:space="preserve">Rupiah, mis. Rp 2.500</t>
  </si>
  <si>
    <t xml:space="preserve">15b</t>
  </si>
  <si>
    <t xml:space="preserve">Kebutuhan susu cair (liter)</t>
  </si>
  <si>
    <t xml:space="preserve">Angka desimal, mis. 850,5</t>
  </si>
</sst>
</file>

<file path=xl/styles.xml><?xml version="1.0" encoding="utf-8"?>
<styleSheet xmlns="http://schemas.openxmlformats.org/spreadsheetml/2006/main">
  <numFmts count="6">
    <numFmt numFmtId="164" formatCode="General"/>
    <numFmt numFmtId="165" formatCode="#,##0"/>
    <numFmt numFmtId="166" formatCode="&quot;Rp &quot;#,##0"/>
    <numFmt numFmtId="167" formatCode="0%"/>
    <numFmt numFmtId="168" formatCode="0"/>
    <numFmt numFmtId="169" formatCode="0.0"/>
  </numFmts>
  <fonts count="13">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sz val="10"/>
      <color rgb="FF0000FF"/>
      <name val="Arial"/>
      <family val="0"/>
      <charset val="1"/>
    </font>
    <font>
      <b val="true"/>
      <sz val="13"/>
      <color rgb="FF1F4E3D"/>
      <name val="Arial"/>
      <family val="0"/>
      <charset val="1"/>
    </font>
    <font>
      <i val="true"/>
      <sz val="9"/>
      <color rgb="FF595959"/>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true" applyProtection="false">
      <alignment horizontal="right"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8" fontId="7" fillId="4" borderId="1" xfId="0" applyFont="true" applyBorder="true" applyAlignment="true" applyProtection="false">
      <alignment horizontal="right" vertical="center" textRotation="0" wrapText="false" indent="0" shrinkToFit="false"/>
      <protection locked="true" hidden="false"/>
    </xf>
    <xf numFmtId="169" fontId="7" fillId="4" borderId="1"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6"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7" t="s">
        <v>17</v>
      </c>
    </row>
    <row r="19" customFormat="false" ht="15" hidden="false" customHeight="false" outlineLevel="0" collapsed="false">
      <c r="A19" s="3" t="s">
        <v>18</v>
      </c>
    </row>
    <row r="20" customFormat="false" ht="15" hidden="false" customHeight="false" outlineLevel="0" collapsed="false">
      <c r="A20" s="11" t="s">
        <v>19</v>
      </c>
      <c r="B20" s="11" t="s">
        <v>20</v>
      </c>
      <c r="C20" s="11" t="s">
        <v>21</v>
      </c>
      <c r="D20" s="11" t="s">
        <v>22</v>
      </c>
    </row>
    <row r="21" customFormat="false" ht="30" hidden="false" customHeight="true" outlineLevel="0" collapsed="false">
      <c r="A21" s="12" t="s">
        <v>23</v>
      </c>
      <c r="B21" s="13" t="s">
        <v>24</v>
      </c>
      <c r="C21" s="13" t="s">
        <v>25</v>
      </c>
      <c r="D21" s="14" t="s">
        <v>26</v>
      </c>
    </row>
    <row r="22" customFormat="false" ht="30" hidden="false" customHeight="true" outlineLevel="0" collapsed="false">
      <c r="A22" s="12" t="s">
        <v>27</v>
      </c>
      <c r="B22" s="13" t="s">
        <v>28</v>
      </c>
      <c r="C22" s="13" t="s">
        <v>29</v>
      </c>
      <c r="D22" s="14" t="s">
        <v>30</v>
      </c>
    </row>
    <row r="23" customFormat="false" ht="30" hidden="false" customHeight="true" outlineLevel="0" collapsed="false">
      <c r="A23" s="12" t="s">
        <v>31</v>
      </c>
      <c r="B23" s="13" t="s">
        <v>32</v>
      </c>
      <c r="C23" s="13" t="s">
        <v>33</v>
      </c>
      <c r="D23" s="14" t="s">
        <v>34</v>
      </c>
    </row>
    <row r="24" customFormat="false" ht="30" hidden="false" customHeight="true" outlineLevel="0" collapsed="false">
      <c r="A24" s="12" t="s">
        <v>35</v>
      </c>
      <c r="B24" s="13" t="s">
        <v>36</v>
      </c>
      <c r="C24" s="13" t="s">
        <v>37</v>
      </c>
      <c r="D24" s="14" t="s">
        <v>38</v>
      </c>
    </row>
    <row r="25" customFormat="false" ht="30" hidden="false" customHeight="true" outlineLevel="0" collapsed="false">
      <c r="A25" s="12" t="s">
        <v>39</v>
      </c>
      <c r="B25" s="13" t="s">
        <v>40</v>
      </c>
      <c r="C25" s="13" t="s">
        <v>41</v>
      </c>
      <c r="D25" s="14" t="s">
        <v>42</v>
      </c>
    </row>
    <row r="26" customFormat="false" ht="30" hidden="false" customHeight="true" outlineLevel="0" collapsed="false">
      <c r="A26" s="12" t="s">
        <v>43</v>
      </c>
      <c r="B26" s="13" t="s">
        <v>44</v>
      </c>
      <c r="C26" s="13" t="s">
        <v>45</v>
      </c>
      <c r="D26" s="14" t="s">
        <v>46</v>
      </c>
    </row>
    <row r="27" customFormat="false" ht="30" hidden="false" customHeight="true" outlineLevel="0" collapsed="false">
      <c r="A27" s="12" t="s">
        <v>47</v>
      </c>
      <c r="B27" s="13" t="s">
        <v>48</v>
      </c>
      <c r="C27" s="13" t="s">
        <v>49</v>
      </c>
      <c r="D27" s="14" t="s">
        <v>50</v>
      </c>
    </row>
    <row r="28" customFormat="false" ht="30" hidden="false" customHeight="true" outlineLevel="0" collapsed="false">
      <c r="A28" s="12" t="s">
        <v>51</v>
      </c>
      <c r="B28" s="13" t="s">
        <v>52</v>
      </c>
      <c r="C28" s="13" t="s">
        <v>53</v>
      </c>
      <c r="D28" s="14" t="s">
        <v>54</v>
      </c>
    </row>
    <row r="29" customFormat="false" ht="42" hidden="false" customHeight="true" outlineLevel="0" collapsed="false">
      <c r="A29" s="12" t="s">
        <v>55</v>
      </c>
      <c r="B29" s="13" t="s">
        <v>56</v>
      </c>
      <c r="C29" s="13" t="s">
        <v>57</v>
      </c>
      <c r="D29" s="14" t="s">
        <v>58</v>
      </c>
    </row>
    <row r="30" customFormat="false" ht="43.5" hidden="false" customHeight="true" outlineLevel="0" collapsed="false">
      <c r="A30" s="12" t="s">
        <v>59</v>
      </c>
      <c r="B30" s="13" t="s">
        <v>60</v>
      </c>
      <c r="C30" s="13" t="s">
        <v>61</v>
      </c>
      <c r="D30" s="14" t="s">
        <v>62</v>
      </c>
    </row>
    <row r="31" customFormat="false" ht="55.5" hidden="false" customHeight="true" outlineLevel="0" collapsed="false">
      <c r="A31" s="12" t="s">
        <v>63</v>
      </c>
      <c r="B31" s="13" t="s">
        <v>64</v>
      </c>
      <c r="C31" s="13" t="s">
        <v>65</v>
      </c>
      <c r="D31" s="14" t="s">
        <v>66</v>
      </c>
    </row>
    <row r="32" customFormat="false" ht="55.5" hidden="false" customHeight="true" outlineLevel="0" collapsed="false">
      <c r="A32" s="12" t="s">
        <v>67</v>
      </c>
      <c r="B32" s="13" t="s">
        <v>68</v>
      </c>
      <c r="C32" s="13" t="s">
        <v>69</v>
      </c>
      <c r="D32" s="14" t="s">
        <v>70</v>
      </c>
    </row>
    <row r="33" customFormat="false" ht="43.5" hidden="false" customHeight="true" outlineLevel="0" collapsed="false">
      <c r="A33" s="12" t="s">
        <v>71</v>
      </c>
      <c r="B33" s="13" t="s">
        <v>72</v>
      </c>
      <c r="C33" s="13" t="s">
        <v>73</v>
      </c>
      <c r="D33" s="14" t="s">
        <v>74</v>
      </c>
    </row>
    <row r="34" customFormat="false" ht="43.5" hidden="false" customHeight="true" outlineLevel="0" collapsed="false">
      <c r="A34" s="12" t="s">
        <v>75</v>
      </c>
      <c r="B34" s="13" t="s">
        <v>76</v>
      </c>
      <c r="C34" s="13" t="s">
        <v>77</v>
      </c>
      <c r="D34" s="14" t="s">
        <v>78</v>
      </c>
    </row>
    <row r="35" customFormat="false" ht="55.5" hidden="false" customHeight="true" outlineLevel="0" collapsed="false">
      <c r="A35" s="12" t="s">
        <v>79</v>
      </c>
      <c r="B35" s="13" t="s">
        <v>80</v>
      </c>
      <c r="C35" s="13" t="s">
        <v>81</v>
      </c>
      <c r="D35" s="14" t="s">
        <v>82</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7"/>
    <col collapsed="false" customWidth="true" hidden="false" outlineLevel="0" max="3" min="3" style="0" width="20"/>
    <col collapsed="false" customWidth="true" hidden="false" outlineLevel="0" max="4" min="4" style="0" width="16"/>
    <col collapsed="false" customWidth="true" hidden="false" outlineLevel="0" max="5" min="5" style="0" width="13"/>
    <col collapsed="false" customWidth="true" hidden="false" outlineLevel="0" max="6" min="6" style="0" width="17"/>
    <col collapsed="false" customWidth="true" hidden="false" outlineLevel="0" max="7" min="7" style="0" width="16"/>
    <col collapsed="false" customWidth="true" hidden="false" outlineLevel="0" max="8" min="8" style="0" width="3"/>
    <col collapsed="false" customWidth="true" hidden="false" outlineLevel="0" max="9" min="9" style="0" width="31"/>
    <col collapsed="false" customWidth="true" hidden="false" outlineLevel="0" max="10" min="10" style="0" width="16"/>
    <col collapsed="false" customWidth="true" hidden="false" outlineLevel="0" max="11" min="11" style="0" width="42"/>
  </cols>
  <sheetData>
    <row r="1" customFormat="false" ht="33.75" hidden="false" customHeight="true" outlineLevel="0" collapsed="false">
      <c r="A1" s="11" t="s">
        <v>83</v>
      </c>
      <c r="B1" s="11" t="s">
        <v>84</v>
      </c>
      <c r="C1" s="11" t="s">
        <v>85</v>
      </c>
      <c r="D1" s="15" t="s">
        <v>86</v>
      </c>
      <c r="E1" s="15" t="s">
        <v>87</v>
      </c>
      <c r="F1" s="15" t="s">
        <v>88</v>
      </c>
      <c r="G1" s="15" t="s">
        <v>89</v>
      </c>
      <c r="I1" s="16" t="s">
        <v>90</v>
      </c>
      <c r="J1" s="16" t="s">
        <v>91</v>
      </c>
      <c r="K1" s="16" t="s">
        <v>92</v>
      </c>
    </row>
    <row r="2" customFormat="false" ht="15" hidden="false" customHeight="false" outlineLevel="0" collapsed="false">
      <c r="A2" s="17" t="s">
        <v>93</v>
      </c>
      <c r="B2" s="17" t="s">
        <v>94</v>
      </c>
      <c r="C2" s="18" t="n">
        <v>5</v>
      </c>
      <c r="D2" s="19" t="n">
        <f aca="false">VLOOKUP(A2,Acuan!$A$2:$B$10,2,FALSE())</f>
        <v>500</v>
      </c>
      <c r="E2" s="20" t="n">
        <f aca="false">VLOOKUP(B2,Acuan!$C$2:$E$10,3,FALSE())</f>
        <v>120</v>
      </c>
      <c r="F2" s="19" t="n">
        <f aca="false">D2*C2</f>
        <v>2500</v>
      </c>
      <c r="G2" s="20" t="n">
        <f aca="false">F2*E2</f>
        <v>300000</v>
      </c>
      <c r="I2" s="21" t="s">
        <v>95</v>
      </c>
      <c r="J2" s="22" t="n">
        <v>0.1</v>
      </c>
      <c r="K2" s="21" t="s">
        <v>96</v>
      </c>
    </row>
    <row r="3" customFormat="false" ht="15" hidden="false" customHeight="false" outlineLevel="0" collapsed="false">
      <c r="A3" s="17" t="s">
        <v>93</v>
      </c>
      <c r="B3" s="17" t="s">
        <v>97</v>
      </c>
      <c r="C3" s="18" t="n">
        <v>28</v>
      </c>
      <c r="D3" s="19" t="n">
        <f aca="false">VLOOKUP(A3,Acuan!$A$2:$B$10,2,FALSE())</f>
        <v>500</v>
      </c>
      <c r="E3" s="20" t="n">
        <f aca="false">VLOOKUP(B3,Acuan!$C$2:$E$10,3,FALSE())</f>
        <v>20</v>
      </c>
      <c r="F3" s="19" t="n">
        <f aca="false">D3*C3</f>
        <v>14000</v>
      </c>
      <c r="G3" s="20" t="n">
        <f aca="false">F3*E3</f>
        <v>280000</v>
      </c>
    </row>
    <row r="4" customFormat="false" ht="15" hidden="false" customHeight="false" outlineLevel="0" collapsed="false">
      <c r="A4" s="17" t="s">
        <v>93</v>
      </c>
      <c r="B4" s="17" t="s">
        <v>98</v>
      </c>
      <c r="C4" s="18" t="n">
        <v>26</v>
      </c>
      <c r="D4" s="19" t="n">
        <f aca="false">VLOOKUP(A4,Acuan!$A$2:$B$10,2,FALSE())</f>
        <v>500</v>
      </c>
      <c r="E4" s="20" t="n">
        <f aca="false">VLOOKUP(B4,Acuan!$C$2:$E$10,3,FALSE())</f>
        <v>20</v>
      </c>
      <c r="F4" s="19" t="n">
        <f aca="false">D4*C4</f>
        <v>13000</v>
      </c>
      <c r="G4" s="20" t="n">
        <f aca="false">F4*E4</f>
        <v>260000</v>
      </c>
    </row>
    <row r="5" customFormat="false" ht="15" hidden="false" customHeight="false" outlineLevel="0" collapsed="false">
      <c r="A5" s="17" t="s">
        <v>93</v>
      </c>
      <c r="B5" s="17" t="s">
        <v>99</v>
      </c>
      <c r="C5" s="18" t="n">
        <v>1</v>
      </c>
      <c r="D5" s="19" t="n">
        <f aca="false">VLOOKUP(A5,Acuan!$A$2:$B$10,2,FALSE())</f>
        <v>500</v>
      </c>
      <c r="E5" s="20" t="n">
        <f aca="false">VLOOKUP(B5,Acuan!$C$2:$E$10,3,FALSE())</f>
        <v>1200</v>
      </c>
      <c r="F5" s="19" t="n">
        <f aca="false">D5*C5</f>
        <v>500</v>
      </c>
      <c r="G5" s="20" t="n">
        <f aca="false">F5*E5</f>
        <v>600000</v>
      </c>
    </row>
    <row r="6" customFormat="false" ht="15" hidden="false" customHeight="false" outlineLevel="0" collapsed="false">
      <c r="A6" s="17" t="s">
        <v>100</v>
      </c>
      <c r="B6" s="17" t="s">
        <v>94</v>
      </c>
      <c r="C6" s="18" t="n">
        <v>6</v>
      </c>
      <c r="D6" s="19" t="n">
        <f aca="false">VLOOKUP(A6,Acuan!$A$2:$B$10,2,FALSE())</f>
        <v>1850</v>
      </c>
      <c r="E6" s="20" t="n">
        <f aca="false">VLOOKUP(B6,Acuan!$C$2:$E$10,3,FALSE())</f>
        <v>120</v>
      </c>
      <c r="F6" s="19" t="n">
        <f aca="false">D6*C6</f>
        <v>11100</v>
      </c>
      <c r="G6" s="20" t="n">
        <f aca="false">F6*E6</f>
        <v>1332000</v>
      </c>
    </row>
    <row r="7" customFormat="false" ht="15" hidden="false" customHeight="false" outlineLevel="0" collapsed="false">
      <c r="A7" s="17" t="s">
        <v>100</v>
      </c>
      <c r="B7" s="17" t="s">
        <v>97</v>
      </c>
      <c r="C7" s="18" t="n">
        <v>34</v>
      </c>
      <c r="D7" s="19" t="n">
        <f aca="false">VLOOKUP(A7,Acuan!$A$2:$B$10,2,FALSE())</f>
        <v>1850</v>
      </c>
      <c r="E7" s="20" t="n">
        <f aca="false">VLOOKUP(B7,Acuan!$C$2:$E$10,3,FALSE())</f>
        <v>20</v>
      </c>
      <c r="F7" s="19" t="n">
        <f aca="false">D7*C7</f>
        <v>62900</v>
      </c>
      <c r="G7" s="20" t="n">
        <f aca="false">F7*E7</f>
        <v>1258000</v>
      </c>
    </row>
    <row r="8" customFormat="false" ht="15" hidden="false" customHeight="false" outlineLevel="0" collapsed="false">
      <c r="A8" s="17" t="s">
        <v>100</v>
      </c>
      <c r="B8" s="17" t="s">
        <v>99</v>
      </c>
      <c r="C8" s="18" t="n">
        <v>1</v>
      </c>
      <c r="D8" s="19" t="n">
        <f aca="false">VLOOKUP(A8,Acuan!$A$2:$B$10,2,FALSE())</f>
        <v>1850</v>
      </c>
      <c r="E8" s="20" t="n">
        <f aca="false">VLOOKUP(B8,Acuan!$C$2:$E$10,3,FALSE())</f>
        <v>1200</v>
      </c>
      <c r="F8" s="19" t="n">
        <f aca="false">D8*C8</f>
        <v>1850</v>
      </c>
      <c r="G8" s="20" t="n">
        <f aca="false">F8*E8</f>
        <v>2220000</v>
      </c>
    </row>
    <row r="9" customFormat="false" ht="15" hidden="false" customHeight="false" outlineLevel="0" collapsed="false">
      <c r="A9" s="17" t="s">
        <v>101</v>
      </c>
      <c r="B9" s="17" t="s">
        <v>94</v>
      </c>
      <c r="C9" s="18" t="n">
        <v>5</v>
      </c>
      <c r="D9" s="19" t="n">
        <f aca="false">VLOOKUP(A9,Acuan!$A$2:$B$10,2,FALSE())</f>
        <v>1400</v>
      </c>
      <c r="E9" s="20" t="n">
        <f aca="false">VLOOKUP(B9,Acuan!$C$2:$E$10,3,FALSE())</f>
        <v>120</v>
      </c>
      <c r="F9" s="19" t="n">
        <f aca="false">D9*C9</f>
        <v>7000</v>
      </c>
      <c r="G9" s="20" t="n">
        <f aca="false">F9*E9</f>
        <v>840000</v>
      </c>
    </row>
    <row r="10" customFormat="false" ht="15" hidden="false" customHeight="false" outlineLevel="0" collapsed="false">
      <c r="A10" s="17" t="s">
        <v>101</v>
      </c>
      <c r="B10" s="17" t="s">
        <v>102</v>
      </c>
      <c r="C10" s="18" t="n">
        <v>77</v>
      </c>
      <c r="D10" s="19" t="n">
        <f aca="false">VLOOKUP(A10,Acuan!$A$2:$B$10,2,FALSE())</f>
        <v>1400</v>
      </c>
      <c r="E10" s="20" t="n">
        <f aca="false">VLOOKUP(B10,Acuan!$C$2:$E$10,3,FALSE())</f>
        <v>20</v>
      </c>
      <c r="F10" s="19" t="n">
        <f aca="false">D10*C10</f>
        <v>107800</v>
      </c>
      <c r="G10" s="20" t="n">
        <f aca="false">F10*E10</f>
        <v>2156000</v>
      </c>
    </row>
    <row r="11" customFormat="false" ht="15" hidden="false" customHeight="false" outlineLevel="0" collapsed="false">
      <c r="A11" s="17" t="s">
        <v>101</v>
      </c>
      <c r="B11" s="17" t="s">
        <v>97</v>
      </c>
      <c r="C11" s="18" t="n">
        <v>23</v>
      </c>
      <c r="D11" s="19" t="n">
        <f aca="false">VLOOKUP(A11,Acuan!$A$2:$B$10,2,FALSE())</f>
        <v>1400</v>
      </c>
      <c r="E11" s="20" t="n">
        <f aca="false">VLOOKUP(B11,Acuan!$C$2:$E$10,3,FALSE())</f>
        <v>20</v>
      </c>
      <c r="F11" s="19" t="n">
        <f aca="false">D11*C11</f>
        <v>32200</v>
      </c>
      <c r="G11" s="20" t="n">
        <f aca="false">F11*E11</f>
        <v>644000</v>
      </c>
    </row>
    <row r="12" customFormat="false" ht="15" hidden="false" customHeight="false" outlineLevel="0" collapsed="false">
      <c r="A12" s="17" t="s">
        <v>101</v>
      </c>
      <c r="B12" s="17" t="s">
        <v>99</v>
      </c>
      <c r="C12" s="18" t="n">
        <v>1</v>
      </c>
      <c r="D12" s="19" t="n">
        <f aca="false">VLOOKUP(A12,Acuan!$A$2:$B$10,2,FALSE())</f>
        <v>1400</v>
      </c>
      <c r="E12" s="20" t="n">
        <f aca="false">VLOOKUP(B12,Acuan!$C$2:$E$10,3,FALSE())</f>
        <v>1200</v>
      </c>
      <c r="F12" s="19" t="n">
        <f aca="false">D12*C12</f>
        <v>1400</v>
      </c>
      <c r="G12" s="20" t="n">
        <f aca="false">F12*E12</f>
        <v>1680000</v>
      </c>
    </row>
    <row r="13" customFormat="false" ht="15" hidden="false" customHeight="false" outlineLevel="0" collapsed="false">
      <c r="A13" s="17" t="s">
        <v>103</v>
      </c>
      <c r="B13" s="17" t="s">
        <v>104</v>
      </c>
      <c r="C13" s="18" t="n">
        <v>16</v>
      </c>
      <c r="D13" s="19" t="n">
        <f aca="false">VLOOKUP(A13,Acuan!$A$2:$B$10,2,FALSE())</f>
        <v>700</v>
      </c>
      <c r="E13" s="20" t="n">
        <f aca="false">VLOOKUP(B13,Acuan!$C$2:$E$10,3,FALSE())</f>
        <v>180</v>
      </c>
      <c r="F13" s="19" t="n">
        <f aca="false">D13*C13</f>
        <v>11200</v>
      </c>
      <c r="G13" s="20" t="n">
        <f aca="false">F13*E13</f>
        <v>2016000</v>
      </c>
    </row>
    <row r="14" customFormat="false" ht="15" hidden="false" customHeight="false" outlineLevel="0" collapsed="false">
      <c r="A14" s="17" t="s">
        <v>103</v>
      </c>
      <c r="B14" s="17" t="s">
        <v>102</v>
      </c>
      <c r="C14" s="18" t="n">
        <v>134</v>
      </c>
      <c r="D14" s="19" t="n">
        <f aca="false">VLOOKUP(A14,Acuan!$A$2:$B$10,2,FALSE())</f>
        <v>700</v>
      </c>
      <c r="E14" s="20" t="n">
        <f aca="false">VLOOKUP(B14,Acuan!$C$2:$E$10,3,FALSE())</f>
        <v>20</v>
      </c>
      <c r="F14" s="19" t="n">
        <f aca="false">D14*C14</f>
        <v>93800</v>
      </c>
      <c r="G14" s="20" t="n">
        <f aca="false">F14*E14</f>
        <v>1876000</v>
      </c>
    </row>
    <row r="15" customFormat="false" ht="15" hidden="false" customHeight="false" outlineLevel="0" collapsed="false">
      <c r="A15" s="17" t="s">
        <v>103</v>
      </c>
      <c r="B15" s="17" t="s">
        <v>105</v>
      </c>
      <c r="C15" s="18" t="n">
        <v>21</v>
      </c>
      <c r="D15" s="19" t="n">
        <f aca="false">VLOOKUP(A15,Acuan!$A$2:$B$10,2,FALSE())</f>
        <v>700</v>
      </c>
      <c r="E15" s="20" t="n">
        <f aca="false">VLOOKUP(B15,Acuan!$C$2:$E$10,3,FALSE())</f>
        <v>30</v>
      </c>
      <c r="F15" s="19" t="n">
        <f aca="false">D15*C15</f>
        <v>14700</v>
      </c>
      <c r="G15" s="20" t="n">
        <f aca="false">F15*E15</f>
        <v>441000</v>
      </c>
    </row>
    <row r="16" customFormat="false" ht="15" hidden="false" customHeight="false" outlineLevel="0" collapsed="false">
      <c r="A16" s="17" t="s">
        <v>103</v>
      </c>
      <c r="B16" s="17" t="s">
        <v>99</v>
      </c>
      <c r="C16" s="18" t="n">
        <v>1</v>
      </c>
      <c r="D16" s="19" t="n">
        <f aca="false">VLOOKUP(A16,Acuan!$A$2:$B$10,2,FALSE())</f>
        <v>700</v>
      </c>
      <c r="E16" s="20" t="n">
        <f aca="false">VLOOKUP(B16,Acuan!$C$2:$E$10,3,FALSE())</f>
        <v>1200</v>
      </c>
      <c r="F16" s="19" t="n">
        <f aca="false">D16*C16</f>
        <v>700</v>
      </c>
      <c r="G16" s="20" t="n">
        <f aca="false">F16*E16</f>
        <v>840000</v>
      </c>
    </row>
    <row r="17" customFormat="false" ht="15" hidden="false" customHeight="false" outlineLevel="0" collapsed="false">
      <c r="A17" s="17" t="s">
        <v>106</v>
      </c>
      <c r="B17" s="17" t="s">
        <v>104</v>
      </c>
      <c r="C17" s="18" t="n">
        <v>18</v>
      </c>
      <c r="D17" s="19" t="n">
        <f aca="false">VLOOKUP(A17,Acuan!$A$2:$B$10,2,FALSE())</f>
        <v>550</v>
      </c>
      <c r="E17" s="20" t="n">
        <f aca="false">VLOOKUP(B17,Acuan!$C$2:$E$10,3,FALSE())</f>
        <v>180</v>
      </c>
      <c r="F17" s="19" t="n">
        <f aca="false">D17*C17</f>
        <v>9900</v>
      </c>
      <c r="G17" s="20" t="n">
        <f aca="false">F17*E17</f>
        <v>1782000</v>
      </c>
    </row>
    <row r="18" customFormat="false" ht="15" hidden="false" customHeight="false" outlineLevel="0" collapsed="false">
      <c r="A18" s="17" t="s">
        <v>106</v>
      </c>
      <c r="B18" s="17" t="s">
        <v>105</v>
      </c>
      <c r="C18" s="18" t="n">
        <v>37</v>
      </c>
      <c r="D18" s="19" t="n">
        <f aca="false">VLOOKUP(A18,Acuan!$A$2:$B$10,2,FALSE())</f>
        <v>550</v>
      </c>
      <c r="E18" s="20" t="n">
        <f aca="false">VLOOKUP(B18,Acuan!$C$2:$E$10,3,FALSE())</f>
        <v>30</v>
      </c>
      <c r="F18" s="19" t="n">
        <f aca="false">D18*C18</f>
        <v>20350</v>
      </c>
      <c r="G18" s="20" t="n">
        <f aca="false">F18*E18</f>
        <v>610500</v>
      </c>
    </row>
    <row r="19" customFormat="false" ht="15" hidden="false" customHeight="false" outlineLevel="0" collapsed="false">
      <c r="A19" s="17" t="s">
        <v>106</v>
      </c>
      <c r="B19" s="17" t="s">
        <v>99</v>
      </c>
      <c r="C19" s="18" t="n">
        <v>1</v>
      </c>
      <c r="D19" s="19" t="n">
        <f aca="false">VLOOKUP(A19,Acuan!$A$2:$B$10,2,FALSE())</f>
        <v>550</v>
      </c>
      <c r="E19" s="20" t="n">
        <f aca="false">VLOOKUP(B19,Acuan!$C$2:$E$10,3,FALSE())</f>
        <v>1200</v>
      </c>
      <c r="F19" s="19" t="n">
        <f aca="false">D19*C19</f>
        <v>550</v>
      </c>
      <c r="G19" s="20" t="n">
        <f aca="false">F19*E19</f>
        <v>660000</v>
      </c>
    </row>
    <row r="20" customFormat="false" ht="15" hidden="false" customHeight="false" outlineLevel="0" collapsed="false">
      <c r="A20" s="17" t="s">
        <v>107</v>
      </c>
      <c r="B20" s="17" t="s">
        <v>98</v>
      </c>
      <c r="C20" s="18" t="n">
        <v>220</v>
      </c>
      <c r="D20" s="19" t="n">
        <f aca="false">VLOOKUP(A20,Acuan!$A$2:$B$10,2,FALSE())</f>
        <v>400</v>
      </c>
      <c r="E20" s="20" t="n">
        <f aca="false">VLOOKUP(B20,Acuan!$C$2:$E$10,3,FALSE())</f>
        <v>20</v>
      </c>
      <c r="F20" s="19" t="n">
        <f aca="false">D20*C20</f>
        <v>88000</v>
      </c>
      <c r="G20" s="20" t="n">
        <f aca="false">F20*E20</f>
        <v>1760000</v>
      </c>
    </row>
    <row r="21" customFormat="false" ht="15" hidden="false" customHeight="false" outlineLevel="0" collapsed="false">
      <c r="A21" s="17" t="s">
        <v>107</v>
      </c>
      <c r="B21" s="17" t="s">
        <v>97</v>
      </c>
      <c r="C21" s="18" t="n">
        <v>22</v>
      </c>
      <c r="D21" s="19" t="n">
        <f aca="false">VLOOKUP(A21,Acuan!$A$2:$B$10,2,FALSE())</f>
        <v>400</v>
      </c>
      <c r="E21" s="20" t="n">
        <f aca="false">VLOOKUP(B21,Acuan!$C$2:$E$10,3,FALSE())</f>
        <v>20</v>
      </c>
      <c r="F21" s="19" t="n">
        <f aca="false">D21*C21</f>
        <v>8800</v>
      </c>
      <c r="G21" s="20" t="n">
        <f aca="false">F21*E21</f>
        <v>176000</v>
      </c>
    </row>
    <row r="22" customFormat="false" ht="15" hidden="false" customHeight="false" outlineLevel="0" collapsed="false">
      <c r="A22" s="17" t="s">
        <v>107</v>
      </c>
      <c r="B22" s="17" t="s">
        <v>99</v>
      </c>
      <c r="C22" s="18" t="n">
        <v>1</v>
      </c>
      <c r="D22" s="19" t="n">
        <f aca="false">VLOOKUP(A22,Acuan!$A$2:$B$10,2,FALSE())</f>
        <v>400</v>
      </c>
      <c r="E22" s="20" t="n">
        <f aca="false">VLOOKUP(B22,Acuan!$C$2:$E$10,3,FALSE())</f>
        <v>1200</v>
      </c>
      <c r="F22" s="19" t="n">
        <f aca="false">D22*C22</f>
        <v>400</v>
      </c>
      <c r="G22" s="20" t="n">
        <f aca="false">F22*E22</f>
        <v>480000</v>
      </c>
    </row>
    <row r="23" customFormat="false" ht="15" hidden="false" customHeight="false" outlineLevel="0" collapsed="false">
      <c r="A23" s="17" t="s">
        <v>108</v>
      </c>
      <c r="B23" s="17" t="s">
        <v>109</v>
      </c>
      <c r="C23" s="18" t="n">
        <v>23</v>
      </c>
      <c r="D23" s="19" t="n">
        <f aca="false">VLOOKUP(A23,Acuan!$A$2:$B$10,2,FALSE())</f>
        <v>1050</v>
      </c>
      <c r="E23" s="20" t="n">
        <f aca="false">VLOOKUP(B23,Acuan!$C$2:$E$10,3,FALSE())</f>
        <v>90</v>
      </c>
      <c r="F23" s="19" t="n">
        <f aca="false">D23*C23</f>
        <v>24150</v>
      </c>
      <c r="G23" s="20" t="n">
        <f aca="false">F23*E23</f>
        <v>2173500</v>
      </c>
    </row>
    <row r="24" customFormat="false" ht="15" hidden="false" customHeight="false" outlineLevel="0" collapsed="false">
      <c r="A24" s="17" t="s">
        <v>108</v>
      </c>
      <c r="B24" s="17" t="s">
        <v>102</v>
      </c>
      <c r="C24" s="18" t="n">
        <v>113</v>
      </c>
      <c r="D24" s="19" t="n">
        <f aca="false">VLOOKUP(A24,Acuan!$A$2:$B$10,2,FALSE())</f>
        <v>1050</v>
      </c>
      <c r="E24" s="20" t="n">
        <f aca="false">VLOOKUP(B24,Acuan!$C$2:$E$10,3,FALSE())</f>
        <v>20</v>
      </c>
      <c r="F24" s="19" t="n">
        <f aca="false">D24*C24</f>
        <v>118650</v>
      </c>
      <c r="G24" s="20" t="n">
        <f aca="false">F24*E24</f>
        <v>2373000</v>
      </c>
    </row>
    <row r="25" customFormat="false" ht="15" hidden="false" customHeight="false" outlineLevel="0" collapsed="false">
      <c r="A25" s="17" t="s">
        <v>108</v>
      </c>
      <c r="B25" s="17" t="s">
        <v>97</v>
      </c>
      <c r="C25" s="18" t="n">
        <v>24</v>
      </c>
      <c r="D25" s="19" t="n">
        <f aca="false">VLOOKUP(A25,Acuan!$A$2:$B$10,2,FALSE())</f>
        <v>1050</v>
      </c>
      <c r="E25" s="20" t="n">
        <f aca="false">VLOOKUP(B25,Acuan!$C$2:$E$10,3,FALSE())</f>
        <v>20</v>
      </c>
      <c r="F25" s="19" t="n">
        <f aca="false">D25*C25</f>
        <v>25200</v>
      </c>
      <c r="G25" s="20" t="n">
        <f aca="false">F25*E25</f>
        <v>504000</v>
      </c>
    </row>
    <row r="26" customFormat="false" ht="15" hidden="false" customHeight="false" outlineLevel="0" collapsed="false">
      <c r="A26" s="17" t="s">
        <v>108</v>
      </c>
      <c r="B26" s="17" t="s">
        <v>99</v>
      </c>
      <c r="C26" s="18" t="n">
        <v>1</v>
      </c>
      <c r="D26" s="19" t="n">
        <f aca="false">VLOOKUP(A26,Acuan!$A$2:$B$10,2,FALSE())</f>
        <v>1050</v>
      </c>
      <c r="E26" s="20" t="n">
        <f aca="false">VLOOKUP(B26,Acuan!$C$2:$E$10,3,FALSE())</f>
        <v>1200</v>
      </c>
      <c r="F26" s="19" t="n">
        <f aca="false">D26*C26</f>
        <v>1050</v>
      </c>
      <c r="G26" s="20" t="n">
        <f aca="false">F26*E26</f>
        <v>1260000</v>
      </c>
    </row>
    <row r="27" customFormat="false" ht="15" hidden="false" customHeight="false" outlineLevel="0" collapsed="false">
      <c r="A27" s="17" t="s">
        <v>110</v>
      </c>
      <c r="B27" s="17" t="s">
        <v>102</v>
      </c>
      <c r="C27" s="18" t="n">
        <v>221</v>
      </c>
      <c r="D27" s="19" t="n">
        <f aca="false">VLOOKUP(A27,Acuan!$A$2:$B$10,2,FALSE())</f>
        <v>1650</v>
      </c>
      <c r="E27" s="20" t="n">
        <f aca="false">VLOOKUP(B27,Acuan!$C$2:$E$10,3,FALSE())</f>
        <v>20</v>
      </c>
      <c r="F27" s="19" t="n">
        <f aca="false">D27*C27</f>
        <v>364650</v>
      </c>
      <c r="G27" s="20" t="n">
        <f aca="false">F27*E27</f>
        <v>7293000</v>
      </c>
    </row>
    <row r="28" customFormat="false" ht="15" hidden="false" customHeight="false" outlineLevel="0" collapsed="false">
      <c r="A28" s="17" t="s">
        <v>110</v>
      </c>
      <c r="B28" s="17" t="s">
        <v>109</v>
      </c>
      <c r="C28" s="18" t="n">
        <v>30</v>
      </c>
      <c r="D28" s="19" t="n">
        <f aca="false">VLOOKUP(A28,Acuan!$A$2:$B$10,2,FALSE())</f>
        <v>1650</v>
      </c>
      <c r="E28" s="20" t="n">
        <f aca="false">VLOOKUP(B28,Acuan!$C$2:$E$10,3,FALSE())</f>
        <v>90</v>
      </c>
      <c r="F28" s="19" t="n">
        <f aca="false">D28*C28</f>
        <v>49500</v>
      </c>
      <c r="G28" s="20" t="n">
        <f aca="false">F28*E28</f>
        <v>4455000</v>
      </c>
    </row>
    <row r="29" customFormat="false" ht="15" hidden="false" customHeight="false" outlineLevel="0" collapsed="false">
      <c r="A29" s="17" t="s">
        <v>110</v>
      </c>
      <c r="B29" s="17" t="s">
        <v>99</v>
      </c>
      <c r="C29" s="18" t="n">
        <v>1</v>
      </c>
      <c r="D29" s="19" t="n">
        <f aca="false">VLOOKUP(A29,Acuan!$A$2:$B$10,2,FALSE())</f>
        <v>1650</v>
      </c>
      <c r="E29" s="20" t="n">
        <f aca="false">VLOOKUP(B29,Acuan!$C$2:$E$10,3,FALSE())</f>
        <v>1200</v>
      </c>
      <c r="F29" s="19" t="n">
        <f aca="false">D29*C29</f>
        <v>1650</v>
      </c>
      <c r="G29" s="20" t="n">
        <f aca="false">F29*E29</f>
        <v>1980000</v>
      </c>
    </row>
    <row r="30" customFormat="false" ht="15" hidden="false" customHeight="false" outlineLevel="0" collapsed="false">
      <c r="A30" s="17" t="s">
        <v>111</v>
      </c>
      <c r="B30" s="17" t="s">
        <v>102</v>
      </c>
      <c r="C30" s="18" t="n">
        <v>204</v>
      </c>
      <c r="D30" s="19" t="n">
        <f aca="false">VLOOKUP(A30,Acuan!$A$2:$B$10,2,FALSE())</f>
        <v>1450</v>
      </c>
      <c r="E30" s="20" t="n">
        <f aca="false">VLOOKUP(B30,Acuan!$C$2:$E$10,3,FALSE())</f>
        <v>20</v>
      </c>
      <c r="F30" s="19" t="n">
        <f aca="false">D30*C30</f>
        <v>295800</v>
      </c>
      <c r="G30" s="20" t="n">
        <f aca="false">F30*E30</f>
        <v>5916000</v>
      </c>
    </row>
    <row r="31" customFormat="false" ht="15" hidden="false" customHeight="false" outlineLevel="0" collapsed="false">
      <c r="A31" s="17" t="s">
        <v>111</v>
      </c>
      <c r="B31" s="17" t="s">
        <v>112</v>
      </c>
      <c r="C31" s="18" t="n">
        <v>12</v>
      </c>
      <c r="D31" s="19" t="n">
        <f aca="false">VLOOKUP(A31,Acuan!$A$2:$B$10,2,FALSE())</f>
        <v>1450</v>
      </c>
      <c r="E31" s="20" t="n">
        <f aca="false">VLOOKUP(B31,Acuan!$C$2:$E$10,3,FALSE())</f>
        <v>30</v>
      </c>
      <c r="F31" s="19" t="n">
        <f aca="false">D31*C31</f>
        <v>17400</v>
      </c>
      <c r="G31" s="20" t="n">
        <f aca="false">F31*E31</f>
        <v>522000</v>
      </c>
    </row>
    <row r="32" customFormat="false" ht="15" hidden="false" customHeight="false" outlineLevel="0" collapsed="false">
      <c r="A32" s="17" t="s">
        <v>111</v>
      </c>
      <c r="B32" s="17" t="s">
        <v>97</v>
      </c>
      <c r="C32" s="18" t="n">
        <v>22</v>
      </c>
      <c r="D32" s="19" t="n">
        <f aca="false">VLOOKUP(A32,Acuan!$A$2:$B$10,2,FALSE())</f>
        <v>1450</v>
      </c>
      <c r="E32" s="20" t="n">
        <f aca="false">VLOOKUP(B32,Acuan!$C$2:$E$10,3,FALSE())</f>
        <v>20</v>
      </c>
      <c r="F32" s="19" t="n">
        <f aca="false">D32*C32</f>
        <v>31900</v>
      </c>
      <c r="G32" s="20" t="n">
        <f aca="false">F32*E32</f>
        <v>638000</v>
      </c>
    </row>
    <row r="33" customFormat="false" ht="15" hidden="false" customHeight="false" outlineLevel="0" collapsed="false">
      <c r="A33" s="17" t="s">
        <v>111</v>
      </c>
      <c r="B33" s="17" t="s">
        <v>99</v>
      </c>
      <c r="C33" s="18" t="n">
        <v>1</v>
      </c>
      <c r="D33" s="19" t="n">
        <f aca="false">VLOOKUP(A33,Acuan!$A$2:$B$10,2,FALSE())</f>
        <v>1450</v>
      </c>
      <c r="E33" s="20" t="n">
        <f aca="false">VLOOKUP(B33,Acuan!$C$2:$E$10,3,FALSE())</f>
        <v>1200</v>
      </c>
      <c r="F33" s="19" t="n">
        <f aca="false">D33*C33</f>
        <v>1450</v>
      </c>
      <c r="G33" s="20" t="n">
        <f aca="false">F33*E33</f>
        <v>1740000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7"/>
    <col collapsed="false" customWidth="true" hidden="false" outlineLevel="0" max="2" min="2" style="0" width="16"/>
    <col collapsed="false" customWidth="true" hidden="false" outlineLevel="0" max="3" min="3" style="0" width="17"/>
    <col collapsed="false" customWidth="true" hidden="false" outlineLevel="0" max="4" min="4" style="0" width="9"/>
    <col collapsed="false" customWidth="true" hidden="false" outlineLevel="0" max="5" min="5" style="0" width="17"/>
    <col collapsed="false" customWidth="true" hidden="false" outlineLevel="0" max="6" min="6" style="0" width="14"/>
    <col collapsed="false" customWidth="true" hidden="false" outlineLevel="0" max="7" min="7" style="0" width="17"/>
    <col collapsed="false" customWidth="true" hidden="false" outlineLevel="0" max="8" min="8" style="0" width="18"/>
    <col collapsed="false" customWidth="true" hidden="false" outlineLevel="0" max="9" min="9" style="0" width="16"/>
    <col collapsed="false" customWidth="true" hidden="false" outlineLevel="0" max="10" min="10" style="0" width="12"/>
    <col collapsed="false" customWidth="true" hidden="false" outlineLevel="0" max="11" min="11" style="0" width="25"/>
  </cols>
  <sheetData>
    <row r="1" customFormat="false" ht="33.75" hidden="false" customHeight="true" outlineLevel="0" collapsed="false">
      <c r="A1" s="11" t="s">
        <v>83</v>
      </c>
      <c r="B1" s="11" t="s">
        <v>86</v>
      </c>
      <c r="C1" s="11" t="s">
        <v>84</v>
      </c>
      <c r="D1" s="11" t="s">
        <v>113</v>
      </c>
      <c r="E1" s="11" t="s">
        <v>114</v>
      </c>
      <c r="F1" s="11" t="s">
        <v>115</v>
      </c>
      <c r="G1" s="15" t="s">
        <v>116</v>
      </c>
      <c r="H1" s="15" t="s">
        <v>117</v>
      </c>
      <c r="I1" s="15" t="s">
        <v>118</v>
      </c>
      <c r="J1" s="15" t="s">
        <v>119</v>
      </c>
      <c r="K1" s="15" t="s">
        <v>120</v>
      </c>
    </row>
    <row r="2" customFormat="false" ht="15" hidden="false" customHeight="false" outlineLevel="0" collapsed="false">
      <c r="A2" s="17" t="s">
        <v>93</v>
      </c>
      <c r="B2" s="18" t="n">
        <v>500</v>
      </c>
      <c r="C2" s="17" t="s">
        <v>97</v>
      </c>
      <c r="D2" s="17" t="s">
        <v>121</v>
      </c>
      <c r="E2" s="23" t="n">
        <v>20</v>
      </c>
      <c r="F2" s="18" t="n">
        <v>187000</v>
      </c>
      <c r="G2" s="19" t="n">
        <f aca="false">SUMIF(Data!$B$2:$B$33,C2,Data!$F$2:$F$33)</f>
        <v>175000</v>
      </c>
      <c r="H2" s="20" t="n">
        <f aca="false">SUMIF(Data!$B$2:$B$33,C2,Data!$G$2:$G$33)</f>
        <v>3500000</v>
      </c>
      <c r="I2" s="19" t="n">
        <f aca="false">MAX(0,G2-F2)</f>
        <v>0</v>
      </c>
      <c r="J2" s="24" t="str">
        <f aca="false">IF(I2&gt;0,"Kurang","Cukup")</f>
        <v>Cukup</v>
      </c>
      <c r="K2" s="20" t="n">
        <f aca="false">ROUND(I2*E2*(1+Data!$J$2),0)</f>
        <v>0</v>
      </c>
    </row>
    <row r="3" customFormat="false" ht="15" hidden="false" customHeight="false" outlineLevel="0" collapsed="false">
      <c r="A3" s="17" t="s">
        <v>100</v>
      </c>
      <c r="B3" s="18" t="n">
        <v>1850</v>
      </c>
      <c r="C3" s="17" t="s">
        <v>105</v>
      </c>
      <c r="D3" s="17" t="s">
        <v>121</v>
      </c>
      <c r="E3" s="23" t="n">
        <v>30</v>
      </c>
      <c r="F3" s="18" t="n">
        <v>49000</v>
      </c>
      <c r="G3" s="19" t="n">
        <f aca="false">SUMIF(Data!$B$2:$B$33,C3,Data!$F$2:$F$33)</f>
        <v>35050</v>
      </c>
      <c r="H3" s="20" t="n">
        <f aca="false">SUMIF(Data!$B$2:$B$33,C3,Data!$G$2:$G$33)</f>
        <v>1051500</v>
      </c>
      <c r="I3" s="19" t="n">
        <f aca="false">MAX(0,G3-F3)</f>
        <v>0</v>
      </c>
      <c r="J3" s="24" t="str">
        <f aca="false">IF(I3&gt;0,"Kurang","Cukup")</f>
        <v>Cukup</v>
      </c>
      <c r="K3" s="20" t="n">
        <f aca="false">ROUND(I3*E3*(1+Data!$J$2),0)</f>
        <v>0</v>
      </c>
    </row>
    <row r="4" customFormat="false" ht="15" hidden="false" customHeight="false" outlineLevel="0" collapsed="false">
      <c r="A4" s="17" t="s">
        <v>101</v>
      </c>
      <c r="B4" s="18" t="n">
        <v>1400</v>
      </c>
      <c r="C4" s="17" t="s">
        <v>94</v>
      </c>
      <c r="D4" s="17" t="s">
        <v>121</v>
      </c>
      <c r="E4" s="23" t="n">
        <v>120</v>
      </c>
      <c r="F4" s="18" t="n">
        <v>24000</v>
      </c>
      <c r="G4" s="19" t="n">
        <f aca="false">SUMIF(Data!$B$2:$B$33,C4,Data!$F$2:$F$33)</f>
        <v>20600</v>
      </c>
      <c r="H4" s="20" t="n">
        <f aca="false">SUMIF(Data!$B$2:$B$33,C4,Data!$G$2:$G$33)</f>
        <v>2472000</v>
      </c>
      <c r="I4" s="19" t="n">
        <f aca="false">MAX(0,G4-F4)</f>
        <v>0</v>
      </c>
      <c r="J4" s="24" t="str">
        <f aca="false">IF(I4&gt;0,"Kurang","Cukup")</f>
        <v>Cukup</v>
      </c>
      <c r="K4" s="20" t="n">
        <f aca="false">ROUND(I4*E4*(1+Data!$J$2),0)</f>
        <v>0</v>
      </c>
    </row>
    <row r="5" customFormat="false" ht="15" hidden="false" customHeight="false" outlineLevel="0" collapsed="false">
      <c r="A5" s="17" t="s">
        <v>103</v>
      </c>
      <c r="B5" s="18" t="n">
        <v>700</v>
      </c>
      <c r="C5" s="17" t="s">
        <v>104</v>
      </c>
      <c r="D5" s="17" t="s">
        <v>121</v>
      </c>
      <c r="E5" s="23" t="n">
        <v>180</v>
      </c>
      <c r="F5" s="18" t="n">
        <v>21000</v>
      </c>
      <c r="G5" s="19" t="n">
        <f aca="false">SUMIF(Data!$B$2:$B$33,C5,Data!$F$2:$F$33)</f>
        <v>21100</v>
      </c>
      <c r="H5" s="20" t="n">
        <f aca="false">SUMIF(Data!$B$2:$B$33,C5,Data!$G$2:$G$33)</f>
        <v>3798000</v>
      </c>
      <c r="I5" s="19" t="n">
        <f aca="false">MAX(0,G5-F5)</f>
        <v>100</v>
      </c>
      <c r="J5" s="24" t="str">
        <f aca="false">IF(I5&gt;0,"Kurang","Cukup")</f>
        <v>Kurang</v>
      </c>
      <c r="K5" s="20" t="n">
        <f aca="false">ROUND(I5*E5*(1+Data!$J$2),0)</f>
        <v>19800</v>
      </c>
    </row>
    <row r="6" customFormat="false" ht="15" hidden="false" customHeight="false" outlineLevel="0" collapsed="false">
      <c r="A6" s="17" t="s">
        <v>106</v>
      </c>
      <c r="B6" s="18" t="n">
        <v>550</v>
      </c>
      <c r="C6" s="17" t="s">
        <v>102</v>
      </c>
      <c r="D6" s="17" t="s">
        <v>122</v>
      </c>
      <c r="E6" s="23" t="n">
        <v>20</v>
      </c>
      <c r="F6" s="18" t="n">
        <v>1024000</v>
      </c>
      <c r="G6" s="19" t="n">
        <f aca="false">SUMIF(Data!$B$2:$B$33,C6,Data!$F$2:$F$33)</f>
        <v>980700</v>
      </c>
      <c r="H6" s="20" t="n">
        <f aca="false">SUMIF(Data!$B$2:$B$33,C6,Data!$G$2:$G$33)</f>
        <v>19614000</v>
      </c>
      <c r="I6" s="19" t="n">
        <f aca="false">MAX(0,G6-F6)</f>
        <v>0</v>
      </c>
      <c r="J6" s="24" t="str">
        <f aca="false">IF(I6&gt;0,"Kurang","Cukup")</f>
        <v>Cukup</v>
      </c>
      <c r="K6" s="20" t="n">
        <f aca="false">ROUND(I6*E6*(1+Data!$J$2),0)</f>
        <v>0</v>
      </c>
    </row>
    <row r="7" customFormat="false" ht="15" hidden="false" customHeight="false" outlineLevel="0" collapsed="false">
      <c r="A7" s="17" t="s">
        <v>107</v>
      </c>
      <c r="B7" s="18" t="n">
        <v>400</v>
      </c>
      <c r="C7" s="17" t="s">
        <v>98</v>
      </c>
      <c r="D7" s="17" t="s">
        <v>121</v>
      </c>
      <c r="E7" s="23" t="n">
        <v>20</v>
      </c>
      <c r="F7" s="18" t="n">
        <v>94000</v>
      </c>
      <c r="G7" s="19" t="n">
        <f aca="false">SUMIF(Data!$B$2:$B$33,C7,Data!$F$2:$F$33)</f>
        <v>101000</v>
      </c>
      <c r="H7" s="20" t="n">
        <f aca="false">SUMIF(Data!$B$2:$B$33,C7,Data!$G$2:$G$33)</f>
        <v>2020000</v>
      </c>
      <c r="I7" s="19" t="n">
        <f aca="false">MAX(0,G7-F7)</f>
        <v>7000</v>
      </c>
      <c r="J7" s="24" t="str">
        <f aca="false">IF(I7&gt;0,"Kurang","Cukup")</f>
        <v>Kurang</v>
      </c>
      <c r="K7" s="20" t="n">
        <f aca="false">ROUND(I7*E7*(1+Data!$J$2),0)</f>
        <v>154000</v>
      </c>
    </row>
    <row r="8" customFormat="false" ht="15" hidden="false" customHeight="false" outlineLevel="0" collapsed="false">
      <c r="A8" s="17" t="s">
        <v>108</v>
      </c>
      <c r="B8" s="18" t="n">
        <v>1050</v>
      </c>
      <c r="C8" s="17" t="s">
        <v>109</v>
      </c>
      <c r="D8" s="17" t="s">
        <v>121</v>
      </c>
      <c r="E8" s="23" t="n">
        <v>90</v>
      </c>
      <c r="F8" s="18" t="n">
        <v>66000</v>
      </c>
      <c r="G8" s="19" t="n">
        <f aca="false">SUMIF(Data!$B$2:$B$33,C8,Data!$F$2:$F$33)</f>
        <v>73650</v>
      </c>
      <c r="H8" s="20" t="n">
        <f aca="false">SUMIF(Data!$B$2:$B$33,C8,Data!$G$2:$G$33)</f>
        <v>6628500</v>
      </c>
      <c r="I8" s="19" t="n">
        <f aca="false">MAX(0,G8-F8)</f>
        <v>7650</v>
      </c>
      <c r="J8" s="24" t="str">
        <f aca="false">IF(I8&gt;0,"Kurang","Cukup")</f>
        <v>Kurang</v>
      </c>
      <c r="K8" s="20" t="n">
        <f aca="false">ROUND(I8*E8*(1+Data!$J$2),0)</f>
        <v>757350</v>
      </c>
    </row>
    <row r="9" customFormat="false" ht="15" hidden="false" customHeight="false" outlineLevel="0" collapsed="false">
      <c r="A9" s="17" t="s">
        <v>110</v>
      </c>
      <c r="B9" s="18" t="n">
        <v>1650</v>
      </c>
      <c r="C9" s="17" t="s">
        <v>112</v>
      </c>
      <c r="D9" s="17" t="s">
        <v>121</v>
      </c>
      <c r="E9" s="23" t="n">
        <v>30</v>
      </c>
      <c r="F9" s="18" t="n">
        <v>22000</v>
      </c>
      <c r="G9" s="19" t="n">
        <f aca="false">SUMIF(Data!$B$2:$B$33,C9,Data!$F$2:$F$33)</f>
        <v>17400</v>
      </c>
      <c r="H9" s="20" t="n">
        <f aca="false">SUMIF(Data!$B$2:$B$33,C9,Data!$G$2:$G$33)</f>
        <v>522000</v>
      </c>
      <c r="I9" s="19" t="n">
        <f aca="false">MAX(0,G9-F9)</f>
        <v>0</v>
      </c>
      <c r="J9" s="24" t="str">
        <f aca="false">IF(I9&gt;0,"Kurang","Cukup")</f>
        <v>Cukup</v>
      </c>
      <c r="K9" s="20" t="n">
        <f aca="false">ROUND(I9*E9*(1+Data!$J$2),0)</f>
        <v>0</v>
      </c>
    </row>
    <row r="10" customFormat="false" ht="15" hidden="false" customHeight="false" outlineLevel="0" collapsed="false">
      <c r="A10" s="17" t="s">
        <v>111</v>
      </c>
      <c r="B10" s="18" t="n">
        <v>1450</v>
      </c>
      <c r="C10" s="17" t="s">
        <v>99</v>
      </c>
      <c r="D10" s="17" t="s">
        <v>123</v>
      </c>
      <c r="E10" s="23" t="n">
        <v>1200</v>
      </c>
      <c r="F10" s="18" t="n">
        <v>11000</v>
      </c>
      <c r="G10" s="19" t="n">
        <f aca="false">SUMIF(Data!$B$2:$B$33,C10,Data!$F$2:$F$33)</f>
        <v>9550</v>
      </c>
      <c r="H10" s="20" t="n">
        <f aca="false">SUMIF(Data!$B$2:$B$33,C10,Data!$G$2:$G$33)</f>
        <v>11460000</v>
      </c>
      <c r="I10" s="19" t="n">
        <f aca="false">MAX(0,G10-F10)</f>
        <v>0</v>
      </c>
      <c r="J10" s="24" t="str">
        <f aca="false">IF(I10&gt;0,"Kurang","Cukup")</f>
        <v>Cukup</v>
      </c>
      <c r="K10" s="20" t="n">
        <f aca="false">ROUND(I10*E10*(1+Data!$J$2),0)</f>
        <v>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5" t="s">
        <v>124</v>
      </c>
      <c r="B1" s="25"/>
      <c r="C1" s="25"/>
      <c r="D1" s="25"/>
    </row>
    <row r="2" customFormat="false" ht="15" hidden="false" customHeight="false" outlineLevel="0" collapsed="false">
      <c r="A2" s="26" t="s">
        <v>125</v>
      </c>
      <c r="B2" s="26"/>
      <c r="C2" s="26"/>
      <c r="D2" s="26"/>
    </row>
    <row r="3" customFormat="false" ht="15" hidden="false" customHeight="false" outlineLevel="0" collapsed="false">
      <c r="A3" s="11" t="s">
        <v>19</v>
      </c>
      <c r="B3" s="11" t="s">
        <v>126</v>
      </c>
      <c r="C3" s="11" t="s">
        <v>127</v>
      </c>
      <c r="D3" s="11" t="s">
        <v>128</v>
      </c>
    </row>
    <row r="4" customFormat="false" ht="15" hidden="false" customHeight="false" outlineLevel="0" collapsed="false">
      <c r="A4" s="27" t="s">
        <v>129</v>
      </c>
      <c r="B4" s="28" t="s">
        <v>130</v>
      </c>
      <c r="C4" s="20" t="n">
        <f aca="false">SUM(Data!$G$2:$G$33)</f>
        <v>51066000</v>
      </c>
      <c r="D4" s="29" t="s">
        <v>131</v>
      </c>
    </row>
    <row r="5" customFormat="false" ht="15" hidden="false" customHeight="false" outlineLevel="0" collapsed="false">
      <c r="A5" s="27" t="s">
        <v>132</v>
      </c>
      <c r="B5" s="28" t="s">
        <v>133</v>
      </c>
      <c r="C5" s="19" t="n">
        <f aca="false">SUM(Acuan!$B$2:$B$10)</f>
        <v>9550</v>
      </c>
      <c r="D5" s="29" t="s">
        <v>134</v>
      </c>
    </row>
    <row r="6" customFormat="false" ht="15" hidden="false" customHeight="false" outlineLevel="0" collapsed="false">
      <c r="A6" s="27" t="s">
        <v>135</v>
      </c>
      <c r="B6" s="28" t="s">
        <v>136</v>
      </c>
      <c r="C6" s="20" t="n">
        <f aca="false">SUMPRODUCT(Acuan!$G$2:$G$10,Acuan!$E$2:$E$10)</f>
        <v>51066000</v>
      </c>
      <c r="D6" s="29" t="s">
        <v>137</v>
      </c>
    </row>
    <row r="7" customFormat="false" ht="15" hidden="false" customHeight="false" outlineLevel="0" collapsed="false">
      <c r="A7" s="27" t="s">
        <v>138</v>
      </c>
      <c r="B7" s="28" t="s">
        <v>139</v>
      </c>
      <c r="C7" s="20" t="n">
        <f aca="false">SUM(Acuan!$K$2:$K$10)</f>
        <v>931150</v>
      </c>
      <c r="D7" s="29" t="s">
        <v>140</v>
      </c>
    </row>
    <row r="8" customFormat="false" ht="15" hidden="false" customHeight="false" outlineLevel="0" collapsed="false">
      <c r="A8" s="27" t="s">
        <v>141</v>
      </c>
      <c r="B8" s="28" t="s">
        <v>142</v>
      </c>
      <c r="C8" s="24" t="str">
        <f aca="false">INDEX(Acuan!$C$2:$C$10,MATCH(MAX(Acuan!$H$2:$H$10),Acuan!$H$2:$H$10,0))</f>
        <v>Susu cair</v>
      </c>
      <c r="D8" s="29" t="s">
        <v>143</v>
      </c>
    </row>
    <row r="9" customFormat="false" ht="15" hidden="false" customHeight="false" outlineLevel="0" collapsed="false">
      <c r="A9" s="27" t="s">
        <v>144</v>
      </c>
      <c r="B9" s="28" t="s">
        <v>145</v>
      </c>
      <c r="C9" s="24" t="str">
        <f aca="false">INDEX(Acuan!$C$2:$C$10,MATCH(MAX(Acuan!$I$2:$I$10),Acuan!$I$2:$I$10,0))</f>
        <v>Bubuk cokelat</v>
      </c>
      <c r="D9" s="29" t="s">
        <v>143</v>
      </c>
    </row>
    <row r="10" customFormat="false" ht="15" hidden="false" customHeight="false" outlineLevel="0" collapsed="false">
      <c r="A10" s="27" t="s">
        <v>146</v>
      </c>
      <c r="B10" s="28" t="s">
        <v>147</v>
      </c>
      <c r="C10" s="30" t="n">
        <f aca="false">COUNTIF(Acuan!$J$2:$J$10,"Kurang")</f>
        <v>3</v>
      </c>
      <c r="D10" s="29" t="s">
        <v>148</v>
      </c>
    </row>
    <row r="11" customFormat="false" ht="15" hidden="false" customHeight="false" outlineLevel="0" collapsed="false">
      <c r="A11" s="27" t="s">
        <v>149</v>
      </c>
      <c r="B11" s="28" t="s">
        <v>150</v>
      </c>
      <c r="C11" s="30" t="n">
        <f aca="false">COUNTIF(Data!$A$2:$A$33,"Kopi Susu")</f>
        <v>4</v>
      </c>
      <c r="D11" s="29" t="s">
        <v>151</v>
      </c>
    </row>
    <row r="12" customFormat="false" ht="15" hidden="false" customHeight="false" outlineLevel="0" collapsed="false">
      <c r="A12" s="27" t="s">
        <v>152</v>
      </c>
      <c r="B12" s="28" t="s">
        <v>153</v>
      </c>
      <c r="C12" s="20" t="n">
        <f aca="false">SUMIF(Data!$A$2:$A$33,"Teh Susu",Data!$G$2:$G$33)</f>
        <v>5320000</v>
      </c>
      <c r="D12" s="29" t="s">
        <v>154</v>
      </c>
    </row>
    <row r="13" customFormat="false" ht="15" hidden="false" customHeight="false" outlineLevel="0" collapsed="false">
      <c r="A13" s="27" t="s">
        <v>155</v>
      </c>
      <c r="B13" s="28" t="s">
        <v>156</v>
      </c>
      <c r="C13" s="20" t="n">
        <f aca="false">AVERAGE(Data!$G$2:$G$33)</f>
        <v>1595812.5</v>
      </c>
      <c r="D13" s="29" t="s">
        <v>157</v>
      </c>
    </row>
    <row r="14" customFormat="false" ht="15" hidden="false" customHeight="false" outlineLevel="0" collapsed="false">
      <c r="A14" s="27" t="s">
        <v>158</v>
      </c>
      <c r="B14" s="28" t="s">
        <v>159</v>
      </c>
      <c r="C14" s="20" t="n">
        <f aca="false">SUMIF(Data!$A$2:$A$33,"Kopi Aren",Data!$G$2:$G$33)/INDEX(Acuan!$B$2:$B$10,MATCH("Kopi Aren",Acuan!$A$2:$A$10,0))</f>
        <v>5550</v>
      </c>
      <c r="D14" s="29" t="s">
        <v>160</v>
      </c>
    </row>
    <row r="15" customFormat="false" ht="15" hidden="false" customHeight="false" outlineLevel="0" collapsed="false">
      <c r="A15" s="27" t="s">
        <v>161</v>
      </c>
      <c r="B15" s="28" t="s">
        <v>162</v>
      </c>
      <c r="C15" s="31" t="n">
        <f aca="false">INDEX(Acuan!$G$2:$G$10,MATCH("Susu cair",Acuan!$C$2:$C$10,0))/1000</f>
        <v>980.7</v>
      </c>
      <c r="D15" s="29" t="s">
        <v>163</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2026-10-17T07:49:39Z</dcterms:created>
  <dc:creator>PushExcel</dc:creator>
  <dc:description/>
  <dc:language>en-US</dc:language>
  <cp:lastModifiedBy/>
  <dcterms:modified xsi:type="dcterms:W3CDTF">2026-10-17T07:49:39Z</dcterms:modified>
  <cp:revision>0</cp:revision>
  <dc:subject/>
  <dc:title>Rencana Produksi dan Kebutuhan Bahan Minuman - Kunci</dc:title>
</cp:coreProperties>
</file>

<file path=docProps/custom.xml><?xml version="1.0" encoding="utf-8"?>
<Properties xmlns="http://schemas.openxmlformats.org/officeDocument/2006/custom-properties" xmlns:vt="http://schemas.openxmlformats.org/officeDocument/2006/docPropsVTypes"/>
</file>