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<sst xmlns="http://schemas.openxmlformats.org/spreadsheetml/2006/main" count="247" uniqueCount="139">
  <si>
    <t xml:space="preserve">Kunci Jawaban: Kartu Stok: Mutasi Barang Masuk dan Keluar Gudang</t>
  </si>
  <si>
    <t xml:space="preserve">Latihan 36 dari 56  |  Tingkat: Lanjutan  |  Perkiraan waktu: 65 menit  |  pushexcel.github.io/Pushexcel</t>
  </si>
  <si>
    <t xml:space="preserve">Skenario</t>
  </si>
  <si>
    <t xml:space="preserve">Kamu petugas gudang perlengkapan kantor PT Karya Andalan. Selama Agustus sampai Oktober 2026 tercatat 52 transaksi barang masuk dan keluar untuk 8 jenis barang. Stok awal, stok minimal, dan harga beli terakhir tiap barang ada di sheet Acuan. Barang berstatus Pesan Ulang bila stok akhir sama dengan atau di bawah stok minimal. Nilai persediaan dihitung dari stok akhir dikali harga beli terakhir.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</si>
  <si>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</si>
  <si>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</si>
  <si>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</si>
  <si>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</si>
  <si>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</si>
  <si>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</si>
  <si>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</si>
  <si>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</si>
  <si>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</si>
  <si>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</si>
  <si>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</si>
  <si>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</si>
  <si>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</si>
  <si>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Daftar soal</t>
  </si>
  <si>
    <t xml:space="preserve">No</t>
  </si>
  <si>
    <t xml:space="preserve">Soal</t>
  </si>
  <si>
    <t xml:space="preserve">Jawab di</t>
  </si>
  <si>
    <t xml:space="preserve">Rumus kunci</t>
  </si>
  <si>
    <t xml:space="preserve">1</t>
  </si>
  <si>
    <t xml:space="preserve">Ambil nama barang dari sheet Acuan berdasarkan Kode Barang.</t>
  </si>
  <si>
    <t xml:space="preserve">Sheet Data, kolom G (Nama Barang), baris 2 sampai 53</t>
  </si>
  <si>
    <t xml:space="preserve">=VLOOKUP(C2;Acuan!$A$2:$B$9;2;FALSE)</t>
  </si>
  <si>
    <t xml:space="preserve">2</t>
  </si>
  <si>
    <t xml:space="preserve">Hitung nilai transaksi: jumlah dikali harga satuan.</t>
  </si>
  <si>
    <t xml:space="preserve">Sheet Data, kolom H (Nilai Transaksi), baris 2 sampai 53</t>
  </si>
  <si>
    <t xml:space="preserve">=E2*F2</t>
  </si>
  <si>
    <t xml:space="preserve">3</t>
  </si>
  <si>
    <t xml:space="preserve">Buat jumlah bertanda: positif untuk transaksi Masuk dan negatif untuk Keluar.</t>
  </si>
  <si>
    <t xml:space="preserve">Sheet Data, kolom I (Jumlah Bertanda), baris 2 sampai 53</t>
  </si>
  <si>
    <t xml:space="preserve">=IF(D2="Masuk";E2;-E2)</t>
  </si>
  <si>
    <t xml:space="preserve">4</t>
  </si>
  <si>
    <t xml:space="preserve">Pada sheet Acuan, hitung jumlah transaksi tiap barang.</t>
  </si>
  <si>
    <t xml:space="preserve">Sheet Acuan, kolom F (Jumlah Transaksi), baris 2 sampai 9</t>
  </si>
  <si>
    <t xml:space="preserve">=COUNTIF(Data!$C$2:$C$53;A2)</t>
  </si>
  <si>
    <t xml:space="preserve">5</t>
  </si>
  <si>
    <t xml:space="preserve">Pada sheet Acuan, hitung total jumlah barang masuk tiap barang.</t>
  </si>
  <si>
    <t xml:space="preserve">Sheet Acuan, kolom G (Total Masuk), baris 2 sampai 9</t>
  </si>
  <si>
    <t xml:space="preserve">=SUMIFS(Data!$E$2:$E$53;Data!$C$2:$C$53;A2;Data!$D$2:$D$53;"Masuk")</t>
  </si>
  <si>
    <t xml:space="preserve">6</t>
  </si>
  <si>
    <t xml:space="preserve">Pada sheet Acuan, hitung total jumlah barang keluar tiap barang.</t>
  </si>
  <si>
    <t xml:space="preserve">Sheet Acuan, kolom H (Total Keluar), baris 2 sampai 9</t>
  </si>
  <si>
    <t xml:space="preserve">=SUMIFS(Data!$E$2:$E$53;Data!$C$2:$C$53;A2;Data!$D$2:$D$53;"Keluar")</t>
  </si>
  <si>
    <t xml:space="preserve">7</t>
  </si>
  <si>
    <t xml:space="preserve">Pada sheet Acuan, hitung stok akhir: stok awal ditambah total masuk dikurangi total keluar.</t>
  </si>
  <si>
    <t xml:space="preserve">Sheet Acuan, kolom I (Stok Akhir), baris 2 sampai 9</t>
  </si>
  <si>
    <t xml:space="preserve">=C2+G2-H2</t>
  </si>
  <si>
    <t xml:space="preserve">8</t>
  </si>
  <si>
    <t xml:space="preserve">Pada sheet Acuan, hitung nilai persediaan akhir: stok akhir dikali harga beli terakhir.</t>
  </si>
  <si>
    <t xml:space="preserve">Sheet Acuan, kolom J (Nilai Persediaan), baris 2 sampai 9</t>
  </si>
  <si>
    <t xml:space="preserve">=I2*E2</t>
  </si>
  <si>
    <t xml:space="preserve">9</t>
  </si>
  <si>
    <t xml:space="preserve">Pada sheet Acuan, beri status Pesan Ulang bila stok akhir sama dengan atau di bawah stok minimal. Selain itu Aman.</t>
  </si>
  <si>
    <t xml:space="preserve">Sheet Acuan, kolom K (Status), baris 2 sampai 9</t>
  </si>
  <si>
    <t xml:space="preserve">=IF(I2&lt;=D2;"Pesan Ulang";"Aman")</t>
  </si>
  <si>
    <t xml:space="preserve">10</t>
  </si>
  <si>
    <t xml:space="preserve">Berapa total nilai transaksi barang masuk dan total nilai transaksi barang keluar?</t>
  </si>
  <si>
    <t xml:space="preserve">Sheet Ringkasan, sel C4 sampai C5</t>
  </si>
  <si>
    <t xml:space="preserve">=SUMIF(Data!$D$2:$D$53;"Masuk";Data!$H$2:$H$53)
=SUMIF(Data!$D$2:$D$53;"Keluar";Data!$H$2:$H$53)</t>
  </si>
  <si>
    <t xml:space="preserve">11</t>
  </si>
  <si>
    <t xml:space="preserve">Berapa total nilai persediaan akhir, berapa barang yang berstatus Pesan Ulang, dan berapa selisih bersih jumlah barang (masuk dikurangi keluar) seluruh transaksi?</t>
  </si>
  <si>
    <t xml:space="preserve">Sheet Ringkasan, sel C6 sampai C8</t>
  </si>
  <si>
    <t xml:space="preserve">=SUM(Acuan!$J$2:$J$9)
=COUNTIF(Acuan!$K$2:$K$9;"Pesan Ulang")
=SUM(Data!$I$2:$I$53)</t>
  </si>
  <si>
    <t xml:space="preserve">12</t>
  </si>
  <si>
    <t xml:space="preserve">Barang apa yang stok akhirnya paling banyak, dan barang apa yang stok akhirnya paling sedikit?</t>
  </si>
  <si>
    <t xml:space="preserve">Sheet Ringkasan, sel C9 sampai C10</t>
  </si>
  <si>
    <t xml:space="preserve">=INDEX(Acuan!$B$2:$B$9;MATCH(MAX(Acuan!$I$2:$I$9);Acuan!$I$2:$I$9;0))
=INDEX(Acuan!$B$2:$B$9;MATCH(MIN(Acuan!$I$2:$I$9);Acuan!$I$2:$I$9;0))</t>
  </si>
  <si>
    <t xml:space="preserve">13</t>
  </si>
  <si>
    <t xml:space="preserve">Barang apa yang paling sering bertransaksi, dan berapa kali barang BRG-03 keluar?</t>
  </si>
  <si>
    <t xml:space="preserve">Sheet Ringkasan, sel C11 sampai C12</t>
  </si>
  <si>
    <t xml:space="preserve">=INDEX(Acuan!$B$2:$B$9;MATCH(MAX(Acuan!$F$2:$F$9);Acuan!$F$2:$F$9;0))
=COUNTIFS(Data!$C$2:$C$53;"BRG-03";Data!$D$2:$D$53;"Keluar")</t>
  </si>
  <si>
    <t xml:space="preserve">Tanggal</t>
  </si>
  <si>
    <t xml:space="preserve">Kode Barang</t>
  </si>
  <si>
    <t xml:space="preserve">Jenis</t>
  </si>
  <si>
    <t xml:space="preserve">Jumlah</t>
  </si>
  <si>
    <t xml:space="preserve">Harga Satuan</t>
  </si>
  <si>
    <t xml:space="preserve">Nama Barang</t>
  </si>
  <si>
    <t xml:space="preserve">Nilai Transaksi</t>
  </si>
  <si>
    <t xml:space="preserve">Jumlah Bertanda</t>
  </si>
  <si>
    <t xml:space="preserve">BRG-03</t>
  </si>
  <si>
    <t xml:space="preserve">Keluar</t>
  </si>
  <si>
    <t xml:space="preserve">BRG-04</t>
  </si>
  <si>
    <t xml:space="preserve">Masuk</t>
  </si>
  <si>
    <t xml:space="preserve">BRG-08</t>
  </si>
  <si>
    <t xml:space="preserve">BRG-01</t>
  </si>
  <si>
    <t xml:space="preserve">BRG-02</t>
  </si>
  <si>
    <t xml:space="preserve">BRG-05</t>
  </si>
  <si>
    <t xml:space="preserve">BRG-07</t>
  </si>
  <si>
    <t xml:space="preserve">BRG-06</t>
  </si>
  <si>
    <t xml:space="preserve">Stok Awal</t>
  </si>
  <si>
    <t xml:space="preserve">Stok Minimal</t>
  </si>
  <si>
    <t xml:space="preserve">Harga Beli Terakhir</t>
  </si>
  <si>
    <t xml:space="preserve">Jumlah Transaksi</t>
  </si>
  <si>
    <t xml:space="preserve">Total Masuk</t>
  </si>
  <si>
    <t xml:space="preserve">Total Keluar</t>
  </si>
  <si>
    <t xml:space="preserve">Stok Akhir</t>
  </si>
  <si>
    <t xml:space="preserve">Nilai Persediaan</t>
  </si>
  <si>
    <t xml:space="preserve">Status</t>
  </si>
  <si>
    <t xml:space="preserve">Kertas HVS A4 (rim)</t>
  </si>
  <si>
    <t xml:space="preserve">Tinta Printer Hitam</t>
  </si>
  <si>
    <t xml:space="preserve">Map Folder Plastik</t>
  </si>
  <si>
    <t xml:space="preserve">Spidol Papan Tulis</t>
  </si>
  <si>
    <t xml:space="preserve">Staples Kecil</t>
  </si>
  <si>
    <t xml:space="preserve">Amplop Coklat (pak)</t>
  </si>
  <si>
    <t xml:space="preserve">Baterai AA (pak)</t>
  </si>
  <si>
    <t xml:space="preserve">Lakban Bening</t>
  </si>
  <si>
    <t xml:space="preserve">Ringkasan: lembar jawaban soal berjenis ringkasan</t>
  </si>
  <si>
    <t xml:space="preserve">Sel hijau berisi rumus kunci.</t>
  </si>
  <si>
    <t xml:space="preserve">Pertanyaan</t>
  </si>
  <si>
    <t xml:space="preserve">Jawaban</t>
  </si>
  <si>
    <t xml:space="preserve">Contoh format hasil</t>
  </si>
  <si>
    <t xml:space="preserve">10a</t>
  </si>
  <si>
    <t xml:space="preserve">Total nilai transaksi Masuk</t>
  </si>
  <si>
    <t xml:space="preserve">Rupiah, mis. Rp 5.000.000</t>
  </si>
  <si>
    <t xml:space="preserve">10b</t>
  </si>
  <si>
    <t xml:space="preserve">Total nilai transaksi Keluar</t>
  </si>
  <si>
    <t xml:space="preserve">Rupiah, mis. Rp 4.000.000</t>
  </si>
  <si>
    <t xml:space="preserve">11a</t>
  </si>
  <si>
    <t xml:space="preserve">Total nilai persediaan akhir</t>
  </si>
  <si>
    <t xml:space="preserve">Rupiah, mis. Rp 9.000.000</t>
  </si>
  <si>
    <t xml:space="preserve">11b</t>
  </si>
  <si>
    <t xml:space="preserve">Jumlah barang Pesan Ulang</t>
  </si>
  <si>
    <t xml:space="preserve">Angka bulat, mis. 1</t>
  </si>
  <si>
    <t xml:space="preserve">11c</t>
  </si>
  <si>
    <t xml:space="preserve">Selisih bersih jumlah barang (masuk - keluar)</t>
  </si>
  <si>
    <t xml:space="preserve">Angka bulat, mis. 25</t>
  </si>
  <si>
    <t xml:space="preserve">12a</t>
  </si>
  <si>
    <t xml:space="preserve">Barang dengan stok akhir terbanyak</t>
  </si>
  <si>
    <t xml:space="preserve">Teks: nama barang</t>
  </si>
  <si>
    <t xml:space="preserve">12b</t>
  </si>
  <si>
    <t xml:space="preserve">Barang dengan stok akhir tersedikit</t>
  </si>
  <si>
    <t xml:space="preserve">13a</t>
  </si>
  <si>
    <t xml:space="preserve">Barang dengan transaksi terbanyak</t>
  </si>
  <si>
    <t xml:space="preserve">13b</t>
  </si>
  <si>
    <t xml:space="preserve">Jumlah transaksi keluar barang BRG-03</t>
  </si>
  <si>
    <t xml:space="preserve">Angka bulat, mis. 4</t>
  </si>
</sst>
</file>

<file path=xl/styles.xml><?xml version="1.0" encoding="utf-8"?>
<styleSheet xmlns="http://schemas.openxmlformats.org/spreadsheetml/2006/main">
  <numFmts count="4">
    <numFmt numFmtId="164" formatCode="General"/>
    <numFmt numFmtId="165" formatCode="0"/>
    <numFmt numFmtId="166" formatCode="dd/mm/yyyy"/>
    <numFmt numFmtId="167" formatCode="&quot;Rp &quot;#,##0"/>
  </numFmts>
  <fonts count="12">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b val="true"/>
      <sz val="13"/>
      <color rgb="FF1F4E3D"/>
      <name val="Arial"/>
      <family val="0"/>
      <charset val="1"/>
    </font>
    <font>
      <i val="true"/>
      <sz val="9"/>
      <color rgb="FF595959"/>
      <name val="Arial"/>
      <family val="0"/>
      <charset val="1"/>
    </font>
  </fonts>
  <fills count="5">
    <fill>
      <patternFill patternType="none"/>
    </fill>
    <fill>
      <patternFill patternType="gray125"/>
    </fill>
    <fill>
      <patternFill patternType="solid">
        <fgColor rgb="FF1F4E3D"/>
        <bgColor rgb="FF003366"/>
      </patternFill>
    </fill>
    <fill>
      <patternFill patternType="solid">
        <fgColor rgb="FFB45F06"/>
        <bgColor rgb="FF808000"/>
      </patternFill>
    </fill>
    <fill>
      <patternFill patternType="solid">
        <fgColor rgb="FFE2EFDA"/>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8" customFormat="false" ht="15" hidden="false" customHeight="false" outlineLevel="0" collapsed="false">
      <c r="A18" s="3" t="s">
        <v>17</v>
      </c>
    </row>
    <row r="19" customFormat="false" ht="15" hidden="false" customHeight="false" outlineLevel="0" collapsed="false">
      <c r="A19" s="10" t="s">
        <v>18</v>
      </c>
      <c r="B19" s="10" t="s">
        <v>19</v>
      </c>
      <c r="C19" s="10" t="s">
        <v>20</v>
      </c>
      <c r="D19" s="10" t="s">
        <v>21</v>
      </c>
    </row>
    <row r="20" customFormat="false" ht="30" hidden="false" customHeight="true" outlineLevel="0" collapsed="false">
      <c r="A20" s="11" t="s">
        <v>22</v>
      </c>
      <c r="B20" s="12" t="s">
        <v>23</v>
      </c>
      <c r="C20" s="12" t="s">
        <v>24</v>
      </c>
      <c r="D20" s="13" t="s">
        <v>25</v>
      </c>
    </row>
    <row r="21" customFormat="false" ht="30" hidden="false" customHeight="true" outlineLevel="0" collapsed="false">
      <c r="A21" s="11" t="s">
        <v>26</v>
      </c>
      <c r="B21" s="12" t="s">
        <v>27</v>
      </c>
      <c r="C21" s="12" t="s">
        <v>28</v>
      </c>
      <c r="D21" s="13" t="s">
        <v>29</v>
      </c>
    </row>
    <row r="22" customFormat="false" ht="30" hidden="false" customHeight="true" outlineLevel="0" collapsed="false">
      <c r="A22" s="11" t="s">
        <v>30</v>
      </c>
      <c r="B22" s="12" t="s">
        <v>31</v>
      </c>
      <c r="C22" s="12" t="s">
        <v>32</v>
      </c>
      <c r="D22" s="13" t="s">
        <v>33</v>
      </c>
    </row>
    <row r="23" customFormat="false" ht="30" hidden="false" customHeight="true" outlineLevel="0" collapsed="false">
      <c r="A23" s="11" t="s">
        <v>34</v>
      </c>
      <c r="B23" s="12" t="s">
        <v>35</v>
      </c>
      <c r="C23" s="12" t="s">
        <v>36</v>
      </c>
      <c r="D23" s="13" t="s">
        <v>37</v>
      </c>
    </row>
    <row r="24" customFormat="false" ht="30" hidden="false" customHeight="true" outlineLevel="0" collapsed="false">
      <c r="A24" s="11" t="s">
        <v>38</v>
      </c>
      <c r="B24" s="12" t="s">
        <v>39</v>
      </c>
      <c r="C24" s="12" t="s">
        <v>40</v>
      </c>
      <c r="D24" s="13" t="s">
        <v>41</v>
      </c>
    </row>
    <row r="25" customFormat="false" ht="30" hidden="false" customHeight="true" outlineLevel="0" collapsed="false">
      <c r="A25" s="11" t="s">
        <v>42</v>
      </c>
      <c r="B25" s="12" t="s">
        <v>43</v>
      </c>
      <c r="C25" s="12" t="s">
        <v>44</v>
      </c>
      <c r="D25" s="13" t="s">
        <v>45</v>
      </c>
    </row>
    <row r="26" customFormat="false" ht="30" hidden="false" customHeight="true" outlineLevel="0" collapsed="false">
      <c r="A26" s="11" t="s">
        <v>46</v>
      </c>
      <c r="B26" s="12" t="s">
        <v>47</v>
      </c>
      <c r="C26" s="12" t="s">
        <v>48</v>
      </c>
      <c r="D26" s="13" t="s">
        <v>49</v>
      </c>
    </row>
    <row r="27" customFormat="false" ht="30" hidden="false" customHeight="true" outlineLevel="0" collapsed="false">
      <c r="A27" s="11" t="s">
        <v>50</v>
      </c>
      <c r="B27" s="12" t="s">
        <v>51</v>
      </c>
      <c r="C27" s="12" t="s">
        <v>52</v>
      </c>
      <c r="D27" s="13" t="s">
        <v>53</v>
      </c>
    </row>
    <row r="28" customFormat="false" ht="30" hidden="false" customHeight="true" outlineLevel="0" collapsed="false">
      <c r="A28" s="11" t="s">
        <v>54</v>
      </c>
      <c r="B28" s="12" t="s">
        <v>55</v>
      </c>
      <c r="C28" s="12" t="s">
        <v>56</v>
      </c>
      <c r="D28" s="13" t="s">
        <v>57</v>
      </c>
    </row>
    <row r="29" customFormat="false" ht="43.5" hidden="false" customHeight="true" outlineLevel="0" collapsed="false">
      <c r="A29" s="11" t="s">
        <v>58</v>
      </c>
      <c r="B29" s="12" t="s">
        <v>59</v>
      </c>
      <c r="C29" s="12" t="s">
        <v>60</v>
      </c>
      <c r="D29" s="13" t="s">
        <v>61</v>
      </c>
    </row>
    <row r="30" customFormat="false" ht="69.75" hidden="false" customHeight="true" outlineLevel="0" collapsed="false">
      <c r="A30" s="11" t="s">
        <v>62</v>
      </c>
      <c r="B30" s="12" t="s">
        <v>63</v>
      </c>
      <c r="C30" s="12" t="s">
        <v>64</v>
      </c>
      <c r="D30" s="13" t="s">
        <v>65</v>
      </c>
    </row>
    <row r="31" customFormat="false" ht="55.5" hidden="false" customHeight="true" outlineLevel="0" collapsed="false">
      <c r="A31" s="11" t="s">
        <v>66</v>
      </c>
      <c r="B31" s="12" t="s">
        <v>67</v>
      </c>
      <c r="C31" s="12" t="s">
        <v>68</v>
      </c>
      <c r="D31" s="13" t="s">
        <v>69</v>
      </c>
    </row>
    <row r="32" customFormat="false" ht="43.5" hidden="false" customHeight="true" outlineLevel="0" collapsed="false">
      <c r="A32" s="11" t="s">
        <v>70</v>
      </c>
      <c r="B32" s="12" t="s">
        <v>71</v>
      </c>
      <c r="C32" s="12" t="s">
        <v>72</v>
      </c>
      <c r="D32" s="13" t="s">
        <v>73</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12"/>
    <col collapsed="false" customWidth="true" hidden="false" outlineLevel="0" max="5" min="4" style="0" width="9"/>
    <col collapsed="false" customWidth="true" hidden="false" outlineLevel="0" max="6" min="6" style="0" width="13"/>
    <col collapsed="false" customWidth="true" hidden="false" outlineLevel="0" max="7" min="7" style="0" width="22"/>
    <col collapsed="false" customWidth="true" hidden="false" outlineLevel="0" max="8" min="8" style="0" width="14"/>
    <col collapsed="false" customWidth="true" hidden="false" outlineLevel="0" max="9" min="9" style="0" width="12"/>
  </cols>
  <sheetData>
    <row r="1" customFormat="false" ht="33.75" hidden="false" customHeight="true" outlineLevel="0" collapsed="false">
      <c r="A1" s="10" t="s">
        <v>18</v>
      </c>
      <c r="B1" s="10" t="s">
        <v>74</v>
      </c>
      <c r="C1" s="10" t="s">
        <v>75</v>
      </c>
      <c r="D1" s="10" t="s">
        <v>76</v>
      </c>
      <c r="E1" s="10" t="s">
        <v>77</v>
      </c>
      <c r="F1" s="10" t="s">
        <v>78</v>
      </c>
      <c r="G1" s="14" t="s">
        <v>79</v>
      </c>
      <c r="H1" s="14" t="s">
        <v>80</v>
      </c>
      <c r="I1" s="14" t="s">
        <v>81</v>
      </c>
    </row>
    <row r="2" customFormat="false" ht="15" hidden="false" customHeight="false" outlineLevel="0" collapsed="false">
      <c r="A2" s="15" t="n">
        <v>1</v>
      </c>
      <c r="B2" s="16" t="n">
        <v>46237</v>
      </c>
      <c r="C2" s="17" t="s">
        <v>82</v>
      </c>
      <c r="D2" s="17" t="s">
        <v>83</v>
      </c>
      <c r="E2" s="15" t="n">
        <v>8</v>
      </c>
      <c r="F2" s="18" t="n">
        <v>2500</v>
      </c>
      <c r="G2" s="19" t="str">
        <f aca="false">VLOOKUP(C2,Acuan!$A$2:$B$9,2,FALSE())</f>
        <v>Map Folder Plastik</v>
      </c>
      <c r="H2" s="20" t="n">
        <f aca="false">E2*F2</f>
        <v>20000</v>
      </c>
      <c r="I2" s="21" t="n">
        <f aca="false">IF(D2="Masuk",E2,-E2)</f>
        <v>-8</v>
      </c>
    </row>
    <row r="3" customFormat="false" ht="15" hidden="false" customHeight="false" outlineLevel="0" collapsed="false">
      <c r="A3" s="15" t="n">
        <v>2</v>
      </c>
      <c r="B3" s="16" t="n">
        <v>46237</v>
      </c>
      <c r="C3" s="17" t="s">
        <v>84</v>
      </c>
      <c r="D3" s="17" t="s">
        <v>85</v>
      </c>
      <c r="E3" s="15" t="n">
        <v>60</v>
      </c>
      <c r="F3" s="18" t="n">
        <v>8300</v>
      </c>
      <c r="G3" s="19" t="str">
        <f aca="false">VLOOKUP(C3,Acuan!$A$2:$B$9,2,FALSE())</f>
        <v>Spidol Papan Tulis</v>
      </c>
      <c r="H3" s="20" t="n">
        <f aca="false">E3*F3</f>
        <v>498000</v>
      </c>
      <c r="I3" s="21" t="n">
        <f aca="false">IF(D3="Masuk",E3,-E3)</f>
        <v>60</v>
      </c>
    </row>
    <row r="4" customFormat="false" ht="15" hidden="false" customHeight="false" outlineLevel="0" collapsed="false">
      <c r="A4" s="15" t="n">
        <v>3</v>
      </c>
      <c r="B4" s="16" t="n">
        <v>46237</v>
      </c>
      <c r="C4" s="17" t="s">
        <v>86</v>
      </c>
      <c r="D4" s="17" t="s">
        <v>83</v>
      </c>
      <c r="E4" s="15" t="n">
        <v>3</v>
      </c>
      <c r="F4" s="18" t="n">
        <v>9800</v>
      </c>
      <c r="G4" s="19" t="str">
        <f aca="false">VLOOKUP(C4,Acuan!$A$2:$B$9,2,FALSE())</f>
        <v>Lakban Bening</v>
      </c>
      <c r="H4" s="20" t="n">
        <f aca="false">E4*F4</f>
        <v>29400</v>
      </c>
      <c r="I4" s="21" t="n">
        <f aca="false">IF(D4="Masuk",E4,-E4)</f>
        <v>-3</v>
      </c>
    </row>
    <row r="5" customFormat="false" ht="15" hidden="false" customHeight="false" outlineLevel="0" collapsed="false">
      <c r="A5" s="15" t="n">
        <v>4</v>
      </c>
      <c r="B5" s="16" t="n">
        <v>46238</v>
      </c>
      <c r="C5" s="17" t="s">
        <v>84</v>
      </c>
      <c r="D5" s="17" t="s">
        <v>85</v>
      </c>
      <c r="E5" s="15" t="n">
        <v>40</v>
      </c>
      <c r="F5" s="18" t="n">
        <v>8600</v>
      </c>
      <c r="G5" s="19" t="str">
        <f aca="false">VLOOKUP(C5,Acuan!$A$2:$B$9,2,FALSE())</f>
        <v>Spidol Papan Tulis</v>
      </c>
      <c r="H5" s="20" t="n">
        <f aca="false">E5*F5</f>
        <v>344000</v>
      </c>
      <c r="I5" s="21" t="n">
        <f aca="false">IF(D5="Masuk",E5,-E5)</f>
        <v>40</v>
      </c>
    </row>
    <row r="6" customFormat="false" ht="15" hidden="false" customHeight="false" outlineLevel="0" collapsed="false">
      <c r="A6" s="15" t="n">
        <v>5</v>
      </c>
      <c r="B6" s="16" t="n">
        <v>46239</v>
      </c>
      <c r="C6" s="17" t="s">
        <v>87</v>
      </c>
      <c r="D6" s="17" t="s">
        <v>83</v>
      </c>
      <c r="E6" s="15" t="n">
        <v>17</v>
      </c>
      <c r="F6" s="18" t="n">
        <v>48000</v>
      </c>
      <c r="G6" s="19" t="str">
        <f aca="false">VLOOKUP(C6,Acuan!$A$2:$B$9,2,FALSE())</f>
        <v>Kertas HVS A4 (rim)</v>
      </c>
      <c r="H6" s="20" t="n">
        <f aca="false">E6*F6</f>
        <v>816000</v>
      </c>
      <c r="I6" s="21" t="n">
        <f aca="false">IF(D6="Masuk",E6,-E6)</f>
        <v>-17</v>
      </c>
    </row>
    <row r="7" customFormat="false" ht="15" hidden="false" customHeight="false" outlineLevel="0" collapsed="false">
      <c r="A7" s="15" t="n">
        <v>6</v>
      </c>
      <c r="B7" s="16" t="n">
        <v>46240</v>
      </c>
      <c r="C7" s="17" t="s">
        <v>87</v>
      </c>
      <c r="D7" s="17" t="s">
        <v>85</v>
      </c>
      <c r="E7" s="15" t="n">
        <v>60</v>
      </c>
      <c r="F7" s="18" t="n">
        <v>46900</v>
      </c>
      <c r="G7" s="19" t="str">
        <f aca="false">VLOOKUP(C7,Acuan!$A$2:$B$9,2,FALSE())</f>
        <v>Kertas HVS A4 (rim)</v>
      </c>
      <c r="H7" s="20" t="n">
        <f aca="false">E7*F7</f>
        <v>2814000</v>
      </c>
      <c r="I7" s="21" t="n">
        <f aca="false">IF(D7="Masuk",E7,-E7)</f>
        <v>60</v>
      </c>
    </row>
    <row r="8" customFormat="false" ht="15" hidden="false" customHeight="false" outlineLevel="0" collapsed="false">
      <c r="A8" s="15" t="n">
        <v>7</v>
      </c>
      <c r="B8" s="16" t="n">
        <v>46241</v>
      </c>
      <c r="C8" s="17" t="s">
        <v>88</v>
      </c>
      <c r="D8" s="17" t="s">
        <v>85</v>
      </c>
      <c r="E8" s="15" t="n">
        <v>3</v>
      </c>
      <c r="F8" s="18" t="n">
        <v>83600</v>
      </c>
      <c r="G8" s="19" t="str">
        <f aca="false">VLOOKUP(C8,Acuan!$A$2:$B$9,2,FALSE())</f>
        <v>Tinta Printer Hitam</v>
      </c>
      <c r="H8" s="20" t="n">
        <f aca="false">E8*F8</f>
        <v>250800</v>
      </c>
      <c r="I8" s="21" t="n">
        <f aca="false">IF(D8="Masuk",E8,-E8)</f>
        <v>3</v>
      </c>
    </row>
    <row r="9" customFormat="false" ht="15" hidden="false" customHeight="false" outlineLevel="0" collapsed="false">
      <c r="A9" s="15" t="n">
        <v>8</v>
      </c>
      <c r="B9" s="16" t="n">
        <v>46243</v>
      </c>
      <c r="C9" s="17" t="s">
        <v>87</v>
      </c>
      <c r="D9" s="17" t="s">
        <v>83</v>
      </c>
      <c r="E9" s="15" t="n">
        <v>4</v>
      </c>
      <c r="F9" s="18" t="n">
        <v>48000</v>
      </c>
      <c r="G9" s="19" t="str">
        <f aca="false">VLOOKUP(C9,Acuan!$A$2:$B$9,2,FALSE())</f>
        <v>Kertas HVS A4 (rim)</v>
      </c>
      <c r="H9" s="20" t="n">
        <f aca="false">E9*F9</f>
        <v>192000</v>
      </c>
      <c r="I9" s="21" t="n">
        <f aca="false">IF(D9="Masuk",E9,-E9)</f>
        <v>-4</v>
      </c>
    </row>
    <row r="10" customFormat="false" ht="15" hidden="false" customHeight="false" outlineLevel="0" collapsed="false">
      <c r="A10" s="15" t="n">
        <v>9</v>
      </c>
      <c r="B10" s="16" t="n">
        <v>46247</v>
      </c>
      <c r="C10" s="17" t="s">
        <v>82</v>
      </c>
      <c r="D10" s="17" t="s">
        <v>83</v>
      </c>
      <c r="E10" s="15" t="n">
        <v>7</v>
      </c>
      <c r="F10" s="18" t="n">
        <v>2500</v>
      </c>
      <c r="G10" s="19" t="str">
        <f aca="false">VLOOKUP(C10,Acuan!$A$2:$B$9,2,FALSE())</f>
        <v>Map Folder Plastik</v>
      </c>
      <c r="H10" s="20" t="n">
        <f aca="false">E10*F10</f>
        <v>17500</v>
      </c>
      <c r="I10" s="21" t="n">
        <f aca="false">IF(D10="Masuk",E10,-E10)</f>
        <v>-7</v>
      </c>
    </row>
    <row r="11" customFormat="false" ht="15" hidden="false" customHeight="false" outlineLevel="0" collapsed="false">
      <c r="A11" s="15" t="n">
        <v>10</v>
      </c>
      <c r="B11" s="16" t="n">
        <v>46248</v>
      </c>
      <c r="C11" s="17" t="s">
        <v>89</v>
      </c>
      <c r="D11" s="17" t="s">
        <v>85</v>
      </c>
      <c r="E11" s="15" t="n">
        <v>10</v>
      </c>
      <c r="F11" s="18" t="n">
        <v>4100</v>
      </c>
      <c r="G11" s="19" t="str">
        <f aca="false">VLOOKUP(C11,Acuan!$A$2:$B$9,2,FALSE())</f>
        <v>Staples Kecil</v>
      </c>
      <c r="H11" s="20" t="n">
        <f aca="false">E11*F11</f>
        <v>41000</v>
      </c>
      <c r="I11" s="21" t="n">
        <f aca="false">IF(D11="Masuk",E11,-E11)</f>
        <v>10</v>
      </c>
    </row>
    <row r="12" customFormat="false" ht="15" hidden="false" customHeight="false" outlineLevel="0" collapsed="false">
      <c r="A12" s="15" t="n">
        <v>11</v>
      </c>
      <c r="B12" s="16" t="n">
        <v>46250</v>
      </c>
      <c r="C12" s="17" t="s">
        <v>89</v>
      </c>
      <c r="D12" s="17" t="s">
        <v>83</v>
      </c>
      <c r="E12" s="15" t="n">
        <v>11</v>
      </c>
      <c r="F12" s="18" t="n">
        <v>4200</v>
      </c>
      <c r="G12" s="19" t="str">
        <f aca="false">VLOOKUP(C12,Acuan!$A$2:$B$9,2,FALSE())</f>
        <v>Staples Kecil</v>
      </c>
      <c r="H12" s="20" t="n">
        <f aca="false">E12*F12</f>
        <v>46200</v>
      </c>
      <c r="I12" s="21" t="n">
        <f aca="false">IF(D12="Masuk",E12,-E12)</f>
        <v>-11</v>
      </c>
    </row>
    <row r="13" customFormat="false" ht="15" hidden="false" customHeight="false" outlineLevel="0" collapsed="false">
      <c r="A13" s="15" t="n">
        <v>12</v>
      </c>
      <c r="B13" s="16" t="n">
        <v>46250</v>
      </c>
      <c r="C13" s="17" t="s">
        <v>89</v>
      </c>
      <c r="D13" s="17" t="s">
        <v>83</v>
      </c>
      <c r="E13" s="15" t="n">
        <v>4</v>
      </c>
      <c r="F13" s="18" t="n">
        <v>4200</v>
      </c>
      <c r="G13" s="19" t="str">
        <f aca="false">VLOOKUP(C13,Acuan!$A$2:$B$9,2,FALSE())</f>
        <v>Staples Kecil</v>
      </c>
      <c r="H13" s="20" t="n">
        <f aca="false">E13*F13</f>
        <v>16800</v>
      </c>
      <c r="I13" s="21" t="n">
        <f aca="false">IF(D13="Masuk",E13,-E13)</f>
        <v>-4</v>
      </c>
    </row>
    <row r="14" customFormat="false" ht="15" hidden="false" customHeight="false" outlineLevel="0" collapsed="false">
      <c r="A14" s="15" t="n">
        <v>13</v>
      </c>
      <c r="B14" s="16" t="n">
        <v>46252</v>
      </c>
      <c r="C14" s="17" t="s">
        <v>89</v>
      </c>
      <c r="D14" s="17" t="s">
        <v>83</v>
      </c>
      <c r="E14" s="15" t="n">
        <v>14</v>
      </c>
      <c r="F14" s="18" t="n">
        <v>4200</v>
      </c>
      <c r="G14" s="19" t="str">
        <f aca="false">VLOOKUP(C14,Acuan!$A$2:$B$9,2,FALSE())</f>
        <v>Staples Kecil</v>
      </c>
      <c r="H14" s="20" t="n">
        <f aca="false">E14*F14</f>
        <v>58800</v>
      </c>
      <c r="I14" s="21" t="n">
        <f aca="false">IF(D14="Masuk",E14,-E14)</f>
        <v>-14</v>
      </c>
    </row>
    <row r="15" customFormat="false" ht="15" hidden="false" customHeight="false" outlineLevel="0" collapsed="false">
      <c r="A15" s="15" t="n">
        <v>14</v>
      </c>
      <c r="B15" s="16" t="n">
        <v>46254</v>
      </c>
      <c r="C15" s="17" t="s">
        <v>89</v>
      </c>
      <c r="D15" s="17" t="s">
        <v>83</v>
      </c>
      <c r="E15" s="15" t="n">
        <v>12</v>
      </c>
      <c r="F15" s="18" t="n">
        <v>4200</v>
      </c>
      <c r="G15" s="19" t="str">
        <f aca="false">VLOOKUP(C15,Acuan!$A$2:$B$9,2,FALSE())</f>
        <v>Staples Kecil</v>
      </c>
      <c r="H15" s="20" t="n">
        <f aca="false">E15*F15</f>
        <v>50400</v>
      </c>
      <c r="I15" s="21" t="n">
        <f aca="false">IF(D15="Masuk",E15,-E15)</f>
        <v>-12</v>
      </c>
    </row>
    <row r="16" customFormat="false" ht="15" hidden="false" customHeight="false" outlineLevel="0" collapsed="false">
      <c r="A16" s="15" t="n">
        <v>15</v>
      </c>
      <c r="B16" s="16" t="n">
        <v>46256</v>
      </c>
      <c r="C16" s="17" t="s">
        <v>82</v>
      </c>
      <c r="D16" s="17" t="s">
        <v>83</v>
      </c>
      <c r="E16" s="15" t="n">
        <v>13</v>
      </c>
      <c r="F16" s="18" t="n">
        <v>2500</v>
      </c>
      <c r="G16" s="19" t="str">
        <f aca="false">VLOOKUP(C16,Acuan!$A$2:$B$9,2,FALSE())</f>
        <v>Map Folder Plastik</v>
      </c>
      <c r="H16" s="20" t="n">
        <f aca="false">E16*F16</f>
        <v>32500</v>
      </c>
      <c r="I16" s="21" t="n">
        <f aca="false">IF(D16="Masuk",E16,-E16)</f>
        <v>-13</v>
      </c>
    </row>
    <row r="17" customFormat="false" ht="15" hidden="false" customHeight="false" outlineLevel="0" collapsed="false">
      <c r="A17" s="15" t="n">
        <v>16</v>
      </c>
      <c r="B17" s="16" t="n">
        <v>46257</v>
      </c>
      <c r="C17" s="17" t="s">
        <v>88</v>
      </c>
      <c r="D17" s="17" t="s">
        <v>83</v>
      </c>
      <c r="E17" s="15" t="n">
        <v>5</v>
      </c>
      <c r="F17" s="18" t="n">
        <v>85000</v>
      </c>
      <c r="G17" s="19" t="str">
        <f aca="false">VLOOKUP(C17,Acuan!$A$2:$B$9,2,FALSE())</f>
        <v>Tinta Printer Hitam</v>
      </c>
      <c r="H17" s="20" t="n">
        <f aca="false">E17*F17</f>
        <v>425000</v>
      </c>
      <c r="I17" s="21" t="n">
        <f aca="false">IF(D17="Masuk",E17,-E17)</f>
        <v>-5</v>
      </c>
    </row>
    <row r="18" customFormat="false" ht="15" hidden="false" customHeight="false" outlineLevel="0" collapsed="false">
      <c r="A18" s="15" t="n">
        <v>17</v>
      </c>
      <c r="B18" s="16" t="n">
        <v>46258</v>
      </c>
      <c r="C18" s="17" t="s">
        <v>87</v>
      </c>
      <c r="D18" s="17" t="s">
        <v>83</v>
      </c>
      <c r="E18" s="15" t="n">
        <v>13</v>
      </c>
      <c r="F18" s="18" t="n">
        <v>48000</v>
      </c>
      <c r="G18" s="19" t="str">
        <f aca="false">VLOOKUP(C18,Acuan!$A$2:$B$9,2,FALSE())</f>
        <v>Kertas HVS A4 (rim)</v>
      </c>
      <c r="H18" s="20" t="n">
        <f aca="false">E18*F18</f>
        <v>624000</v>
      </c>
      <c r="I18" s="21" t="n">
        <f aca="false">IF(D18="Masuk",E18,-E18)</f>
        <v>-13</v>
      </c>
    </row>
    <row r="19" customFormat="false" ht="15" hidden="false" customHeight="false" outlineLevel="0" collapsed="false">
      <c r="A19" s="15" t="n">
        <v>18</v>
      </c>
      <c r="B19" s="16" t="n">
        <v>46258</v>
      </c>
      <c r="C19" s="17" t="s">
        <v>90</v>
      </c>
      <c r="D19" s="17" t="s">
        <v>83</v>
      </c>
      <c r="E19" s="15" t="n">
        <v>12</v>
      </c>
      <c r="F19" s="18" t="n">
        <v>14500</v>
      </c>
      <c r="G19" s="19" t="str">
        <f aca="false">VLOOKUP(C19,Acuan!$A$2:$B$9,2,FALSE())</f>
        <v>Baterai AA (pak)</v>
      </c>
      <c r="H19" s="20" t="n">
        <f aca="false">E19*F19</f>
        <v>174000</v>
      </c>
      <c r="I19" s="21" t="n">
        <f aca="false">IF(D19="Masuk",E19,-E19)</f>
        <v>-12</v>
      </c>
    </row>
    <row r="20" customFormat="false" ht="15" hidden="false" customHeight="false" outlineLevel="0" collapsed="false">
      <c r="A20" s="15" t="n">
        <v>19</v>
      </c>
      <c r="B20" s="16" t="n">
        <v>46259</v>
      </c>
      <c r="C20" s="17" t="s">
        <v>88</v>
      </c>
      <c r="D20" s="17" t="s">
        <v>83</v>
      </c>
      <c r="E20" s="15" t="n">
        <v>6</v>
      </c>
      <c r="F20" s="18" t="n">
        <v>85000</v>
      </c>
      <c r="G20" s="19" t="str">
        <f aca="false">VLOOKUP(C20,Acuan!$A$2:$B$9,2,FALSE())</f>
        <v>Tinta Printer Hitam</v>
      </c>
      <c r="H20" s="20" t="n">
        <f aca="false">E20*F20</f>
        <v>510000</v>
      </c>
      <c r="I20" s="21" t="n">
        <f aca="false">IF(D20="Masuk",E20,-E20)</f>
        <v>-6</v>
      </c>
    </row>
    <row r="21" customFormat="false" ht="15" hidden="false" customHeight="false" outlineLevel="0" collapsed="false">
      <c r="A21" s="15" t="n">
        <v>20</v>
      </c>
      <c r="B21" s="16" t="n">
        <v>46260</v>
      </c>
      <c r="C21" s="17" t="s">
        <v>89</v>
      </c>
      <c r="D21" s="17" t="s">
        <v>83</v>
      </c>
      <c r="E21" s="15" t="n">
        <v>2</v>
      </c>
      <c r="F21" s="18" t="n">
        <v>4200</v>
      </c>
      <c r="G21" s="19" t="str">
        <f aca="false">VLOOKUP(C21,Acuan!$A$2:$B$9,2,FALSE())</f>
        <v>Staples Kecil</v>
      </c>
      <c r="H21" s="20" t="n">
        <f aca="false">E21*F21</f>
        <v>8400</v>
      </c>
      <c r="I21" s="21" t="n">
        <f aca="false">IF(D21="Masuk",E21,-E21)</f>
        <v>-2</v>
      </c>
    </row>
    <row r="22" customFormat="false" ht="15" hidden="false" customHeight="false" outlineLevel="0" collapsed="false">
      <c r="A22" s="15" t="n">
        <v>21</v>
      </c>
      <c r="B22" s="16" t="n">
        <v>46261</v>
      </c>
      <c r="C22" s="17" t="s">
        <v>84</v>
      </c>
      <c r="D22" s="17" t="s">
        <v>83</v>
      </c>
      <c r="E22" s="15" t="n">
        <v>11</v>
      </c>
      <c r="F22" s="18" t="n">
        <v>8500</v>
      </c>
      <c r="G22" s="19" t="str">
        <f aca="false">VLOOKUP(C22,Acuan!$A$2:$B$9,2,FALSE())</f>
        <v>Spidol Papan Tulis</v>
      </c>
      <c r="H22" s="20" t="n">
        <f aca="false">E22*F22</f>
        <v>93500</v>
      </c>
      <c r="I22" s="21" t="n">
        <f aca="false">IF(D22="Masuk",E22,-E22)</f>
        <v>-11</v>
      </c>
    </row>
    <row r="23" customFormat="false" ht="15" hidden="false" customHeight="false" outlineLevel="0" collapsed="false">
      <c r="A23" s="15" t="n">
        <v>22</v>
      </c>
      <c r="B23" s="16" t="n">
        <v>46261</v>
      </c>
      <c r="C23" s="17" t="s">
        <v>88</v>
      </c>
      <c r="D23" s="17" t="s">
        <v>83</v>
      </c>
      <c r="E23" s="15" t="n">
        <v>4</v>
      </c>
      <c r="F23" s="18" t="n">
        <v>85000</v>
      </c>
      <c r="G23" s="19" t="str">
        <f aca="false">VLOOKUP(C23,Acuan!$A$2:$B$9,2,FALSE())</f>
        <v>Tinta Printer Hitam</v>
      </c>
      <c r="H23" s="20" t="n">
        <f aca="false">E23*F23</f>
        <v>340000</v>
      </c>
      <c r="I23" s="21" t="n">
        <f aca="false">IF(D23="Masuk",E23,-E23)</f>
        <v>-4</v>
      </c>
    </row>
    <row r="24" customFormat="false" ht="15" hidden="false" customHeight="false" outlineLevel="0" collapsed="false">
      <c r="A24" s="15" t="n">
        <v>23</v>
      </c>
      <c r="B24" s="16" t="n">
        <v>46262</v>
      </c>
      <c r="C24" s="17" t="s">
        <v>91</v>
      </c>
      <c r="D24" s="17" t="s">
        <v>85</v>
      </c>
      <c r="E24" s="15" t="n">
        <v>6</v>
      </c>
      <c r="F24" s="18" t="n">
        <v>21100</v>
      </c>
      <c r="G24" s="19" t="str">
        <f aca="false">VLOOKUP(C24,Acuan!$A$2:$B$9,2,FALSE())</f>
        <v>Amplop Coklat (pak)</v>
      </c>
      <c r="H24" s="20" t="n">
        <f aca="false">E24*F24</f>
        <v>126600</v>
      </c>
      <c r="I24" s="21" t="n">
        <f aca="false">IF(D24="Masuk",E24,-E24)</f>
        <v>6</v>
      </c>
    </row>
    <row r="25" customFormat="false" ht="15" hidden="false" customHeight="false" outlineLevel="0" collapsed="false">
      <c r="A25" s="15" t="n">
        <v>24</v>
      </c>
      <c r="B25" s="16" t="n">
        <v>46263</v>
      </c>
      <c r="C25" s="17" t="s">
        <v>84</v>
      </c>
      <c r="D25" s="17" t="s">
        <v>85</v>
      </c>
      <c r="E25" s="15" t="n">
        <v>50</v>
      </c>
      <c r="F25" s="18" t="n">
        <v>8600</v>
      </c>
      <c r="G25" s="19" t="str">
        <f aca="false">VLOOKUP(C25,Acuan!$A$2:$B$9,2,FALSE())</f>
        <v>Spidol Papan Tulis</v>
      </c>
      <c r="H25" s="20" t="n">
        <f aca="false">E25*F25</f>
        <v>430000</v>
      </c>
      <c r="I25" s="21" t="n">
        <f aca="false">IF(D25="Masuk",E25,-E25)</f>
        <v>50</v>
      </c>
    </row>
    <row r="26" customFormat="false" ht="15" hidden="false" customHeight="false" outlineLevel="0" collapsed="false">
      <c r="A26" s="15" t="n">
        <v>25</v>
      </c>
      <c r="B26" s="16" t="n">
        <v>46263</v>
      </c>
      <c r="C26" s="17" t="s">
        <v>86</v>
      </c>
      <c r="D26" s="17" t="s">
        <v>83</v>
      </c>
      <c r="E26" s="15" t="n">
        <v>3</v>
      </c>
      <c r="F26" s="18" t="n">
        <v>9800</v>
      </c>
      <c r="G26" s="19" t="str">
        <f aca="false">VLOOKUP(C26,Acuan!$A$2:$B$9,2,FALSE())</f>
        <v>Lakban Bening</v>
      </c>
      <c r="H26" s="20" t="n">
        <f aca="false">E26*F26</f>
        <v>29400</v>
      </c>
      <c r="I26" s="21" t="n">
        <f aca="false">IF(D26="Masuk",E26,-E26)</f>
        <v>-3</v>
      </c>
    </row>
    <row r="27" customFormat="false" ht="15" hidden="false" customHeight="false" outlineLevel="0" collapsed="false">
      <c r="A27" s="15" t="n">
        <v>26</v>
      </c>
      <c r="B27" s="16" t="n">
        <v>46264</v>
      </c>
      <c r="C27" s="17" t="s">
        <v>88</v>
      </c>
      <c r="D27" s="17" t="s">
        <v>85</v>
      </c>
      <c r="E27" s="15" t="n">
        <v>6</v>
      </c>
      <c r="F27" s="18" t="n">
        <v>87500</v>
      </c>
      <c r="G27" s="19" t="str">
        <f aca="false">VLOOKUP(C27,Acuan!$A$2:$B$9,2,FALSE())</f>
        <v>Tinta Printer Hitam</v>
      </c>
      <c r="H27" s="20" t="n">
        <f aca="false">E27*F27</f>
        <v>525000</v>
      </c>
      <c r="I27" s="21" t="n">
        <f aca="false">IF(D27="Masuk",E27,-E27)</f>
        <v>6</v>
      </c>
    </row>
    <row r="28" customFormat="false" ht="15" hidden="false" customHeight="false" outlineLevel="0" collapsed="false">
      <c r="A28" s="15" t="n">
        <v>27</v>
      </c>
      <c r="B28" s="16" t="n">
        <v>46264</v>
      </c>
      <c r="C28" s="17" t="s">
        <v>82</v>
      </c>
      <c r="D28" s="17" t="s">
        <v>83</v>
      </c>
      <c r="E28" s="15" t="n">
        <v>21</v>
      </c>
      <c r="F28" s="18" t="n">
        <v>2500</v>
      </c>
      <c r="G28" s="19" t="str">
        <f aca="false">VLOOKUP(C28,Acuan!$A$2:$B$9,2,FALSE())</f>
        <v>Map Folder Plastik</v>
      </c>
      <c r="H28" s="20" t="n">
        <f aca="false">E28*F28</f>
        <v>52500</v>
      </c>
      <c r="I28" s="21" t="n">
        <f aca="false">IF(D28="Masuk",E28,-E28)</f>
        <v>-21</v>
      </c>
    </row>
    <row r="29" customFormat="false" ht="15" hidden="false" customHeight="false" outlineLevel="0" collapsed="false">
      <c r="A29" s="15" t="n">
        <v>28</v>
      </c>
      <c r="B29" s="16" t="n">
        <v>46264</v>
      </c>
      <c r="C29" s="17" t="s">
        <v>91</v>
      </c>
      <c r="D29" s="17" t="s">
        <v>85</v>
      </c>
      <c r="E29" s="15" t="n">
        <v>8</v>
      </c>
      <c r="F29" s="18" t="n">
        <v>20500</v>
      </c>
      <c r="G29" s="19" t="str">
        <f aca="false">VLOOKUP(C29,Acuan!$A$2:$B$9,2,FALSE())</f>
        <v>Amplop Coklat (pak)</v>
      </c>
      <c r="H29" s="20" t="n">
        <f aca="false">E29*F29</f>
        <v>164000</v>
      </c>
      <c r="I29" s="21" t="n">
        <f aca="false">IF(D29="Masuk",E29,-E29)</f>
        <v>8</v>
      </c>
    </row>
    <row r="30" customFormat="false" ht="15" hidden="false" customHeight="false" outlineLevel="0" collapsed="false">
      <c r="A30" s="15" t="n">
        <v>29</v>
      </c>
      <c r="B30" s="16" t="n">
        <v>46265</v>
      </c>
      <c r="C30" s="17" t="s">
        <v>89</v>
      </c>
      <c r="D30" s="17" t="s">
        <v>85</v>
      </c>
      <c r="E30" s="15" t="n">
        <v>10</v>
      </c>
      <c r="F30" s="18" t="n">
        <v>4300</v>
      </c>
      <c r="G30" s="19" t="str">
        <f aca="false">VLOOKUP(C30,Acuan!$A$2:$B$9,2,FALSE())</f>
        <v>Staples Kecil</v>
      </c>
      <c r="H30" s="20" t="n">
        <f aca="false">E30*F30</f>
        <v>43000</v>
      </c>
      <c r="I30" s="21" t="n">
        <f aca="false">IF(D30="Masuk",E30,-E30)</f>
        <v>10</v>
      </c>
    </row>
    <row r="31" customFormat="false" ht="15" hidden="false" customHeight="false" outlineLevel="0" collapsed="false">
      <c r="A31" s="15" t="n">
        <v>30</v>
      </c>
      <c r="B31" s="16" t="n">
        <v>46266</v>
      </c>
      <c r="C31" s="17" t="s">
        <v>86</v>
      </c>
      <c r="D31" s="17" t="s">
        <v>83</v>
      </c>
      <c r="E31" s="15" t="n">
        <v>15</v>
      </c>
      <c r="F31" s="18" t="n">
        <v>9800</v>
      </c>
      <c r="G31" s="19" t="str">
        <f aca="false">VLOOKUP(C31,Acuan!$A$2:$B$9,2,FALSE())</f>
        <v>Lakban Bening</v>
      </c>
      <c r="H31" s="20" t="n">
        <f aca="false">E31*F31</f>
        <v>147000</v>
      </c>
      <c r="I31" s="21" t="n">
        <f aca="false">IF(D31="Masuk",E31,-E31)</f>
        <v>-15</v>
      </c>
    </row>
    <row r="32" customFormat="false" ht="15" hidden="false" customHeight="false" outlineLevel="0" collapsed="false">
      <c r="A32" s="15" t="n">
        <v>31</v>
      </c>
      <c r="B32" s="16" t="n">
        <v>46270</v>
      </c>
      <c r="C32" s="17" t="s">
        <v>82</v>
      </c>
      <c r="D32" s="17" t="s">
        <v>85</v>
      </c>
      <c r="E32" s="15" t="n">
        <v>20</v>
      </c>
      <c r="F32" s="18" t="n">
        <v>2400</v>
      </c>
      <c r="G32" s="19" t="str">
        <f aca="false">VLOOKUP(C32,Acuan!$A$2:$B$9,2,FALSE())</f>
        <v>Map Folder Plastik</v>
      </c>
      <c r="H32" s="20" t="n">
        <f aca="false">E32*F32</f>
        <v>48000</v>
      </c>
      <c r="I32" s="21" t="n">
        <f aca="false">IF(D32="Masuk",E32,-E32)</f>
        <v>20</v>
      </c>
    </row>
    <row r="33" customFormat="false" ht="15" hidden="false" customHeight="false" outlineLevel="0" collapsed="false">
      <c r="A33" s="15" t="n">
        <v>32</v>
      </c>
      <c r="B33" s="16" t="n">
        <v>46271</v>
      </c>
      <c r="C33" s="17" t="s">
        <v>88</v>
      </c>
      <c r="D33" s="17" t="s">
        <v>83</v>
      </c>
      <c r="E33" s="15" t="n">
        <v>6</v>
      </c>
      <c r="F33" s="18" t="n">
        <v>85000</v>
      </c>
      <c r="G33" s="19" t="str">
        <f aca="false">VLOOKUP(C33,Acuan!$A$2:$B$9,2,FALSE())</f>
        <v>Tinta Printer Hitam</v>
      </c>
      <c r="H33" s="20" t="n">
        <f aca="false">E33*F33</f>
        <v>510000</v>
      </c>
      <c r="I33" s="21" t="n">
        <f aca="false">IF(D33="Masuk",E33,-E33)</f>
        <v>-6</v>
      </c>
    </row>
    <row r="34" customFormat="false" ht="15" hidden="false" customHeight="false" outlineLevel="0" collapsed="false">
      <c r="A34" s="15" t="n">
        <v>33</v>
      </c>
      <c r="B34" s="16" t="n">
        <v>46271</v>
      </c>
      <c r="C34" s="17" t="s">
        <v>89</v>
      </c>
      <c r="D34" s="17" t="s">
        <v>83</v>
      </c>
      <c r="E34" s="15" t="n">
        <v>7</v>
      </c>
      <c r="F34" s="18" t="n">
        <v>4200</v>
      </c>
      <c r="G34" s="19" t="str">
        <f aca="false">VLOOKUP(C34,Acuan!$A$2:$B$9,2,FALSE())</f>
        <v>Staples Kecil</v>
      </c>
      <c r="H34" s="20" t="n">
        <f aca="false">E34*F34</f>
        <v>29400</v>
      </c>
      <c r="I34" s="21" t="n">
        <f aca="false">IF(D34="Masuk",E34,-E34)</f>
        <v>-7</v>
      </c>
    </row>
    <row r="35" customFormat="false" ht="15" hidden="false" customHeight="false" outlineLevel="0" collapsed="false">
      <c r="A35" s="15" t="n">
        <v>34</v>
      </c>
      <c r="B35" s="16" t="n">
        <v>46273</v>
      </c>
      <c r="C35" s="17" t="s">
        <v>86</v>
      </c>
      <c r="D35" s="17" t="s">
        <v>83</v>
      </c>
      <c r="E35" s="15" t="n">
        <v>8</v>
      </c>
      <c r="F35" s="18" t="n">
        <v>9800</v>
      </c>
      <c r="G35" s="19" t="str">
        <f aca="false">VLOOKUP(C35,Acuan!$A$2:$B$9,2,FALSE())</f>
        <v>Lakban Bening</v>
      </c>
      <c r="H35" s="20" t="n">
        <f aca="false">E35*F35</f>
        <v>78400</v>
      </c>
      <c r="I35" s="21" t="n">
        <f aca="false">IF(D35="Masuk",E35,-E35)</f>
        <v>-8</v>
      </c>
    </row>
    <row r="36" customFormat="false" ht="15" hidden="false" customHeight="false" outlineLevel="0" collapsed="false">
      <c r="A36" s="15" t="n">
        <v>35</v>
      </c>
      <c r="B36" s="16" t="n">
        <v>46276</v>
      </c>
      <c r="C36" s="17" t="s">
        <v>82</v>
      </c>
      <c r="D36" s="17" t="s">
        <v>83</v>
      </c>
      <c r="E36" s="15" t="n">
        <v>23</v>
      </c>
      <c r="F36" s="18" t="n">
        <v>2500</v>
      </c>
      <c r="G36" s="19" t="str">
        <f aca="false">VLOOKUP(C36,Acuan!$A$2:$B$9,2,FALSE())</f>
        <v>Map Folder Plastik</v>
      </c>
      <c r="H36" s="20" t="n">
        <f aca="false">E36*F36</f>
        <v>57500</v>
      </c>
      <c r="I36" s="21" t="n">
        <f aca="false">IF(D36="Masuk",E36,-E36)</f>
        <v>-23</v>
      </c>
    </row>
    <row r="37" customFormat="false" ht="15" hidden="false" customHeight="false" outlineLevel="0" collapsed="false">
      <c r="A37" s="15" t="n">
        <v>36</v>
      </c>
      <c r="B37" s="16" t="n">
        <v>46280</v>
      </c>
      <c r="C37" s="17" t="s">
        <v>91</v>
      </c>
      <c r="D37" s="17" t="s">
        <v>85</v>
      </c>
      <c r="E37" s="15" t="n">
        <v>3</v>
      </c>
      <c r="F37" s="18" t="n">
        <v>21300</v>
      </c>
      <c r="G37" s="19" t="str">
        <f aca="false">VLOOKUP(C37,Acuan!$A$2:$B$9,2,FALSE())</f>
        <v>Amplop Coklat (pak)</v>
      </c>
      <c r="H37" s="20" t="n">
        <f aca="false">E37*F37</f>
        <v>63900</v>
      </c>
      <c r="I37" s="21" t="n">
        <f aca="false">IF(D37="Masuk",E37,-E37)</f>
        <v>3</v>
      </c>
    </row>
    <row r="38" customFormat="false" ht="15" hidden="false" customHeight="false" outlineLevel="0" collapsed="false">
      <c r="A38" s="15" t="n">
        <v>37</v>
      </c>
      <c r="B38" s="16" t="n">
        <v>46282</v>
      </c>
      <c r="C38" s="17" t="s">
        <v>90</v>
      </c>
      <c r="D38" s="17" t="s">
        <v>83</v>
      </c>
      <c r="E38" s="15" t="n">
        <v>8</v>
      </c>
      <c r="F38" s="18" t="n">
        <v>14500</v>
      </c>
      <c r="G38" s="19" t="str">
        <f aca="false">VLOOKUP(C38,Acuan!$A$2:$B$9,2,FALSE())</f>
        <v>Baterai AA (pak)</v>
      </c>
      <c r="H38" s="20" t="n">
        <f aca="false">E38*F38</f>
        <v>116000</v>
      </c>
      <c r="I38" s="21" t="n">
        <f aca="false">IF(D38="Masuk",E38,-E38)</f>
        <v>-8</v>
      </c>
    </row>
    <row r="39" customFormat="false" ht="15" hidden="false" customHeight="false" outlineLevel="0" collapsed="false">
      <c r="A39" s="15" t="n">
        <v>38</v>
      </c>
      <c r="B39" s="16" t="n">
        <v>46286</v>
      </c>
      <c r="C39" s="17" t="s">
        <v>88</v>
      </c>
      <c r="D39" s="17" t="s">
        <v>85</v>
      </c>
      <c r="E39" s="15" t="n">
        <v>10</v>
      </c>
      <c r="F39" s="18" t="n">
        <v>85400</v>
      </c>
      <c r="G39" s="19" t="str">
        <f aca="false">VLOOKUP(C39,Acuan!$A$2:$B$9,2,FALSE())</f>
        <v>Tinta Printer Hitam</v>
      </c>
      <c r="H39" s="20" t="n">
        <f aca="false">E39*F39</f>
        <v>854000</v>
      </c>
      <c r="I39" s="21" t="n">
        <f aca="false">IF(D39="Masuk",E39,-E39)</f>
        <v>10</v>
      </c>
    </row>
    <row r="40" customFormat="false" ht="15" hidden="false" customHeight="false" outlineLevel="0" collapsed="false">
      <c r="A40" s="15" t="n">
        <v>39</v>
      </c>
      <c r="B40" s="16" t="n">
        <v>46286</v>
      </c>
      <c r="C40" s="17" t="s">
        <v>89</v>
      </c>
      <c r="D40" s="17" t="s">
        <v>83</v>
      </c>
      <c r="E40" s="15" t="n">
        <v>8</v>
      </c>
      <c r="F40" s="18" t="n">
        <v>4200</v>
      </c>
      <c r="G40" s="19" t="str">
        <f aca="false">VLOOKUP(C40,Acuan!$A$2:$B$9,2,FALSE())</f>
        <v>Staples Kecil</v>
      </c>
      <c r="H40" s="20" t="n">
        <f aca="false">E40*F40</f>
        <v>33600</v>
      </c>
      <c r="I40" s="21" t="n">
        <f aca="false">IF(D40="Masuk",E40,-E40)</f>
        <v>-8</v>
      </c>
    </row>
    <row r="41" customFormat="false" ht="15" hidden="false" customHeight="false" outlineLevel="0" collapsed="false">
      <c r="A41" s="15" t="n">
        <v>40</v>
      </c>
      <c r="B41" s="16" t="n">
        <v>46287</v>
      </c>
      <c r="C41" s="17" t="s">
        <v>86</v>
      </c>
      <c r="D41" s="17" t="s">
        <v>83</v>
      </c>
      <c r="E41" s="15" t="n">
        <v>9</v>
      </c>
      <c r="F41" s="18" t="n">
        <v>9800</v>
      </c>
      <c r="G41" s="19" t="str">
        <f aca="false">VLOOKUP(C41,Acuan!$A$2:$B$9,2,FALSE())</f>
        <v>Lakban Bening</v>
      </c>
      <c r="H41" s="20" t="n">
        <f aca="false">E41*F41</f>
        <v>88200</v>
      </c>
      <c r="I41" s="21" t="n">
        <f aca="false">IF(D41="Masuk",E41,-E41)</f>
        <v>-9</v>
      </c>
    </row>
    <row r="42" customFormat="false" ht="15" hidden="false" customHeight="false" outlineLevel="0" collapsed="false">
      <c r="A42" s="15" t="n">
        <v>41</v>
      </c>
      <c r="B42" s="16" t="n">
        <v>46287</v>
      </c>
      <c r="C42" s="17" t="s">
        <v>86</v>
      </c>
      <c r="D42" s="17" t="s">
        <v>85</v>
      </c>
      <c r="E42" s="15" t="n">
        <v>15</v>
      </c>
      <c r="F42" s="18" t="n">
        <v>9700</v>
      </c>
      <c r="G42" s="19" t="str">
        <f aca="false">VLOOKUP(C42,Acuan!$A$2:$B$9,2,FALSE())</f>
        <v>Lakban Bening</v>
      </c>
      <c r="H42" s="20" t="n">
        <f aca="false">E42*F42</f>
        <v>145500</v>
      </c>
      <c r="I42" s="21" t="n">
        <f aca="false">IF(D42="Masuk",E42,-E42)</f>
        <v>15</v>
      </c>
    </row>
    <row r="43" customFormat="false" ht="15" hidden="false" customHeight="false" outlineLevel="0" collapsed="false">
      <c r="A43" s="15" t="n">
        <v>42</v>
      </c>
      <c r="B43" s="16" t="n">
        <v>46288</v>
      </c>
      <c r="C43" s="17" t="s">
        <v>88</v>
      </c>
      <c r="D43" s="17" t="s">
        <v>85</v>
      </c>
      <c r="E43" s="15" t="n">
        <v>8</v>
      </c>
      <c r="F43" s="18" t="n">
        <v>82800</v>
      </c>
      <c r="G43" s="19" t="str">
        <f aca="false">VLOOKUP(C43,Acuan!$A$2:$B$9,2,FALSE())</f>
        <v>Tinta Printer Hitam</v>
      </c>
      <c r="H43" s="20" t="n">
        <f aca="false">E43*F43</f>
        <v>662400</v>
      </c>
      <c r="I43" s="21" t="n">
        <f aca="false">IF(D43="Masuk",E43,-E43)</f>
        <v>8</v>
      </c>
    </row>
    <row r="44" customFormat="false" ht="15" hidden="false" customHeight="false" outlineLevel="0" collapsed="false">
      <c r="A44" s="15" t="n">
        <v>43</v>
      </c>
      <c r="B44" s="16" t="n">
        <v>46292</v>
      </c>
      <c r="C44" s="17" t="s">
        <v>90</v>
      </c>
      <c r="D44" s="17" t="s">
        <v>83</v>
      </c>
      <c r="E44" s="15" t="n">
        <v>2</v>
      </c>
      <c r="F44" s="18" t="n">
        <v>14500</v>
      </c>
      <c r="G44" s="19" t="str">
        <f aca="false">VLOOKUP(C44,Acuan!$A$2:$B$9,2,FALSE())</f>
        <v>Baterai AA (pak)</v>
      </c>
      <c r="H44" s="20" t="n">
        <f aca="false">E44*F44</f>
        <v>29000</v>
      </c>
      <c r="I44" s="21" t="n">
        <f aca="false">IF(D44="Masuk",E44,-E44)</f>
        <v>-2</v>
      </c>
    </row>
    <row r="45" customFormat="false" ht="15" hidden="false" customHeight="false" outlineLevel="0" collapsed="false">
      <c r="A45" s="15" t="n">
        <v>44</v>
      </c>
      <c r="B45" s="16" t="n">
        <v>46293</v>
      </c>
      <c r="C45" s="17" t="s">
        <v>88</v>
      </c>
      <c r="D45" s="17" t="s">
        <v>83</v>
      </c>
      <c r="E45" s="15" t="n">
        <v>4</v>
      </c>
      <c r="F45" s="18" t="n">
        <v>85000</v>
      </c>
      <c r="G45" s="19" t="str">
        <f aca="false">VLOOKUP(C45,Acuan!$A$2:$B$9,2,FALSE())</f>
        <v>Tinta Printer Hitam</v>
      </c>
      <c r="H45" s="20" t="n">
        <f aca="false">E45*F45</f>
        <v>340000</v>
      </c>
      <c r="I45" s="21" t="n">
        <f aca="false">IF(D45="Masuk",E45,-E45)</f>
        <v>-4</v>
      </c>
    </row>
    <row r="46" customFormat="false" ht="15" hidden="false" customHeight="false" outlineLevel="0" collapsed="false">
      <c r="A46" s="15" t="n">
        <v>45</v>
      </c>
      <c r="B46" s="16" t="n">
        <v>46293</v>
      </c>
      <c r="C46" s="17" t="s">
        <v>86</v>
      </c>
      <c r="D46" s="17" t="s">
        <v>83</v>
      </c>
      <c r="E46" s="15" t="n">
        <v>14</v>
      </c>
      <c r="F46" s="18" t="n">
        <v>9800</v>
      </c>
      <c r="G46" s="19" t="str">
        <f aca="false">VLOOKUP(C46,Acuan!$A$2:$B$9,2,FALSE())</f>
        <v>Lakban Bening</v>
      </c>
      <c r="H46" s="20" t="n">
        <f aca="false">E46*F46</f>
        <v>137200</v>
      </c>
      <c r="I46" s="21" t="n">
        <f aca="false">IF(D46="Masuk",E46,-E46)</f>
        <v>-14</v>
      </c>
    </row>
    <row r="47" customFormat="false" ht="15" hidden="false" customHeight="false" outlineLevel="0" collapsed="false">
      <c r="A47" s="15" t="n">
        <v>46</v>
      </c>
      <c r="B47" s="16" t="n">
        <v>46294</v>
      </c>
      <c r="C47" s="17" t="s">
        <v>90</v>
      </c>
      <c r="D47" s="17" t="s">
        <v>83</v>
      </c>
      <c r="E47" s="15" t="n">
        <v>16</v>
      </c>
      <c r="F47" s="18" t="n">
        <v>14500</v>
      </c>
      <c r="G47" s="19" t="str">
        <f aca="false">VLOOKUP(C47,Acuan!$A$2:$B$9,2,FALSE())</f>
        <v>Baterai AA (pak)</v>
      </c>
      <c r="H47" s="20" t="n">
        <f aca="false">E47*F47</f>
        <v>232000</v>
      </c>
      <c r="I47" s="21" t="n">
        <f aca="false">IF(D47="Masuk",E47,-E47)</f>
        <v>-16</v>
      </c>
    </row>
    <row r="48" customFormat="false" ht="15" hidden="false" customHeight="false" outlineLevel="0" collapsed="false">
      <c r="A48" s="15" t="n">
        <v>47</v>
      </c>
      <c r="B48" s="16" t="n">
        <v>46295</v>
      </c>
      <c r="C48" s="17" t="s">
        <v>82</v>
      </c>
      <c r="D48" s="17" t="s">
        <v>85</v>
      </c>
      <c r="E48" s="15" t="n">
        <v>40</v>
      </c>
      <c r="F48" s="18" t="n">
        <v>2600</v>
      </c>
      <c r="G48" s="19" t="str">
        <f aca="false">VLOOKUP(C48,Acuan!$A$2:$B$9,2,FALSE())</f>
        <v>Map Folder Plastik</v>
      </c>
      <c r="H48" s="20" t="n">
        <f aca="false">E48*F48</f>
        <v>104000</v>
      </c>
      <c r="I48" s="21" t="n">
        <f aca="false">IF(D48="Masuk",E48,-E48)</f>
        <v>40</v>
      </c>
    </row>
    <row r="49" customFormat="false" ht="15" hidden="false" customHeight="false" outlineLevel="0" collapsed="false">
      <c r="A49" s="15" t="n">
        <v>48</v>
      </c>
      <c r="B49" s="16" t="n">
        <v>46295</v>
      </c>
      <c r="C49" s="17" t="s">
        <v>91</v>
      </c>
      <c r="D49" s="17" t="s">
        <v>83</v>
      </c>
      <c r="E49" s="15" t="n">
        <v>4</v>
      </c>
      <c r="F49" s="18" t="n">
        <v>21000</v>
      </c>
      <c r="G49" s="19" t="str">
        <f aca="false">VLOOKUP(C49,Acuan!$A$2:$B$9,2,FALSE())</f>
        <v>Amplop Coklat (pak)</v>
      </c>
      <c r="H49" s="20" t="n">
        <f aca="false">E49*F49</f>
        <v>84000</v>
      </c>
      <c r="I49" s="21" t="n">
        <f aca="false">IF(D49="Masuk",E49,-E49)</f>
        <v>-4</v>
      </c>
    </row>
    <row r="50" customFormat="false" ht="15" hidden="false" customHeight="false" outlineLevel="0" collapsed="false">
      <c r="A50" s="15" t="n">
        <v>49</v>
      </c>
      <c r="B50" s="16" t="n">
        <v>46296</v>
      </c>
      <c r="C50" s="17" t="s">
        <v>91</v>
      </c>
      <c r="D50" s="17" t="s">
        <v>83</v>
      </c>
      <c r="E50" s="15" t="n">
        <v>6</v>
      </c>
      <c r="F50" s="18" t="n">
        <v>21000</v>
      </c>
      <c r="G50" s="19" t="str">
        <f aca="false">VLOOKUP(C50,Acuan!$A$2:$B$9,2,FALSE())</f>
        <v>Amplop Coklat (pak)</v>
      </c>
      <c r="H50" s="20" t="n">
        <f aca="false">E50*F50</f>
        <v>126000</v>
      </c>
      <c r="I50" s="21" t="n">
        <f aca="false">IF(D50="Masuk",E50,-E50)</f>
        <v>-6</v>
      </c>
    </row>
    <row r="51" customFormat="false" ht="15" hidden="false" customHeight="false" outlineLevel="0" collapsed="false">
      <c r="A51" s="15" t="n">
        <v>50</v>
      </c>
      <c r="B51" s="16" t="n">
        <v>46296</v>
      </c>
      <c r="C51" s="17" t="s">
        <v>88</v>
      </c>
      <c r="D51" s="17" t="s">
        <v>85</v>
      </c>
      <c r="E51" s="15" t="n">
        <v>4</v>
      </c>
      <c r="F51" s="18" t="n">
        <v>82900</v>
      </c>
      <c r="G51" s="19" t="str">
        <f aca="false">VLOOKUP(C51,Acuan!$A$2:$B$9,2,FALSE())</f>
        <v>Tinta Printer Hitam</v>
      </c>
      <c r="H51" s="20" t="n">
        <f aca="false">E51*F51</f>
        <v>331600</v>
      </c>
      <c r="I51" s="21" t="n">
        <f aca="false">IF(D51="Masuk",E51,-E51)</f>
        <v>4</v>
      </c>
    </row>
    <row r="52" customFormat="false" ht="15" hidden="false" customHeight="false" outlineLevel="0" collapsed="false">
      <c r="A52" s="15" t="n">
        <v>51</v>
      </c>
      <c r="B52" s="16" t="n">
        <v>46297</v>
      </c>
      <c r="C52" s="17" t="s">
        <v>88</v>
      </c>
      <c r="D52" s="17" t="s">
        <v>83</v>
      </c>
      <c r="E52" s="15" t="n">
        <v>2</v>
      </c>
      <c r="F52" s="18" t="n">
        <v>85000</v>
      </c>
      <c r="G52" s="19" t="str">
        <f aca="false">VLOOKUP(C52,Acuan!$A$2:$B$9,2,FALSE())</f>
        <v>Tinta Printer Hitam</v>
      </c>
      <c r="H52" s="20" t="n">
        <f aca="false">E52*F52</f>
        <v>170000</v>
      </c>
      <c r="I52" s="21" t="n">
        <f aca="false">IF(D52="Masuk",E52,-E52)</f>
        <v>-2</v>
      </c>
    </row>
    <row r="53" customFormat="false" ht="15" hidden="false" customHeight="false" outlineLevel="0" collapsed="false">
      <c r="A53" s="15" t="n">
        <v>52</v>
      </c>
      <c r="B53" s="16" t="n">
        <v>46297</v>
      </c>
      <c r="C53" s="17" t="s">
        <v>90</v>
      </c>
      <c r="D53" s="17" t="s">
        <v>83</v>
      </c>
      <c r="E53" s="15" t="n">
        <v>6</v>
      </c>
      <c r="F53" s="18" t="n">
        <v>14500</v>
      </c>
      <c r="G53" s="19" t="str">
        <f aca="false">VLOOKUP(C53,Acuan!$A$2:$B$9,2,FALSE())</f>
        <v>Baterai AA (pak)</v>
      </c>
      <c r="H53" s="20" t="n">
        <f aca="false">E53*F53</f>
        <v>87000</v>
      </c>
      <c r="I53" s="21" t="n">
        <f aca="false">IF(D53="Masuk",E53,-E53)</f>
        <v>-6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0"/>
    <col collapsed="false" customWidth="true" hidden="false" outlineLevel="0" max="4" min="4" style="0" width="11"/>
    <col collapsed="false" customWidth="true" hidden="false" outlineLevel="0" max="5" min="5" style="0" width="14"/>
    <col collapsed="false" customWidth="true" hidden="false" outlineLevel="0" max="6" min="6" style="0" width="12"/>
    <col collapsed="false" customWidth="true" hidden="false" outlineLevel="0" max="8" min="7" style="0" width="11"/>
    <col collapsed="false" customWidth="true" hidden="false" outlineLevel="0" max="9" min="9" style="0" width="10"/>
    <col collapsed="false" customWidth="true" hidden="false" outlineLevel="0" max="10" min="10" style="0" width="15"/>
    <col collapsed="false" customWidth="true" hidden="false" outlineLevel="0" max="11" min="11" style="0" width="12"/>
  </cols>
  <sheetData>
    <row r="1" customFormat="false" ht="33.75" hidden="false" customHeight="true" outlineLevel="0" collapsed="false">
      <c r="A1" s="10" t="s">
        <v>75</v>
      </c>
      <c r="B1" s="10" t="s">
        <v>79</v>
      </c>
      <c r="C1" s="10" t="s">
        <v>92</v>
      </c>
      <c r="D1" s="10" t="s">
        <v>93</v>
      </c>
      <c r="E1" s="10" t="s">
        <v>94</v>
      </c>
      <c r="F1" s="14" t="s">
        <v>95</v>
      </c>
      <c r="G1" s="14" t="s">
        <v>96</v>
      </c>
      <c r="H1" s="14" t="s">
        <v>97</v>
      </c>
      <c r="I1" s="14" t="s">
        <v>98</v>
      </c>
      <c r="J1" s="14" t="s">
        <v>99</v>
      </c>
      <c r="K1" s="14" t="s">
        <v>100</v>
      </c>
    </row>
    <row r="2" customFormat="false" ht="15" hidden="false" customHeight="false" outlineLevel="0" collapsed="false">
      <c r="A2" s="17" t="s">
        <v>87</v>
      </c>
      <c r="B2" s="17" t="s">
        <v>101</v>
      </c>
      <c r="C2" s="15" t="n">
        <v>60</v>
      </c>
      <c r="D2" s="15" t="n">
        <v>25</v>
      </c>
      <c r="E2" s="18" t="n">
        <v>48000</v>
      </c>
      <c r="F2" s="21" t="n">
        <f aca="false">COUNTIF(Data!$C$2:$C$53,A2)</f>
        <v>4</v>
      </c>
      <c r="G2" s="21" t="n">
        <f aca="false">SUMIFS(Data!$E$2:$E$53,Data!$C$2:$C$53,A2,Data!$D$2:$D$53,"Masuk")</f>
        <v>60</v>
      </c>
      <c r="H2" s="21" t="n">
        <f aca="false">SUMIFS(Data!$E$2:$E$53,Data!$C$2:$C$53,A2,Data!$D$2:$D$53,"Keluar")</f>
        <v>34</v>
      </c>
      <c r="I2" s="21" t="n">
        <f aca="false">C2+G2-H2</f>
        <v>86</v>
      </c>
      <c r="J2" s="20" t="n">
        <f aca="false">I2*E2</f>
        <v>4128000</v>
      </c>
      <c r="K2" s="19" t="str">
        <f aca="false">IF(I2&lt;=D2,"Pesan Ulang","Aman")</f>
        <v>Aman</v>
      </c>
    </row>
    <row r="3" customFormat="false" ht="15" hidden="false" customHeight="false" outlineLevel="0" collapsed="false">
      <c r="A3" s="17" t="s">
        <v>88</v>
      </c>
      <c r="B3" s="17" t="s">
        <v>102</v>
      </c>
      <c r="C3" s="15" t="n">
        <v>18</v>
      </c>
      <c r="D3" s="15" t="n">
        <v>8</v>
      </c>
      <c r="E3" s="18" t="n">
        <v>85000</v>
      </c>
      <c r="F3" s="21" t="n">
        <f aca="false">COUNTIF(Data!$C$2:$C$53,A3)</f>
        <v>11</v>
      </c>
      <c r="G3" s="21" t="n">
        <f aca="false">SUMIFS(Data!$E$2:$E$53,Data!$C$2:$C$53,A3,Data!$D$2:$D$53,"Masuk")</f>
        <v>31</v>
      </c>
      <c r="H3" s="21" t="n">
        <f aca="false">SUMIFS(Data!$E$2:$E$53,Data!$C$2:$C$53,A3,Data!$D$2:$D$53,"Keluar")</f>
        <v>27</v>
      </c>
      <c r="I3" s="21" t="n">
        <f aca="false">C3+G3-H3</f>
        <v>22</v>
      </c>
      <c r="J3" s="20" t="n">
        <f aca="false">I3*E3</f>
        <v>1870000</v>
      </c>
      <c r="K3" s="19" t="str">
        <f aca="false">IF(I3&lt;=D3,"Pesan Ulang","Aman")</f>
        <v>Aman</v>
      </c>
    </row>
    <row r="4" customFormat="false" ht="15" hidden="false" customHeight="false" outlineLevel="0" collapsed="false">
      <c r="A4" s="17" t="s">
        <v>82</v>
      </c>
      <c r="B4" s="17" t="s">
        <v>103</v>
      </c>
      <c r="C4" s="15" t="n">
        <v>120</v>
      </c>
      <c r="D4" s="15" t="n">
        <v>40</v>
      </c>
      <c r="E4" s="18" t="n">
        <v>2500</v>
      </c>
      <c r="F4" s="21" t="n">
        <f aca="false">COUNTIF(Data!$C$2:$C$53,A4)</f>
        <v>7</v>
      </c>
      <c r="G4" s="21" t="n">
        <f aca="false">SUMIFS(Data!$E$2:$E$53,Data!$C$2:$C$53,A4,Data!$D$2:$D$53,"Masuk")</f>
        <v>60</v>
      </c>
      <c r="H4" s="21" t="n">
        <f aca="false">SUMIFS(Data!$E$2:$E$53,Data!$C$2:$C$53,A4,Data!$D$2:$D$53,"Keluar")</f>
        <v>72</v>
      </c>
      <c r="I4" s="21" t="n">
        <f aca="false">C4+G4-H4</f>
        <v>108</v>
      </c>
      <c r="J4" s="20" t="n">
        <f aca="false">I4*E4</f>
        <v>270000</v>
      </c>
      <c r="K4" s="19" t="str">
        <f aca="false">IF(I4&lt;=D4,"Pesan Ulang","Aman")</f>
        <v>Aman</v>
      </c>
    </row>
    <row r="5" customFormat="false" ht="15" hidden="false" customHeight="false" outlineLevel="0" collapsed="false">
      <c r="A5" s="17" t="s">
        <v>84</v>
      </c>
      <c r="B5" s="17" t="s">
        <v>104</v>
      </c>
      <c r="C5" s="15" t="n">
        <v>70</v>
      </c>
      <c r="D5" s="15" t="n">
        <v>24</v>
      </c>
      <c r="E5" s="18" t="n">
        <v>8500</v>
      </c>
      <c r="F5" s="21" t="n">
        <f aca="false">COUNTIF(Data!$C$2:$C$53,A5)</f>
        <v>4</v>
      </c>
      <c r="G5" s="21" t="n">
        <f aca="false">SUMIFS(Data!$E$2:$E$53,Data!$C$2:$C$53,A5,Data!$D$2:$D$53,"Masuk")</f>
        <v>150</v>
      </c>
      <c r="H5" s="21" t="n">
        <f aca="false">SUMIFS(Data!$E$2:$E$53,Data!$C$2:$C$53,A5,Data!$D$2:$D$53,"Keluar")</f>
        <v>11</v>
      </c>
      <c r="I5" s="21" t="n">
        <f aca="false">C5+G5-H5</f>
        <v>209</v>
      </c>
      <c r="J5" s="20" t="n">
        <f aca="false">I5*E5</f>
        <v>1776500</v>
      </c>
      <c r="K5" s="19" t="str">
        <f aca="false">IF(I5&lt;=D5,"Pesan Ulang","Aman")</f>
        <v>Aman</v>
      </c>
    </row>
    <row r="6" customFormat="false" ht="15" hidden="false" customHeight="false" outlineLevel="0" collapsed="false">
      <c r="A6" s="17" t="s">
        <v>89</v>
      </c>
      <c r="B6" s="17" t="s">
        <v>105</v>
      </c>
      <c r="C6" s="15" t="n">
        <v>40</v>
      </c>
      <c r="D6" s="15" t="n">
        <v>12</v>
      </c>
      <c r="E6" s="18" t="n">
        <v>4200</v>
      </c>
      <c r="F6" s="21" t="n">
        <f aca="false">COUNTIF(Data!$C$2:$C$53,A6)</f>
        <v>9</v>
      </c>
      <c r="G6" s="21" t="n">
        <f aca="false">SUMIFS(Data!$E$2:$E$53,Data!$C$2:$C$53,A6,Data!$D$2:$D$53,"Masuk")</f>
        <v>20</v>
      </c>
      <c r="H6" s="21" t="n">
        <f aca="false">SUMIFS(Data!$E$2:$E$53,Data!$C$2:$C$53,A6,Data!$D$2:$D$53,"Keluar")</f>
        <v>58</v>
      </c>
      <c r="I6" s="21" t="n">
        <f aca="false">C6+G6-H6</f>
        <v>2</v>
      </c>
      <c r="J6" s="20" t="n">
        <f aca="false">I6*E6</f>
        <v>8400</v>
      </c>
      <c r="K6" s="19" t="str">
        <f aca="false">IF(I6&lt;=D6,"Pesan Ulang","Aman")</f>
        <v>Pesan Ulang</v>
      </c>
    </row>
    <row r="7" customFormat="false" ht="15" hidden="false" customHeight="false" outlineLevel="0" collapsed="false">
      <c r="A7" s="17" t="s">
        <v>91</v>
      </c>
      <c r="B7" s="17" t="s">
        <v>106</v>
      </c>
      <c r="C7" s="15" t="n">
        <v>35</v>
      </c>
      <c r="D7" s="15" t="n">
        <v>10</v>
      </c>
      <c r="E7" s="18" t="n">
        <v>21000</v>
      </c>
      <c r="F7" s="21" t="n">
        <f aca="false">COUNTIF(Data!$C$2:$C$53,A7)</f>
        <v>5</v>
      </c>
      <c r="G7" s="21" t="n">
        <f aca="false">SUMIFS(Data!$E$2:$E$53,Data!$C$2:$C$53,A7,Data!$D$2:$D$53,"Masuk")</f>
        <v>17</v>
      </c>
      <c r="H7" s="21" t="n">
        <f aca="false">SUMIFS(Data!$E$2:$E$53,Data!$C$2:$C$53,A7,Data!$D$2:$D$53,"Keluar")</f>
        <v>10</v>
      </c>
      <c r="I7" s="21" t="n">
        <f aca="false">C7+G7-H7</f>
        <v>42</v>
      </c>
      <c r="J7" s="20" t="n">
        <f aca="false">I7*E7</f>
        <v>882000</v>
      </c>
      <c r="K7" s="19" t="str">
        <f aca="false">IF(I7&lt;=D7,"Pesan Ulang","Aman")</f>
        <v>Aman</v>
      </c>
    </row>
    <row r="8" customFormat="false" ht="15" hidden="false" customHeight="false" outlineLevel="0" collapsed="false">
      <c r="A8" s="17" t="s">
        <v>90</v>
      </c>
      <c r="B8" s="17" t="s">
        <v>107</v>
      </c>
      <c r="C8" s="15" t="n">
        <v>50</v>
      </c>
      <c r="D8" s="15" t="n">
        <v>15</v>
      </c>
      <c r="E8" s="18" t="n">
        <v>14500</v>
      </c>
      <c r="F8" s="21" t="n">
        <f aca="false">COUNTIF(Data!$C$2:$C$53,A8)</f>
        <v>5</v>
      </c>
      <c r="G8" s="21" t="n">
        <f aca="false">SUMIFS(Data!$E$2:$E$53,Data!$C$2:$C$53,A8,Data!$D$2:$D$53,"Masuk")</f>
        <v>0</v>
      </c>
      <c r="H8" s="21" t="n">
        <f aca="false">SUMIFS(Data!$E$2:$E$53,Data!$C$2:$C$53,A8,Data!$D$2:$D$53,"Keluar")</f>
        <v>44</v>
      </c>
      <c r="I8" s="21" t="n">
        <f aca="false">C8+G8-H8</f>
        <v>6</v>
      </c>
      <c r="J8" s="20" t="n">
        <f aca="false">I8*E8</f>
        <v>87000</v>
      </c>
      <c r="K8" s="19" t="str">
        <f aca="false">IF(I8&lt;=D8,"Pesan Ulang","Aman")</f>
        <v>Pesan Ulang</v>
      </c>
    </row>
    <row r="9" customFormat="false" ht="15" hidden="false" customHeight="false" outlineLevel="0" collapsed="false">
      <c r="A9" s="17" t="s">
        <v>86</v>
      </c>
      <c r="B9" s="17" t="s">
        <v>108</v>
      </c>
      <c r="C9" s="15" t="n">
        <v>45</v>
      </c>
      <c r="D9" s="15" t="n">
        <v>15</v>
      </c>
      <c r="E9" s="18" t="n">
        <v>9800</v>
      </c>
      <c r="F9" s="21" t="n">
        <f aca="false">COUNTIF(Data!$C$2:$C$53,A9)</f>
        <v>7</v>
      </c>
      <c r="G9" s="21" t="n">
        <f aca="false">SUMIFS(Data!$E$2:$E$53,Data!$C$2:$C$53,A9,Data!$D$2:$D$53,"Masuk")</f>
        <v>15</v>
      </c>
      <c r="H9" s="21" t="n">
        <f aca="false">SUMIFS(Data!$E$2:$E$53,Data!$C$2:$C$53,A9,Data!$D$2:$D$53,"Keluar")</f>
        <v>52</v>
      </c>
      <c r="I9" s="21" t="n">
        <f aca="false">C9+G9-H9</f>
        <v>8</v>
      </c>
      <c r="J9" s="20" t="n">
        <f aca="false">I9*E9</f>
        <v>78400</v>
      </c>
      <c r="K9" s="19" t="str">
        <f aca="false">IF(I9&lt;=D9,"Pesan Ulang","Aman")</f>
        <v>Pesan Ulang</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2" t="s">
        <v>109</v>
      </c>
      <c r="B1" s="22"/>
      <c r="C1" s="22"/>
      <c r="D1" s="22"/>
    </row>
    <row r="2" customFormat="false" ht="15" hidden="false" customHeight="false" outlineLevel="0" collapsed="false">
      <c r="A2" s="23" t="s">
        <v>110</v>
      </c>
      <c r="B2" s="23"/>
      <c r="C2" s="23"/>
      <c r="D2" s="23"/>
    </row>
    <row r="3" customFormat="false" ht="15" hidden="false" customHeight="false" outlineLevel="0" collapsed="false">
      <c r="A3" s="10" t="s">
        <v>18</v>
      </c>
      <c r="B3" s="10" t="s">
        <v>111</v>
      </c>
      <c r="C3" s="10" t="s">
        <v>112</v>
      </c>
      <c r="D3" s="10" t="s">
        <v>113</v>
      </c>
    </row>
    <row r="4" customFormat="false" ht="15" hidden="false" customHeight="false" outlineLevel="0" collapsed="false">
      <c r="A4" s="24" t="s">
        <v>114</v>
      </c>
      <c r="B4" s="25" t="s">
        <v>115</v>
      </c>
      <c r="C4" s="20" t="n">
        <f aca="false">SUMIF(Data!$D$2:$D$53,"Masuk",Data!$H$2:$H$53)</f>
        <v>7445800</v>
      </c>
      <c r="D4" s="26" t="s">
        <v>116</v>
      </c>
    </row>
    <row r="5" customFormat="false" ht="15" hidden="false" customHeight="false" outlineLevel="0" collapsed="false">
      <c r="A5" s="24" t="s">
        <v>117</v>
      </c>
      <c r="B5" s="25" t="s">
        <v>118</v>
      </c>
      <c r="C5" s="20" t="n">
        <f aca="false">SUMIF(Data!$D$2:$D$53,"Keluar",Data!$H$2:$H$53)</f>
        <v>5801700</v>
      </c>
      <c r="D5" s="26" t="s">
        <v>119</v>
      </c>
    </row>
    <row r="6" customFormat="false" ht="15" hidden="false" customHeight="false" outlineLevel="0" collapsed="false">
      <c r="A6" s="24" t="s">
        <v>120</v>
      </c>
      <c r="B6" s="25" t="s">
        <v>121</v>
      </c>
      <c r="C6" s="20" t="n">
        <f aca="false">SUM(Acuan!$J$2:$J$9)</f>
        <v>9100300</v>
      </c>
      <c r="D6" s="26" t="s">
        <v>122</v>
      </c>
    </row>
    <row r="7" customFormat="false" ht="15" hidden="false" customHeight="false" outlineLevel="0" collapsed="false">
      <c r="A7" s="24" t="s">
        <v>123</v>
      </c>
      <c r="B7" s="25" t="s">
        <v>124</v>
      </c>
      <c r="C7" s="21" t="n">
        <f aca="false">COUNTIF(Acuan!$K$2:$K$9,"Pesan Ulang")</f>
        <v>3</v>
      </c>
      <c r="D7" s="26" t="s">
        <v>125</v>
      </c>
    </row>
    <row r="8" customFormat="false" ht="15" hidden="false" customHeight="false" outlineLevel="0" collapsed="false">
      <c r="A8" s="24" t="s">
        <v>126</v>
      </c>
      <c r="B8" s="25" t="s">
        <v>127</v>
      </c>
      <c r="C8" s="21" t="n">
        <f aca="false">SUM(Data!$I$2:$I$53)</f>
        <v>45</v>
      </c>
      <c r="D8" s="26" t="s">
        <v>128</v>
      </c>
    </row>
    <row r="9" customFormat="false" ht="15" hidden="false" customHeight="false" outlineLevel="0" collapsed="false">
      <c r="A9" s="24" t="s">
        <v>129</v>
      </c>
      <c r="B9" s="25" t="s">
        <v>130</v>
      </c>
      <c r="C9" s="19" t="str">
        <f aca="false">INDEX(Acuan!$B$2:$B$9,MATCH(MAX(Acuan!$I$2:$I$9),Acuan!$I$2:$I$9,0))</f>
        <v>Spidol Papan Tulis</v>
      </c>
      <c r="D9" s="26" t="s">
        <v>131</v>
      </c>
    </row>
    <row r="10" customFormat="false" ht="15" hidden="false" customHeight="false" outlineLevel="0" collapsed="false">
      <c r="A10" s="24" t="s">
        <v>132</v>
      </c>
      <c r="B10" s="25" t="s">
        <v>133</v>
      </c>
      <c r="C10" s="19" t="str">
        <f aca="false">INDEX(Acuan!$B$2:$B$9,MATCH(MIN(Acuan!$I$2:$I$9),Acuan!$I$2:$I$9,0))</f>
        <v>Staples Kecil</v>
      </c>
      <c r="D10" s="26" t="s">
        <v>131</v>
      </c>
    </row>
    <row r="11" customFormat="false" ht="15" hidden="false" customHeight="false" outlineLevel="0" collapsed="false">
      <c r="A11" s="24" t="s">
        <v>134</v>
      </c>
      <c r="B11" s="25" t="s">
        <v>135</v>
      </c>
      <c r="C11" s="19" t="str">
        <f aca="false">INDEX(Acuan!$B$2:$B$9,MATCH(MAX(Acuan!$F$2:$F$9),Acuan!$F$2:$F$9,0))</f>
        <v>Tinta Printer Hitam</v>
      </c>
      <c r="D11" s="26" t="s">
        <v>131</v>
      </c>
    </row>
    <row r="12" customFormat="false" ht="15" hidden="false" customHeight="false" outlineLevel="0" collapsed="false">
      <c r="A12" s="24" t="s">
        <v>136</v>
      </c>
      <c r="B12" s="25" t="s">
        <v>137</v>
      </c>
      <c r="C12" s="21" t="n">
        <f aca="false">COUNTIFS(Data!$C$2:$C$53,"BRG-03",Data!$D$2:$D$53,"Keluar")</f>
        <v>5</v>
      </c>
      <c r="D12" s="26" t="s">
        <v>138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2026-10-14T23:33:52Z</dcterms:created>
  <dc:creator>PushExcel</dc:creator>
  <dc:description/>
  <dc:language>en-US</dc:language>
  <cp:lastModifiedBy/>
  <dcterms:modified xsi:type="dcterms:W3CDTF">2026-10-14T23:33:52Z</dcterms:modified>
  <cp:revision>0</cp:revision>
  <dc:subject/>
  <dc:title>Kartu Stok: Mutasi Barang Masuk dan Keluar Gudang - Kunci</dc:title>
</cp:coreProperties>
</file>

<file path=docProps/custom.xml><?xml version="1.0" encoding="utf-8"?>
<Properties xmlns="http://schemas.openxmlformats.org/officeDocument/2006/custom-properties" xmlns:vt="http://schemas.openxmlformats.org/officeDocument/2006/docPropsVTypes"/>
</file>