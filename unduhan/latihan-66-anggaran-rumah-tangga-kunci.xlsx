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<sst xmlns="http://schemas.openxmlformats.org/spreadsheetml/2006/main" count="190" uniqueCount="158">
  <si>
    <t xml:space="preserve">Kunci Jawaban: Anggaran Bulanan Rumah Tangga dan Status Hemat atau Boros</t>
  </si>
  <si>
    <t xml:space="preserve">Latihan 66 dari 40  |  Tingkat: Pemula  |  Perkiraan waktu: 35 menit  |  pushexcel.github.io/Pushexcel</t>
  </si>
  <si>
    <t xml:space="preserve">Skenario</t>
  </si>
  <si>
    <t xml:space="preserve">Kamu relawan penyuluh keuangan keluarga di sebuah kelurahan fiktif. Kamu mencatat penghasilan dan pengeluaran bulanan 30 keluarga yang terbagi dalam lima kategori: makanan, transportasi, tagihan rumah, pendidikan, dan lain-lain. Persen pengeluaran adalah total pengeluaran dibagi penghasilan. Status Hemat bila persen pengeluaran sama dengan atau di bawah 70 persen, Wajar bila sama dengan atau di bawah 90 persen, selain itu Boros (kedua batas ada di blok Parameter). Sisa uang adalah penghasilan dikurangi total pengeluaran.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</si>
  <si>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</si>
  <si>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</si>
  <si>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</si>
  <si>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</si>
  <si>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</si>
  <si>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</si>
  <si>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</si>
  <si>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</si>
  <si>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</si>
  <si>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</si>
  <si>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</si>
  <si>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</si>
  <si>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</si>
  <si>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</si>
  <si>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</si>
  <si>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</si>
  <si>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</si>
  <si>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</si>
  <si>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</si>
  <si>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</si>
  <si>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total pengeluaran tiap keluarga dari kelima kategori.</t>
  </si>
  <si>
    <t xml:space="preserve">Sheet Data, kolom I (Total Pengeluaran), baris 2 sampai 31</t>
  </si>
  <si>
    <t xml:space="preserve">=SUM(D2;E2;F2;G2;H2)</t>
  </si>
  <si>
    <t xml:space="preserve">2</t>
  </si>
  <si>
    <t xml:space="preserve">Hitung persen pengeluaran: total pengeluaran dibagi penghasilan.</t>
  </si>
  <si>
    <t xml:space="preserve">Sheet Data, kolom J (Persen Pengeluaran), baris 2 sampai 31</t>
  </si>
  <si>
    <t xml:space="preserve">=I2/C2</t>
  </si>
  <si>
    <t xml:space="preserve">3</t>
  </si>
  <si>
    <t xml:space="preserve">Hitung sisa uang: penghasilan dikurangi total pengeluaran.</t>
  </si>
  <si>
    <t xml:space="preserve">Sheet Data, kolom K (Sisa Uang), baris 2 sampai 31</t>
  </si>
  <si>
    <t xml:space="preserve">=C2-I2</t>
  </si>
  <si>
    <t xml:space="preserve">4</t>
  </si>
  <si>
    <t xml:space="preserve">Beri status: Hemat bila persen pengeluaran sama dengan atau di bawah batas hemat, Wajar bila sama dengan atau di bawah batas wajar, selain itu Boros.</t>
  </si>
  <si>
    <t xml:space="preserve">Sheet Data, kolom L (Status Anggaran), baris 2 sampai 31</t>
  </si>
  <si>
    <t xml:space="preserve">=IF(J2&lt;=$O$2;"Hemat";IF(J2&lt;=$O$3;"Wajar";"Boros"))</t>
  </si>
  <si>
    <t xml:space="preserve">5</t>
  </si>
  <si>
    <t xml:space="preserve">Pada sheet Acuan, hitung jumlah keluarga untuk tiap pekerjaan.</t>
  </si>
  <si>
    <t xml:space="preserve">Sheet Acuan, kolom B (Jumlah Keluarga), baris 2 sampai 5</t>
  </si>
  <si>
    <t xml:space="preserve">=COUNTIF(Data!$B$2:$B$31;A2)</t>
  </si>
  <si>
    <t xml:space="preserve">6</t>
  </si>
  <si>
    <t xml:space="preserve">Pada sheet Acuan, hitung rata-rata penghasilan tiap pekerjaan.</t>
  </si>
  <si>
    <t xml:space="preserve">Sheet Acuan, kolom C (Rata-rata Penghasilan), baris 2 sampai 5</t>
  </si>
  <si>
    <t xml:space="preserve">=AVERAGEIF(Data!$B$2:$B$31;A2;Data!$C$2:$C$31)</t>
  </si>
  <si>
    <t xml:space="preserve">7</t>
  </si>
  <si>
    <t xml:space="preserve">Pada sheet Acuan, hitung rata-rata persen pengeluaran tiap pekerjaan.</t>
  </si>
  <si>
    <t xml:space="preserve">Sheet Acuan, kolom D (Rata-rata Persen Pengeluaran), baris 2 sampai 5</t>
  </si>
  <si>
    <t xml:space="preserve">=AVERAGEIF(Data!$B$2:$B$31;A2;Data!$J$2:$J$31)</t>
  </si>
  <si>
    <t xml:space="preserve">8</t>
  </si>
  <si>
    <t xml:space="preserve">Berapa total penghasilan dan total pengeluaran seluruh keluarga, dan berapa persen pengeluaran terhadap penghasilan secara keseluruhan?</t>
  </si>
  <si>
    <t xml:space="preserve">Sheet Ringkasan, sel C4 sampai C6</t>
  </si>
  <si>
    <t xml:space="preserve">=SUM(Data!$C$2:$C$31)
=SUM(Data!$I$2:$I$31)
=C5/C4</t>
  </si>
  <si>
    <t xml:space="preserve">9</t>
  </si>
  <si>
    <t xml:space="preserve">Berapa keluarga yang berstatus Hemat, Wajar, dan Boros?</t>
  </si>
  <si>
    <t xml:space="preserve">Sheet Ringkasan, sel C7 sampai C9</t>
  </si>
  <si>
    <t xml:space="preserve">=COUNTIF(Data!$L$2:$L$31;"Hemat")
=COUNTIF(Data!$L$2:$L$31;"Wajar")
=COUNTIF(Data!$L$2:$L$31;"Boros")</t>
  </si>
  <si>
    <t xml:space="preserve">10</t>
  </si>
  <si>
    <t xml:space="preserve">Siapa kepala keluarga dengan persen pengeluaran terbesar, dan pekerjaan apa yang rata-rata persen pengeluarannya terbesar?</t>
  </si>
  <si>
    <t xml:space="preserve">Sheet Ringkasan, sel C10 sampai C11</t>
  </si>
  <si>
    <t xml:space="preserve">=INDEX(Data!$A$2:$A$31;MATCH(MAX(Data!$J$2:$J$31);Data!$J$2:$J$31;0))
=INDEX(Acuan!$A$2:$A$5;MATCH(MAX(Acuan!$D$2:$D$5);Acuan!$D$2:$D$5;0))</t>
  </si>
  <si>
    <t xml:space="preserve">11</t>
  </si>
  <si>
    <t xml:space="preserve">Berapa total pengeluaran makanan keluarga Petani, dan berapa keluarga Wiraswasta yang berstatus Hemat?</t>
  </si>
  <si>
    <t xml:space="preserve">Sheet Ringkasan, sel C12 sampai C13</t>
  </si>
  <si>
    <t xml:space="preserve">=SUMIF(Data!$B$2:$B$31;"Petani";Data!$D$2:$D$31)
=COUNTIFS(Data!$B$2:$B$31;"Wiraswasta";Data!$L$2:$L$31;"Hemat")</t>
  </si>
  <si>
    <t xml:space="preserve">Kepala Keluarga</t>
  </si>
  <si>
    <t xml:space="preserve">Pekerjaan</t>
  </si>
  <si>
    <t xml:space="preserve">Penghasilan</t>
  </si>
  <si>
    <t xml:space="preserve">Makanan</t>
  </si>
  <si>
    <t xml:space="preserve">Transportasi</t>
  </si>
  <si>
    <t xml:space="preserve">Tagihan Rumah</t>
  </si>
  <si>
    <t xml:space="preserve">Pendidikan</t>
  </si>
  <si>
    <t xml:space="preserve">Lain-lain</t>
  </si>
  <si>
    <t xml:space="preserve">Total Pengeluaran</t>
  </si>
  <si>
    <t xml:space="preserve">Persen Pengeluaran</t>
  </si>
  <si>
    <t xml:space="preserve">Sisa Uang</t>
  </si>
  <si>
    <t xml:space="preserve">Status Anggaran</t>
  </si>
  <si>
    <t xml:space="preserve">Parameter</t>
  </si>
  <si>
    <t xml:space="preserve">Nilai</t>
  </si>
  <si>
    <t xml:space="preserve">Keterangan</t>
  </si>
  <si>
    <t xml:space="preserve">Siti Sari</t>
  </si>
  <si>
    <t xml:space="preserve">Karyawan Swasta</t>
  </si>
  <si>
    <t xml:space="preserve">Batas hemat</t>
  </si>
  <si>
    <t xml:space="preserve">Persen pengeluaran maksimal untuk status Hemat</t>
  </si>
  <si>
    <t xml:space="preserve">Agus Hidayat</t>
  </si>
  <si>
    <t xml:space="preserve">Wiraswasta</t>
  </si>
  <si>
    <t xml:space="preserve">Batas wajar</t>
  </si>
  <si>
    <t xml:space="preserve">Persen pengeluaran maksimal untuk status Wajar</t>
  </si>
  <si>
    <t xml:space="preserve">Agus Kusuma</t>
  </si>
  <si>
    <t xml:space="preserve">Guru</t>
  </si>
  <si>
    <t xml:space="preserve">Kartika Yulianto</t>
  </si>
  <si>
    <t xml:space="preserve">Petani</t>
  </si>
  <si>
    <t xml:space="preserve">Tika Handayani</t>
  </si>
  <si>
    <t xml:space="preserve">Utami Syahputra</t>
  </si>
  <si>
    <t xml:space="preserve">Irfan Saputra</t>
  </si>
  <si>
    <t xml:space="preserve">Rahmat Saputra</t>
  </si>
  <si>
    <t xml:space="preserve">Tono Anggraini</t>
  </si>
  <si>
    <t xml:space="preserve">Maman Kusuma</t>
  </si>
  <si>
    <t xml:space="preserve">Budi Putra</t>
  </si>
  <si>
    <t xml:space="preserve">Rahmat Pangestu</t>
  </si>
  <si>
    <t xml:space="preserve">Dewi Putra</t>
  </si>
  <si>
    <t xml:space="preserve">Bambang Susanto</t>
  </si>
  <si>
    <t xml:space="preserve">Fitri Santoso</t>
  </si>
  <si>
    <t xml:space="preserve">Agus Maharani</t>
  </si>
  <si>
    <t xml:space="preserve">Budi Hidayat</t>
  </si>
  <si>
    <t xml:space="preserve">Maman Sari</t>
  </si>
  <si>
    <t xml:space="preserve">Wawan Santoso</t>
  </si>
  <si>
    <t xml:space="preserve">Joko Kusuma</t>
  </si>
  <si>
    <t xml:space="preserve">Dian Susanto</t>
  </si>
  <si>
    <t xml:space="preserve">Joko Ramadhan</t>
  </si>
  <si>
    <t xml:space="preserve">Dimas Permana</t>
  </si>
  <si>
    <t xml:space="preserve">Dimas Wijaya</t>
  </si>
  <si>
    <t xml:space="preserve">Utami Ramadhan</t>
  </si>
  <si>
    <t xml:space="preserve">Galih Purnomo</t>
  </si>
  <si>
    <t xml:space="preserve">Yoga Lestari</t>
  </si>
  <si>
    <t xml:space="preserve">Lestari Putra</t>
  </si>
  <si>
    <t xml:space="preserve">Intan Amalia</t>
  </si>
  <si>
    <t xml:space="preserve">Edi Saputra</t>
  </si>
  <si>
    <t xml:space="preserve">Jumlah Keluarga</t>
  </si>
  <si>
    <t xml:space="preserve">Rata-rata Penghasilan</t>
  </si>
  <si>
    <t xml:space="preserve">Rata-rata Persen Pengeluaran</t>
  </si>
  <si>
    <t xml:space="preserve">Ringkasan: lembar jawaban soal berjenis ringkasan</t>
  </si>
  <si>
    <t xml:space="preserve">Sel hijau berisi rumus kunci.</t>
  </si>
  <si>
    <t xml:space="preserve">Pertanyaan</t>
  </si>
  <si>
    <t xml:space="preserve">Jawaban</t>
  </si>
  <si>
    <t xml:space="preserve">Contoh format hasil</t>
  </si>
  <si>
    <t xml:space="preserve">8a</t>
  </si>
  <si>
    <t xml:space="preserve">Total penghasilan</t>
  </si>
  <si>
    <t xml:space="preserve">Rupiah, mis. Rp 180.000.000</t>
  </si>
  <si>
    <t xml:space="preserve">8b</t>
  </si>
  <si>
    <t xml:space="preserve">Total pengeluaran</t>
  </si>
  <si>
    <t xml:space="preserve">Rupiah, mis. Rp 130.000.000</t>
  </si>
  <si>
    <t xml:space="preserve">8c</t>
  </si>
  <si>
    <t xml:space="preserve">Persen pengeluaran keseluruhan</t>
  </si>
  <si>
    <t xml:space="preserve">Persen, mis. 70,5%</t>
  </si>
  <si>
    <t xml:space="preserve">9a</t>
  </si>
  <si>
    <t xml:space="preserve">Keluarga Hemat</t>
  </si>
  <si>
    <t xml:space="preserve">Angka bulat, mis. 8</t>
  </si>
  <si>
    <t xml:space="preserve">9b</t>
  </si>
  <si>
    <t xml:space="preserve">Keluarga Wajar</t>
  </si>
  <si>
    <t xml:space="preserve">Angka bulat, mis. 12</t>
  </si>
  <si>
    <t xml:space="preserve">9c</t>
  </si>
  <si>
    <t xml:space="preserve">Keluarga Boros</t>
  </si>
  <si>
    <t xml:space="preserve">Angka bulat, mis. 10</t>
  </si>
  <si>
    <t xml:space="preserve">10a</t>
  </si>
  <si>
    <t xml:space="preserve">Keluarga dengan persen pengeluaran terbesar</t>
  </si>
  <si>
    <t xml:space="preserve">Teks: nama kepala keluarga</t>
  </si>
  <si>
    <t xml:space="preserve">10b</t>
  </si>
  <si>
    <t xml:space="preserve">Pekerjaan dengan rata-rata persen terbesar</t>
  </si>
  <si>
    <t xml:space="preserve">Teks: nama pekerjaan</t>
  </si>
  <si>
    <t xml:space="preserve">11a</t>
  </si>
  <si>
    <t xml:space="preserve">Total makanan keluarga Petani</t>
  </si>
  <si>
    <t xml:space="preserve">Rupiah, mis. Rp 9.000.000</t>
  </si>
  <si>
    <t xml:space="preserve">11b</t>
  </si>
  <si>
    <t xml:space="preserve">Keluarga Wiraswasta berstatus Hemat</t>
  </si>
  <si>
    <t xml:space="preserve">Angka bulat, mis. 3</t>
  </si>
</sst>
</file>

<file path=xl/styles.xml><?xml version="1.0" encoding="utf-8"?>
<styleSheet xmlns="http://schemas.openxmlformats.org/spreadsheetml/2006/main">
  <numFmts count="5">
    <numFmt numFmtId="164" formatCode="General"/>
    <numFmt numFmtId="165" formatCode="&quot;Rp &quot;#,##0"/>
    <numFmt numFmtId="166" formatCode="0.0%"/>
    <numFmt numFmtId="167" formatCode="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69.75" hidden="false" customHeight="true" outlineLevel="0" collapsed="false">
      <c r="A28" s="12" t="s">
        <v>51</v>
      </c>
      <c r="B28" s="13" t="s">
        <v>52</v>
      </c>
      <c r="C28" s="13" t="s">
        <v>53</v>
      </c>
      <c r="D28" s="14" t="s">
        <v>54</v>
      </c>
    </row>
    <row r="29" customFormat="false" ht="57.7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14"/>
    <col collapsed="false" customWidth="true" hidden="false" outlineLevel="0" max="5" min="4" style="0" width="13"/>
    <col collapsed="false" customWidth="true" hidden="false" outlineLevel="0" max="6" min="6" style="0" width="14"/>
    <col collapsed="false" customWidth="true" hidden="false" outlineLevel="0" max="8" min="7" style="0" width="13"/>
    <col collapsed="false" customWidth="true" hidden="false" outlineLevel="0" max="10" min="9" style="0" width="16"/>
    <col collapsed="false" customWidth="true" hidden="false" outlineLevel="0" max="11" min="11" style="0" width="13"/>
    <col collapsed="false" customWidth="true" hidden="false" outlineLevel="0" max="12" min="12" style="0" width="14"/>
    <col collapsed="false" customWidth="true" hidden="false" outlineLevel="0" max="13" min="13" style="0" width="3"/>
    <col collapsed="false" customWidth="true" hidden="false" outlineLevel="0" max="14" min="14" style="0" width="30"/>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1" t="s">
        <v>67</v>
      </c>
      <c r="B1" s="11" t="s">
        <v>68</v>
      </c>
      <c r="C1" s="11" t="s">
        <v>69</v>
      </c>
      <c r="D1" s="11" t="s">
        <v>70</v>
      </c>
      <c r="E1" s="11" t="s">
        <v>71</v>
      </c>
      <c r="F1" s="11" t="s">
        <v>72</v>
      </c>
      <c r="G1" s="11" t="s">
        <v>73</v>
      </c>
      <c r="H1" s="11" t="s">
        <v>74</v>
      </c>
      <c r="I1" s="15" t="s">
        <v>75</v>
      </c>
      <c r="J1" s="15" t="s">
        <v>76</v>
      </c>
      <c r="K1" s="15" t="s">
        <v>77</v>
      </c>
      <c r="L1" s="15" t="s">
        <v>78</v>
      </c>
      <c r="N1" s="16" t="s">
        <v>79</v>
      </c>
      <c r="O1" s="16" t="s">
        <v>80</v>
      </c>
      <c r="P1" s="16" t="s">
        <v>81</v>
      </c>
    </row>
    <row r="2" customFormat="false" ht="15" hidden="false" customHeight="false" outlineLevel="0" collapsed="false">
      <c r="A2" s="17" t="s">
        <v>82</v>
      </c>
      <c r="B2" s="17" t="s">
        <v>83</v>
      </c>
      <c r="C2" s="18" t="n">
        <v>6500000</v>
      </c>
      <c r="D2" s="18" t="n">
        <v>2010000</v>
      </c>
      <c r="E2" s="18" t="n">
        <v>470000</v>
      </c>
      <c r="F2" s="18" t="n">
        <v>370000</v>
      </c>
      <c r="G2" s="18" t="n">
        <v>830000</v>
      </c>
      <c r="H2" s="18" t="n">
        <v>610000</v>
      </c>
      <c r="I2" s="19" t="n">
        <f aca="false">SUM(D2,E2,F2,G2,H2)</f>
        <v>4290000</v>
      </c>
      <c r="J2" s="20" t="n">
        <f aca="false">I2/C2</f>
        <v>0.66</v>
      </c>
      <c r="K2" s="19" t="n">
        <f aca="false">C2-I2</f>
        <v>2210000</v>
      </c>
      <c r="L2" s="21" t="str">
        <f aca="false">IF(J2&lt;=$O$2,"Hemat",IF(J2&lt;=$O$3,"Wajar","Boros"))</f>
        <v>Hemat</v>
      </c>
      <c r="N2" s="22" t="s">
        <v>84</v>
      </c>
      <c r="O2" s="23" t="n">
        <v>0.7</v>
      </c>
      <c r="P2" s="22" t="s">
        <v>85</v>
      </c>
    </row>
    <row r="3" customFormat="false" ht="15" hidden="false" customHeight="false" outlineLevel="0" collapsed="false">
      <c r="A3" s="17" t="s">
        <v>86</v>
      </c>
      <c r="B3" s="17" t="s">
        <v>87</v>
      </c>
      <c r="C3" s="18" t="n">
        <v>10000000</v>
      </c>
      <c r="D3" s="18" t="n">
        <v>2190000</v>
      </c>
      <c r="E3" s="18" t="n">
        <v>760000</v>
      </c>
      <c r="F3" s="18" t="n">
        <v>810000</v>
      </c>
      <c r="G3" s="18" t="n">
        <v>1170000</v>
      </c>
      <c r="H3" s="18" t="n">
        <v>1290000</v>
      </c>
      <c r="I3" s="19" t="n">
        <f aca="false">SUM(D3,E3,F3,G3,H3)</f>
        <v>6220000</v>
      </c>
      <c r="J3" s="20" t="n">
        <f aca="false">I3/C3</f>
        <v>0.622</v>
      </c>
      <c r="K3" s="19" t="n">
        <f aca="false">C3-I3</f>
        <v>3780000</v>
      </c>
      <c r="L3" s="21" t="str">
        <f aca="false">IF(J3&lt;=$O$2,"Hemat",IF(J3&lt;=$O$3,"Wajar","Boros"))</f>
        <v>Hemat</v>
      </c>
      <c r="N3" s="22" t="s">
        <v>88</v>
      </c>
      <c r="O3" s="23" t="n">
        <v>0.9</v>
      </c>
      <c r="P3" s="22" t="s">
        <v>89</v>
      </c>
    </row>
    <row r="4" customFormat="false" ht="15" hidden="false" customHeight="false" outlineLevel="0" collapsed="false">
      <c r="A4" s="17" t="s">
        <v>90</v>
      </c>
      <c r="B4" s="17" t="s">
        <v>91</v>
      </c>
      <c r="C4" s="18" t="n">
        <v>8000000</v>
      </c>
      <c r="D4" s="18" t="n">
        <v>2980000</v>
      </c>
      <c r="E4" s="18" t="n">
        <v>830000</v>
      </c>
      <c r="F4" s="18" t="n">
        <v>670000</v>
      </c>
      <c r="G4" s="18" t="n">
        <v>1130000</v>
      </c>
      <c r="H4" s="18" t="n">
        <v>720000</v>
      </c>
      <c r="I4" s="19" t="n">
        <f aca="false">SUM(D4,E4,F4,G4,H4)</f>
        <v>6330000</v>
      </c>
      <c r="J4" s="20" t="n">
        <f aca="false">I4/C4</f>
        <v>0.79125</v>
      </c>
      <c r="K4" s="19" t="n">
        <f aca="false">C4-I4</f>
        <v>1670000</v>
      </c>
      <c r="L4" s="21" t="str">
        <f aca="false">IF(J4&lt;=$O$2,"Hemat",IF(J4&lt;=$O$3,"Wajar","Boros"))</f>
        <v>Wajar</v>
      </c>
    </row>
    <row r="5" customFormat="false" ht="15" hidden="false" customHeight="false" outlineLevel="0" collapsed="false">
      <c r="A5" s="17" t="s">
        <v>92</v>
      </c>
      <c r="B5" s="17" t="s">
        <v>93</v>
      </c>
      <c r="C5" s="18" t="n">
        <v>4500000</v>
      </c>
      <c r="D5" s="18" t="n">
        <v>1580000</v>
      </c>
      <c r="E5" s="18" t="n">
        <v>350000</v>
      </c>
      <c r="F5" s="18" t="n">
        <v>460000</v>
      </c>
      <c r="G5" s="18" t="n">
        <v>670000</v>
      </c>
      <c r="H5" s="18" t="n">
        <v>790000</v>
      </c>
      <c r="I5" s="19" t="n">
        <f aca="false">SUM(D5,E5,F5,G5,H5)</f>
        <v>3850000</v>
      </c>
      <c r="J5" s="20" t="n">
        <f aca="false">I5/C5</f>
        <v>0.855555555555556</v>
      </c>
      <c r="K5" s="19" t="n">
        <f aca="false">C5-I5</f>
        <v>650000</v>
      </c>
      <c r="L5" s="21" t="str">
        <f aca="false">IF(J5&lt;=$O$2,"Hemat",IF(J5&lt;=$O$3,"Wajar","Boros"))</f>
        <v>Wajar</v>
      </c>
    </row>
    <row r="6" customFormat="false" ht="15" hidden="false" customHeight="false" outlineLevel="0" collapsed="false">
      <c r="A6" s="17" t="s">
        <v>94</v>
      </c>
      <c r="B6" s="17" t="s">
        <v>83</v>
      </c>
      <c r="C6" s="18" t="n">
        <v>7500000</v>
      </c>
      <c r="D6" s="18" t="n">
        <v>2270000</v>
      </c>
      <c r="E6" s="18" t="n">
        <v>400000</v>
      </c>
      <c r="F6" s="18" t="n">
        <v>580000</v>
      </c>
      <c r="G6" s="18" t="n">
        <v>850000</v>
      </c>
      <c r="H6" s="18" t="n">
        <v>540000</v>
      </c>
      <c r="I6" s="19" t="n">
        <f aca="false">SUM(D6,E6,F6,G6,H6)</f>
        <v>4640000</v>
      </c>
      <c r="J6" s="20" t="n">
        <f aca="false">I6/C6</f>
        <v>0.618666666666667</v>
      </c>
      <c r="K6" s="19" t="n">
        <f aca="false">C6-I6</f>
        <v>2860000</v>
      </c>
      <c r="L6" s="21" t="str">
        <f aca="false">IF(J6&lt;=$O$2,"Hemat",IF(J6&lt;=$O$3,"Wajar","Boros"))</f>
        <v>Hemat</v>
      </c>
    </row>
    <row r="7" customFormat="false" ht="15" hidden="false" customHeight="false" outlineLevel="0" collapsed="false">
      <c r="A7" s="17" t="s">
        <v>95</v>
      </c>
      <c r="B7" s="17" t="s">
        <v>87</v>
      </c>
      <c r="C7" s="18" t="n">
        <v>12000000</v>
      </c>
      <c r="D7" s="18" t="n">
        <v>2590000</v>
      </c>
      <c r="E7" s="18" t="n">
        <v>980000</v>
      </c>
      <c r="F7" s="18" t="n">
        <v>840000</v>
      </c>
      <c r="G7" s="18" t="n">
        <v>1440000</v>
      </c>
      <c r="H7" s="18" t="n">
        <v>1720000</v>
      </c>
      <c r="I7" s="19" t="n">
        <f aca="false">SUM(D7,E7,F7,G7,H7)</f>
        <v>7570000</v>
      </c>
      <c r="J7" s="20" t="n">
        <f aca="false">I7/C7</f>
        <v>0.630833333333333</v>
      </c>
      <c r="K7" s="19" t="n">
        <f aca="false">C7-I7</f>
        <v>4430000</v>
      </c>
      <c r="L7" s="21" t="str">
        <f aca="false">IF(J7&lt;=$O$2,"Hemat",IF(J7&lt;=$O$3,"Wajar","Boros"))</f>
        <v>Hemat</v>
      </c>
    </row>
    <row r="8" customFormat="false" ht="15" hidden="false" customHeight="false" outlineLevel="0" collapsed="false">
      <c r="A8" s="17" t="s">
        <v>96</v>
      </c>
      <c r="B8" s="17" t="s">
        <v>91</v>
      </c>
      <c r="C8" s="18" t="n">
        <v>5000000</v>
      </c>
      <c r="D8" s="18" t="n">
        <v>1980000</v>
      </c>
      <c r="E8" s="18" t="n">
        <v>560000</v>
      </c>
      <c r="F8" s="18" t="n">
        <v>350000</v>
      </c>
      <c r="G8" s="18" t="n">
        <v>620000</v>
      </c>
      <c r="H8" s="18" t="n">
        <v>940000</v>
      </c>
      <c r="I8" s="19" t="n">
        <f aca="false">SUM(D8,E8,F8,G8,H8)</f>
        <v>4450000</v>
      </c>
      <c r="J8" s="20" t="n">
        <f aca="false">I8/C8</f>
        <v>0.89</v>
      </c>
      <c r="K8" s="19" t="n">
        <f aca="false">C8-I8</f>
        <v>550000</v>
      </c>
      <c r="L8" s="21" t="str">
        <f aca="false">IF(J8&lt;=$O$2,"Hemat",IF(J8&lt;=$O$3,"Wajar","Boros"))</f>
        <v>Wajar</v>
      </c>
    </row>
    <row r="9" customFormat="false" ht="15" hidden="false" customHeight="false" outlineLevel="0" collapsed="false">
      <c r="A9" s="17" t="s">
        <v>97</v>
      </c>
      <c r="B9" s="17" t="s">
        <v>93</v>
      </c>
      <c r="C9" s="18" t="n">
        <v>4500000</v>
      </c>
      <c r="D9" s="18" t="n">
        <v>1600000</v>
      </c>
      <c r="E9" s="18" t="n">
        <v>540000</v>
      </c>
      <c r="F9" s="18" t="n">
        <v>380000</v>
      </c>
      <c r="G9" s="18" t="n">
        <v>790000</v>
      </c>
      <c r="H9" s="18" t="n">
        <v>970000</v>
      </c>
      <c r="I9" s="19" t="n">
        <f aca="false">SUM(D9,E9,F9,G9,H9)</f>
        <v>4280000</v>
      </c>
      <c r="J9" s="20" t="n">
        <f aca="false">I9/C9</f>
        <v>0.951111111111111</v>
      </c>
      <c r="K9" s="19" t="n">
        <f aca="false">C9-I9</f>
        <v>220000</v>
      </c>
      <c r="L9" s="21" t="str">
        <f aca="false">IF(J9&lt;=$O$2,"Hemat",IF(J9&lt;=$O$3,"Wajar","Boros"))</f>
        <v>Boros</v>
      </c>
    </row>
    <row r="10" customFormat="false" ht="15" hidden="false" customHeight="false" outlineLevel="0" collapsed="false">
      <c r="A10" s="17" t="s">
        <v>98</v>
      </c>
      <c r="B10" s="17" t="s">
        <v>83</v>
      </c>
      <c r="C10" s="18" t="n">
        <v>6500000</v>
      </c>
      <c r="D10" s="18" t="n">
        <v>1870000</v>
      </c>
      <c r="E10" s="18" t="n">
        <v>610000</v>
      </c>
      <c r="F10" s="18" t="n">
        <v>700000</v>
      </c>
      <c r="G10" s="18" t="n">
        <v>760000</v>
      </c>
      <c r="H10" s="18" t="n">
        <v>1750000</v>
      </c>
      <c r="I10" s="19" t="n">
        <f aca="false">SUM(D10,E10,F10,G10,H10)</f>
        <v>5690000</v>
      </c>
      <c r="J10" s="20" t="n">
        <f aca="false">I10/C10</f>
        <v>0.875384615384615</v>
      </c>
      <c r="K10" s="19" t="n">
        <f aca="false">C10-I10</f>
        <v>810000</v>
      </c>
      <c r="L10" s="21" t="str">
        <f aca="false">IF(J10&lt;=$O$2,"Hemat",IF(J10&lt;=$O$3,"Wajar","Boros"))</f>
        <v>Wajar</v>
      </c>
    </row>
    <row r="11" customFormat="false" ht="15" hidden="false" customHeight="false" outlineLevel="0" collapsed="false">
      <c r="A11" s="17" t="s">
        <v>99</v>
      </c>
      <c r="B11" s="17" t="s">
        <v>87</v>
      </c>
      <c r="C11" s="18" t="n">
        <v>8000000</v>
      </c>
      <c r="D11" s="18" t="n">
        <v>1580000</v>
      </c>
      <c r="E11" s="18" t="n">
        <v>630000</v>
      </c>
      <c r="F11" s="18" t="n">
        <v>390000</v>
      </c>
      <c r="G11" s="18" t="n">
        <v>660000</v>
      </c>
      <c r="H11" s="18" t="n">
        <v>1690000</v>
      </c>
      <c r="I11" s="19" t="n">
        <f aca="false">SUM(D11,E11,F11,G11,H11)</f>
        <v>4950000</v>
      </c>
      <c r="J11" s="20" t="n">
        <f aca="false">I11/C11</f>
        <v>0.61875</v>
      </c>
      <c r="K11" s="19" t="n">
        <f aca="false">C11-I11</f>
        <v>3050000</v>
      </c>
      <c r="L11" s="21" t="str">
        <f aca="false">IF(J11&lt;=$O$2,"Hemat",IF(J11&lt;=$O$3,"Wajar","Boros"))</f>
        <v>Hemat</v>
      </c>
    </row>
    <row r="12" customFormat="false" ht="15" hidden="false" customHeight="false" outlineLevel="0" collapsed="false">
      <c r="A12" s="17" t="s">
        <v>100</v>
      </c>
      <c r="B12" s="17" t="s">
        <v>91</v>
      </c>
      <c r="C12" s="18" t="n">
        <v>8000000</v>
      </c>
      <c r="D12" s="18" t="n">
        <v>2300000</v>
      </c>
      <c r="E12" s="18" t="n">
        <v>660000</v>
      </c>
      <c r="F12" s="18" t="n">
        <v>800000</v>
      </c>
      <c r="G12" s="18" t="n">
        <v>860000</v>
      </c>
      <c r="H12" s="18" t="n">
        <v>2740000</v>
      </c>
      <c r="I12" s="19" t="n">
        <f aca="false">SUM(D12,E12,F12,G12,H12)</f>
        <v>7360000</v>
      </c>
      <c r="J12" s="20" t="n">
        <f aca="false">I12/C12</f>
        <v>0.92</v>
      </c>
      <c r="K12" s="19" t="n">
        <f aca="false">C12-I12</f>
        <v>640000</v>
      </c>
      <c r="L12" s="21" t="str">
        <f aca="false">IF(J12&lt;=$O$2,"Hemat",IF(J12&lt;=$O$3,"Wajar","Boros"))</f>
        <v>Boros</v>
      </c>
    </row>
    <row r="13" customFormat="false" ht="15" hidden="false" customHeight="false" outlineLevel="0" collapsed="false">
      <c r="A13" s="17" t="s">
        <v>101</v>
      </c>
      <c r="B13" s="17" t="s">
        <v>93</v>
      </c>
      <c r="C13" s="18" t="n">
        <v>4500000</v>
      </c>
      <c r="D13" s="18" t="n">
        <v>1470000</v>
      </c>
      <c r="E13" s="18" t="n">
        <v>650000</v>
      </c>
      <c r="F13" s="18" t="n">
        <v>540000</v>
      </c>
      <c r="G13" s="18" t="n">
        <v>710000</v>
      </c>
      <c r="H13" s="18" t="n">
        <v>1020000</v>
      </c>
      <c r="I13" s="19" t="n">
        <f aca="false">SUM(D13,E13,F13,G13,H13)</f>
        <v>4390000</v>
      </c>
      <c r="J13" s="20" t="n">
        <f aca="false">I13/C13</f>
        <v>0.975555555555556</v>
      </c>
      <c r="K13" s="19" t="n">
        <f aca="false">C13-I13</f>
        <v>110000</v>
      </c>
      <c r="L13" s="21" t="str">
        <f aca="false">IF(J13&lt;=$O$2,"Hemat",IF(J13&lt;=$O$3,"Wajar","Boros"))</f>
        <v>Boros</v>
      </c>
    </row>
    <row r="14" customFormat="false" ht="15" hidden="false" customHeight="false" outlineLevel="0" collapsed="false">
      <c r="A14" s="17" t="s">
        <v>102</v>
      </c>
      <c r="B14" s="17" t="s">
        <v>83</v>
      </c>
      <c r="C14" s="18" t="n">
        <v>6500000</v>
      </c>
      <c r="D14" s="18" t="n">
        <v>1040000</v>
      </c>
      <c r="E14" s="18" t="n">
        <v>290000</v>
      </c>
      <c r="F14" s="18" t="n">
        <v>380000</v>
      </c>
      <c r="G14" s="18" t="n">
        <v>520000</v>
      </c>
      <c r="H14" s="18" t="n">
        <v>1110000</v>
      </c>
      <c r="I14" s="19" t="n">
        <f aca="false">SUM(D14,E14,F14,G14,H14)</f>
        <v>3340000</v>
      </c>
      <c r="J14" s="20" t="n">
        <f aca="false">I14/C14</f>
        <v>0.513846153846154</v>
      </c>
      <c r="K14" s="19" t="n">
        <f aca="false">C14-I14</f>
        <v>3160000</v>
      </c>
      <c r="L14" s="21" t="str">
        <f aca="false">IF(J14&lt;=$O$2,"Hemat",IF(J14&lt;=$O$3,"Wajar","Boros"))</f>
        <v>Hemat</v>
      </c>
    </row>
    <row r="15" customFormat="false" ht="15" hidden="false" customHeight="false" outlineLevel="0" collapsed="false">
      <c r="A15" s="17" t="s">
        <v>103</v>
      </c>
      <c r="B15" s="17" t="s">
        <v>87</v>
      </c>
      <c r="C15" s="18" t="n">
        <v>8000000</v>
      </c>
      <c r="D15" s="18" t="n">
        <v>2240000</v>
      </c>
      <c r="E15" s="18" t="n">
        <v>610000</v>
      </c>
      <c r="F15" s="18" t="n">
        <v>380000</v>
      </c>
      <c r="G15" s="18" t="n">
        <v>870000</v>
      </c>
      <c r="H15" s="18" t="n">
        <v>1040000</v>
      </c>
      <c r="I15" s="19" t="n">
        <f aca="false">SUM(D15,E15,F15,G15,H15)</f>
        <v>5140000</v>
      </c>
      <c r="J15" s="20" t="n">
        <f aca="false">I15/C15</f>
        <v>0.6425</v>
      </c>
      <c r="K15" s="19" t="n">
        <f aca="false">C15-I15</f>
        <v>2860000</v>
      </c>
      <c r="L15" s="21" t="str">
        <f aca="false">IF(J15&lt;=$O$2,"Hemat",IF(J15&lt;=$O$3,"Wajar","Boros"))</f>
        <v>Hemat</v>
      </c>
    </row>
    <row r="16" customFormat="false" ht="15" hidden="false" customHeight="false" outlineLevel="0" collapsed="false">
      <c r="A16" s="17" t="s">
        <v>104</v>
      </c>
      <c r="B16" s="17" t="s">
        <v>91</v>
      </c>
      <c r="C16" s="18" t="n">
        <v>6000000</v>
      </c>
      <c r="D16" s="18" t="n">
        <v>2850000</v>
      </c>
      <c r="E16" s="18" t="n">
        <v>760000</v>
      </c>
      <c r="F16" s="18" t="n">
        <v>710000</v>
      </c>
      <c r="G16" s="18" t="n">
        <v>970000</v>
      </c>
      <c r="H16" s="18" t="n">
        <v>470000</v>
      </c>
      <c r="I16" s="19" t="n">
        <f aca="false">SUM(D16,E16,F16,G16,H16)</f>
        <v>5760000</v>
      </c>
      <c r="J16" s="20" t="n">
        <f aca="false">I16/C16</f>
        <v>0.96</v>
      </c>
      <c r="K16" s="19" t="n">
        <f aca="false">C16-I16</f>
        <v>240000</v>
      </c>
      <c r="L16" s="21" t="str">
        <f aca="false">IF(J16&lt;=$O$2,"Hemat",IF(J16&lt;=$O$3,"Wajar","Boros"))</f>
        <v>Boros</v>
      </c>
    </row>
    <row r="17" customFormat="false" ht="15" hidden="false" customHeight="false" outlineLevel="0" collapsed="false">
      <c r="A17" s="17" t="s">
        <v>105</v>
      </c>
      <c r="B17" s="17" t="s">
        <v>93</v>
      </c>
      <c r="C17" s="18" t="n">
        <v>3000000</v>
      </c>
      <c r="D17" s="18" t="n">
        <v>790000</v>
      </c>
      <c r="E17" s="18" t="n">
        <v>300000</v>
      </c>
      <c r="F17" s="18" t="n">
        <v>250000</v>
      </c>
      <c r="G17" s="18" t="n">
        <v>420000</v>
      </c>
      <c r="H17" s="18" t="n">
        <v>800000</v>
      </c>
      <c r="I17" s="19" t="n">
        <f aca="false">SUM(D17,E17,F17,G17,H17)</f>
        <v>2560000</v>
      </c>
      <c r="J17" s="20" t="n">
        <f aca="false">I17/C17</f>
        <v>0.853333333333333</v>
      </c>
      <c r="K17" s="19" t="n">
        <f aca="false">C17-I17</f>
        <v>440000</v>
      </c>
      <c r="L17" s="21" t="str">
        <f aca="false">IF(J17&lt;=$O$2,"Hemat",IF(J17&lt;=$O$3,"Wajar","Boros"))</f>
        <v>Wajar</v>
      </c>
    </row>
    <row r="18" customFormat="false" ht="15" hidden="false" customHeight="false" outlineLevel="0" collapsed="false">
      <c r="A18" s="17" t="s">
        <v>106</v>
      </c>
      <c r="B18" s="17" t="s">
        <v>83</v>
      </c>
      <c r="C18" s="18" t="n">
        <v>9000000</v>
      </c>
      <c r="D18" s="18" t="n">
        <v>2490000</v>
      </c>
      <c r="E18" s="18" t="n">
        <v>840000</v>
      </c>
      <c r="F18" s="18" t="n">
        <v>660000</v>
      </c>
      <c r="G18" s="18" t="n">
        <v>810000</v>
      </c>
      <c r="H18" s="18" t="n">
        <v>2790000</v>
      </c>
      <c r="I18" s="19" t="n">
        <f aca="false">SUM(D18,E18,F18,G18,H18)</f>
        <v>7590000</v>
      </c>
      <c r="J18" s="20" t="n">
        <f aca="false">I18/C18</f>
        <v>0.843333333333333</v>
      </c>
      <c r="K18" s="19" t="n">
        <f aca="false">C18-I18</f>
        <v>1410000</v>
      </c>
      <c r="L18" s="21" t="str">
        <f aca="false">IF(J18&lt;=$O$2,"Hemat",IF(J18&lt;=$O$3,"Wajar","Boros"))</f>
        <v>Wajar</v>
      </c>
    </row>
    <row r="19" customFormat="false" ht="15" hidden="false" customHeight="false" outlineLevel="0" collapsed="false">
      <c r="A19" s="17" t="s">
        <v>107</v>
      </c>
      <c r="B19" s="17" t="s">
        <v>87</v>
      </c>
      <c r="C19" s="18" t="n">
        <v>12000000</v>
      </c>
      <c r="D19" s="18" t="n">
        <v>2900000</v>
      </c>
      <c r="E19" s="18" t="n">
        <v>1170000</v>
      </c>
      <c r="F19" s="18" t="n">
        <v>940000</v>
      </c>
      <c r="G19" s="18" t="n">
        <v>1500000</v>
      </c>
      <c r="H19" s="18" t="n">
        <v>2940000</v>
      </c>
      <c r="I19" s="19" t="n">
        <f aca="false">SUM(D19,E19,F19,G19,H19)</f>
        <v>9450000</v>
      </c>
      <c r="J19" s="20" t="n">
        <f aca="false">I19/C19</f>
        <v>0.7875</v>
      </c>
      <c r="K19" s="19" t="n">
        <f aca="false">C19-I19</f>
        <v>2550000</v>
      </c>
      <c r="L19" s="21" t="str">
        <f aca="false">IF(J19&lt;=$O$2,"Hemat",IF(J19&lt;=$O$3,"Wajar","Boros"))</f>
        <v>Wajar</v>
      </c>
    </row>
    <row r="20" customFormat="false" ht="15" hidden="false" customHeight="false" outlineLevel="0" collapsed="false">
      <c r="A20" s="17" t="s">
        <v>108</v>
      </c>
      <c r="B20" s="17" t="s">
        <v>91</v>
      </c>
      <c r="C20" s="18" t="n">
        <v>5000000</v>
      </c>
      <c r="D20" s="18" t="n">
        <v>1850000</v>
      </c>
      <c r="E20" s="18" t="n">
        <v>440000</v>
      </c>
      <c r="F20" s="18" t="n">
        <v>550000</v>
      </c>
      <c r="G20" s="18" t="n">
        <v>710000</v>
      </c>
      <c r="H20" s="18" t="n">
        <v>1330000</v>
      </c>
      <c r="I20" s="19" t="n">
        <f aca="false">SUM(D20,E20,F20,G20,H20)</f>
        <v>4880000</v>
      </c>
      <c r="J20" s="20" t="n">
        <f aca="false">I20/C20</f>
        <v>0.976</v>
      </c>
      <c r="K20" s="19" t="n">
        <f aca="false">C20-I20</f>
        <v>120000</v>
      </c>
      <c r="L20" s="21" t="str">
        <f aca="false">IF(J20&lt;=$O$2,"Hemat",IF(J20&lt;=$O$3,"Wajar","Boros"))</f>
        <v>Boros</v>
      </c>
    </row>
    <row r="21" customFormat="false" ht="15" hidden="false" customHeight="false" outlineLevel="0" collapsed="false">
      <c r="A21" s="17" t="s">
        <v>109</v>
      </c>
      <c r="B21" s="17" t="s">
        <v>93</v>
      </c>
      <c r="C21" s="18" t="n">
        <v>3000000</v>
      </c>
      <c r="D21" s="18" t="n">
        <v>1010000</v>
      </c>
      <c r="E21" s="18" t="n">
        <v>330000</v>
      </c>
      <c r="F21" s="18" t="n">
        <v>350000</v>
      </c>
      <c r="G21" s="18" t="n">
        <v>450000</v>
      </c>
      <c r="H21" s="18" t="n">
        <v>790000</v>
      </c>
      <c r="I21" s="19" t="n">
        <f aca="false">SUM(D21,E21,F21,G21,H21)</f>
        <v>2930000</v>
      </c>
      <c r="J21" s="20" t="n">
        <f aca="false">I21/C21</f>
        <v>0.976666666666667</v>
      </c>
      <c r="K21" s="19" t="n">
        <f aca="false">C21-I21</f>
        <v>70000</v>
      </c>
      <c r="L21" s="21" t="str">
        <f aca="false">IF(J21&lt;=$O$2,"Hemat",IF(J21&lt;=$O$3,"Wajar","Boros"))</f>
        <v>Boros</v>
      </c>
    </row>
    <row r="22" customFormat="false" ht="15" hidden="false" customHeight="false" outlineLevel="0" collapsed="false">
      <c r="A22" s="17" t="s">
        <v>110</v>
      </c>
      <c r="B22" s="17" t="s">
        <v>83</v>
      </c>
      <c r="C22" s="18" t="n">
        <v>4500000</v>
      </c>
      <c r="D22" s="18" t="n">
        <v>770000</v>
      </c>
      <c r="E22" s="18" t="n">
        <v>340000</v>
      </c>
      <c r="F22" s="18" t="n">
        <v>250000</v>
      </c>
      <c r="G22" s="18" t="n">
        <v>460000</v>
      </c>
      <c r="H22" s="18" t="n">
        <v>530000</v>
      </c>
      <c r="I22" s="19" t="n">
        <f aca="false">SUM(D22,E22,F22,G22,H22)</f>
        <v>2350000</v>
      </c>
      <c r="J22" s="20" t="n">
        <f aca="false">I22/C22</f>
        <v>0.522222222222222</v>
      </c>
      <c r="K22" s="19" t="n">
        <f aca="false">C22-I22</f>
        <v>2150000</v>
      </c>
      <c r="L22" s="21" t="str">
        <f aca="false">IF(J22&lt;=$O$2,"Hemat",IF(J22&lt;=$O$3,"Wajar","Boros"))</f>
        <v>Hemat</v>
      </c>
    </row>
    <row r="23" customFormat="false" ht="15" hidden="false" customHeight="false" outlineLevel="0" collapsed="false">
      <c r="A23" s="17" t="s">
        <v>111</v>
      </c>
      <c r="B23" s="17" t="s">
        <v>87</v>
      </c>
      <c r="C23" s="18" t="n">
        <v>10000000</v>
      </c>
      <c r="D23" s="18" t="n">
        <v>4220000</v>
      </c>
      <c r="E23" s="18" t="n">
        <v>1230000</v>
      </c>
      <c r="F23" s="18" t="n">
        <v>810000</v>
      </c>
      <c r="G23" s="18" t="n">
        <v>1590000</v>
      </c>
      <c r="H23" s="18" t="n">
        <v>1750000</v>
      </c>
      <c r="I23" s="19" t="n">
        <f aca="false">SUM(D23,E23,F23,G23,H23)</f>
        <v>9600000</v>
      </c>
      <c r="J23" s="20" t="n">
        <f aca="false">I23/C23</f>
        <v>0.96</v>
      </c>
      <c r="K23" s="19" t="n">
        <f aca="false">C23-I23</f>
        <v>400000</v>
      </c>
      <c r="L23" s="21" t="str">
        <f aca="false">IF(J23&lt;=$O$2,"Hemat",IF(J23&lt;=$O$3,"Wajar","Boros"))</f>
        <v>Boros</v>
      </c>
    </row>
    <row r="24" customFormat="false" ht="15" hidden="false" customHeight="false" outlineLevel="0" collapsed="false">
      <c r="A24" s="17" t="s">
        <v>112</v>
      </c>
      <c r="B24" s="17" t="s">
        <v>91</v>
      </c>
      <c r="C24" s="18" t="n">
        <v>8000000</v>
      </c>
      <c r="D24" s="18" t="n">
        <v>1540000</v>
      </c>
      <c r="E24" s="18" t="n">
        <v>640000</v>
      </c>
      <c r="F24" s="18" t="n">
        <v>630000</v>
      </c>
      <c r="G24" s="18" t="n">
        <v>600000</v>
      </c>
      <c r="H24" s="18" t="n">
        <v>1500000</v>
      </c>
      <c r="I24" s="19" t="n">
        <f aca="false">SUM(D24,E24,F24,G24,H24)</f>
        <v>4910000</v>
      </c>
      <c r="J24" s="20" t="n">
        <f aca="false">I24/C24</f>
        <v>0.61375</v>
      </c>
      <c r="K24" s="19" t="n">
        <f aca="false">C24-I24</f>
        <v>3090000</v>
      </c>
      <c r="L24" s="21" t="str">
        <f aca="false">IF(J24&lt;=$O$2,"Hemat",IF(J24&lt;=$O$3,"Wajar","Boros"))</f>
        <v>Hemat</v>
      </c>
    </row>
    <row r="25" customFormat="false" ht="15" hidden="false" customHeight="false" outlineLevel="0" collapsed="false">
      <c r="A25" s="17" t="s">
        <v>113</v>
      </c>
      <c r="B25" s="17" t="s">
        <v>93</v>
      </c>
      <c r="C25" s="18" t="n">
        <v>3500000</v>
      </c>
      <c r="D25" s="18" t="n">
        <v>1110000</v>
      </c>
      <c r="E25" s="18" t="n">
        <v>260000</v>
      </c>
      <c r="F25" s="18" t="n">
        <v>200000</v>
      </c>
      <c r="G25" s="18" t="n">
        <v>430000</v>
      </c>
      <c r="H25" s="18" t="n">
        <v>540000</v>
      </c>
      <c r="I25" s="19" t="n">
        <f aca="false">SUM(D25,E25,F25,G25,H25)</f>
        <v>2540000</v>
      </c>
      <c r="J25" s="20" t="n">
        <f aca="false">I25/C25</f>
        <v>0.725714285714286</v>
      </c>
      <c r="K25" s="19" t="n">
        <f aca="false">C25-I25</f>
        <v>960000</v>
      </c>
      <c r="L25" s="21" t="str">
        <f aca="false">IF(J25&lt;=$O$2,"Hemat",IF(J25&lt;=$O$3,"Wajar","Boros"))</f>
        <v>Wajar</v>
      </c>
    </row>
    <row r="26" customFormat="false" ht="15" hidden="false" customHeight="false" outlineLevel="0" collapsed="false">
      <c r="A26" s="17" t="s">
        <v>114</v>
      </c>
      <c r="B26" s="17" t="s">
        <v>83</v>
      </c>
      <c r="C26" s="18" t="n">
        <v>6500000</v>
      </c>
      <c r="D26" s="18" t="n">
        <v>2140000</v>
      </c>
      <c r="E26" s="18" t="n">
        <v>520000</v>
      </c>
      <c r="F26" s="18" t="n">
        <v>450000</v>
      </c>
      <c r="G26" s="18" t="n">
        <v>830000</v>
      </c>
      <c r="H26" s="18" t="n">
        <v>690000</v>
      </c>
      <c r="I26" s="19" t="n">
        <f aca="false">SUM(D26,E26,F26,G26,H26)</f>
        <v>4630000</v>
      </c>
      <c r="J26" s="20" t="n">
        <f aca="false">I26/C26</f>
        <v>0.712307692307692</v>
      </c>
      <c r="K26" s="19" t="n">
        <f aca="false">C26-I26</f>
        <v>1870000</v>
      </c>
      <c r="L26" s="21" t="str">
        <f aca="false">IF(J26&lt;=$O$2,"Hemat",IF(J26&lt;=$O$3,"Wajar","Boros"))</f>
        <v>Wajar</v>
      </c>
    </row>
    <row r="27" customFormat="false" ht="15" hidden="false" customHeight="false" outlineLevel="0" collapsed="false">
      <c r="A27" s="17" t="s">
        <v>115</v>
      </c>
      <c r="B27" s="17" t="s">
        <v>87</v>
      </c>
      <c r="C27" s="18" t="n">
        <v>12000000</v>
      </c>
      <c r="D27" s="18" t="n">
        <v>2250000</v>
      </c>
      <c r="E27" s="18" t="n">
        <v>830000</v>
      </c>
      <c r="F27" s="18" t="n">
        <v>650000</v>
      </c>
      <c r="G27" s="18" t="n">
        <v>1230000</v>
      </c>
      <c r="H27" s="18" t="n">
        <v>3160000</v>
      </c>
      <c r="I27" s="19" t="n">
        <f aca="false">SUM(D27,E27,F27,G27,H27)</f>
        <v>8120000</v>
      </c>
      <c r="J27" s="20" t="n">
        <f aca="false">I27/C27</f>
        <v>0.676666666666667</v>
      </c>
      <c r="K27" s="19" t="n">
        <f aca="false">C27-I27</f>
        <v>3880000</v>
      </c>
      <c r="L27" s="21" t="str">
        <f aca="false">IF(J27&lt;=$O$2,"Hemat",IF(J27&lt;=$O$3,"Wajar","Boros"))</f>
        <v>Hemat</v>
      </c>
    </row>
    <row r="28" customFormat="false" ht="15" hidden="false" customHeight="false" outlineLevel="0" collapsed="false">
      <c r="A28" s="17" t="s">
        <v>116</v>
      </c>
      <c r="B28" s="17" t="s">
        <v>91</v>
      </c>
      <c r="C28" s="18" t="n">
        <v>5000000</v>
      </c>
      <c r="D28" s="18" t="n">
        <v>1290000</v>
      </c>
      <c r="E28" s="18" t="n">
        <v>470000</v>
      </c>
      <c r="F28" s="18" t="n">
        <v>360000</v>
      </c>
      <c r="G28" s="18" t="n">
        <v>510000</v>
      </c>
      <c r="H28" s="18" t="n">
        <v>2000000</v>
      </c>
      <c r="I28" s="19" t="n">
        <f aca="false">SUM(D28,E28,F28,G28,H28)</f>
        <v>4630000</v>
      </c>
      <c r="J28" s="20" t="n">
        <f aca="false">I28/C28</f>
        <v>0.926</v>
      </c>
      <c r="K28" s="19" t="n">
        <f aca="false">C28-I28</f>
        <v>370000</v>
      </c>
      <c r="L28" s="21" t="str">
        <f aca="false">IF(J28&lt;=$O$2,"Hemat",IF(J28&lt;=$O$3,"Wajar","Boros"))</f>
        <v>Boros</v>
      </c>
    </row>
    <row r="29" customFormat="false" ht="15" hidden="false" customHeight="false" outlineLevel="0" collapsed="false">
      <c r="A29" s="17" t="s">
        <v>117</v>
      </c>
      <c r="B29" s="17" t="s">
        <v>93</v>
      </c>
      <c r="C29" s="18" t="n">
        <v>4500000</v>
      </c>
      <c r="D29" s="18" t="n">
        <v>1520000</v>
      </c>
      <c r="E29" s="18" t="n">
        <v>510000</v>
      </c>
      <c r="F29" s="18" t="n">
        <v>340000</v>
      </c>
      <c r="G29" s="18" t="n">
        <v>590000</v>
      </c>
      <c r="H29" s="18" t="n">
        <v>480000</v>
      </c>
      <c r="I29" s="19" t="n">
        <f aca="false">SUM(D29,E29,F29,G29,H29)</f>
        <v>3440000</v>
      </c>
      <c r="J29" s="20" t="n">
        <f aca="false">I29/C29</f>
        <v>0.764444444444445</v>
      </c>
      <c r="K29" s="19" t="n">
        <f aca="false">C29-I29</f>
        <v>1060000</v>
      </c>
      <c r="L29" s="21" t="str">
        <f aca="false">IF(J29&lt;=$O$2,"Hemat",IF(J29&lt;=$O$3,"Wajar","Boros"))</f>
        <v>Wajar</v>
      </c>
    </row>
    <row r="30" customFormat="false" ht="15" hidden="false" customHeight="false" outlineLevel="0" collapsed="false">
      <c r="A30" s="17" t="s">
        <v>118</v>
      </c>
      <c r="B30" s="17" t="s">
        <v>91</v>
      </c>
      <c r="C30" s="18" t="n">
        <v>8000000</v>
      </c>
      <c r="D30" s="18" t="n">
        <v>1310000</v>
      </c>
      <c r="E30" s="18" t="n">
        <v>460000</v>
      </c>
      <c r="F30" s="18" t="n">
        <v>570000</v>
      </c>
      <c r="G30" s="18" t="n">
        <v>510000</v>
      </c>
      <c r="H30" s="18" t="n">
        <v>1860000</v>
      </c>
      <c r="I30" s="19" t="n">
        <f aca="false">SUM(D30,E30,F30,G30,H30)</f>
        <v>4710000</v>
      </c>
      <c r="J30" s="20" t="n">
        <f aca="false">I30/C30</f>
        <v>0.58875</v>
      </c>
      <c r="K30" s="19" t="n">
        <f aca="false">C30-I30</f>
        <v>3290000</v>
      </c>
      <c r="L30" s="21" t="str">
        <f aca="false">IF(J30&lt;=$O$2,"Hemat",IF(J30&lt;=$O$3,"Wajar","Boros"))</f>
        <v>Hemat</v>
      </c>
    </row>
    <row r="31" customFormat="false" ht="15" hidden="false" customHeight="false" outlineLevel="0" collapsed="false">
      <c r="A31" s="17" t="s">
        <v>119</v>
      </c>
      <c r="B31" s="17" t="s">
        <v>91</v>
      </c>
      <c r="C31" s="18" t="n">
        <v>8000000</v>
      </c>
      <c r="D31" s="18" t="n">
        <v>1180000</v>
      </c>
      <c r="E31" s="18" t="n">
        <v>450000</v>
      </c>
      <c r="F31" s="18" t="n">
        <v>480000</v>
      </c>
      <c r="G31" s="18" t="n">
        <v>780000</v>
      </c>
      <c r="H31" s="18" t="n">
        <v>1250000</v>
      </c>
      <c r="I31" s="19" t="n">
        <f aca="false">SUM(D31,E31,F31,G31,H31)</f>
        <v>4140000</v>
      </c>
      <c r="J31" s="20" t="n">
        <f aca="false">I31/C31</f>
        <v>0.5175</v>
      </c>
      <c r="K31" s="19" t="n">
        <f aca="false">C31-I31</f>
        <v>3860000</v>
      </c>
      <c r="L31" s="21" t="str">
        <f aca="false">IF(J31&lt;=$O$2,"Hemat",IF(J31&lt;=$O$3,"Wajar","Boros"))</f>
        <v>Hemat</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5"/>
    <col collapsed="false" customWidth="true" hidden="false" outlineLevel="0" max="3" min="3" style="0" width="20"/>
    <col collapsed="false" customWidth="true" hidden="false" outlineLevel="0" max="4" min="4" style="0" width="26"/>
  </cols>
  <sheetData>
    <row r="1" customFormat="false" ht="33.75" hidden="false" customHeight="true" outlineLevel="0" collapsed="false">
      <c r="A1" s="11" t="s">
        <v>68</v>
      </c>
      <c r="B1" s="15" t="s">
        <v>120</v>
      </c>
      <c r="C1" s="15" t="s">
        <v>121</v>
      </c>
      <c r="D1" s="15" t="s">
        <v>122</v>
      </c>
    </row>
    <row r="2" customFormat="false" ht="15" hidden="false" customHeight="false" outlineLevel="0" collapsed="false">
      <c r="A2" s="17" t="s">
        <v>83</v>
      </c>
      <c r="B2" s="24" t="n">
        <f aca="false">COUNTIF(Data!$B$2:$B$31,A2)</f>
        <v>7</v>
      </c>
      <c r="C2" s="19" t="n">
        <f aca="false">AVERAGEIF(Data!$B$2:$B$31,A2,Data!$C$2:$C$31)</f>
        <v>6714285.71428572</v>
      </c>
      <c r="D2" s="20" t="n">
        <f aca="false">AVERAGEIF(Data!$B$2:$B$31,A2,Data!$J$2:$J$31)</f>
        <v>0.677965811965812</v>
      </c>
    </row>
    <row r="3" customFormat="false" ht="15" hidden="false" customHeight="false" outlineLevel="0" collapsed="false">
      <c r="A3" s="17" t="s">
        <v>87</v>
      </c>
      <c r="B3" s="24" t="n">
        <f aca="false">COUNTIF(Data!$B$2:$B$31,A3)</f>
        <v>7</v>
      </c>
      <c r="C3" s="19" t="n">
        <f aca="false">AVERAGEIF(Data!$B$2:$B$31,A3,Data!$C$2:$C$31)</f>
        <v>10285714.2857143</v>
      </c>
      <c r="D3" s="20" t="n">
        <f aca="false">AVERAGEIF(Data!$B$2:$B$31,A3,Data!$J$2:$J$31)</f>
        <v>0.705464285714286</v>
      </c>
    </row>
    <row r="4" customFormat="false" ht="15" hidden="false" customHeight="false" outlineLevel="0" collapsed="false">
      <c r="A4" s="17" t="s">
        <v>91</v>
      </c>
      <c r="B4" s="24" t="n">
        <f aca="false">COUNTIF(Data!$B$2:$B$31,A4)</f>
        <v>9</v>
      </c>
      <c r="C4" s="19" t="n">
        <f aca="false">AVERAGEIF(Data!$B$2:$B$31,A4,Data!$C$2:$C$31)</f>
        <v>6777777.77777778</v>
      </c>
      <c r="D4" s="20" t="n">
        <f aca="false">AVERAGEIF(Data!$B$2:$B$31,A4,Data!$J$2:$J$31)</f>
        <v>0.798138888888889</v>
      </c>
    </row>
    <row r="5" customFormat="false" ht="15" hidden="false" customHeight="false" outlineLevel="0" collapsed="false">
      <c r="A5" s="17" t="s">
        <v>93</v>
      </c>
      <c r="B5" s="24" t="n">
        <f aca="false">COUNTIF(Data!$B$2:$B$31,A5)</f>
        <v>7</v>
      </c>
      <c r="C5" s="19" t="n">
        <f aca="false">AVERAGEIF(Data!$B$2:$B$31,A5,Data!$C$2:$C$31)</f>
        <v>3928571.42857143</v>
      </c>
      <c r="D5" s="20" t="n">
        <f aca="false">AVERAGEIF(Data!$B$2:$B$31,A5,Data!$J$2:$J$31)</f>
        <v>0.871768707482993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5" t="s">
        <v>123</v>
      </c>
      <c r="B1" s="25"/>
      <c r="C1" s="25"/>
      <c r="D1" s="25"/>
    </row>
    <row r="2" customFormat="false" ht="15" hidden="false" customHeight="false" outlineLevel="0" collapsed="false">
      <c r="A2" s="26" t="s">
        <v>124</v>
      </c>
      <c r="B2" s="26"/>
      <c r="C2" s="26"/>
      <c r="D2" s="26"/>
    </row>
    <row r="3" customFormat="false" ht="15" hidden="false" customHeight="false" outlineLevel="0" collapsed="false">
      <c r="A3" s="11" t="s">
        <v>19</v>
      </c>
      <c r="B3" s="11" t="s">
        <v>125</v>
      </c>
      <c r="C3" s="11" t="s">
        <v>126</v>
      </c>
      <c r="D3" s="11" t="s">
        <v>127</v>
      </c>
    </row>
    <row r="4" customFormat="false" ht="15" hidden="false" customHeight="false" outlineLevel="0" collapsed="false">
      <c r="A4" s="27" t="s">
        <v>128</v>
      </c>
      <c r="B4" s="28" t="s">
        <v>129</v>
      </c>
      <c r="C4" s="19" t="n">
        <f aca="false">SUM(Data!$C$2:$C$31)</f>
        <v>207500000</v>
      </c>
      <c r="D4" s="29" t="s">
        <v>130</v>
      </c>
    </row>
    <row r="5" customFormat="false" ht="15" hidden="false" customHeight="false" outlineLevel="0" collapsed="false">
      <c r="A5" s="27" t="s">
        <v>131</v>
      </c>
      <c r="B5" s="28" t="s">
        <v>132</v>
      </c>
      <c r="C5" s="19" t="n">
        <f aca="false">SUM(Data!$I$2:$I$31)</f>
        <v>154740000</v>
      </c>
      <c r="D5" s="29" t="s">
        <v>133</v>
      </c>
    </row>
    <row r="6" customFormat="false" ht="15" hidden="false" customHeight="false" outlineLevel="0" collapsed="false">
      <c r="A6" s="27" t="s">
        <v>134</v>
      </c>
      <c r="B6" s="28" t="s">
        <v>135</v>
      </c>
      <c r="C6" s="20" t="n">
        <f aca="false">C5/C4</f>
        <v>0.745734939759036</v>
      </c>
      <c r="D6" s="29" t="s">
        <v>136</v>
      </c>
    </row>
    <row r="7" customFormat="false" ht="15" hidden="false" customHeight="false" outlineLevel="0" collapsed="false">
      <c r="A7" s="27" t="s">
        <v>137</v>
      </c>
      <c r="B7" s="28" t="s">
        <v>138</v>
      </c>
      <c r="C7" s="24" t="n">
        <f aca="false">COUNTIF(Data!$L$2:$L$31,"Hemat")</f>
        <v>12</v>
      </c>
      <c r="D7" s="29" t="s">
        <v>139</v>
      </c>
    </row>
    <row r="8" customFormat="false" ht="15" hidden="false" customHeight="false" outlineLevel="0" collapsed="false">
      <c r="A8" s="27" t="s">
        <v>140</v>
      </c>
      <c r="B8" s="28" t="s">
        <v>141</v>
      </c>
      <c r="C8" s="24" t="n">
        <f aca="false">COUNTIF(Data!$L$2:$L$31,"Wajar")</f>
        <v>10</v>
      </c>
      <c r="D8" s="29" t="s">
        <v>142</v>
      </c>
    </row>
    <row r="9" customFormat="false" ht="15" hidden="false" customHeight="false" outlineLevel="0" collapsed="false">
      <c r="A9" s="27" t="s">
        <v>143</v>
      </c>
      <c r="B9" s="28" t="s">
        <v>144</v>
      </c>
      <c r="C9" s="24" t="n">
        <f aca="false">COUNTIF(Data!$L$2:$L$31,"Boros")</f>
        <v>8</v>
      </c>
      <c r="D9" s="29" t="s">
        <v>145</v>
      </c>
    </row>
    <row r="10" customFormat="false" ht="15" hidden="false" customHeight="false" outlineLevel="0" collapsed="false">
      <c r="A10" s="27" t="s">
        <v>146</v>
      </c>
      <c r="B10" s="28" t="s">
        <v>147</v>
      </c>
      <c r="C10" s="21" t="str">
        <f aca="false">INDEX(Data!$A$2:$A$31,MATCH(MAX(Data!$J$2:$J$31),Data!$J$2:$J$31,0))</f>
        <v>Joko Kusuma</v>
      </c>
      <c r="D10" s="29" t="s">
        <v>148</v>
      </c>
    </row>
    <row r="11" customFormat="false" ht="15" hidden="false" customHeight="false" outlineLevel="0" collapsed="false">
      <c r="A11" s="27" t="s">
        <v>149</v>
      </c>
      <c r="B11" s="28" t="s">
        <v>150</v>
      </c>
      <c r="C11" s="21" t="str">
        <f aca="false">INDEX(Acuan!$A$2:$A$5,MATCH(MAX(Acuan!$D$2:$D$5),Acuan!$D$2:$D$5,0))</f>
        <v>Petani</v>
      </c>
      <c r="D11" s="29" t="s">
        <v>151</v>
      </c>
    </row>
    <row r="12" customFormat="false" ht="15" hidden="false" customHeight="false" outlineLevel="0" collapsed="false">
      <c r="A12" s="27" t="s">
        <v>152</v>
      </c>
      <c r="B12" s="28" t="s">
        <v>153</v>
      </c>
      <c r="C12" s="19" t="n">
        <f aca="false">SUMIF(Data!$B$2:$B$31,"Petani",Data!$D$2:$D$31)</f>
        <v>9080000</v>
      </c>
      <c r="D12" s="29" t="s">
        <v>154</v>
      </c>
    </row>
    <row r="13" customFormat="false" ht="15" hidden="false" customHeight="false" outlineLevel="0" collapsed="false">
      <c r="A13" s="27" t="s">
        <v>155</v>
      </c>
      <c r="B13" s="28" t="s">
        <v>156</v>
      </c>
      <c r="C13" s="24" t="n">
        <f aca="false">COUNTIFS(Data!$B$2:$B$31,"Wiraswasta",Data!$L$2:$L$31,"Hemat")</f>
        <v>5</v>
      </c>
      <c r="D13" s="29" t="s">
        <v>157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2026-10-16T05:23:08Z</dcterms:created>
  <dc:creator>PushExcel</dc:creator>
  <dc:description/>
  <dc:language>en-US</dc:language>
  <cp:lastModifiedBy/>
  <dcterms:modified xsi:type="dcterms:W3CDTF">2026-10-16T05:23:08Z</dcterms:modified>
  <cp:revision>0</cp:revision>
  <dc:subject/>
  <dc:title>Anggaran Bulanan Rumah Tangga dan Status Hemat atau Boros - Kunci</dc:title>
</cp:coreProperties>
</file>

<file path=docProps/custom.xml><?xml version="1.0" encoding="utf-8"?>
<Properties xmlns="http://schemas.openxmlformats.org/officeDocument/2006/custom-properties" xmlns:vt="http://schemas.openxmlformats.org/officeDocument/2006/docPropsVTypes"/>
</file>