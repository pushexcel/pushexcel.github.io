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<sst xmlns="http://schemas.openxmlformats.org/spreadsheetml/2006/main" count="206" uniqueCount="173">
  <si>
    <t xml:space="preserve">Kunci Jawaban: Sewa Peralatan Pesta, Denda, dan Total Bayar</t>
  </si>
  <si>
    <t xml:space="preserve">Latihan 72 dari 40  |  Tingkat: Menengah  |  Perkiraan waktu: 50 menit  |  pushexcel.github.io/Pushexcel</t>
  </si>
  <si>
    <t xml:space="preserve">Skenario</t>
  </si>
  <si>
    <t xml:space="preserve">Kamu admin usaha Rental Pesta Meriah yang menyewakan tenda, kursi, meja, sound system, dan panggung. Ada 30 pesanan antara Oktober dan Desember 2026. Tarif per hari per unit ada di sheet Acuan. Hari sewa adalah tanggal rencana kembali dikurangi tanggal ambil. Biaya sewa adalah jumlah unit dikali tarif per hari dikali hari sewa. Sewa 3 hari atau lebih mendapat diskon 10 persen dari biaya sewa. Bila peralatan dikembalikan setelah tanggal rencana, setiap hari keterlambatan dikenai denda 50 persen dari tarif per hari per unit (persen dan batas hari ada di blok Parameter). Total bayar adalah biaya sewa dikurangi diskon ditambah denda.</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</si>
  <si>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</si>
  <si>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</si>
  <si>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</si>
  <si>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</si>
  <si>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</si>
  <si>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</si>
  <si>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</si>
  <si>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</si>
  <si>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</si>
  <si>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</si>
  <si>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</si>
  <si>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</si>
  <si>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</si>
  <si>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</si>
  <si>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</si>
  <si>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</si>
  <si>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</si>
  <si>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</si>
  <si>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</si>
  <si>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</si>
  <si>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hari sewa: tanggal rencana kembali dikurangi tanggal ambil.</t>
  </si>
  <si>
    <t xml:space="preserve">Sheet Data, kolom G (Hari Sewa), baris 2 sampai 31</t>
  </si>
  <si>
    <t xml:space="preserve">=E2-D2</t>
  </si>
  <si>
    <t xml:space="preserve">2</t>
  </si>
  <si>
    <t xml:space="preserve">Hitung hari terlambat: tanggal kembali dikurangi rencana kembali. Bila dikembalikan tepat waktu hasilnya 0 (tidak pernah negatif).</t>
  </si>
  <si>
    <t xml:space="preserve">Sheet Data, kolom H (Hari Terlambat), baris 2 sampai 31</t>
  </si>
  <si>
    <t xml:space="preserve">=MAX(0;F2-E2)</t>
  </si>
  <si>
    <t xml:space="preserve">3</t>
  </si>
  <si>
    <t xml:space="preserve">Ambil tarif per hari tiap pesanan dari tabel tarif di sheet Acuan berdasarkan peralatannya (pencocokan persis).</t>
  </si>
  <si>
    <t xml:space="preserve">Sheet Data, kolom I (Tarif per Hari), baris 2 sampai 31</t>
  </si>
  <si>
    <t xml:space="preserve">=VLOOKUP(B2;Acuan!$A$2:$B$7;2;FALSE)</t>
  </si>
  <si>
    <t xml:space="preserve">4</t>
  </si>
  <si>
    <t xml:space="preserve">Hitung biaya sewa: jumlah unit dikali tarif per hari dikali hari sewa.</t>
  </si>
  <si>
    <t xml:space="preserve">Sheet Data, kolom J (Biaya Sewa), baris 2 sampai 31</t>
  </si>
  <si>
    <t xml:space="preserve">=C2*I2*G2</t>
  </si>
  <si>
    <t xml:space="preserve">5</t>
  </si>
  <si>
    <t xml:space="preserve">Hitung diskon: bila hari sewa sama dengan atau lebih dari minimal hari diskon, biaya sewa dikali persen diskon. Bila tidak, diskon 0.</t>
  </si>
  <si>
    <t xml:space="preserve">Sheet Data, kolom K (Diskon Sewa Panjang), baris 2 sampai 31</t>
  </si>
  <si>
    <t xml:space="preserve">=IF(G2&gt;=$P$2;J2*$P$3;0)</t>
  </si>
  <si>
    <t xml:space="preserve">6</t>
  </si>
  <si>
    <t xml:space="preserve">Hitung denda: jumlah unit dikali tarif per hari dikali hari terlambat dikali persen denda per hari.</t>
  </si>
  <si>
    <t xml:space="preserve">Sheet Data, kolom L (Denda), baris 2 sampai 31</t>
  </si>
  <si>
    <t xml:space="preserve">=C2*I2*H2*$P$4</t>
  </si>
  <si>
    <t xml:space="preserve">7</t>
  </si>
  <si>
    <t xml:space="preserve">Hitung total bayar: biaya sewa dikurangi diskon, lalu ditambah denda.</t>
  </si>
  <si>
    <t xml:space="preserve">Sheet Data, kolom M (Total Bayar), baris 2 sampai 31</t>
  </si>
  <si>
    <t xml:space="preserve">=J2-K2+L2</t>
  </si>
  <si>
    <t xml:space="preserve">8</t>
  </si>
  <si>
    <t xml:space="preserve">Pada sheet Acuan, hitung jumlah pesanan tiap peralatan.</t>
  </si>
  <si>
    <t xml:space="preserve">Sheet Acuan, kolom C (Jumlah Pesanan), baris 2 sampai 7</t>
  </si>
  <si>
    <t xml:space="preserve">=COUNTIF(Data!$B$2:$B$31;A2)</t>
  </si>
  <si>
    <t xml:space="preserve">9</t>
  </si>
  <si>
    <t xml:space="preserve">Pada sheet Acuan, hitung total pendapatan dari tiap peralatan (kolom Total Bayar).</t>
  </si>
  <si>
    <t xml:space="preserve">Sheet Acuan, kolom D (Total Pendapatan), baris 2 sampai 7</t>
  </si>
  <si>
    <t xml:space="preserve">=SUMIF(Data!$B$2:$B$31;A2;Data!$M$2:$M$31)</t>
  </si>
  <si>
    <t xml:space="preserve">10</t>
  </si>
  <si>
    <t xml:space="preserve">Berapa jumlah pesanan, dan berapa total pendapatan dari seluruh pesanan?</t>
  </si>
  <si>
    <t xml:space="preserve">Sheet Ringkasan, sel C4 sampai C5</t>
  </si>
  <si>
    <t xml:space="preserve">=COUNTA(Data!$A$2:$A$31)
=SUM(Data!$M$2:$M$31)</t>
  </si>
  <si>
    <t xml:space="preserve">11</t>
  </si>
  <si>
    <t xml:space="preserve">Berapa pesanan yang terlambat dikembalikan, dan berapa total denda yang terkumpul?</t>
  </si>
  <si>
    <t xml:space="preserve">Sheet Ringkasan, sel C6 sampai C7</t>
  </si>
  <si>
    <t xml:space="preserve">=COUNTIF(Data!$H$2:$H$31;"&gt;0")
=SUM(Data!$L$2:$L$31)</t>
  </si>
  <si>
    <t xml:space="preserve">12</t>
  </si>
  <si>
    <t xml:space="preserve">Siapa penyewa dengan total bayar terbesar, dan peralatan apa yang total pendapatannya terbesar?</t>
  </si>
  <si>
    <t xml:space="preserve">Sheet Ringkasan, sel C8 sampai C9</t>
  </si>
  <si>
    <t xml:space="preserve">=INDEX(Data!$A$2:$A$31;MATCH(MAX(Data!$M$2:$M$31);Data!$M$2:$M$31;0))
=INDEX(Acuan!$A$2:$A$7;MATCH(MAX(Acuan!$D$2:$D$7);Acuan!$D$2:$D$7;0))</t>
  </si>
  <si>
    <t xml:space="preserve">13</t>
  </si>
  <si>
    <t xml:space="preserve">Berapa rata-rata hari sewa, dan berapa total diskon sewa panjang yang diberikan?</t>
  </si>
  <si>
    <t xml:space="preserve">Sheet Ringkasan, sel C10 sampai C11</t>
  </si>
  <si>
    <t xml:space="preserve">=AVERAGE(Data!$G$2:$G$31)
=SUM(Data!$K$2:$K$31)</t>
  </si>
  <si>
    <t xml:space="preserve">14</t>
  </si>
  <si>
    <t xml:space="preserve">Berapa total denda dari sewa Kursi Lipat, dan berapa pesanan Sound System yang mendapat diskon sewa panjang?</t>
  </si>
  <si>
    <t xml:space="preserve">Sheet Ringkasan, sel C12 sampai C13</t>
  </si>
  <si>
    <t xml:space="preserve">=SUMIF(Data!$B$2:$B$31;"Kursi Lipat";Data!$L$2:$L$31)
=COUNTIFS(Data!$B$2:$B$31;"Sound System";Data!$K$2:$K$31;"&gt;0")</t>
  </si>
  <si>
    <t xml:space="preserve">Penyewa</t>
  </si>
  <si>
    <t xml:space="preserve">Peralatan</t>
  </si>
  <si>
    <t xml:space="preserve">Jumlah Unit</t>
  </si>
  <si>
    <t xml:space="preserve">Tanggal Ambil</t>
  </si>
  <si>
    <t xml:space="preserve">Rencana Kembali</t>
  </si>
  <si>
    <t xml:space="preserve">Tanggal Kembali</t>
  </si>
  <si>
    <t xml:space="preserve">Hari Sewa</t>
  </si>
  <si>
    <t xml:space="preserve">Hari Terlambat</t>
  </si>
  <si>
    <t xml:space="preserve">Tarif per Hari</t>
  </si>
  <si>
    <t xml:space="preserve">Biaya Sewa</t>
  </si>
  <si>
    <t xml:space="preserve">Diskon Sewa Panjang</t>
  </si>
  <si>
    <t xml:space="preserve">Denda</t>
  </si>
  <si>
    <t xml:space="preserve">Total Bayar</t>
  </si>
  <si>
    <t xml:space="preserve">Parameter</t>
  </si>
  <si>
    <t xml:space="preserve">Nilai</t>
  </si>
  <si>
    <t xml:space="preserve">Keterangan</t>
  </si>
  <si>
    <t xml:space="preserve">Galih Handayani</t>
  </si>
  <si>
    <t xml:space="preserve">Sound System</t>
  </si>
  <si>
    <t xml:space="preserve">Minimal hari diskon</t>
  </si>
  <si>
    <t xml:space="preserve">Hari sewa minimal untuk mendapat diskon</t>
  </si>
  <si>
    <t xml:space="preserve">Citra Handayani</t>
  </si>
  <si>
    <t xml:space="preserve">Panggung Mini</t>
  </si>
  <si>
    <t xml:space="preserve">Diskon sewa panjang</t>
  </si>
  <si>
    <t xml:space="preserve">Lina Handayani</t>
  </si>
  <si>
    <t xml:space="preserve">Denda per hari</t>
  </si>
  <si>
    <t xml:space="preserve">Persen dari tarif per hari per unit untuk tiap hari terlambat</t>
  </si>
  <si>
    <t xml:space="preserve">Fajar Suryani</t>
  </si>
  <si>
    <t xml:space="preserve">Tenda Besar 4x6</t>
  </si>
  <si>
    <t xml:space="preserve">Hesti Santoso</t>
  </si>
  <si>
    <t xml:space="preserve">Tenda Kecil 3x3</t>
  </si>
  <si>
    <t xml:space="preserve">Wahyu Kurniawan</t>
  </si>
  <si>
    <t xml:space="preserve">Hesti Kurniawan</t>
  </si>
  <si>
    <t xml:space="preserve">Mulyadi Lestari</t>
  </si>
  <si>
    <t xml:space="preserve">Fitri Ramadhan</t>
  </si>
  <si>
    <t xml:space="preserve">Kursi Lipat</t>
  </si>
  <si>
    <t xml:space="preserve">Vina Pratama</t>
  </si>
  <si>
    <t xml:space="preserve">Edi Maharani</t>
  </si>
  <si>
    <t xml:space="preserve">Joko Saputra</t>
  </si>
  <si>
    <t xml:space="preserve">Rizki Handayani</t>
  </si>
  <si>
    <t xml:space="preserve">Meja Prasmanan</t>
  </si>
  <si>
    <t xml:space="preserve">Kartika Purnomo</t>
  </si>
  <si>
    <t xml:space="preserve">Bayu Pangestu</t>
  </si>
  <si>
    <t xml:space="preserve">Wahyu Putra</t>
  </si>
  <si>
    <t xml:space="preserve">Novi Wijaya</t>
  </si>
  <si>
    <t xml:space="preserve">Oki Wijaya</t>
  </si>
  <si>
    <t xml:space="preserve">Eka Kurniawan</t>
  </si>
  <si>
    <t xml:space="preserve">Bambang Putra</t>
  </si>
  <si>
    <t xml:space="preserve">Tono Handayani</t>
  </si>
  <si>
    <t xml:space="preserve">Eko Pangestu</t>
  </si>
  <si>
    <t xml:space="preserve">Jihan Pangestu</t>
  </si>
  <si>
    <t xml:space="preserve">Maman Yulianto</t>
  </si>
  <si>
    <t xml:space="preserve">Vina Nugroho</t>
  </si>
  <si>
    <t xml:space="preserve">Vivi Sari</t>
  </si>
  <si>
    <t xml:space="preserve">Agus Purnomo</t>
  </si>
  <si>
    <t xml:space="preserve">Bayu Permana</t>
  </si>
  <si>
    <t xml:space="preserve">Wahyu Amalia</t>
  </si>
  <si>
    <t xml:space="preserve">Putri Utomo</t>
  </si>
  <si>
    <t xml:space="preserve">Jumlah Pesanan</t>
  </si>
  <si>
    <t xml:space="preserve">Total Pendapatan</t>
  </si>
  <si>
    <t xml:space="preserve">Ringkasan: lembar jawaban soal berjenis ringkasan</t>
  </si>
  <si>
    <t xml:space="preserve">Sel hijau berisi rumus kunci.</t>
  </si>
  <si>
    <t xml:space="preserve">Pertanyaan</t>
  </si>
  <si>
    <t xml:space="preserve">Jawaban</t>
  </si>
  <si>
    <t xml:space="preserve">Contoh format hasil</t>
  </si>
  <si>
    <t xml:space="preserve">10a</t>
  </si>
  <si>
    <t xml:space="preserve">Jumlah pesanan</t>
  </si>
  <si>
    <t xml:space="preserve">Angka bulat, mis. 35</t>
  </si>
  <si>
    <t xml:space="preserve">10b</t>
  </si>
  <si>
    <t xml:space="preserve">Total pendapatan</t>
  </si>
  <si>
    <t xml:space="preserve">Rupiah, mis. Rp 18.000.000</t>
  </si>
  <si>
    <t xml:space="preserve">11a</t>
  </si>
  <si>
    <t xml:space="preserve">Pesanan terlambat</t>
  </si>
  <si>
    <t xml:space="preserve">Angka bulat, mis. 7</t>
  </si>
  <si>
    <t xml:space="preserve">11b</t>
  </si>
  <si>
    <t xml:space="preserve">Total denda</t>
  </si>
  <si>
    <t xml:space="preserve">Rupiah, mis. Rp 1.200.000</t>
  </si>
  <si>
    <t xml:space="preserve">12a</t>
  </si>
  <si>
    <t xml:space="preserve">Penyewa dengan total bayar terbesar</t>
  </si>
  <si>
    <t xml:space="preserve">Teks: nama penyewa</t>
  </si>
  <si>
    <t xml:space="preserve">12b</t>
  </si>
  <si>
    <t xml:space="preserve">Peralatan dengan pendapatan terbesar</t>
  </si>
  <si>
    <t xml:space="preserve">Teks: nama peralatan</t>
  </si>
  <si>
    <t xml:space="preserve">13a</t>
  </si>
  <si>
    <t xml:space="preserve">Rata-rata hari sewa</t>
  </si>
  <si>
    <t xml:space="preserve">Angka desimal, mis. 2,5</t>
  </si>
  <si>
    <t xml:space="preserve">13b</t>
  </si>
  <si>
    <t xml:space="preserve">Total diskon sewa panjang</t>
  </si>
  <si>
    <t xml:space="preserve">Rupiah, mis. Rp 900.000</t>
  </si>
  <si>
    <t xml:space="preserve">14a</t>
  </si>
  <si>
    <t xml:space="preserve">Total denda Kursi Lipat</t>
  </si>
  <si>
    <t xml:space="preserve">Rupiah, mis. Rp 50.000</t>
  </si>
  <si>
    <t xml:space="preserve">14b</t>
  </si>
  <si>
    <t xml:space="preserve">Pesanan Sound System berdiskon</t>
  </si>
  <si>
    <t xml:space="preserve">Angka bulat, mis. 2</t>
  </si>
</sst>
</file>

<file path=xl/styles.xml><?xml version="1.0" encoding="utf-8"?>
<styleSheet xmlns="http://schemas.openxmlformats.org/spreadsheetml/2006/main">
  <numFmts count="6">
    <numFmt numFmtId="164" formatCode="General"/>
    <numFmt numFmtId="165" formatCode="0"/>
    <numFmt numFmtId="166" formatCode="dd/mm/yyyy"/>
    <numFmt numFmtId="167" formatCode="&quot;Rp &quot;#,##0"/>
    <numFmt numFmtId="168" formatCode="0%"/>
    <numFmt numFmtId="169"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right" vertical="center" textRotation="0" wrapText="false" indent="0" shrinkToFit="false"/>
      <protection locked="true" hidden="false"/>
    </xf>
    <xf numFmtId="168" fontId="10" fillId="0"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9"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81"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42"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42"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30" hidden="false" customHeight="true" outlineLevel="0" collapsed="false">
      <c r="A29" s="12" t="s">
        <v>55</v>
      </c>
      <c r="B29" s="13" t="s">
        <v>56</v>
      </c>
      <c r="C29" s="13" t="s">
        <v>57</v>
      </c>
      <c r="D29" s="14" t="s">
        <v>58</v>
      </c>
    </row>
    <row r="30" customFormat="false" ht="43.5" hidden="false" customHeight="true" outlineLevel="0" collapsed="false">
      <c r="A30" s="12" t="s">
        <v>59</v>
      </c>
      <c r="B30" s="13" t="s">
        <v>60</v>
      </c>
      <c r="C30" s="13" t="s">
        <v>61</v>
      </c>
      <c r="D30" s="14" t="s">
        <v>62</v>
      </c>
    </row>
    <row r="31" customFormat="false" ht="43.5" hidden="false" customHeight="true" outlineLevel="0" collapsed="false">
      <c r="A31" s="12" t="s">
        <v>63</v>
      </c>
      <c r="B31" s="13" t="s">
        <v>64</v>
      </c>
      <c r="C31" s="13" t="s">
        <v>65</v>
      </c>
      <c r="D31" s="14" t="s">
        <v>66</v>
      </c>
    </row>
    <row r="32" customFormat="false" ht="55.5" hidden="false" customHeight="true" outlineLevel="0" collapsed="false">
      <c r="A32" s="12" t="s">
        <v>67</v>
      </c>
      <c r="B32" s="13" t="s">
        <v>68</v>
      </c>
      <c r="C32" s="13" t="s">
        <v>69</v>
      </c>
      <c r="D32" s="14" t="s">
        <v>70</v>
      </c>
    </row>
    <row r="33" customFormat="false" ht="43.5" hidden="false" customHeight="true" outlineLevel="0" collapsed="false">
      <c r="A33" s="12" t="s">
        <v>71</v>
      </c>
      <c r="B33" s="13" t="s">
        <v>72</v>
      </c>
      <c r="C33" s="13" t="s">
        <v>73</v>
      </c>
      <c r="D33" s="14" t="s">
        <v>74</v>
      </c>
    </row>
    <row r="34" customFormat="false" ht="43.5" hidden="false" customHeight="true" outlineLevel="0" collapsed="false">
      <c r="A34" s="12" t="s">
        <v>75</v>
      </c>
      <c r="B34" s="13" t="s">
        <v>76</v>
      </c>
      <c r="C34" s="13" t="s">
        <v>77</v>
      </c>
      <c r="D34" s="14" t="s">
        <v>78</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7"/>
    <col collapsed="false" customWidth="true" hidden="false" outlineLevel="0" max="3" min="3" style="0" width="12"/>
    <col collapsed="false" customWidth="true" hidden="false" outlineLevel="0" max="4" min="4" style="0" width="14"/>
    <col collapsed="false" customWidth="true" hidden="false" outlineLevel="0" max="5" min="5" style="0" width="16"/>
    <col collapsed="false" customWidth="true" hidden="false" outlineLevel="0" max="6" min="6" style="0" width="15"/>
    <col collapsed="false" customWidth="true" hidden="false" outlineLevel="0" max="7" min="7" style="0" width="10"/>
    <col collapsed="false" customWidth="true" hidden="false" outlineLevel="0" max="8" min="8" style="0" width="14"/>
    <col collapsed="false" customWidth="true" hidden="false" outlineLevel="0" max="9" min="9" style="0" width="13"/>
    <col collapsed="false" customWidth="true" hidden="false" outlineLevel="0" max="10" min="10" style="0" width="14"/>
    <col collapsed="false" customWidth="true" hidden="false" outlineLevel="0" max="11" min="11" style="0" width="16"/>
    <col collapsed="false" customWidth="true" hidden="false" outlineLevel="0" max="12" min="12" style="0" width="12"/>
    <col collapsed="false" customWidth="true" hidden="false" outlineLevel="0" max="13" min="13" style="0" width="14"/>
    <col collapsed="false" customWidth="true" hidden="false" outlineLevel="0" max="14" min="14" style="0" width="3"/>
    <col collapsed="false" customWidth="true" hidden="false" outlineLevel="0" max="15" min="15" style="0" width="30"/>
    <col collapsed="false" customWidth="true" hidden="false" outlineLevel="0" max="16" min="16" style="0" width="16"/>
    <col collapsed="false" customWidth="true" hidden="false" outlineLevel="0" max="17" min="17" style="0" width="42"/>
  </cols>
  <sheetData>
    <row r="1" customFormat="false" ht="33.75" hidden="false" customHeight="true" outlineLevel="0" collapsed="false">
      <c r="A1" s="11" t="s">
        <v>79</v>
      </c>
      <c r="B1" s="11" t="s">
        <v>80</v>
      </c>
      <c r="C1" s="11" t="s">
        <v>81</v>
      </c>
      <c r="D1" s="11" t="s">
        <v>82</v>
      </c>
      <c r="E1" s="11" t="s">
        <v>83</v>
      </c>
      <c r="F1" s="11" t="s">
        <v>84</v>
      </c>
      <c r="G1" s="15" t="s">
        <v>85</v>
      </c>
      <c r="H1" s="15" t="s">
        <v>86</v>
      </c>
      <c r="I1" s="15" t="s">
        <v>87</v>
      </c>
      <c r="J1" s="15" t="s">
        <v>88</v>
      </c>
      <c r="K1" s="15" t="s">
        <v>89</v>
      </c>
      <c r="L1" s="15" t="s">
        <v>90</v>
      </c>
      <c r="M1" s="15" t="s">
        <v>91</v>
      </c>
      <c r="O1" s="16" t="s">
        <v>92</v>
      </c>
      <c r="P1" s="16" t="s">
        <v>93</v>
      </c>
      <c r="Q1" s="16" t="s">
        <v>94</v>
      </c>
    </row>
    <row r="2" customFormat="false" ht="15" hidden="false" customHeight="false" outlineLevel="0" collapsed="false">
      <c r="A2" s="17" t="s">
        <v>95</v>
      </c>
      <c r="B2" s="17" t="s">
        <v>96</v>
      </c>
      <c r="C2" s="18" t="n">
        <v>1</v>
      </c>
      <c r="D2" s="19" t="n">
        <v>46314</v>
      </c>
      <c r="E2" s="19" t="n">
        <v>46318</v>
      </c>
      <c r="F2" s="19" t="n">
        <v>46318</v>
      </c>
      <c r="G2" s="20" t="n">
        <f aca="false">E2-D2</f>
        <v>4</v>
      </c>
      <c r="H2" s="20" t="n">
        <f aca="false">MAX(0,F2-E2)</f>
        <v>0</v>
      </c>
      <c r="I2" s="21" t="n">
        <f aca="false">VLOOKUP(B2,Acuan!$A$2:$B$7,2,FALSE())</f>
        <v>250000</v>
      </c>
      <c r="J2" s="21" t="n">
        <f aca="false">C2*I2*G2</f>
        <v>1000000</v>
      </c>
      <c r="K2" s="21" t="n">
        <f aca="false">IF(G2&gt;=$P$2,J2*$P$3,0)</f>
        <v>100000</v>
      </c>
      <c r="L2" s="21" t="n">
        <f aca="false">C2*I2*H2*$P$4</f>
        <v>0</v>
      </c>
      <c r="M2" s="21" t="n">
        <f aca="false">J2-K2+L2</f>
        <v>900000</v>
      </c>
      <c r="O2" s="22" t="s">
        <v>97</v>
      </c>
      <c r="P2" s="23" t="n">
        <v>3</v>
      </c>
      <c r="Q2" s="22" t="s">
        <v>98</v>
      </c>
    </row>
    <row r="3" customFormat="false" ht="15" hidden="false" customHeight="false" outlineLevel="0" collapsed="false">
      <c r="A3" s="17" t="s">
        <v>99</v>
      </c>
      <c r="B3" s="17" t="s">
        <v>100</v>
      </c>
      <c r="C3" s="18" t="n">
        <v>2</v>
      </c>
      <c r="D3" s="19" t="n">
        <v>46319</v>
      </c>
      <c r="E3" s="19" t="n">
        <v>46323</v>
      </c>
      <c r="F3" s="19" t="n">
        <v>46323</v>
      </c>
      <c r="G3" s="20" t="n">
        <f aca="false">E3-D3</f>
        <v>4</v>
      </c>
      <c r="H3" s="20" t="n">
        <f aca="false">MAX(0,F3-E3)</f>
        <v>0</v>
      </c>
      <c r="I3" s="21" t="n">
        <f aca="false">VLOOKUP(B3,Acuan!$A$2:$B$7,2,FALSE())</f>
        <v>200000</v>
      </c>
      <c r="J3" s="21" t="n">
        <f aca="false">C3*I3*G3</f>
        <v>1600000</v>
      </c>
      <c r="K3" s="21" t="n">
        <f aca="false">IF(G3&gt;=$P$2,J3*$P$3,0)</f>
        <v>160000</v>
      </c>
      <c r="L3" s="21" t="n">
        <f aca="false">C3*I3*H3*$P$4</f>
        <v>0</v>
      </c>
      <c r="M3" s="21" t="n">
        <f aca="false">J3-K3+L3</f>
        <v>1440000</v>
      </c>
      <c r="O3" s="22" t="s">
        <v>101</v>
      </c>
      <c r="P3" s="24" t="n">
        <v>0.1</v>
      </c>
      <c r="Q3" s="22"/>
    </row>
    <row r="4" customFormat="false" ht="15" hidden="false" customHeight="false" outlineLevel="0" collapsed="false">
      <c r="A4" s="17" t="s">
        <v>102</v>
      </c>
      <c r="B4" s="17" t="s">
        <v>96</v>
      </c>
      <c r="C4" s="18" t="n">
        <v>2</v>
      </c>
      <c r="D4" s="19" t="n">
        <v>46322</v>
      </c>
      <c r="E4" s="19" t="n">
        <v>46324</v>
      </c>
      <c r="F4" s="19" t="n">
        <v>46324</v>
      </c>
      <c r="G4" s="20" t="n">
        <f aca="false">E4-D4</f>
        <v>2</v>
      </c>
      <c r="H4" s="20" t="n">
        <f aca="false">MAX(0,F4-E4)</f>
        <v>0</v>
      </c>
      <c r="I4" s="21" t="n">
        <f aca="false">VLOOKUP(B4,Acuan!$A$2:$B$7,2,FALSE())</f>
        <v>250000</v>
      </c>
      <c r="J4" s="21" t="n">
        <f aca="false">C4*I4*G4</f>
        <v>1000000</v>
      </c>
      <c r="K4" s="21" t="n">
        <f aca="false">IF(G4&gt;=$P$2,J4*$P$3,0)</f>
        <v>0</v>
      </c>
      <c r="L4" s="21" t="n">
        <f aca="false">C4*I4*H4*$P$4</f>
        <v>0</v>
      </c>
      <c r="M4" s="21" t="n">
        <f aca="false">J4-K4+L4</f>
        <v>1000000</v>
      </c>
      <c r="O4" s="22" t="s">
        <v>103</v>
      </c>
      <c r="P4" s="24" t="n">
        <v>0.5</v>
      </c>
      <c r="Q4" s="22" t="s">
        <v>104</v>
      </c>
    </row>
    <row r="5" customFormat="false" ht="15" hidden="false" customHeight="false" outlineLevel="0" collapsed="false">
      <c r="A5" s="17" t="s">
        <v>105</v>
      </c>
      <c r="B5" s="17" t="s">
        <v>106</v>
      </c>
      <c r="C5" s="18" t="n">
        <v>3</v>
      </c>
      <c r="D5" s="19" t="n">
        <v>46322</v>
      </c>
      <c r="E5" s="19" t="n">
        <v>46324</v>
      </c>
      <c r="F5" s="19" t="n">
        <v>46324</v>
      </c>
      <c r="G5" s="20" t="n">
        <f aca="false">E5-D5</f>
        <v>2</v>
      </c>
      <c r="H5" s="20" t="n">
        <f aca="false">MAX(0,F5-E5)</f>
        <v>0</v>
      </c>
      <c r="I5" s="21" t="n">
        <f aca="false">VLOOKUP(B5,Acuan!$A$2:$B$7,2,FALSE())</f>
        <v>150000</v>
      </c>
      <c r="J5" s="21" t="n">
        <f aca="false">C5*I5*G5</f>
        <v>900000</v>
      </c>
      <c r="K5" s="21" t="n">
        <f aca="false">IF(G5&gt;=$P$2,J5*$P$3,0)</f>
        <v>0</v>
      </c>
      <c r="L5" s="21" t="n">
        <f aca="false">C5*I5*H5*$P$4</f>
        <v>0</v>
      </c>
      <c r="M5" s="21" t="n">
        <f aca="false">J5-K5+L5</f>
        <v>900000</v>
      </c>
    </row>
    <row r="6" customFormat="false" ht="15" hidden="false" customHeight="false" outlineLevel="0" collapsed="false">
      <c r="A6" s="17" t="s">
        <v>107</v>
      </c>
      <c r="B6" s="17" t="s">
        <v>108</v>
      </c>
      <c r="C6" s="18" t="n">
        <v>1</v>
      </c>
      <c r="D6" s="19" t="n">
        <v>46328</v>
      </c>
      <c r="E6" s="19" t="n">
        <v>46330</v>
      </c>
      <c r="F6" s="19" t="n">
        <v>46333</v>
      </c>
      <c r="G6" s="20" t="n">
        <f aca="false">E6-D6</f>
        <v>2</v>
      </c>
      <c r="H6" s="20" t="n">
        <f aca="false">MAX(0,F6-E6)</f>
        <v>3</v>
      </c>
      <c r="I6" s="21" t="n">
        <f aca="false">VLOOKUP(B6,Acuan!$A$2:$B$7,2,FALSE())</f>
        <v>75000</v>
      </c>
      <c r="J6" s="21" t="n">
        <f aca="false">C6*I6*G6</f>
        <v>150000</v>
      </c>
      <c r="K6" s="21" t="n">
        <f aca="false">IF(G6&gt;=$P$2,J6*$P$3,0)</f>
        <v>0</v>
      </c>
      <c r="L6" s="21" t="n">
        <f aca="false">C6*I6*H6*$P$4</f>
        <v>112500</v>
      </c>
      <c r="M6" s="21" t="n">
        <f aca="false">J6-K6+L6</f>
        <v>262500</v>
      </c>
    </row>
    <row r="7" customFormat="false" ht="15" hidden="false" customHeight="false" outlineLevel="0" collapsed="false">
      <c r="A7" s="17" t="s">
        <v>109</v>
      </c>
      <c r="B7" s="17" t="s">
        <v>106</v>
      </c>
      <c r="C7" s="18" t="n">
        <v>3</v>
      </c>
      <c r="D7" s="19" t="n">
        <v>46329</v>
      </c>
      <c r="E7" s="19" t="n">
        <v>46331</v>
      </c>
      <c r="F7" s="19" t="n">
        <v>46333</v>
      </c>
      <c r="G7" s="20" t="n">
        <f aca="false">E7-D7</f>
        <v>2</v>
      </c>
      <c r="H7" s="20" t="n">
        <f aca="false">MAX(0,F7-E7)</f>
        <v>2</v>
      </c>
      <c r="I7" s="21" t="n">
        <f aca="false">VLOOKUP(B7,Acuan!$A$2:$B$7,2,FALSE())</f>
        <v>150000</v>
      </c>
      <c r="J7" s="21" t="n">
        <f aca="false">C7*I7*G7</f>
        <v>900000</v>
      </c>
      <c r="K7" s="21" t="n">
        <f aca="false">IF(G7&gt;=$P$2,J7*$P$3,0)</f>
        <v>0</v>
      </c>
      <c r="L7" s="21" t="n">
        <f aca="false">C7*I7*H7*$P$4</f>
        <v>450000</v>
      </c>
      <c r="M7" s="21" t="n">
        <f aca="false">J7-K7+L7</f>
        <v>1350000</v>
      </c>
    </row>
    <row r="8" customFormat="false" ht="15" hidden="false" customHeight="false" outlineLevel="0" collapsed="false">
      <c r="A8" s="17" t="s">
        <v>110</v>
      </c>
      <c r="B8" s="17" t="s">
        <v>96</v>
      </c>
      <c r="C8" s="18" t="n">
        <v>1</v>
      </c>
      <c r="D8" s="19" t="n">
        <v>46329</v>
      </c>
      <c r="E8" s="19" t="n">
        <v>46331</v>
      </c>
      <c r="F8" s="19" t="n">
        <v>46332</v>
      </c>
      <c r="G8" s="20" t="n">
        <f aca="false">E8-D8</f>
        <v>2</v>
      </c>
      <c r="H8" s="20" t="n">
        <f aca="false">MAX(0,F8-E8)</f>
        <v>1</v>
      </c>
      <c r="I8" s="21" t="n">
        <f aca="false">VLOOKUP(B8,Acuan!$A$2:$B$7,2,FALSE())</f>
        <v>250000</v>
      </c>
      <c r="J8" s="21" t="n">
        <f aca="false">C8*I8*G8</f>
        <v>500000</v>
      </c>
      <c r="K8" s="21" t="n">
        <f aca="false">IF(G8&gt;=$P$2,J8*$P$3,0)</f>
        <v>0</v>
      </c>
      <c r="L8" s="21" t="n">
        <f aca="false">C8*I8*H8*$P$4</f>
        <v>125000</v>
      </c>
      <c r="M8" s="21" t="n">
        <f aca="false">J8-K8+L8</f>
        <v>625000</v>
      </c>
    </row>
    <row r="9" customFormat="false" ht="15" hidden="false" customHeight="false" outlineLevel="0" collapsed="false">
      <c r="A9" s="17" t="s">
        <v>111</v>
      </c>
      <c r="B9" s="17" t="s">
        <v>106</v>
      </c>
      <c r="C9" s="18" t="n">
        <v>2</v>
      </c>
      <c r="D9" s="19" t="n">
        <v>46331</v>
      </c>
      <c r="E9" s="19" t="n">
        <v>46332</v>
      </c>
      <c r="F9" s="19" t="n">
        <v>46333</v>
      </c>
      <c r="G9" s="20" t="n">
        <f aca="false">E9-D9</f>
        <v>1</v>
      </c>
      <c r="H9" s="20" t="n">
        <f aca="false">MAX(0,F9-E9)</f>
        <v>1</v>
      </c>
      <c r="I9" s="21" t="n">
        <f aca="false">VLOOKUP(B9,Acuan!$A$2:$B$7,2,FALSE())</f>
        <v>150000</v>
      </c>
      <c r="J9" s="21" t="n">
        <f aca="false">C9*I9*G9</f>
        <v>300000</v>
      </c>
      <c r="K9" s="21" t="n">
        <f aca="false">IF(G9&gt;=$P$2,J9*$P$3,0)</f>
        <v>0</v>
      </c>
      <c r="L9" s="21" t="n">
        <f aca="false">C9*I9*H9*$P$4</f>
        <v>150000</v>
      </c>
      <c r="M9" s="21" t="n">
        <f aca="false">J9-K9+L9</f>
        <v>450000</v>
      </c>
    </row>
    <row r="10" customFormat="false" ht="15" hidden="false" customHeight="false" outlineLevel="0" collapsed="false">
      <c r="A10" s="17" t="s">
        <v>112</v>
      </c>
      <c r="B10" s="17" t="s">
        <v>113</v>
      </c>
      <c r="C10" s="18" t="n">
        <v>50</v>
      </c>
      <c r="D10" s="19" t="n">
        <v>46333</v>
      </c>
      <c r="E10" s="19" t="n">
        <v>46334</v>
      </c>
      <c r="F10" s="19" t="n">
        <v>46337</v>
      </c>
      <c r="G10" s="20" t="n">
        <f aca="false">E10-D10</f>
        <v>1</v>
      </c>
      <c r="H10" s="20" t="n">
        <f aca="false">MAX(0,F10-E10)</f>
        <v>3</v>
      </c>
      <c r="I10" s="21" t="n">
        <f aca="false">VLOOKUP(B10,Acuan!$A$2:$B$7,2,FALSE())</f>
        <v>2500</v>
      </c>
      <c r="J10" s="21" t="n">
        <f aca="false">C10*I10*G10</f>
        <v>125000</v>
      </c>
      <c r="K10" s="21" t="n">
        <f aca="false">IF(G10&gt;=$P$2,J10*$P$3,0)</f>
        <v>0</v>
      </c>
      <c r="L10" s="21" t="n">
        <f aca="false">C10*I10*H10*$P$4</f>
        <v>187500</v>
      </c>
      <c r="M10" s="21" t="n">
        <f aca="false">J10-K10+L10</f>
        <v>312500</v>
      </c>
    </row>
    <row r="11" customFormat="false" ht="15" hidden="false" customHeight="false" outlineLevel="0" collapsed="false">
      <c r="A11" s="17" t="s">
        <v>114</v>
      </c>
      <c r="B11" s="17" t="s">
        <v>100</v>
      </c>
      <c r="C11" s="18" t="n">
        <v>2</v>
      </c>
      <c r="D11" s="19" t="n">
        <v>46337</v>
      </c>
      <c r="E11" s="19" t="n">
        <v>46339</v>
      </c>
      <c r="F11" s="19" t="n">
        <v>46340</v>
      </c>
      <c r="G11" s="20" t="n">
        <f aca="false">E11-D11</f>
        <v>2</v>
      </c>
      <c r="H11" s="20" t="n">
        <f aca="false">MAX(0,F11-E11)</f>
        <v>1</v>
      </c>
      <c r="I11" s="21" t="n">
        <f aca="false">VLOOKUP(B11,Acuan!$A$2:$B$7,2,FALSE())</f>
        <v>200000</v>
      </c>
      <c r="J11" s="21" t="n">
        <f aca="false">C11*I11*G11</f>
        <v>800000</v>
      </c>
      <c r="K11" s="21" t="n">
        <f aca="false">IF(G11&gt;=$P$2,J11*$P$3,0)</f>
        <v>0</v>
      </c>
      <c r="L11" s="21" t="n">
        <f aca="false">C11*I11*H11*$P$4</f>
        <v>200000</v>
      </c>
      <c r="M11" s="21" t="n">
        <f aca="false">J11-K11+L11</f>
        <v>1000000</v>
      </c>
    </row>
    <row r="12" customFormat="false" ht="15" hidden="false" customHeight="false" outlineLevel="0" collapsed="false">
      <c r="A12" s="17" t="s">
        <v>115</v>
      </c>
      <c r="B12" s="17" t="s">
        <v>96</v>
      </c>
      <c r="C12" s="18" t="n">
        <v>2</v>
      </c>
      <c r="D12" s="19" t="n">
        <v>46338</v>
      </c>
      <c r="E12" s="19" t="n">
        <v>46342</v>
      </c>
      <c r="F12" s="19" t="n">
        <v>46342</v>
      </c>
      <c r="G12" s="20" t="n">
        <f aca="false">E12-D12</f>
        <v>4</v>
      </c>
      <c r="H12" s="20" t="n">
        <f aca="false">MAX(0,F12-E12)</f>
        <v>0</v>
      </c>
      <c r="I12" s="21" t="n">
        <f aca="false">VLOOKUP(B12,Acuan!$A$2:$B$7,2,FALSE())</f>
        <v>250000</v>
      </c>
      <c r="J12" s="21" t="n">
        <f aca="false">C12*I12*G12</f>
        <v>2000000</v>
      </c>
      <c r="K12" s="21" t="n">
        <f aca="false">IF(G12&gt;=$P$2,J12*$P$3,0)</f>
        <v>200000</v>
      </c>
      <c r="L12" s="21" t="n">
        <f aca="false">C12*I12*H12*$P$4</f>
        <v>0</v>
      </c>
      <c r="M12" s="21" t="n">
        <f aca="false">J12-K12+L12</f>
        <v>1800000</v>
      </c>
    </row>
    <row r="13" customFormat="false" ht="15" hidden="false" customHeight="false" outlineLevel="0" collapsed="false">
      <c r="A13" s="17" t="s">
        <v>116</v>
      </c>
      <c r="B13" s="17" t="s">
        <v>96</v>
      </c>
      <c r="C13" s="18" t="n">
        <v>1</v>
      </c>
      <c r="D13" s="19" t="n">
        <v>46341</v>
      </c>
      <c r="E13" s="19" t="n">
        <v>46345</v>
      </c>
      <c r="F13" s="19" t="n">
        <v>46345</v>
      </c>
      <c r="G13" s="20" t="n">
        <f aca="false">E13-D13</f>
        <v>4</v>
      </c>
      <c r="H13" s="20" t="n">
        <f aca="false">MAX(0,F13-E13)</f>
        <v>0</v>
      </c>
      <c r="I13" s="21" t="n">
        <f aca="false">VLOOKUP(B13,Acuan!$A$2:$B$7,2,FALSE())</f>
        <v>250000</v>
      </c>
      <c r="J13" s="21" t="n">
        <f aca="false">C13*I13*G13</f>
        <v>1000000</v>
      </c>
      <c r="K13" s="21" t="n">
        <f aca="false">IF(G13&gt;=$P$2,J13*$P$3,0)</f>
        <v>100000</v>
      </c>
      <c r="L13" s="21" t="n">
        <f aca="false">C13*I13*H13*$P$4</f>
        <v>0</v>
      </c>
      <c r="M13" s="21" t="n">
        <f aca="false">J13-K13+L13</f>
        <v>900000</v>
      </c>
    </row>
    <row r="14" customFormat="false" ht="15" hidden="false" customHeight="false" outlineLevel="0" collapsed="false">
      <c r="A14" s="17" t="s">
        <v>117</v>
      </c>
      <c r="B14" s="17" t="s">
        <v>118</v>
      </c>
      <c r="C14" s="18" t="n">
        <v>4</v>
      </c>
      <c r="D14" s="19" t="n">
        <v>46341</v>
      </c>
      <c r="E14" s="19" t="n">
        <v>46342</v>
      </c>
      <c r="F14" s="19" t="n">
        <v>46342</v>
      </c>
      <c r="G14" s="20" t="n">
        <f aca="false">E14-D14</f>
        <v>1</v>
      </c>
      <c r="H14" s="20" t="n">
        <f aca="false">MAX(0,F14-E14)</f>
        <v>0</v>
      </c>
      <c r="I14" s="21" t="n">
        <f aca="false">VLOOKUP(B14,Acuan!$A$2:$B$7,2,FALSE())</f>
        <v>20000</v>
      </c>
      <c r="J14" s="21" t="n">
        <f aca="false">C14*I14*G14</f>
        <v>80000</v>
      </c>
      <c r="K14" s="21" t="n">
        <f aca="false">IF(G14&gt;=$P$2,J14*$P$3,0)</f>
        <v>0</v>
      </c>
      <c r="L14" s="21" t="n">
        <f aca="false">C14*I14*H14*$P$4</f>
        <v>0</v>
      </c>
      <c r="M14" s="21" t="n">
        <f aca="false">J14-K14+L14</f>
        <v>80000</v>
      </c>
    </row>
    <row r="15" customFormat="false" ht="15" hidden="false" customHeight="false" outlineLevel="0" collapsed="false">
      <c r="A15" s="17" t="s">
        <v>119</v>
      </c>
      <c r="B15" s="17" t="s">
        <v>108</v>
      </c>
      <c r="C15" s="18" t="n">
        <v>2</v>
      </c>
      <c r="D15" s="19" t="n">
        <v>46342</v>
      </c>
      <c r="E15" s="19" t="n">
        <v>46347</v>
      </c>
      <c r="F15" s="19" t="n">
        <v>46348</v>
      </c>
      <c r="G15" s="20" t="n">
        <f aca="false">E15-D15</f>
        <v>5</v>
      </c>
      <c r="H15" s="20" t="n">
        <f aca="false">MAX(0,F15-E15)</f>
        <v>1</v>
      </c>
      <c r="I15" s="21" t="n">
        <f aca="false">VLOOKUP(B15,Acuan!$A$2:$B$7,2,FALSE())</f>
        <v>75000</v>
      </c>
      <c r="J15" s="21" t="n">
        <f aca="false">C15*I15*G15</f>
        <v>750000</v>
      </c>
      <c r="K15" s="21" t="n">
        <f aca="false">IF(G15&gt;=$P$2,J15*$P$3,0)</f>
        <v>75000</v>
      </c>
      <c r="L15" s="21" t="n">
        <f aca="false">C15*I15*H15*$P$4</f>
        <v>75000</v>
      </c>
      <c r="M15" s="21" t="n">
        <f aca="false">J15-K15+L15</f>
        <v>750000</v>
      </c>
    </row>
    <row r="16" customFormat="false" ht="15" hidden="false" customHeight="false" outlineLevel="0" collapsed="false">
      <c r="A16" s="17" t="s">
        <v>120</v>
      </c>
      <c r="B16" s="17" t="s">
        <v>118</v>
      </c>
      <c r="C16" s="18" t="n">
        <v>2</v>
      </c>
      <c r="D16" s="19" t="n">
        <v>46348</v>
      </c>
      <c r="E16" s="19" t="n">
        <v>46350</v>
      </c>
      <c r="F16" s="19" t="n">
        <v>46351</v>
      </c>
      <c r="G16" s="20" t="n">
        <f aca="false">E16-D16</f>
        <v>2</v>
      </c>
      <c r="H16" s="20" t="n">
        <f aca="false">MAX(0,F16-E16)</f>
        <v>1</v>
      </c>
      <c r="I16" s="21" t="n">
        <f aca="false">VLOOKUP(B16,Acuan!$A$2:$B$7,2,FALSE())</f>
        <v>20000</v>
      </c>
      <c r="J16" s="21" t="n">
        <f aca="false">C16*I16*G16</f>
        <v>80000</v>
      </c>
      <c r="K16" s="21" t="n">
        <f aca="false">IF(G16&gt;=$P$2,J16*$P$3,0)</f>
        <v>0</v>
      </c>
      <c r="L16" s="21" t="n">
        <f aca="false">C16*I16*H16*$P$4</f>
        <v>20000</v>
      </c>
      <c r="M16" s="21" t="n">
        <f aca="false">J16-K16+L16</f>
        <v>100000</v>
      </c>
    </row>
    <row r="17" customFormat="false" ht="15" hidden="false" customHeight="false" outlineLevel="0" collapsed="false">
      <c r="A17" s="17" t="s">
        <v>121</v>
      </c>
      <c r="B17" s="17" t="s">
        <v>96</v>
      </c>
      <c r="C17" s="18" t="n">
        <v>2</v>
      </c>
      <c r="D17" s="19" t="n">
        <v>46351</v>
      </c>
      <c r="E17" s="19" t="n">
        <v>46353</v>
      </c>
      <c r="F17" s="19" t="n">
        <v>46353</v>
      </c>
      <c r="G17" s="20" t="n">
        <f aca="false">E17-D17</f>
        <v>2</v>
      </c>
      <c r="H17" s="20" t="n">
        <f aca="false">MAX(0,F17-E17)</f>
        <v>0</v>
      </c>
      <c r="I17" s="21" t="n">
        <f aca="false">VLOOKUP(B17,Acuan!$A$2:$B$7,2,FALSE())</f>
        <v>250000</v>
      </c>
      <c r="J17" s="21" t="n">
        <f aca="false">C17*I17*G17</f>
        <v>1000000</v>
      </c>
      <c r="K17" s="21" t="n">
        <f aca="false">IF(G17&gt;=$P$2,J17*$P$3,0)</f>
        <v>0</v>
      </c>
      <c r="L17" s="21" t="n">
        <f aca="false">C17*I17*H17*$P$4</f>
        <v>0</v>
      </c>
      <c r="M17" s="21" t="n">
        <f aca="false">J17-K17+L17</f>
        <v>1000000</v>
      </c>
    </row>
    <row r="18" customFormat="false" ht="15" hidden="false" customHeight="false" outlineLevel="0" collapsed="false">
      <c r="A18" s="17" t="s">
        <v>122</v>
      </c>
      <c r="B18" s="17" t="s">
        <v>106</v>
      </c>
      <c r="C18" s="18" t="n">
        <v>2</v>
      </c>
      <c r="D18" s="19" t="n">
        <v>46352</v>
      </c>
      <c r="E18" s="19" t="n">
        <v>46353</v>
      </c>
      <c r="F18" s="19" t="n">
        <v>46354</v>
      </c>
      <c r="G18" s="20" t="n">
        <f aca="false">E18-D18</f>
        <v>1</v>
      </c>
      <c r="H18" s="20" t="n">
        <f aca="false">MAX(0,F18-E18)</f>
        <v>1</v>
      </c>
      <c r="I18" s="21" t="n">
        <f aca="false">VLOOKUP(B18,Acuan!$A$2:$B$7,2,FALSE())</f>
        <v>150000</v>
      </c>
      <c r="J18" s="21" t="n">
        <f aca="false">C18*I18*G18</f>
        <v>300000</v>
      </c>
      <c r="K18" s="21" t="n">
        <f aca="false">IF(G18&gt;=$P$2,J18*$P$3,0)</f>
        <v>0</v>
      </c>
      <c r="L18" s="21" t="n">
        <f aca="false">C18*I18*H18*$P$4</f>
        <v>150000</v>
      </c>
      <c r="M18" s="21" t="n">
        <f aca="false">J18-K18+L18</f>
        <v>450000</v>
      </c>
    </row>
    <row r="19" customFormat="false" ht="15" hidden="false" customHeight="false" outlineLevel="0" collapsed="false">
      <c r="A19" s="17" t="s">
        <v>123</v>
      </c>
      <c r="B19" s="17" t="s">
        <v>118</v>
      </c>
      <c r="C19" s="18" t="n">
        <v>6</v>
      </c>
      <c r="D19" s="19" t="n">
        <v>46353</v>
      </c>
      <c r="E19" s="19" t="n">
        <v>46354</v>
      </c>
      <c r="F19" s="19" t="n">
        <v>46357</v>
      </c>
      <c r="G19" s="20" t="n">
        <f aca="false">E19-D19</f>
        <v>1</v>
      </c>
      <c r="H19" s="20" t="n">
        <f aca="false">MAX(0,F19-E19)</f>
        <v>3</v>
      </c>
      <c r="I19" s="21" t="n">
        <f aca="false">VLOOKUP(B19,Acuan!$A$2:$B$7,2,FALSE())</f>
        <v>20000</v>
      </c>
      <c r="J19" s="21" t="n">
        <f aca="false">C19*I19*G19</f>
        <v>120000</v>
      </c>
      <c r="K19" s="21" t="n">
        <f aca="false">IF(G19&gt;=$P$2,J19*$P$3,0)</f>
        <v>0</v>
      </c>
      <c r="L19" s="21" t="n">
        <f aca="false">C19*I19*H19*$P$4</f>
        <v>180000</v>
      </c>
      <c r="M19" s="21" t="n">
        <f aca="false">J19-K19+L19</f>
        <v>300000</v>
      </c>
    </row>
    <row r="20" customFormat="false" ht="15" hidden="false" customHeight="false" outlineLevel="0" collapsed="false">
      <c r="A20" s="17" t="s">
        <v>124</v>
      </c>
      <c r="B20" s="17" t="s">
        <v>113</v>
      </c>
      <c r="C20" s="18" t="n">
        <v>200</v>
      </c>
      <c r="D20" s="19" t="n">
        <v>46354</v>
      </c>
      <c r="E20" s="19" t="n">
        <v>46355</v>
      </c>
      <c r="F20" s="19" t="n">
        <v>46357</v>
      </c>
      <c r="G20" s="20" t="n">
        <f aca="false">E20-D20</f>
        <v>1</v>
      </c>
      <c r="H20" s="20" t="n">
        <f aca="false">MAX(0,F20-E20)</f>
        <v>2</v>
      </c>
      <c r="I20" s="21" t="n">
        <f aca="false">VLOOKUP(B20,Acuan!$A$2:$B$7,2,FALSE())</f>
        <v>2500</v>
      </c>
      <c r="J20" s="21" t="n">
        <f aca="false">C20*I20*G20</f>
        <v>500000</v>
      </c>
      <c r="K20" s="21" t="n">
        <f aca="false">IF(G20&gt;=$P$2,J20*$P$3,0)</f>
        <v>0</v>
      </c>
      <c r="L20" s="21" t="n">
        <f aca="false">C20*I20*H20*$P$4</f>
        <v>500000</v>
      </c>
      <c r="M20" s="21" t="n">
        <f aca="false">J20-K20+L20</f>
        <v>1000000</v>
      </c>
    </row>
    <row r="21" customFormat="false" ht="15" hidden="false" customHeight="false" outlineLevel="0" collapsed="false">
      <c r="A21" s="17" t="s">
        <v>125</v>
      </c>
      <c r="B21" s="17" t="s">
        <v>100</v>
      </c>
      <c r="C21" s="18" t="n">
        <v>2</v>
      </c>
      <c r="D21" s="19" t="n">
        <v>46357</v>
      </c>
      <c r="E21" s="19" t="n">
        <v>46359</v>
      </c>
      <c r="F21" s="19" t="n">
        <v>46359</v>
      </c>
      <c r="G21" s="20" t="n">
        <f aca="false">E21-D21</f>
        <v>2</v>
      </c>
      <c r="H21" s="20" t="n">
        <f aca="false">MAX(0,F21-E21)</f>
        <v>0</v>
      </c>
      <c r="I21" s="21" t="n">
        <f aca="false">VLOOKUP(B21,Acuan!$A$2:$B$7,2,FALSE())</f>
        <v>200000</v>
      </c>
      <c r="J21" s="21" t="n">
        <f aca="false">C21*I21*G21</f>
        <v>800000</v>
      </c>
      <c r="K21" s="21" t="n">
        <f aca="false">IF(G21&gt;=$P$2,J21*$P$3,0)</f>
        <v>0</v>
      </c>
      <c r="L21" s="21" t="n">
        <f aca="false">C21*I21*H21*$P$4</f>
        <v>0</v>
      </c>
      <c r="M21" s="21" t="n">
        <f aca="false">J21-K21+L21</f>
        <v>800000</v>
      </c>
    </row>
    <row r="22" customFormat="false" ht="15" hidden="false" customHeight="false" outlineLevel="0" collapsed="false">
      <c r="A22" s="17" t="s">
        <v>126</v>
      </c>
      <c r="B22" s="17" t="s">
        <v>106</v>
      </c>
      <c r="C22" s="18" t="n">
        <v>1</v>
      </c>
      <c r="D22" s="19" t="n">
        <v>46359</v>
      </c>
      <c r="E22" s="19" t="n">
        <v>46360</v>
      </c>
      <c r="F22" s="19" t="n">
        <v>46360</v>
      </c>
      <c r="G22" s="20" t="n">
        <f aca="false">E22-D22</f>
        <v>1</v>
      </c>
      <c r="H22" s="20" t="n">
        <f aca="false">MAX(0,F22-E22)</f>
        <v>0</v>
      </c>
      <c r="I22" s="21" t="n">
        <f aca="false">VLOOKUP(B22,Acuan!$A$2:$B$7,2,FALSE())</f>
        <v>150000</v>
      </c>
      <c r="J22" s="21" t="n">
        <f aca="false">C22*I22*G22</f>
        <v>150000</v>
      </c>
      <c r="K22" s="21" t="n">
        <f aca="false">IF(G22&gt;=$P$2,J22*$P$3,0)</f>
        <v>0</v>
      </c>
      <c r="L22" s="21" t="n">
        <f aca="false">C22*I22*H22*$P$4</f>
        <v>0</v>
      </c>
      <c r="M22" s="21" t="n">
        <f aca="false">J22-K22+L22</f>
        <v>150000</v>
      </c>
    </row>
    <row r="23" customFormat="false" ht="15" hidden="false" customHeight="false" outlineLevel="0" collapsed="false">
      <c r="A23" s="17" t="s">
        <v>127</v>
      </c>
      <c r="B23" s="17" t="s">
        <v>106</v>
      </c>
      <c r="C23" s="18" t="n">
        <v>1</v>
      </c>
      <c r="D23" s="19" t="n">
        <v>46361</v>
      </c>
      <c r="E23" s="19" t="n">
        <v>46362</v>
      </c>
      <c r="F23" s="19" t="n">
        <v>46364</v>
      </c>
      <c r="G23" s="20" t="n">
        <f aca="false">E23-D23</f>
        <v>1</v>
      </c>
      <c r="H23" s="20" t="n">
        <f aca="false">MAX(0,F23-E23)</f>
        <v>2</v>
      </c>
      <c r="I23" s="21" t="n">
        <f aca="false">VLOOKUP(B23,Acuan!$A$2:$B$7,2,FALSE())</f>
        <v>150000</v>
      </c>
      <c r="J23" s="21" t="n">
        <f aca="false">C23*I23*G23</f>
        <v>150000</v>
      </c>
      <c r="K23" s="21" t="n">
        <f aca="false">IF(G23&gt;=$P$2,J23*$P$3,0)</f>
        <v>0</v>
      </c>
      <c r="L23" s="21" t="n">
        <f aca="false">C23*I23*H23*$P$4</f>
        <v>150000</v>
      </c>
      <c r="M23" s="21" t="n">
        <f aca="false">J23-K23+L23</f>
        <v>300000</v>
      </c>
    </row>
    <row r="24" customFormat="false" ht="15" hidden="false" customHeight="false" outlineLevel="0" collapsed="false">
      <c r="A24" s="17" t="s">
        <v>128</v>
      </c>
      <c r="B24" s="17" t="s">
        <v>113</v>
      </c>
      <c r="C24" s="18" t="n">
        <v>100</v>
      </c>
      <c r="D24" s="19" t="n">
        <v>46362</v>
      </c>
      <c r="E24" s="19" t="n">
        <v>46366</v>
      </c>
      <c r="F24" s="19" t="n">
        <v>46366</v>
      </c>
      <c r="G24" s="20" t="n">
        <f aca="false">E24-D24</f>
        <v>4</v>
      </c>
      <c r="H24" s="20" t="n">
        <f aca="false">MAX(0,F24-E24)</f>
        <v>0</v>
      </c>
      <c r="I24" s="21" t="n">
        <f aca="false">VLOOKUP(B24,Acuan!$A$2:$B$7,2,FALSE())</f>
        <v>2500</v>
      </c>
      <c r="J24" s="21" t="n">
        <f aca="false">C24*I24*G24</f>
        <v>1000000</v>
      </c>
      <c r="K24" s="21" t="n">
        <f aca="false">IF(G24&gt;=$P$2,J24*$P$3,0)</f>
        <v>100000</v>
      </c>
      <c r="L24" s="21" t="n">
        <f aca="false">C24*I24*H24*$P$4</f>
        <v>0</v>
      </c>
      <c r="M24" s="21" t="n">
        <f aca="false">J24-K24+L24</f>
        <v>900000</v>
      </c>
    </row>
    <row r="25" customFormat="false" ht="15" hidden="false" customHeight="false" outlineLevel="0" collapsed="false">
      <c r="A25" s="17" t="s">
        <v>129</v>
      </c>
      <c r="B25" s="17" t="s">
        <v>100</v>
      </c>
      <c r="C25" s="18" t="n">
        <v>2</v>
      </c>
      <c r="D25" s="19" t="n">
        <v>46363</v>
      </c>
      <c r="E25" s="19" t="n">
        <v>46366</v>
      </c>
      <c r="F25" s="19" t="n">
        <v>46368</v>
      </c>
      <c r="G25" s="20" t="n">
        <f aca="false">E25-D25</f>
        <v>3</v>
      </c>
      <c r="H25" s="20" t="n">
        <f aca="false">MAX(0,F25-E25)</f>
        <v>2</v>
      </c>
      <c r="I25" s="21" t="n">
        <f aca="false">VLOOKUP(B25,Acuan!$A$2:$B$7,2,FALSE())</f>
        <v>200000</v>
      </c>
      <c r="J25" s="21" t="n">
        <f aca="false">C25*I25*G25</f>
        <v>1200000</v>
      </c>
      <c r="K25" s="21" t="n">
        <f aca="false">IF(G25&gt;=$P$2,J25*$P$3,0)</f>
        <v>120000</v>
      </c>
      <c r="L25" s="21" t="n">
        <f aca="false">C25*I25*H25*$P$4</f>
        <v>400000</v>
      </c>
      <c r="M25" s="21" t="n">
        <f aca="false">J25-K25+L25</f>
        <v>1480000</v>
      </c>
    </row>
    <row r="26" customFormat="false" ht="15" hidden="false" customHeight="false" outlineLevel="0" collapsed="false">
      <c r="A26" s="17" t="s">
        <v>130</v>
      </c>
      <c r="B26" s="17" t="s">
        <v>108</v>
      </c>
      <c r="C26" s="18" t="n">
        <v>3</v>
      </c>
      <c r="D26" s="19" t="n">
        <v>46364</v>
      </c>
      <c r="E26" s="19" t="n">
        <v>46367</v>
      </c>
      <c r="F26" s="19" t="n">
        <v>46367</v>
      </c>
      <c r="G26" s="20" t="n">
        <f aca="false">E26-D26</f>
        <v>3</v>
      </c>
      <c r="H26" s="20" t="n">
        <f aca="false">MAX(0,F26-E26)</f>
        <v>0</v>
      </c>
      <c r="I26" s="21" t="n">
        <f aca="false">VLOOKUP(B26,Acuan!$A$2:$B$7,2,FALSE())</f>
        <v>75000</v>
      </c>
      <c r="J26" s="21" t="n">
        <f aca="false">C26*I26*G26</f>
        <v>675000</v>
      </c>
      <c r="K26" s="21" t="n">
        <f aca="false">IF(G26&gt;=$P$2,J26*$P$3,0)</f>
        <v>67500</v>
      </c>
      <c r="L26" s="21" t="n">
        <f aca="false">C26*I26*H26*$P$4</f>
        <v>0</v>
      </c>
      <c r="M26" s="21" t="n">
        <f aca="false">J26-K26+L26</f>
        <v>607500</v>
      </c>
    </row>
    <row r="27" customFormat="false" ht="15" hidden="false" customHeight="false" outlineLevel="0" collapsed="false">
      <c r="A27" s="17" t="s">
        <v>131</v>
      </c>
      <c r="B27" s="17" t="s">
        <v>100</v>
      </c>
      <c r="C27" s="18" t="n">
        <v>2</v>
      </c>
      <c r="D27" s="19" t="n">
        <v>46367</v>
      </c>
      <c r="E27" s="19" t="n">
        <v>46370</v>
      </c>
      <c r="F27" s="19" t="n">
        <v>46370</v>
      </c>
      <c r="G27" s="20" t="n">
        <f aca="false">E27-D27</f>
        <v>3</v>
      </c>
      <c r="H27" s="20" t="n">
        <f aca="false">MAX(0,F27-E27)</f>
        <v>0</v>
      </c>
      <c r="I27" s="21" t="n">
        <f aca="false">VLOOKUP(B27,Acuan!$A$2:$B$7,2,FALSE())</f>
        <v>200000</v>
      </c>
      <c r="J27" s="21" t="n">
        <f aca="false">C27*I27*G27</f>
        <v>1200000</v>
      </c>
      <c r="K27" s="21" t="n">
        <f aca="false">IF(G27&gt;=$P$2,J27*$P$3,0)</f>
        <v>120000</v>
      </c>
      <c r="L27" s="21" t="n">
        <f aca="false">C27*I27*H27*$P$4</f>
        <v>0</v>
      </c>
      <c r="M27" s="21" t="n">
        <f aca="false">J27-K27+L27</f>
        <v>1080000</v>
      </c>
    </row>
    <row r="28" customFormat="false" ht="15" hidden="false" customHeight="false" outlineLevel="0" collapsed="false">
      <c r="A28" s="17" t="s">
        <v>132</v>
      </c>
      <c r="B28" s="17" t="s">
        <v>108</v>
      </c>
      <c r="C28" s="18" t="n">
        <v>2</v>
      </c>
      <c r="D28" s="19" t="n">
        <v>46370</v>
      </c>
      <c r="E28" s="19" t="n">
        <v>46371</v>
      </c>
      <c r="F28" s="19" t="n">
        <v>46371</v>
      </c>
      <c r="G28" s="20" t="n">
        <f aca="false">E28-D28</f>
        <v>1</v>
      </c>
      <c r="H28" s="20" t="n">
        <f aca="false">MAX(0,F28-E28)</f>
        <v>0</v>
      </c>
      <c r="I28" s="21" t="n">
        <f aca="false">VLOOKUP(B28,Acuan!$A$2:$B$7,2,FALSE())</f>
        <v>75000</v>
      </c>
      <c r="J28" s="21" t="n">
        <f aca="false">C28*I28*G28</f>
        <v>150000</v>
      </c>
      <c r="K28" s="21" t="n">
        <f aca="false">IF(G28&gt;=$P$2,J28*$P$3,0)</f>
        <v>0</v>
      </c>
      <c r="L28" s="21" t="n">
        <f aca="false">C28*I28*H28*$P$4</f>
        <v>0</v>
      </c>
      <c r="M28" s="21" t="n">
        <f aca="false">J28-K28+L28</f>
        <v>150000</v>
      </c>
    </row>
    <row r="29" customFormat="false" ht="15" hidden="false" customHeight="false" outlineLevel="0" collapsed="false">
      <c r="A29" s="17" t="s">
        <v>133</v>
      </c>
      <c r="B29" s="17" t="s">
        <v>118</v>
      </c>
      <c r="C29" s="18" t="n">
        <v>2</v>
      </c>
      <c r="D29" s="19" t="n">
        <v>46372</v>
      </c>
      <c r="E29" s="19" t="n">
        <v>46376</v>
      </c>
      <c r="F29" s="19" t="n">
        <v>46376</v>
      </c>
      <c r="G29" s="20" t="n">
        <f aca="false">E29-D29</f>
        <v>4</v>
      </c>
      <c r="H29" s="20" t="n">
        <f aca="false">MAX(0,F29-E29)</f>
        <v>0</v>
      </c>
      <c r="I29" s="21" t="n">
        <f aca="false">VLOOKUP(B29,Acuan!$A$2:$B$7,2,FALSE())</f>
        <v>20000</v>
      </c>
      <c r="J29" s="21" t="n">
        <f aca="false">C29*I29*G29</f>
        <v>160000</v>
      </c>
      <c r="K29" s="21" t="n">
        <f aca="false">IF(G29&gt;=$P$2,J29*$P$3,0)</f>
        <v>16000</v>
      </c>
      <c r="L29" s="21" t="n">
        <f aca="false">C29*I29*H29*$P$4</f>
        <v>0</v>
      </c>
      <c r="M29" s="21" t="n">
        <f aca="false">J29-K29+L29</f>
        <v>144000</v>
      </c>
    </row>
    <row r="30" customFormat="false" ht="15" hidden="false" customHeight="false" outlineLevel="0" collapsed="false">
      <c r="A30" s="17" t="s">
        <v>134</v>
      </c>
      <c r="B30" s="17" t="s">
        <v>108</v>
      </c>
      <c r="C30" s="18" t="n">
        <v>3</v>
      </c>
      <c r="D30" s="19" t="n">
        <v>46373</v>
      </c>
      <c r="E30" s="19" t="n">
        <v>46375</v>
      </c>
      <c r="F30" s="19" t="n">
        <v>46375</v>
      </c>
      <c r="G30" s="20" t="n">
        <f aca="false">E30-D30</f>
        <v>2</v>
      </c>
      <c r="H30" s="20" t="n">
        <f aca="false">MAX(0,F30-E30)</f>
        <v>0</v>
      </c>
      <c r="I30" s="21" t="n">
        <f aca="false">VLOOKUP(B30,Acuan!$A$2:$B$7,2,FALSE())</f>
        <v>75000</v>
      </c>
      <c r="J30" s="21" t="n">
        <f aca="false">C30*I30*G30</f>
        <v>450000</v>
      </c>
      <c r="K30" s="21" t="n">
        <f aca="false">IF(G30&gt;=$P$2,J30*$P$3,0)</f>
        <v>0</v>
      </c>
      <c r="L30" s="21" t="n">
        <f aca="false">C30*I30*H30*$P$4</f>
        <v>0</v>
      </c>
      <c r="M30" s="21" t="n">
        <f aca="false">J30-K30+L30</f>
        <v>450000</v>
      </c>
    </row>
    <row r="31" customFormat="false" ht="15" hidden="false" customHeight="false" outlineLevel="0" collapsed="false">
      <c r="A31" s="17" t="s">
        <v>135</v>
      </c>
      <c r="B31" s="17" t="s">
        <v>113</v>
      </c>
      <c r="C31" s="18" t="n">
        <v>100</v>
      </c>
      <c r="D31" s="19" t="n">
        <v>46373</v>
      </c>
      <c r="E31" s="19" t="n">
        <v>46376</v>
      </c>
      <c r="F31" s="19" t="n">
        <v>46378</v>
      </c>
      <c r="G31" s="20" t="n">
        <f aca="false">E31-D31</f>
        <v>3</v>
      </c>
      <c r="H31" s="20" t="n">
        <f aca="false">MAX(0,F31-E31)</f>
        <v>2</v>
      </c>
      <c r="I31" s="21" t="n">
        <f aca="false">VLOOKUP(B31,Acuan!$A$2:$B$7,2,FALSE())</f>
        <v>2500</v>
      </c>
      <c r="J31" s="21" t="n">
        <f aca="false">C31*I31*G31</f>
        <v>750000</v>
      </c>
      <c r="K31" s="21" t="n">
        <f aca="false">IF(G31&gt;=$P$2,J31*$P$3,0)</f>
        <v>75000</v>
      </c>
      <c r="L31" s="21" t="n">
        <f aca="false">C31*I31*H31*$P$4</f>
        <v>250000</v>
      </c>
      <c r="M31" s="21" t="n">
        <f aca="false">J31-K31+L31</f>
        <v>925000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13"/>
    <col collapsed="false" customWidth="true" hidden="false" outlineLevel="0" max="3" min="3" style="0" width="15"/>
    <col collapsed="false" customWidth="true" hidden="false" outlineLevel="0" max="4" min="4" style="0" width="17"/>
  </cols>
  <sheetData>
    <row r="1" customFormat="false" ht="33.75" hidden="false" customHeight="true" outlineLevel="0" collapsed="false">
      <c r="A1" s="11" t="s">
        <v>80</v>
      </c>
      <c r="B1" s="11" t="s">
        <v>87</v>
      </c>
      <c r="C1" s="15" t="s">
        <v>136</v>
      </c>
      <c r="D1" s="15" t="s">
        <v>137</v>
      </c>
    </row>
    <row r="2" customFormat="false" ht="15" hidden="false" customHeight="false" outlineLevel="0" collapsed="false">
      <c r="A2" s="17" t="s">
        <v>106</v>
      </c>
      <c r="B2" s="25" t="n">
        <v>150000</v>
      </c>
      <c r="C2" s="20" t="n">
        <f aca="false">COUNTIF(Data!$B$2:$B$31,A2)</f>
        <v>6</v>
      </c>
      <c r="D2" s="21" t="n">
        <f aca="false">SUMIF(Data!$B$2:$B$31,A2,Data!$M$2:$M$31)</f>
        <v>3600000</v>
      </c>
    </row>
    <row r="3" customFormat="false" ht="15" hidden="false" customHeight="false" outlineLevel="0" collapsed="false">
      <c r="A3" s="17" t="s">
        <v>108</v>
      </c>
      <c r="B3" s="25" t="n">
        <v>75000</v>
      </c>
      <c r="C3" s="20" t="n">
        <f aca="false">COUNTIF(Data!$B$2:$B$31,A3)</f>
        <v>5</v>
      </c>
      <c r="D3" s="21" t="n">
        <f aca="false">SUMIF(Data!$B$2:$B$31,A3,Data!$M$2:$M$31)</f>
        <v>2220000</v>
      </c>
    </row>
    <row r="4" customFormat="false" ht="15" hidden="false" customHeight="false" outlineLevel="0" collapsed="false">
      <c r="A4" s="17" t="s">
        <v>113</v>
      </c>
      <c r="B4" s="25" t="n">
        <v>2500</v>
      </c>
      <c r="C4" s="20" t="n">
        <f aca="false">COUNTIF(Data!$B$2:$B$31,A4)</f>
        <v>4</v>
      </c>
      <c r="D4" s="21" t="n">
        <f aca="false">SUMIF(Data!$B$2:$B$31,A4,Data!$M$2:$M$31)</f>
        <v>3137500</v>
      </c>
    </row>
    <row r="5" customFormat="false" ht="15" hidden="false" customHeight="false" outlineLevel="0" collapsed="false">
      <c r="A5" s="17" t="s">
        <v>118</v>
      </c>
      <c r="B5" s="25" t="n">
        <v>20000</v>
      </c>
      <c r="C5" s="20" t="n">
        <f aca="false">COUNTIF(Data!$B$2:$B$31,A5)</f>
        <v>4</v>
      </c>
      <c r="D5" s="21" t="n">
        <f aca="false">SUMIF(Data!$B$2:$B$31,A5,Data!$M$2:$M$31)</f>
        <v>624000</v>
      </c>
    </row>
    <row r="6" customFormat="false" ht="15" hidden="false" customHeight="false" outlineLevel="0" collapsed="false">
      <c r="A6" s="17" t="s">
        <v>96</v>
      </c>
      <c r="B6" s="25" t="n">
        <v>250000</v>
      </c>
      <c r="C6" s="20" t="n">
        <f aca="false">COUNTIF(Data!$B$2:$B$31,A6)</f>
        <v>6</v>
      </c>
      <c r="D6" s="21" t="n">
        <f aca="false">SUMIF(Data!$B$2:$B$31,A6,Data!$M$2:$M$31)</f>
        <v>6225000</v>
      </c>
    </row>
    <row r="7" customFormat="false" ht="15" hidden="false" customHeight="false" outlineLevel="0" collapsed="false">
      <c r="A7" s="17" t="s">
        <v>100</v>
      </c>
      <c r="B7" s="25" t="n">
        <v>200000</v>
      </c>
      <c r="C7" s="20" t="n">
        <f aca="false">COUNTIF(Data!$B$2:$B$31,A7)</f>
        <v>5</v>
      </c>
      <c r="D7" s="21" t="n">
        <f aca="false">SUMIF(Data!$B$2:$B$31,A7,Data!$M$2:$M$31)</f>
        <v>5800000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6" t="s">
        <v>138</v>
      </c>
      <c r="B1" s="26"/>
      <c r="C1" s="26"/>
      <c r="D1" s="26"/>
    </row>
    <row r="2" customFormat="false" ht="15" hidden="false" customHeight="false" outlineLevel="0" collapsed="false">
      <c r="A2" s="27" t="s">
        <v>139</v>
      </c>
      <c r="B2" s="27"/>
      <c r="C2" s="27"/>
      <c r="D2" s="27"/>
    </row>
    <row r="3" customFormat="false" ht="15" hidden="false" customHeight="false" outlineLevel="0" collapsed="false">
      <c r="A3" s="11" t="s">
        <v>19</v>
      </c>
      <c r="B3" s="11" t="s">
        <v>140</v>
      </c>
      <c r="C3" s="11" t="s">
        <v>141</v>
      </c>
      <c r="D3" s="11" t="s">
        <v>142</v>
      </c>
    </row>
    <row r="4" customFormat="false" ht="15" hidden="false" customHeight="false" outlineLevel="0" collapsed="false">
      <c r="A4" s="28" t="s">
        <v>143</v>
      </c>
      <c r="B4" s="29" t="s">
        <v>144</v>
      </c>
      <c r="C4" s="20" t="n">
        <f aca="false">COUNTA(Data!$A$2:$A$31)</f>
        <v>30</v>
      </c>
      <c r="D4" s="30" t="s">
        <v>145</v>
      </c>
    </row>
    <row r="5" customFormat="false" ht="15" hidden="false" customHeight="false" outlineLevel="0" collapsed="false">
      <c r="A5" s="28" t="s">
        <v>146</v>
      </c>
      <c r="B5" s="29" t="s">
        <v>147</v>
      </c>
      <c r="C5" s="21" t="n">
        <f aca="false">SUM(Data!$M$2:$M$31)</f>
        <v>21606500</v>
      </c>
      <c r="D5" s="30" t="s">
        <v>148</v>
      </c>
    </row>
    <row r="6" customFormat="false" ht="15" hidden="false" customHeight="false" outlineLevel="0" collapsed="false">
      <c r="A6" s="28" t="s">
        <v>149</v>
      </c>
      <c r="B6" s="29" t="s">
        <v>150</v>
      </c>
      <c r="C6" s="20" t="n">
        <f aca="false">COUNTIF(Data!$H$2:$H$31,"&gt;0")</f>
        <v>14</v>
      </c>
      <c r="D6" s="30" t="s">
        <v>151</v>
      </c>
    </row>
    <row r="7" customFormat="false" ht="15" hidden="false" customHeight="false" outlineLevel="0" collapsed="false">
      <c r="A7" s="28" t="s">
        <v>152</v>
      </c>
      <c r="B7" s="29" t="s">
        <v>153</v>
      </c>
      <c r="C7" s="21" t="n">
        <f aca="false">SUM(Data!$L$2:$L$31)</f>
        <v>2950000</v>
      </c>
      <c r="D7" s="30" t="s">
        <v>154</v>
      </c>
    </row>
    <row r="8" customFormat="false" ht="15" hidden="false" customHeight="false" outlineLevel="0" collapsed="false">
      <c r="A8" s="28" t="s">
        <v>155</v>
      </c>
      <c r="B8" s="29" t="s">
        <v>156</v>
      </c>
      <c r="C8" s="31" t="str">
        <f aca="false">INDEX(Data!$A$2:$A$31,MATCH(MAX(Data!$M$2:$M$31),Data!$M$2:$M$31,0))</f>
        <v>Edi Maharani</v>
      </c>
      <c r="D8" s="30" t="s">
        <v>157</v>
      </c>
    </row>
    <row r="9" customFormat="false" ht="15" hidden="false" customHeight="false" outlineLevel="0" collapsed="false">
      <c r="A9" s="28" t="s">
        <v>158</v>
      </c>
      <c r="B9" s="29" t="s">
        <v>159</v>
      </c>
      <c r="C9" s="31" t="str">
        <f aca="false">INDEX(Acuan!$A$2:$A$7,MATCH(MAX(Acuan!$D$2:$D$7),Acuan!$D$2:$D$7,0))</f>
        <v>Sound System</v>
      </c>
      <c r="D9" s="30" t="s">
        <v>160</v>
      </c>
    </row>
    <row r="10" customFormat="false" ht="15" hidden="false" customHeight="false" outlineLevel="0" collapsed="false">
      <c r="A10" s="28" t="s">
        <v>161</v>
      </c>
      <c r="B10" s="29" t="s">
        <v>162</v>
      </c>
      <c r="C10" s="32" t="n">
        <f aca="false">AVERAGE(Data!$G$2:$G$31)</f>
        <v>2.33333333333333</v>
      </c>
      <c r="D10" s="30" t="s">
        <v>163</v>
      </c>
    </row>
    <row r="11" customFormat="false" ht="15" hidden="false" customHeight="false" outlineLevel="0" collapsed="false">
      <c r="A11" s="28" t="s">
        <v>164</v>
      </c>
      <c r="B11" s="29" t="s">
        <v>165</v>
      </c>
      <c r="C11" s="21" t="n">
        <f aca="false">SUM(Data!$K$2:$K$31)</f>
        <v>1133500</v>
      </c>
      <c r="D11" s="30" t="s">
        <v>166</v>
      </c>
    </row>
    <row r="12" customFormat="false" ht="15" hidden="false" customHeight="false" outlineLevel="0" collapsed="false">
      <c r="A12" s="28" t="s">
        <v>167</v>
      </c>
      <c r="B12" s="29" t="s">
        <v>168</v>
      </c>
      <c r="C12" s="21" t="n">
        <f aca="false">SUMIF(Data!$B$2:$B$31,"Kursi Lipat",Data!$L$2:$L$31)</f>
        <v>937500</v>
      </c>
      <c r="D12" s="30" t="s">
        <v>169</v>
      </c>
    </row>
    <row r="13" customFormat="false" ht="15" hidden="false" customHeight="false" outlineLevel="0" collapsed="false">
      <c r="A13" s="28" t="s">
        <v>170</v>
      </c>
      <c r="B13" s="29" t="s">
        <v>171</v>
      </c>
      <c r="C13" s="20" t="n">
        <f aca="false">COUNTIFS(Data!$B$2:$B$31,"Sound System",Data!$K$2:$K$31,"&gt;0")</f>
        <v>3</v>
      </c>
      <c r="D13" s="30" t="s">
        <v>172</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2026-10-16T05:23:19Z</dcterms:created>
  <dc:creator>PushExcel</dc:creator>
  <dc:description/>
  <dc:language>en-US</dc:language>
  <cp:lastModifiedBy/>
  <dcterms:modified xsi:type="dcterms:W3CDTF">2026-10-16T05:23:19Z</dcterms:modified>
  <cp:revision>0</cp:revision>
  <dc:subject/>
  <dc:title>Sewa Peralatan Pesta, Denda, dan Total Bayar - Kunci</dc:title>
</cp:coreProperties>
</file>

<file path=docProps/custom.xml><?xml version="1.0" encoding="utf-8"?>
<Properties xmlns="http://schemas.openxmlformats.org/officeDocument/2006/custom-properties" xmlns:vt="http://schemas.openxmlformats.org/officeDocument/2006/docPropsVTypes"/>
</file>