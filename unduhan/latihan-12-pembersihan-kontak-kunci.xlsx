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<sst xmlns="http://schemas.openxmlformats.org/spreadsheetml/2006/main" count="217" uniqueCount="199">
  <si>
    <t xml:space="preserve">Kunci Jawaban: Pembersihan Data Kontak Pelanggan</t>
  </si>
  <si>
    <t xml:space="preserve">Latihan 12 dari 104  |  Tingkat: Menengah  |  Perkiraan waktu: 50 menit  |  pushexcel.github.io/Pushexcel</t>
  </si>
  <si>
    <t xml:space="preserve">Skenario</t>
  </si>
  <si>
    <t xml:space="preserve">Kamu staf layanan pelanggan di Toko Online Nusa. Daftar 30 kontak hasil impor dari beberapa sumber sangat berantakan: huruf besar kecil acak, spasi berlebih, format nomor telepon beragam, dan ada kontak yang terdaftar dua kali. Sebelum dipakai untuk kampanye pesan, kamu harus merapikan semuanya dengan rumus.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</si>
  <si>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</si>
  <si>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</si>
  <si>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</si>
  <si>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</si>
  <si>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</si>
  <si>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</si>
  <si>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</si>
  <si>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</si>
  <si>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</si>
  <si>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</si>
  <si>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</si>
  <si>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</si>
  <si>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</si>
  <si>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</si>
  <si>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</si>
  <si>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</si>
  <si>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</si>
  <si>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</si>
  <si>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</si>
  <si>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</si>
  <si>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Rapikan nama: hapus spasi berlebih, lalu huruf pertama tiap kata kapital dan sisanya kecil.</t>
  </si>
  <si>
    <t xml:space="preserve">Sheet Data, kolom E (Nama Rapi), baris 2 sampai 31</t>
  </si>
  <si>
    <t xml:space="preserve">=PROPER(TRIM(B2))</t>
  </si>
  <si>
    <t xml:space="preserve">2</t>
  </si>
  <si>
    <t xml:space="preserve">Ambil nama depan dari Nama Rapi (semua teks sebelum spasi pertama).</t>
  </si>
  <si>
    <t xml:space="preserve">Sheet Data, kolom F (Nama Depan), baris 2 sampai 31</t>
  </si>
  <si>
    <t xml:space="preserve">=LEFT(E2;FIND(" ";E2)-1)</t>
  </si>
  <si>
    <t xml:space="preserve">3</t>
  </si>
  <si>
    <t xml:space="preserve">Rapikan email: hapus spasi di awal atau akhir dan ubah semuanya menjadi huruf kecil.</t>
  </si>
  <si>
    <t xml:space="preserve">Sheet Data, kolom G (Email Rapi), baris 2 sampai 31</t>
  </si>
  <si>
    <t xml:space="preserve">=LOWER(TRIM(D2))</t>
  </si>
  <si>
    <t xml:space="preserve">4</t>
  </si>
  <si>
    <t xml:space="preserve">Ambil domain email, yaitu teks setelah tanda @.</t>
  </si>
  <si>
    <t xml:space="preserve">Sheet Data, kolom H (Domain Email), baris 2 sampai 31</t>
  </si>
  <si>
    <t xml:space="preserve">=MID(G2;FIND("@";G2)+1;50)</t>
  </si>
  <si>
    <t xml:space="preserve">5</t>
  </si>
  <si>
    <t xml:space="preserve">Hapus tanda hubung dan spasi dari nomor telepon mentah.</t>
  </si>
  <si>
    <t xml:space="preserve">Sheet Data, kolom I (Telepon Tanpa Tanda), baris 2 sampai 31</t>
  </si>
  <si>
    <t xml:space="preserve">=SUBSTITUTE(SUBSTITUTE(C2;"-";"");" ";"")</t>
  </si>
  <si>
    <t xml:space="preserve">6</t>
  </si>
  <si>
    <t xml:space="preserve">Seragamkan awalan: bila nomor diawali +62, ganti +62 dengan 0. Nomor yang sudah diawali 0 tidak diubah.</t>
  </si>
  <si>
    <t xml:space="preserve">Sheet Data, kolom J (Telepon Standar (08...)), baris 2 sampai 31</t>
  </si>
  <si>
    <t xml:space="preserve">=IF(LEFT(I2;3)="+62";"0"&amp;MID(I2;4;20);I2)</t>
  </si>
  <si>
    <t xml:space="preserve">7</t>
  </si>
  <si>
    <t xml:space="preserve">Cari operator dari tiga digit setelah angka 0 di depan nomor standar, memakai tabel di sheet Acuan.</t>
  </si>
  <si>
    <t xml:space="preserve">Sheet Data, kolom K (Operator), baris 2 sampai 31</t>
  </si>
  <si>
    <t xml:space="preserve">=VLOOKUP(VALUE(MID(J2;2;3));Acuan!$A$2:$B$13;2;FALSE)</t>
  </si>
  <si>
    <t xml:space="preserve">8</t>
  </si>
  <si>
    <t xml:space="preserve">Tandai Duplikat bila email rapi itu muncul lebih dari satu kali, selain itu Unik.</t>
  </si>
  <si>
    <t xml:space="preserve">Sheet Data, kolom L (Status Email), baris 2 sampai 31</t>
  </si>
  <si>
    <t xml:space="preserve">=IF(COUNTIF($G$2:$G$31;G2)&gt;1;"Duplikat";"Unik")</t>
  </si>
  <si>
    <t xml:space="preserve">9</t>
  </si>
  <si>
    <t xml:space="preserve">Berapa baris yang berstatus Duplikat?</t>
  </si>
  <si>
    <t xml:space="preserve">Sheet Ringkasan, sel C4</t>
  </si>
  <si>
    <t xml:space="preserve">=COUNTIF(Data!$L$2:$L$31;"Duplikat")</t>
  </si>
  <si>
    <t xml:space="preserve">10</t>
  </si>
  <si>
    <t xml:space="preserve">Berapa jumlah kontak unik (setiap email dihitung satu kali)?</t>
  </si>
  <si>
    <t xml:space="preserve">Sheet Ringkasan, sel C5</t>
  </si>
  <si>
    <t xml:space="preserve">=SUMPRODUCT(1/COUNTIF(Data!$G$2:$G$31;Data!$G$2:$G$31))</t>
  </si>
  <si>
    <t xml:space="preserve">11</t>
  </si>
  <si>
    <t xml:space="preserve">Berapa kontak yang memakai domain gmail.com?</t>
  </si>
  <si>
    <t xml:space="preserve">Sheet Ringkasan, sel C6</t>
  </si>
  <si>
    <t xml:space="preserve">=COUNTIF(Data!$H$2:$H$31;"gmail.com")</t>
  </si>
  <si>
    <t xml:space="preserve">12</t>
  </si>
  <si>
    <t xml:space="preserve">Berapa kontak untuk tiap operator: Telkomsel, Indosat, XL, Smartfren, dan Tri? Jumlah kelimanya harus 30.</t>
  </si>
  <si>
    <t xml:space="preserve">Sheet Ringkasan, sel C7 sampai C11</t>
  </si>
  <si>
    <t xml:space="preserve">=COUNTIF(Data!$K$2:$K$31;"Telkomsel")
=COUNTIF(Data!$K$2:$K$31;"Indosat")
=COUNTIF(Data!$K$2:$K$31;"XL")
=COUNTIF(Data!$K$2:$K$31;"Smartfren")
=COUNTIF(Data!$K$2:$K$31;"Tri")</t>
  </si>
  <si>
    <t xml:space="preserve">Nama (mentah)</t>
  </si>
  <si>
    <t xml:space="preserve">Telepon (mentah)</t>
  </si>
  <si>
    <t xml:space="preserve">Email (mentah)</t>
  </si>
  <si>
    <t xml:space="preserve">Nama Rapi</t>
  </si>
  <si>
    <t xml:space="preserve">Nama Depan</t>
  </si>
  <si>
    <t xml:space="preserve">Email Rapi</t>
  </si>
  <si>
    <t xml:space="preserve">Domain Email</t>
  </si>
  <si>
    <t xml:space="preserve">Telepon Tanpa Tanda</t>
  </si>
  <si>
    <t xml:space="preserve">Telepon Standar (08...)</t>
  </si>
  <si>
    <t xml:space="preserve">Operator</t>
  </si>
  <si>
    <t xml:space="preserve">Status Email</t>
  </si>
  <si>
    <t xml:space="preserve">  ayu nugroho</t>
  </si>
  <si>
    <t xml:space="preserve">+62 895-1213-3264</t>
  </si>
  <si>
    <t xml:space="preserve">ayu.nugroho@cvbintang.com </t>
  </si>
  <si>
    <t xml:space="preserve">anwar  hidayat</t>
  </si>
  <si>
    <t xml:space="preserve">0811-1942-5144</t>
  </si>
  <si>
    <t xml:space="preserve">anwar.hidayat@gmail.com</t>
  </si>
  <si>
    <t xml:space="preserve">  arif rahayu</t>
  </si>
  <si>
    <t xml:space="preserve">+62818 1919 7863</t>
  </si>
  <si>
    <t xml:space="preserve"> arif.rahayu@ptmajujaya.co.id</t>
  </si>
  <si>
    <t xml:space="preserve">taufik  anggraini</t>
  </si>
  <si>
    <t xml:space="preserve">0896-9183-9455</t>
  </si>
  <si>
    <t xml:space="preserve">TAUFIK.ANGGRAINI@GMAIL.COM</t>
  </si>
  <si>
    <t xml:space="preserve">Agus Setiawan</t>
  </si>
  <si>
    <t xml:space="preserve">+62 813-3346-9672</t>
  </si>
  <si>
    <t xml:space="preserve">Agus.Setiawan@gmail.com</t>
  </si>
  <si>
    <t xml:space="preserve">fitri  utomo</t>
  </si>
  <si>
    <t xml:space="preserve">0816-2585-5298</t>
  </si>
  <si>
    <t xml:space="preserve"> fitri.utomo@yahoo.co.id</t>
  </si>
  <si>
    <t xml:space="preserve">LIA RAHAYU</t>
  </si>
  <si>
    <t xml:space="preserve">+62 881-2129-4229</t>
  </si>
  <si>
    <t xml:space="preserve">lia.rahayu@cvbintang.com</t>
  </si>
  <si>
    <t xml:space="preserve">ahmad  santoso</t>
  </si>
  <si>
    <t xml:space="preserve">+62 817-6435-9449</t>
  </si>
  <si>
    <t xml:space="preserve">Ahmad.Santoso@cvbintang.com</t>
  </si>
  <si>
    <t xml:space="preserve">  joko handayani</t>
  </si>
  <si>
    <t xml:space="preserve">0811-4888-4645</t>
  </si>
  <si>
    <t xml:space="preserve">JOKO.HANDAYANI@GMAIL.COM</t>
  </si>
  <si>
    <t xml:space="preserve">TAUFIK ANGGRAINI</t>
  </si>
  <si>
    <t xml:space="preserve">taufik.anggraini@gmail.com</t>
  </si>
  <si>
    <t xml:space="preserve">  nurul wijaya</t>
  </si>
  <si>
    <t xml:space="preserve">0877-5589-3785</t>
  </si>
  <si>
    <t xml:space="preserve">nurul.wijaya@gmail.com </t>
  </si>
  <si>
    <t xml:space="preserve">  jamal saputra</t>
  </si>
  <si>
    <t xml:space="preserve">+62818 6834 2721</t>
  </si>
  <si>
    <t xml:space="preserve">jamal.saputra@cvbintang.com </t>
  </si>
  <si>
    <t xml:space="preserve">yusuf  permana</t>
  </si>
  <si>
    <t xml:space="preserve">+62 816-5451-5693</t>
  </si>
  <si>
    <t xml:space="preserve">yusuf.permana@gmail.com </t>
  </si>
  <si>
    <t xml:space="preserve">  wahyu kurniawan</t>
  </si>
  <si>
    <t xml:space="preserve">+62857 6311 7977</t>
  </si>
  <si>
    <t xml:space="preserve"> wahyu.kurniawan@cvbintang.com</t>
  </si>
  <si>
    <t xml:space="preserve">  yanti firmansyah</t>
  </si>
  <si>
    <t xml:space="preserve">+62813 1119 8587</t>
  </si>
  <si>
    <t xml:space="preserve"> yanti.firmansyah@gmail.com</t>
  </si>
  <si>
    <t xml:space="preserve">SINTA NUGROHO</t>
  </si>
  <si>
    <t xml:space="preserve">0857 7944 8324</t>
  </si>
  <si>
    <t xml:space="preserve">sinta.nugroho@yahoo.co.id </t>
  </si>
  <si>
    <t xml:space="preserve">JAMAL SAPUTRA  </t>
  </si>
  <si>
    <t xml:space="preserve">+62 818-6834-2721</t>
  </si>
  <si>
    <t xml:space="preserve">jamal.saputra@cvbintang.com</t>
  </si>
  <si>
    <t xml:space="preserve">WATI WIBOWO  </t>
  </si>
  <si>
    <t xml:space="preserve">+62 817-2352-4326</t>
  </si>
  <si>
    <t xml:space="preserve">Wati.Wibowo@gmail.com</t>
  </si>
  <si>
    <t xml:space="preserve">YANTI ANGGRAINI  </t>
  </si>
  <si>
    <t xml:space="preserve">+62 815-5459-7369</t>
  </si>
  <si>
    <t xml:space="preserve">Yanti.Anggraini@gmail.com</t>
  </si>
  <si>
    <t xml:space="preserve">ahmad  saputra</t>
  </si>
  <si>
    <t xml:space="preserve">0813-4828-7439</t>
  </si>
  <si>
    <t xml:space="preserve">ahmad.saputra@gmail.com</t>
  </si>
  <si>
    <t xml:space="preserve">  bayu wibowo</t>
  </si>
  <si>
    <t xml:space="preserve">0881-3262-6384</t>
  </si>
  <si>
    <t xml:space="preserve">bayu.wibowo@cvbintang.com</t>
  </si>
  <si>
    <t xml:space="preserve">SINTA SUSANTO</t>
  </si>
  <si>
    <t xml:space="preserve">+62 815-8962-5493</t>
  </si>
  <si>
    <t xml:space="preserve"> sinta.susanto@gmail.com</t>
  </si>
  <si>
    <t xml:space="preserve">zahra firmansyah</t>
  </si>
  <si>
    <t xml:space="preserve">0881-9338-6271</t>
  </si>
  <si>
    <t xml:space="preserve">Zahra.Firmansyah@gmail.com</t>
  </si>
  <si>
    <t xml:space="preserve">RATNA NUGROHO  </t>
  </si>
  <si>
    <t xml:space="preserve">0818 5923 2544</t>
  </si>
  <si>
    <t xml:space="preserve">ratna.nugroho@ptmajujaya.co.id</t>
  </si>
  <si>
    <t xml:space="preserve">SARI SANTOSO  </t>
  </si>
  <si>
    <t xml:space="preserve">0877 4542 4934</t>
  </si>
  <si>
    <t xml:space="preserve">Sari.Santoso@outlook.com</t>
  </si>
  <si>
    <t xml:space="preserve">zainal  kurniawan</t>
  </si>
  <si>
    <t xml:space="preserve">+62 812-5946-8926</t>
  </si>
  <si>
    <t xml:space="preserve">zainal.kurniawan@outlook.com</t>
  </si>
  <si>
    <t xml:space="preserve">AHMAD RAHAYU</t>
  </si>
  <si>
    <t xml:space="preserve">+62 816-4219-7318</t>
  </si>
  <si>
    <t xml:space="preserve">ahmad.rahayu@gmail.com </t>
  </si>
  <si>
    <t xml:space="preserve">  lia rahayu</t>
  </si>
  <si>
    <t xml:space="preserve">0881-2129-4229</t>
  </si>
  <si>
    <t xml:space="preserve">LIA.RAHAYU@CVBINTANG.COM</t>
  </si>
  <si>
    <t xml:space="preserve">vina pratama</t>
  </si>
  <si>
    <t xml:space="preserve">+62812 2867 7393</t>
  </si>
  <si>
    <t xml:space="preserve">VINA.PRATAMA@CVBINTANG.COM</t>
  </si>
  <si>
    <t xml:space="preserve">  dimas ramadhan</t>
  </si>
  <si>
    <t xml:space="preserve">+62895 9966 3784</t>
  </si>
  <si>
    <t xml:space="preserve">DIMAS.RAMADHAN@GMAIL.COM</t>
  </si>
  <si>
    <t xml:space="preserve">Awalan (3 digit)</t>
  </si>
  <si>
    <t xml:space="preserve">Telkomsel</t>
  </si>
  <si>
    <t xml:space="preserve">Indosat</t>
  </si>
  <si>
    <t xml:space="preserve">XL</t>
  </si>
  <si>
    <t xml:space="preserve">Smartfren</t>
  </si>
  <si>
    <t xml:space="preserve">Tri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</si>
  <si>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</si>
  <si>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</si>
  <si>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</si>
  <si>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</si>
  <si>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</si>
  <si>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Jumlah baris berstatus Duplikat</t>
  </si>
  <si>
    <t xml:space="preserve">Angka bulat, mis. 6</t>
  </si>
  <si>
    <t xml:space="preserve">Jumlah kontak unik</t>
  </si>
  <si>
    <t xml:space="preserve">Angka bulat, mis. 27</t>
  </si>
  <si>
    <t xml:space="preserve">Jumlah kontak berdomain gmail.com</t>
  </si>
  <si>
    <t xml:space="preserve">Angka bulat, mis. 14</t>
  </si>
  <si>
    <t xml:space="preserve">12a</t>
  </si>
  <si>
    <t xml:space="preserve">Jumlah kontak operator Telkomsel</t>
  </si>
  <si>
    <t xml:space="preserve">Angka bulat, mis. 8</t>
  </si>
  <si>
    <t xml:space="preserve">12b</t>
  </si>
  <si>
    <t xml:space="preserve">Jumlah kontak operator Indosat</t>
  </si>
  <si>
    <t xml:space="preserve">12c</t>
  </si>
  <si>
    <t xml:space="preserve">Jumlah kontak operator XL</t>
  </si>
  <si>
    <t xml:space="preserve">12d</t>
  </si>
  <si>
    <t xml:space="preserve">Jumlah kontak operator Smartfren</t>
  </si>
  <si>
    <t xml:space="preserve">12e</t>
  </si>
  <si>
    <t xml:space="preserve">Jumlah kontak operator Tri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</si>
</sst>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97.5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9" min="8" style="0" width="18"/>
    <col collapsed="false" customWidth="true" hidden="false" outlineLevel="0" max="10" min="10" style="0" width="19"/>
    <col collapsed="false" customWidth="true" hidden="false" outlineLevel="0" max="12" min="11" style="0" width="12"/>
  </cols>
  <sheetData>
    <row r="1" customFormat="false" ht="33.75" hidden="false" customHeight="true" outlineLevel="0" collapsed="false">
      <c r="A1" s="12" t="s">
        <v>19</v>
      </c>
      <c r="B1" s="12" t="s">
        <v>71</v>
      </c>
      <c r="C1" s="12" t="s">
        <v>72</v>
      </c>
      <c r="D1" s="12" t="s">
        <v>73</v>
      </c>
      <c r="E1" s="16" t="s">
        <v>74</v>
      </c>
      <c r="F1" s="16" t="s">
        <v>75</v>
      </c>
      <c r="G1" s="16" t="s">
        <v>76</v>
      </c>
      <c r="H1" s="16" t="s">
        <v>77</v>
      </c>
      <c r="I1" s="16" t="s">
        <v>78</v>
      </c>
      <c r="J1" s="16" t="s">
        <v>79</v>
      </c>
      <c r="K1" s="16" t="s">
        <v>80</v>
      </c>
      <c r="L1" s="16" t="s">
        <v>81</v>
      </c>
    </row>
    <row r="2" customFormat="false" ht="15" hidden="false" customHeight="false" outlineLevel="0" collapsed="false">
      <c r="A2" s="17" t="n">
        <v>1</v>
      </c>
      <c r="B2" s="18" t="s">
        <v>82</v>
      </c>
      <c r="C2" s="18" t="s">
        <v>83</v>
      </c>
      <c r="D2" s="18" t="s">
        <v>84</v>
      </c>
      <c r="E2" s="19" t="str">
        <f aca="false">PROPER(TRIM(B2))</f>
        <v>Ayu Nugroho</v>
      </c>
      <c r="F2" s="19" t="str">
        <f aca="false">LEFT(E2,FIND(" ",E2)-1)</f>
        <v>Ayu</v>
      </c>
      <c r="G2" s="19" t="str">
        <f aca="false">LOWER(TRIM(D2))</f>
        <v>ayu.nugroho@cvbintang.com</v>
      </c>
      <c r="H2" s="19" t="str">
        <f aca="false">MID(G2,FIND("@",G2)+1,50)</f>
        <v>cvbintang.com</v>
      </c>
      <c r="I2" s="19" t="str">
        <f aca="false">SUBSTITUTE(SUBSTITUTE(C2,"-","")," ","")</f>
        <v>+6289512133264</v>
      </c>
      <c r="J2" s="19" t="str">
        <f aca="false">IF(LEFT(I2,3)="+62","0"&amp;MID(I2,4,20),I2)</f>
        <v>089512133264</v>
      </c>
      <c r="K2" s="19" t="str">
        <f aca="false">VLOOKUP(VALUE(MID(J2,2,3)),Acuan!$A$2:$B$13,2,FALSE())</f>
        <v>Tri</v>
      </c>
      <c r="L2" s="19" t="str">
        <f aca="false">IF(COUNTIF($G$2:$G$31,G2)&gt;1,"Duplikat","Unik")</f>
        <v>Unik</v>
      </c>
    </row>
    <row r="3" customFormat="false" ht="15" hidden="false" customHeight="false" outlineLevel="0" collapsed="false">
      <c r="A3" s="17" t="n">
        <v>2</v>
      </c>
      <c r="B3" s="18" t="s">
        <v>85</v>
      </c>
      <c r="C3" s="18" t="s">
        <v>86</v>
      </c>
      <c r="D3" s="18" t="s">
        <v>87</v>
      </c>
      <c r="E3" s="19" t="str">
        <f aca="false">PROPER(TRIM(B3))</f>
        <v>Anwar Hidayat</v>
      </c>
      <c r="F3" s="19" t="str">
        <f aca="false">LEFT(E3,FIND(" ",E3)-1)</f>
        <v>Anwar</v>
      </c>
      <c r="G3" s="19" t="str">
        <f aca="false">LOWER(TRIM(D3))</f>
        <v>anwar.hidayat@gmail.com</v>
      </c>
      <c r="H3" s="19" t="str">
        <f aca="false">MID(G3,FIND("@",G3)+1,50)</f>
        <v>gmail.com</v>
      </c>
      <c r="I3" s="19" t="str">
        <f aca="false">SUBSTITUTE(SUBSTITUTE(C3,"-","")," ","")</f>
        <v>081119425144</v>
      </c>
      <c r="J3" s="19" t="str">
        <f aca="false">IF(LEFT(I3,3)="+62","0"&amp;MID(I3,4,20),I3)</f>
        <v>081119425144</v>
      </c>
      <c r="K3" s="19" t="str">
        <f aca="false">VLOOKUP(VALUE(MID(J3,2,3)),Acuan!$A$2:$B$13,2,FALSE())</f>
        <v>Telkomsel</v>
      </c>
      <c r="L3" s="19" t="str">
        <f aca="false">IF(COUNTIF($G$2:$G$31,G3)&gt;1,"Duplikat","Unik")</f>
        <v>Unik</v>
      </c>
    </row>
    <row r="4" customFormat="false" ht="15" hidden="false" customHeight="false" outlineLevel="0" collapsed="false">
      <c r="A4" s="17" t="n">
        <v>3</v>
      </c>
      <c r="B4" s="18" t="s">
        <v>88</v>
      </c>
      <c r="C4" s="18" t="s">
        <v>89</v>
      </c>
      <c r="D4" s="18" t="s">
        <v>90</v>
      </c>
      <c r="E4" s="19" t="str">
        <f aca="false">PROPER(TRIM(B4))</f>
        <v>Arif Rahayu</v>
      </c>
      <c r="F4" s="19" t="str">
        <f aca="false">LEFT(E4,FIND(" ",E4)-1)</f>
        <v>Arif</v>
      </c>
      <c r="G4" s="19" t="str">
        <f aca="false">LOWER(TRIM(D4))</f>
        <v>arif.rahayu@ptmajujaya.co.id</v>
      </c>
      <c r="H4" s="19" t="str">
        <f aca="false">MID(G4,FIND("@",G4)+1,50)</f>
        <v>ptmajujaya.co.id</v>
      </c>
      <c r="I4" s="19" t="str">
        <f aca="false">SUBSTITUTE(SUBSTITUTE(C4,"-","")," ","")</f>
        <v>+6281819197863</v>
      </c>
      <c r="J4" s="19" t="str">
        <f aca="false">IF(LEFT(I4,3)="+62","0"&amp;MID(I4,4,20),I4)</f>
        <v>081819197863</v>
      </c>
      <c r="K4" s="19" t="str">
        <f aca="false">VLOOKUP(VALUE(MID(J4,2,3)),Acuan!$A$2:$B$13,2,FALSE())</f>
        <v>XL</v>
      </c>
      <c r="L4" s="19" t="str">
        <f aca="false">IF(COUNTIF($G$2:$G$31,G4)&gt;1,"Duplikat","Unik")</f>
        <v>Unik</v>
      </c>
    </row>
    <row r="5" customFormat="false" ht="15" hidden="false" customHeight="false" outlineLevel="0" collapsed="false">
      <c r="A5" s="17" t="n">
        <v>4</v>
      </c>
      <c r="B5" s="18" t="s">
        <v>91</v>
      </c>
      <c r="C5" s="18" t="s">
        <v>92</v>
      </c>
      <c r="D5" s="18" t="s">
        <v>93</v>
      </c>
      <c r="E5" s="19" t="str">
        <f aca="false">PROPER(TRIM(B5))</f>
        <v>Taufik Anggraini</v>
      </c>
      <c r="F5" s="19" t="str">
        <f aca="false">LEFT(E5,FIND(" ",E5)-1)</f>
        <v>Taufik</v>
      </c>
      <c r="G5" s="19" t="str">
        <f aca="false">LOWER(TRIM(D5))</f>
        <v>taufik.anggraini@gmail.com</v>
      </c>
      <c r="H5" s="19" t="str">
        <f aca="false">MID(G5,FIND("@",G5)+1,50)</f>
        <v>gmail.com</v>
      </c>
      <c r="I5" s="19" t="str">
        <f aca="false">SUBSTITUTE(SUBSTITUTE(C5,"-","")," ","")</f>
        <v>089691839455</v>
      </c>
      <c r="J5" s="19" t="str">
        <f aca="false">IF(LEFT(I5,3)="+62","0"&amp;MID(I5,4,20),I5)</f>
        <v>089691839455</v>
      </c>
      <c r="K5" s="19" t="str">
        <f aca="false">VLOOKUP(VALUE(MID(J5,2,3)),Acuan!$A$2:$B$13,2,FALSE())</f>
        <v>Tri</v>
      </c>
      <c r="L5" s="19" t="str">
        <f aca="false">IF(COUNTIF($G$2:$G$31,G5)&gt;1,"Duplikat","Unik")</f>
        <v>Duplikat</v>
      </c>
    </row>
    <row r="6" customFormat="false" ht="15" hidden="false" customHeight="false" outlineLevel="0" collapsed="false">
      <c r="A6" s="17" t="n">
        <v>5</v>
      </c>
      <c r="B6" s="18" t="s">
        <v>94</v>
      </c>
      <c r="C6" s="18" t="s">
        <v>95</v>
      </c>
      <c r="D6" s="18" t="s">
        <v>96</v>
      </c>
      <c r="E6" s="19" t="str">
        <f aca="false">PROPER(TRIM(B6))</f>
        <v>Agus Setiawan</v>
      </c>
      <c r="F6" s="19" t="str">
        <f aca="false">LEFT(E6,FIND(" ",E6)-1)</f>
        <v>Agus</v>
      </c>
      <c r="G6" s="19" t="str">
        <f aca="false">LOWER(TRIM(D6))</f>
        <v>agus.setiawan@gmail.com</v>
      </c>
      <c r="H6" s="19" t="str">
        <f aca="false">MID(G6,FIND("@",G6)+1,50)</f>
        <v>gmail.com</v>
      </c>
      <c r="I6" s="19" t="str">
        <f aca="false">SUBSTITUTE(SUBSTITUTE(C6,"-","")," ","")</f>
        <v>+6281333469672</v>
      </c>
      <c r="J6" s="19" t="str">
        <f aca="false">IF(LEFT(I6,3)="+62","0"&amp;MID(I6,4,20),I6)</f>
        <v>081333469672</v>
      </c>
      <c r="K6" s="19" t="str">
        <f aca="false">VLOOKUP(VALUE(MID(J6,2,3)),Acuan!$A$2:$B$13,2,FALSE())</f>
        <v>Telkomsel</v>
      </c>
      <c r="L6" s="19" t="str">
        <f aca="false">IF(COUNTIF($G$2:$G$31,G6)&gt;1,"Duplikat","Unik")</f>
        <v>Unik</v>
      </c>
    </row>
    <row r="7" customFormat="false" ht="15" hidden="false" customHeight="false" outlineLevel="0" collapsed="false">
      <c r="A7" s="17" t="n">
        <v>6</v>
      </c>
      <c r="B7" s="18" t="s">
        <v>97</v>
      </c>
      <c r="C7" s="18" t="s">
        <v>98</v>
      </c>
      <c r="D7" s="18" t="s">
        <v>99</v>
      </c>
      <c r="E7" s="19" t="str">
        <f aca="false">PROPER(TRIM(B7))</f>
        <v>Fitri Utomo</v>
      </c>
      <c r="F7" s="19" t="str">
        <f aca="false">LEFT(E7,FIND(" ",E7)-1)</f>
        <v>Fitri</v>
      </c>
      <c r="G7" s="19" t="str">
        <f aca="false">LOWER(TRIM(D7))</f>
        <v>fitri.utomo@yahoo.co.id</v>
      </c>
      <c r="H7" s="19" t="str">
        <f aca="false">MID(G7,FIND("@",G7)+1,50)</f>
        <v>yahoo.co.id</v>
      </c>
      <c r="I7" s="19" t="str">
        <f aca="false">SUBSTITUTE(SUBSTITUTE(C7,"-","")," ","")</f>
        <v>081625855298</v>
      </c>
      <c r="J7" s="19" t="str">
        <f aca="false">IF(LEFT(I7,3)="+62","0"&amp;MID(I7,4,20),I7)</f>
        <v>081625855298</v>
      </c>
      <c r="K7" s="19" t="str">
        <f aca="false">VLOOKUP(VALUE(MID(J7,2,3)),Acuan!$A$2:$B$13,2,FALSE())</f>
        <v>Indosat</v>
      </c>
      <c r="L7" s="19" t="str">
        <f aca="false">IF(COUNTIF($G$2:$G$31,G7)&gt;1,"Duplikat","Unik")</f>
        <v>Unik</v>
      </c>
    </row>
    <row r="8" customFormat="false" ht="15" hidden="false" customHeight="false" outlineLevel="0" collapsed="false">
      <c r="A8" s="17" t="n">
        <v>7</v>
      </c>
      <c r="B8" s="18" t="s">
        <v>100</v>
      </c>
      <c r="C8" s="18" t="s">
        <v>101</v>
      </c>
      <c r="D8" s="18" t="s">
        <v>102</v>
      </c>
      <c r="E8" s="19" t="str">
        <f aca="false">PROPER(TRIM(B8))</f>
        <v>Lia Rahayu</v>
      </c>
      <c r="F8" s="19" t="str">
        <f aca="false">LEFT(E8,FIND(" ",E8)-1)</f>
        <v>Lia</v>
      </c>
      <c r="G8" s="19" t="str">
        <f aca="false">LOWER(TRIM(D8))</f>
        <v>lia.rahayu@cvbintang.com</v>
      </c>
      <c r="H8" s="19" t="str">
        <f aca="false">MID(G8,FIND("@",G8)+1,50)</f>
        <v>cvbintang.com</v>
      </c>
      <c r="I8" s="19" t="str">
        <f aca="false">SUBSTITUTE(SUBSTITUTE(C8,"-","")," ","")</f>
        <v>+6288121294229</v>
      </c>
      <c r="J8" s="19" t="str">
        <f aca="false">IF(LEFT(I8,3)="+62","0"&amp;MID(I8,4,20),I8)</f>
        <v>088121294229</v>
      </c>
      <c r="K8" s="19" t="str">
        <f aca="false">VLOOKUP(VALUE(MID(J8,2,3)),Acuan!$A$2:$B$13,2,FALSE())</f>
        <v>Smartfren</v>
      </c>
      <c r="L8" s="19" t="str">
        <f aca="false">IF(COUNTIF($G$2:$G$31,G8)&gt;1,"Duplikat","Unik")</f>
        <v>Duplikat</v>
      </c>
    </row>
    <row r="9" customFormat="false" ht="15" hidden="false" customHeight="false" outlineLevel="0" collapsed="false">
      <c r="A9" s="17" t="n">
        <v>8</v>
      </c>
      <c r="B9" s="18" t="s">
        <v>103</v>
      </c>
      <c r="C9" s="18" t="s">
        <v>104</v>
      </c>
      <c r="D9" s="18" t="s">
        <v>105</v>
      </c>
      <c r="E9" s="19" t="str">
        <f aca="false">PROPER(TRIM(B9))</f>
        <v>Ahmad Santoso</v>
      </c>
      <c r="F9" s="19" t="str">
        <f aca="false">LEFT(E9,FIND(" ",E9)-1)</f>
        <v>Ahmad</v>
      </c>
      <c r="G9" s="19" t="str">
        <f aca="false">LOWER(TRIM(D9))</f>
        <v>ahmad.santoso@cvbintang.com</v>
      </c>
      <c r="H9" s="19" t="str">
        <f aca="false">MID(G9,FIND("@",G9)+1,50)</f>
        <v>cvbintang.com</v>
      </c>
      <c r="I9" s="19" t="str">
        <f aca="false">SUBSTITUTE(SUBSTITUTE(C9,"-","")," ","")</f>
        <v>+6281764359449</v>
      </c>
      <c r="J9" s="19" t="str">
        <f aca="false">IF(LEFT(I9,3)="+62","0"&amp;MID(I9,4,20),I9)</f>
        <v>081764359449</v>
      </c>
      <c r="K9" s="19" t="str">
        <f aca="false">VLOOKUP(VALUE(MID(J9,2,3)),Acuan!$A$2:$B$13,2,FALSE())</f>
        <v>XL</v>
      </c>
      <c r="L9" s="19" t="str">
        <f aca="false">IF(COUNTIF($G$2:$G$31,G9)&gt;1,"Duplikat","Unik")</f>
        <v>Unik</v>
      </c>
    </row>
    <row r="10" customFormat="false" ht="15" hidden="false" customHeight="false" outlineLevel="0" collapsed="false">
      <c r="A10" s="17" t="n">
        <v>9</v>
      </c>
      <c r="B10" s="18" t="s">
        <v>106</v>
      </c>
      <c r="C10" s="18" t="s">
        <v>107</v>
      </c>
      <c r="D10" s="18" t="s">
        <v>108</v>
      </c>
      <c r="E10" s="19" t="str">
        <f aca="false">PROPER(TRIM(B10))</f>
        <v>Joko Handayani</v>
      </c>
      <c r="F10" s="19" t="str">
        <f aca="false">LEFT(E10,FIND(" ",E10)-1)</f>
        <v>Joko</v>
      </c>
      <c r="G10" s="19" t="str">
        <f aca="false">LOWER(TRIM(D10))</f>
        <v>joko.handayani@gmail.com</v>
      </c>
      <c r="H10" s="19" t="str">
        <f aca="false">MID(G10,FIND("@",G10)+1,50)</f>
        <v>gmail.com</v>
      </c>
      <c r="I10" s="19" t="str">
        <f aca="false">SUBSTITUTE(SUBSTITUTE(C10,"-","")," ","")</f>
        <v>081148884645</v>
      </c>
      <c r="J10" s="19" t="str">
        <f aca="false">IF(LEFT(I10,3)="+62","0"&amp;MID(I10,4,20),I10)</f>
        <v>081148884645</v>
      </c>
      <c r="K10" s="19" t="str">
        <f aca="false">VLOOKUP(VALUE(MID(J10,2,3)),Acuan!$A$2:$B$13,2,FALSE())</f>
        <v>Telkomsel</v>
      </c>
      <c r="L10" s="19" t="str">
        <f aca="false">IF(COUNTIF($G$2:$G$31,G10)&gt;1,"Duplikat","Unik")</f>
        <v>Unik</v>
      </c>
    </row>
    <row r="11" customFormat="false" ht="15" hidden="false" customHeight="false" outlineLevel="0" collapsed="false">
      <c r="A11" s="17" t="n">
        <v>10</v>
      </c>
      <c r="B11" s="18" t="s">
        <v>109</v>
      </c>
      <c r="C11" s="18" t="s">
        <v>92</v>
      </c>
      <c r="D11" s="18" t="s">
        <v>110</v>
      </c>
      <c r="E11" s="19" t="str">
        <f aca="false">PROPER(TRIM(B11))</f>
        <v>Taufik Anggraini</v>
      </c>
      <c r="F11" s="19" t="str">
        <f aca="false">LEFT(E11,FIND(" ",E11)-1)</f>
        <v>Taufik</v>
      </c>
      <c r="G11" s="19" t="str">
        <f aca="false">LOWER(TRIM(D11))</f>
        <v>taufik.anggraini@gmail.com</v>
      </c>
      <c r="H11" s="19" t="str">
        <f aca="false">MID(G11,FIND("@",G11)+1,50)</f>
        <v>gmail.com</v>
      </c>
      <c r="I11" s="19" t="str">
        <f aca="false">SUBSTITUTE(SUBSTITUTE(C11,"-","")," ","")</f>
        <v>089691839455</v>
      </c>
      <c r="J11" s="19" t="str">
        <f aca="false">IF(LEFT(I11,3)="+62","0"&amp;MID(I11,4,20),I11)</f>
        <v>089691839455</v>
      </c>
      <c r="K11" s="19" t="str">
        <f aca="false">VLOOKUP(VALUE(MID(J11,2,3)),Acuan!$A$2:$B$13,2,FALSE())</f>
        <v>Tri</v>
      </c>
      <c r="L11" s="19" t="str">
        <f aca="false">IF(COUNTIF($G$2:$G$31,G11)&gt;1,"Duplikat","Unik")</f>
        <v>Duplikat</v>
      </c>
    </row>
    <row r="12" customFormat="false" ht="15" hidden="false" customHeight="false" outlineLevel="0" collapsed="false">
      <c r="A12" s="17" t="n">
        <v>11</v>
      </c>
      <c r="B12" s="18" t="s">
        <v>111</v>
      </c>
      <c r="C12" s="18" t="s">
        <v>112</v>
      </c>
      <c r="D12" s="18" t="s">
        <v>113</v>
      </c>
      <c r="E12" s="19" t="str">
        <f aca="false">PROPER(TRIM(B12))</f>
        <v>Nurul Wijaya</v>
      </c>
      <c r="F12" s="19" t="str">
        <f aca="false">LEFT(E12,FIND(" ",E12)-1)</f>
        <v>Nurul</v>
      </c>
      <c r="G12" s="19" t="str">
        <f aca="false">LOWER(TRIM(D12))</f>
        <v>nurul.wijaya@gmail.com</v>
      </c>
      <c r="H12" s="19" t="str">
        <f aca="false">MID(G12,FIND("@",G12)+1,50)</f>
        <v>gmail.com</v>
      </c>
      <c r="I12" s="19" t="str">
        <f aca="false">SUBSTITUTE(SUBSTITUTE(C12,"-","")," ","")</f>
        <v>087755893785</v>
      </c>
      <c r="J12" s="19" t="str">
        <f aca="false">IF(LEFT(I12,3)="+62","0"&amp;MID(I12,4,20),I12)</f>
        <v>087755893785</v>
      </c>
      <c r="K12" s="19" t="str">
        <f aca="false">VLOOKUP(VALUE(MID(J12,2,3)),Acuan!$A$2:$B$13,2,FALSE())</f>
        <v>XL</v>
      </c>
      <c r="L12" s="19" t="str">
        <f aca="false">IF(COUNTIF($G$2:$G$31,G12)&gt;1,"Duplikat","Unik")</f>
        <v>Unik</v>
      </c>
    </row>
    <row r="13" customFormat="false" ht="15" hidden="false" customHeight="false" outlineLevel="0" collapsed="false">
      <c r="A13" s="17" t="n">
        <v>12</v>
      </c>
      <c r="B13" s="18" t="s">
        <v>114</v>
      </c>
      <c r="C13" s="18" t="s">
        <v>115</v>
      </c>
      <c r="D13" s="18" t="s">
        <v>116</v>
      </c>
      <c r="E13" s="19" t="str">
        <f aca="false">PROPER(TRIM(B13))</f>
        <v>Jamal Saputra</v>
      </c>
      <c r="F13" s="19" t="str">
        <f aca="false">LEFT(E13,FIND(" ",E13)-1)</f>
        <v>Jamal</v>
      </c>
      <c r="G13" s="19" t="str">
        <f aca="false">LOWER(TRIM(D13))</f>
        <v>jamal.saputra@cvbintang.com</v>
      </c>
      <c r="H13" s="19" t="str">
        <f aca="false">MID(G13,FIND("@",G13)+1,50)</f>
        <v>cvbintang.com</v>
      </c>
      <c r="I13" s="19" t="str">
        <f aca="false">SUBSTITUTE(SUBSTITUTE(C13,"-","")," ","")</f>
        <v>+6281868342721</v>
      </c>
      <c r="J13" s="19" t="str">
        <f aca="false">IF(LEFT(I13,3)="+62","0"&amp;MID(I13,4,20),I13)</f>
        <v>081868342721</v>
      </c>
      <c r="K13" s="19" t="str">
        <f aca="false">VLOOKUP(VALUE(MID(J13,2,3)),Acuan!$A$2:$B$13,2,FALSE())</f>
        <v>XL</v>
      </c>
      <c r="L13" s="19" t="str">
        <f aca="false">IF(COUNTIF($G$2:$G$31,G13)&gt;1,"Duplikat","Unik")</f>
        <v>Duplikat</v>
      </c>
    </row>
    <row r="14" customFormat="false" ht="15" hidden="false" customHeight="false" outlineLevel="0" collapsed="false">
      <c r="A14" s="17" t="n">
        <v>13</v>
      </c>
      <c r="B14" s="18" t="s">
        <v>117</v>
      </c>
      <c r="C14" s="18" t="s">
        <v>118</v>
      </c>
      <c r="D14" s="18" t="s">
        <v>119</v>
      </c>
      <c r="E14" s="19" t="str">
        <f aca="false">PROPER(TRIM(B14))</f>
        <v>Yusuf Permana</v>
      </c>
      <c r="F14" s="19" t="str">
        <f aca="false">LEFT(E14,FIND(" ",E14)-1)</f>
        <v>Yusuf</v>
      </c>
      <c r="G14" s="19" t="str">
        <f aca="false">LOWER(TRIM(D14))</f>
        <v>yusuf.permana@gmail.com</v>
      </c>
      <c r="H14" s="19" t="str">
        <f aca="false">MID(G14,FIND("@",G14)+1,50)</f>
        <v>gmail.com</v>
      </c>
      <c r="I14" s="19" t="str">
        <f aca="false">SUBSTITUTE(SUBSTITUTE(C14,"-","")," ","")</f>
        <v>+6281654515693</v>
      </c>
      <c r="J14" s="19" t="str">
        <f aca="false">IF(LEFT(I14,3)="+62","0"&amp;MID(I14,4,20),I14)</f>
        <v>081654515693</v>
      </c>
      <c r="K14" s="19" t="str">
        <f aca="false">VLOOKUP(VALUE(MID(J14,2,3)),Acuan!$A$2:$B$13,2,FALSE())</f>
        <v>Indosat</v>
      </c>
      <c r="L14" s="19" t="str">
        <f aca="false">IF(COUNTIF($G$2:$G$31,G14)&gt;1,"Duplikat","Unik")</f>
        <v>Unik</v>
      </c>
    </row>
    <row r="15" customFormat="false" ht="15" hidden="false" customHeight="false" outlineLevel="0" collapsed="false">
      <c r="A15" s="17" t="n">
        <v>14</v>
      </c>
      <c r="B15" s="18" t="s">
        <v>120</v>
      </c>
      <c r="C15" s="18" t="s">
        <v>121</v>
      </c>
      <c r="D15" s="18" t="s">
        <v>122</v>
      </c>
      <c r="E15" s="19" t="str">
        <f aca="false">PROPER(TRIM(B15))</f>
        <v>Wahyu Kurniawan</v>
      </c>
      <c r="F15" s="19" t="str">
        <f aca="false">LEFT(E15,FIND(" ",E15)-1)</f>
        <v>Wahyu</v>
      </c>
      <c r="G15" s="19" t="str">
        <f aca="false">LOWER(TRIM(D15))</f>
        <v>wahyu.kurniawan@cvbintang.com</v>
      </c>
      <c r="H15" s="19" t="str">
        <f aca="false">MID(G15,FIND("@",G15)+1,50)</f>
        <v>cvbintang.com</v>
      </c>
      <c r="I15" s="19" t="str">
        <f aca="false">SUBSTITUTE(SUBSTITUTE(C15,"-","")," ","")</f>
        <v>+6285763117977</v>
      </c>
      <c r="J15" s="19" t="str">
        <f aca="false">IF(LEFT(I15,3)="+62","0"&amp;MID(I15,4,20),I15)</f>
        <v>085763117977</v>
      </c>
      <c r="K15" s="19" t="str">
        <f aca="false">VLOOKUP(VALUE(MID(J15,2,3)),Acuan!$A$2:$B$13,2,FALSE())</f>
        <v>Indosat</v>
      </c>
      <c r="L15" s="19" t="str">
        <f aca="false">IF(COUNTIF($G$2:$G$31,G15)&gt;1,"Duplikat","Unik")</f>
        <v>Unik</v>
      </c>
    </row>
    <row r="16" customFormat="false" ht="15" hidden="false" customHeight="false" outlineLevel="0" collapsed="false">
      <c r="A16" s="17" t="n">
        <v>15</v>
      </c>
      <c r="B16" s="18" t="s">
        <v>123</v>
      </c>
      <c r="C16" s="18" t="s">
        <v>124</v>
      </c>
      <c r="D16" s="18" t="s">
        <v>125</v>
      </c>
      <c r="E16" s="19" t="str">
        <f aca="false">PROPER(TRIM(B16))</f>
        <v>Yanti Firmansyah</v>
      </c>
      <c r="F16" s="19" t="str">
        <f aca="false">LEFT(E16,FIND(" ",E16)-1)</f>
        <v>Yanti</v>
      </c>
      <c r="G16" s="19" t="str">
        <f aca="false">LOWER(TRIM(D16))</f>
        <v>yanti.firmansyah@gmail.com</v>
      </c>
      <c r="H16" s="19" t="str">
        <f aca="false">MID(G16,FIND("@",G16)+1,50)</f>
        <v>gmail.com</v>
      </c>
      <c r="I16" s="19" t="str">
        <f aca="false">SUBSTITUTE(SUBSTITUTE(C16,"-","")," ","")</f>
        <v>+6281311198587</v>
      </c>
      <c r="J16" s="19" t="str">
        <f aca="false">IF(LEFT(I16,3)="+62","0"&amp;MID(I16,4,20),I16)</f>
        <v>081311198587</v>
      </c>
      <c r="K16" s="19" t="str">
        <f aca="false">VLOOKUP(VALUE(MID(J16,2,3)),Acuan!$A$2:$B$13,2,FALSE())</f>
        <v>Telkomsel</v>
      </c>
      <c r="L16" s="19" t="str">
        <f aca="false">IF(COUNTIF($G$2:$G$31,G16)&gt;1,"Duplikat","Unik")</f>
        <v>Unik</v>
      </c>
    </row>
    <row r="17" customFormat="false" ht="15" hidden="false" customHeight="false" outlineLevel="0" collapsed="false">
      <c r="A17" s="17" t="n">
        <v>16</v>
      </c>
      <c r="B17" s="18" t="s">
        <v>126</v>
      </c>
      <c r="C17" s="18" t="s">
        <v>127</v>
      </c>
      <c r="D17" s="18" t="s">
        <v>128</v>
      </c>
      <c r="E17" s="19" t="str">
        <f aca="false">PROPER(TRIM(B17))</f>
        <v>Sinta Nugroho</v>
      </c>
      <c r="F17" s="19" t="str">
        <f aca="false">LEFT(E17,FIND(" ",E17)-1)</f>
        <v>Sinta</v>
      </c>
      <c r="G17" s="19" t="str">
        <f aca="false">LOWER(TRIM(D17))</f>
        <v>sinta.nugroho@yahoo.co.id</v>
      </c>
      <c r="H17" s="19" t="str">
        <f aca="false">MID(G17,FIND("@",G17)+1,50)</f>
        <v>yahoo.co.id</v>
      </c>
      <c r="I17" s="19" t="str">
        <f aca="false">SUBSTITUTE(SUBSTITUTE(C17,"-","")," ","")</f>
        <v>085779448324</v>
      </c>
      <c r="J17" s="19" t="str">
        <f aca="false">IF(LEFT(I17,3)="+62","0"&amp;MID(I17,4,20),I17)</f>
        <v>085779448324</v>
      </c>
      <c r="K17" s="19" t="str">
        <f aca="false">VLOOKUP(VALUE(MID(J17,2,3)),Acuan!$A$2:$B$13,2,FALSE())</f>
        <v>Indosat</v>
      </c>
      <c r="L17" s="19" t="str">
        <f aca="false">IF(COUNTIF($G$2:$G$31,G17)&gt;1,"Duplikat","Unik")</f>
        <v>Unik</v>
      </c>
    </row>
    <row r="18" customFormat="false" ht="15" hidden="false" customHeight="false" outlineLevel="0" collapsed="false">
      <c r="A18" s="17" t="n">
        <v>17</v>
      </c>
      <c r="B18" s="18" t="s">
        <v>129</v>
      </c>
      <c r="C18" s="18" t="s">
        <v>130</v>
      </c>
      <c r="D18" s="18" t="s">
        <v>131</v>
      </c>
      <c r="E18" s="19" t="str">
        <f aca="false">PROPER(TRIM(B18))</f>
        <v>Jamal Saputra</v>
      </c>
      <c r="F18" s="19" t="str">
        <f aca="false">LEFT(E18,FIND(" ",E18)-1)</f>
        <v>Jamal</v>
      </c>
      <c r="G18" s="19" t="str">
        <f aca="false">LOWER(TRIM(D18))</f>
        <v>jamal.saputra@cvbintang.com</v>
      </c>
      <c r="H18" s="19" t="str">
        <f aca="false">MID(G18,FIND("@",G18)+1,50)</f>
        <v>cvbintang.com</v>
      </c>
      <c r="I18" s="19" t="str">
        <f aca="false">SUBSTITUTE(SUBSTITUTE(C18,"-","")," ","")</f>
        <v>+6281868342721</v>
      </c>
      <c r="J18" s="19" t="str">
        <f aca="false">IF(LEFT(I18,3)="+62","0"&amp;MID(I18,4,20),I18)</f>
        <v>081868342721</v>
      </c>
      <c r="K18" s="19" t="str">
        <f aca="false">VLOOKUP(VALUE(MID(J18,2,3)),Acuan!$A$2:$B$13,2,FALSE())</f>
        <v>XL</v>
      </c>
      <c r="L18" s="19" t="str">
        <f aca="false">IF(COUNTIF($G$2:$G$31,G18)&gt;1,"Duplikat","Unik")</f>
        <v>Duplikat</v>
      </c>
    </row>
    <row r="19" customFormat="false" ht="15" hidden="false" customHeight="false" outlineLevel="0" collapsed="false">
      <c r="A19" s="17" t="n">
        <v>18</v>
      </c>
      <c r="B19" s="18" t="s">
        <v>132</v>
      </c>
      <c r="C19" s="18" t="s">
        <v>133</v>
      </c>
      <c r="D19" s="18" t="s">
        <v>134</v>
      </c>
      <c r="E19" s="19" t="str">
        <f aca="false">PROPER(TRIM(B19))</f>
        <v>Wati Wibowo</v>
      </c>
      <c r="F19" s="19" t="str">
        <f aca="false">LEFT(E19,FIND(" ",E19)-1)</f>
        <v>Wati</v>
      </c>
      <c r="G19" s="19" t="str">
        <f aca="false">LOWER(TRIM(D19))</f>
        <v>wati.wibowo@gmail.com</v>
      </c>
      <c r="H19" s="19" t="str">
        <f aca="false">MID(G19,FIND("@",G19)+1,50)</f>
        <v>gmail.com</v>
      </c>
      <c r="I19" s="19" t="str">
        <f aca="false">SUBSTITUTE(SUBSTITUTE(C19,"-","")," ","")</f>
        <v>+6281723524326</v>
      </c>
      <c r="J19" s="19" t="str">
        <f aca="false">IF(LEFT(I19,3)="+62","0"&amp;MID(I19,4,20),I19)</f>
        <v>081723524326</v>
      </c>
      <c r="K19" s="19" t="str">
        <f aca="false">VLOOKUP(VALUE(MID(J19,2,3)),Acuan!$A$2:$B$13,2,FALSE())</f>
        <v>XL</v>
      </c>
      <c r="L19" s="19" t="str">
        <f aca="false">IF(COUNTIF($G$2:$G$31,G19)&gt;1,"Duplikat","Unik")</f>
        <v>Unik</v>
      </c>
    </row>
    <row r="20" customFormat="false" ht="15" hidden="false" customHeight="false" outlineLevel="0" collapsed="false">
      <c r="A20" s="17" t="n">
        <v>19</v>
      </c>
      <c r="B20" s="18" t="s">
        <v>135</v>
      </c>
      <c r="C20" s="18" t="s">
        <v>136</v>
      </c>
      <c r="D20" s="18" t="s">
        <v>137</v>
      </c>
      <c r="E20" s="19" t="str">
        <f aca="false">PROPER(TRIM(B20))</f>
        <v>Yanti Anggraini</v>
      </c>
      <c r="F20" s="19" t="str">
        <f aca="false">LEFT(E20,FIND(" ",E20)-1)</f>
        <v>Yanti</v>
      </c>
      <c r="G20" s="19" t="str">
        <f aca="false">LOWER(TRIM(D20))</f>
        <v>yanti.anggraini@gmail.com</v>
      </c>
      <c r="H20" s="19" t="str">
        <f aca="false">MID(G20,FIND("@",G20)+1,50)</f>
        <v>gmail.com</v>
      </c>
      <c r="I20" s="19" t="str">
        <f aca="false">SUBSTITUTE(SUBSTITUTE(C20,"-","")," ","")</f>
        <v>+6281554597369</v>
      </c>
      <c r="J20" s="19" t="str">
        <f aca="false">IF(LEFT(I20,3)="+62","0"&amp;MID(I20,4,20),I20)</f>
        <v>081554597369</v>
      </c>
      <c r="K20" s="19" t="str">
        <f aca="false">VLOOKUP(VALUE(MID(J20,2,3)),Acuan!$A$2:$B$13,2,FALSE())</f>
        <v>Indosat</v>
      </c>
      <c r="L20" s="19" t="str">
        <f aca="false">IF(COUNTIF($G$2:$G$31,G20)&gt;1,"Duplikat","Unik")</f>
        <v>Unik</v>
      </c>
    </row>
    <row r="21" customFormat="false" ht="15" hidden="false" customHeight="false" outlineLevel="0" collapsed="false">
      <c r="A21" s="17" t="n">
        <v>20</v>
      </c>
      <c r="B21" s="18" t="s">
        <v>138</v>
      </c>
      <c r="C21" s="18" t="s">
        <v>139</v>
      </c>
      <c r="D21" s="18" t="s">
        <v>140</v>
      </c>
      <c r="E21" s="19" t="str">
        <f aca="false">PROPER(TRIM(B21))</f>
        <v>Ahmad Saputra</v>
      </c>
      <c r="F21" s="19" t="str">
        <f aca="false">LEFT(E21,FIND(" ",E21)-1)</f>
        <v>Ahmad</v>
      </c>
      <c r="G21" s="19" t="str">
        <f aca="false">LOWER(TRIM(D21))</f>
        <v>ahmad.saputra@gmail.com</v>
      </c>
      <c r="H21" s="19" t="str">
        <f aca="false">MID(G21,FIND("@",G21)+1,50)</f>
        <v>gmail.com</v>
      </c>
      <c r="I21" s="19" t="str">
        <f aca="false">SUBSTITUTE(SUBSTITUTE(C21,"-","")," ","")</f>
        <v>081348287439</v>
      </c>
      <c r="J21" s="19" t="str">
        <f aca="false">IF(LEFT(I21,3)="+62","0"&amp;MID(I21,4,20),I21)</f>
        <v>081348287439</v>
      </c>
      <c r="K21" s="19" t="str">
        <f aca="false">VLOOKUP(VALUE(MID(J21,2,3)),Acuan!$A$2:$B$13,2,FALSE())</f>
        <v>Telkomsel</v>
      </c>
      <c r="L21" s="19" t="str">
        <f aca="false">IF(COUNTIF($G$2:$G$31,G21)&gt;1,"Duplikat","Unik")</f>
        <v>Unik</v>
      </c>
    </row>
    <row r="22" customFormat="false" ht="15" hidden="false" customHeight="false" outlineLevel="0" collapsed="false">
      <c r="A22" s="17" t="n">
        <v>21</v>
      </c>
      <c r="B22" s="18" t="s">
        <v>141</v>
      </c>
      <c r="C22" s="18" t="s">
        <v>142</v>
      </c>
      <c r="D22" s="18" t="s">
        <v>143</v>
      </c>
      <c r="E22" s="19" t="str">
        <f aca="false">PROPER(TRIM(B22))</f>
        <v>Bayu Wibowo</v>
      </c>
      <c r="F22" s="19" t="str">
        <f aca="false">LEFT(E22,FIND(" ",E22)-1)</f>
        <v>Bayu</v>
      </c>
      <c r="G22" s="19" t="str">
        <f aca="false">LOWER(TRIM(D22))</f>
        <v>bayu.wibowo@cvbintang.com</v>
      </c>
      <c r="H22" s="19" t="str">
        <f aca="false">MID(G22,FIND("@",G22)+1,50)</f>
        <v>cvbintang.com</v>
      </c>
      <c r="I22" s="19" t="str">
        <f aca="false">SUBSTITUTE(SUBSTITUTE(C22,"-","")," ","")</f>
        <v>088132626384</v>
      </c>
      <c r="J22" s="19" t="str">
        <f aca="false">IF(LEFT(I22,3)="+62","0"&amp;MID(I22,4,20),I22)</f>
        <v>088132626384</v>
      </c>
      <c r="K22" s="19" t="str">
        <f aca="false">VLOOKUP(VALUE(MID(J22,2,3)),Acuan!$A$2:$B$13,2,FALSE())</f>
        <v>Smartfren</v>
      </c>
      <c r="L22" s="19" t="str">
        <f aca="false">IF(COUNTIF($G$2:$G$31,G22)&gt;1,"Duplikat","Unik")</f>
        <v>Unik</v>
      </c>
    </row>
    <row r="23" customFormat="false" ht="15" hidden="false" customHeight="false" outlineLevel="0" collapsed="false">
      <c r="A23" s="17" t="n">
        <v>22</v>
      </c>
      <c r="B23" s="18" t="s">
        <v>144</v>
      </c>
      <c r="C23" s="18" t="s">
        <v>145</v>
      </c>
      <c r="D23" s="18" t="s">
        <v>146</v>
      </c>
      <c r="E23" s="19" t="str">
        <f aca="false">PROPER(TRIM(B23))</f>
        <v>Sinta Susanto</v>
      </c>
      <c r="F23" s="19" t="str">
        <f aca="false">LEFT(E23,FIND(" ",E23)-1)</f>
        <v>Sinta</v>
      </c>
      <c r="G23" s="19" t="str">
        <f aca="false">LOWER(TRIM(D23))</f>
        <v>sinta.susanto@gmail.com</v>
      </c>
      <c r="H23" s="19" t="str">
        <f aca="false">MID(G23,FIND("@",G23)+1,50)</f>
        <v>gmail.com</v>
      </c>
      <c r="I23" s="19" t="str">
        <f aca="false">SUBSTITUTE(SUBSTITUTE(C23,"-","")," ","")</f>
        <v>+6281589625493</v>
      </c>
      <c r="J23" s="19" t="str">
        <f aca="false">IF(LEFT(I23,3)="+62","0"&amp;MID(I23,4,20),I23)</f>
        <v>081589625493</v>
      </c>
      <c r="K23" s="19" t="str">
        <f aca="false">VLOOKUP(VALUE(MID(J23,2,3)),Acuan!$A$2:$B$13,2,FALSE())</f>
        <v>Indosat</v>
      </c>
      <c r="L23" s="19" t="str">
        <f aca="false">IF(COUNTIF($G$2:$G$31,G23)&gt;1,"Duplikat","Unik")</f>
        <v>Unik</v>
      </c>
    </row>
    <row r="24" customFormat="false" ht="15" hidden="false" customHeight="false" outlineLevel="0" collapsed="false">
      <c r="A24" s="17" t="n">
        <v>23</v>
      </c>
      <c r="B24" s="18" t="s">
        <v>147</v>
      </c>
      <c r="C24" s="18" t="s">
        <v>148</v>
      </c>
      <c r="D24" s="18" t="s">
        <v>149</v>
      </c>
      <c r="E24" s="19" t="str">
        <f aca="false">PROPER(TRIM(B24))</f>
        <v>Zahra Firmansyah</v>
      </c>
      <c r="F24" s="19" t="str">
        <f aca="false">LEFT(E24,FIND(" ",E24)-1)</f>
        <v>Zahra</v>
      </c>
      <c r="G24" s="19" t="str">
        <f aca="false">LOWER(TRIM(D24))</f>
        <v>zahra.firmansyah@gmail.com</v>
      </c>
      <c r="H24" s="19" t="str">
        <f aca="false">MID(G24,FIND("@",G24)+1,50)</f>
        <v>gmail.com</v>
      </c>
      <c r="I24" s="19" t="str">
        <f aca="false">SUBSTITUTE(SUBSTITUTE(C24,"-","")," ","")</f>
        <v>088193386271</v>
      </c>
      <c r="J24" s="19" t="str">
        <f aca="false">IF(LEFT(I24,3)="+62","0"&amp;MID(I24,4,20),I24)</f>
        <v>088193386271</v>
      </c>
      <c r="K24" s="19" t="str">
        <f aca="false">VLOOKUP(VALUE(MID(J24,2,3)),Acuan!$A$2:$B$13,2,FALSE())</f>
        <v>Smartfren</v>
      </c>
      <c r="L24" s="19" t="str">
        <f aca="false">IF(COUNTIF($G$2:$G$31,G24)&gt;1,"Duplikat","Unik")</f>
        <v>Unik</v>
      </c>
    </row>
    <row r="25" customFormat="false" ht="15" hidden="false" customHeight="false" outlineLevel="0" collapsed="false">
      <c r="A25" s="17" t="n">
        <v>24</v>
      </c>
      <c r="B25" s="18" t="s">
        <v>150</v>
      </c>
      <c r="C25" s="18" t="s">
        <v>151</v>
      </c>
      <c r="D25" s="18" t="s">
        <v>152</v>
      </c>
      <c r="E25" s="19" t="str">
        <f aca="false">PROPER(TRIM(B25))</f>
        <v>Ratna Nugroho</v>
      </c>
      <c r="F25" s="19" t="str">
        <f aca="false">LEFT(E25,FIND(" ",E25)-1)</f>
        <v>Ratna</v>
      </c>
      <c r="G25" s="19" t="str">
        <f aca="false">LOWER(TRIM(D25))</f>
        <v>ratna.nugroho@ptmajujaya.co.id</v>
      </c>
      <c r="H25" s="19" t="str">
        <f aca="false">MID(G25,FIND("@",G25)+1,50)</f>
        <v>ptmajujaya.co.id</v>
      </c>
      <c r="I25" s="19" t="str">
        <f aca="false">SUBSTITUTE(SUBSTITUTE(C25,"-","")," ","")</f>
        <v>081859232544</v>
      </c>
      <c r="J25" s="19" t="str">
        <f aca="false">IF(LEFT(I25,3)="+62","0"&amp;MID(I25,4,20),I25)</f>
        <v>081859232544</v>
      </c>
      <c r="K25" s="19" t="str">
        <f aca="false">VLOOKUP(VALUE(MID(J25,2,3)),Acuan!$A$2:$B$13,2,FALSE())</f>
        <v>XL</v>
      </c>
      <c r="L25" s="19" t="str">
        <f aca="false">IF(COUNTIF($G$2:$G$31,G25)&gt;1,"Duplikat","Unik")</f>
        <v>Unik</v>
      </c>
    </row>
    <row r="26" customFormat="false" ht="15" hidden="false" customHeight="false" outlineLevel="0" collapsed="false">
      <c r="A26" s="17" t="n">
        <v>25</v>
      </c>
      <c r="B26" s="18" t="s">
        <v>153</v>
      </c>
      <c r="C26" s="18" t="s">
        <v>154</v>
      </c>
      <c r="D26" s="18" t="s">
        <v>155</v>
      </c>
      <c r="E26" s="19" t="str">
        <f aca="false">PROPER(TRIM(B26))</f>
        <v>Sari Santoso</v>
      </c>
      <c r="F26" s="19" t="str">
        <f aca="false">LEFT(E26,FIND(" ",E26)-1)</f>
        <v>Sari</v>
      </c>
      <c r="G26" s="19" t="str">
        <f aca="false">LOWER(TRIM(D26))</f>
        <v>sari.santoso@outlook.com</v>
      </c>
      <c r="H26" s="19" t="str">
        <f aca="false">MID(G26,FIND("@",G26)+1,50)</f>
        <v>outlook.com</v>
      </c>
      <c r="I26" s="19" t="str">
        <f aca="false">SUBSTITUTE(SUBSTITUTE(C26,"-","")," ","")</f>
        <v>087745424934</v>
      </c>
      <c r="J26" s="19" t="str">
        <f aca="false">IF(LEFT(I26,3)="+62","0"&amp;MID(I26,4,20),I26)</f>
        <v>087745424934</v>
      </c>
      <c r="K26" s="19" t="str">
        <f aca="false">VLOOKUP(VALUE(MID(J26,2,3)),Acuan!$A$2:$B$13,2,FALSE())</f>
        <v>XL</v>
      </c>
      <c r="L26" s="19" t="str">
        <f aca="false">IF(COUNTIF($G$2:$G$31,G26)&gt;1,"Duplikat","Unik")</f>
        <v>Unik</v>
      </c>
    </row>
    <row r="27" customFormat="false" ht="15" hidden="false" customHeight="false" outlineLevel="0" collapsed="false">
      <c r="A27" s="17" t="n">
        <v>26</v>
      </c>
      <c r="B27" s="18" t="s">
        <v>156</v>
      </c>
      <c r="C27" s="18" t="s">
        <v>157</v>
      </c>
      <c r="D27" s="18" t="s">
        <v>158</v>
      </c>
      <c r="E27" s="19" t="str">
        <f aca="false">PROPER(TRIM(B27))</f>
        <v>Zainal Kurniawan</v>
      </c>
      <c r="F27" s="19" t="str">
        <f aca="false">LEFT(E27,FIND(" ",E27)-1)</f>
        <v>Zainal</v>
      </c>
      <c r="G27" s="19" t="str">
        <f aca="false">LOWER(TRIM(D27))</f>
        <v>zainal.kurniawan@outlook.com</v>
      </c>
      <c r="H27" s="19" t="str">
        <f aca="false">MID(G27,FIND("@",G27)+1,50)</f>
        <v>outlook.com</v>
      </c>
      <c r="I27" s="19" t="str">
        <f aca="false">SUBSTITUTE(SUBSTITUTE(C27,"-","")," ","")</f>
        <v>+6281259468926</v>
      </c>
      <c r="J27" s="19" t="str">
        <f aca="false">IF(LEFT(I27,3)="+62","0"&amp;MID(I27,4,20),I27)</f>
        <v>081259468926</v>
      </c>
      <c r="K27" s="19" t="str">
        <f aca="false">VLOOKUP(VALUE(MID(J27,2,3)),Acuan!$A$2:$B$13,2,FALSE())</f>
        <v>Telkomsel</v>
      </c>
      <c r="L27" s="19" t="str">
        <f aca="false">IF(COUNTIF($G$2:$G$31,G27)&gt;1,"Duplikat","Unik")</f>
        <v>Unik</v>
      </c>
    </row>
    <row r="28" customFormat="false" ht="15" hidden="false" customHeight="false" outlineLevel="0" collapsed="false">
      <c r="A28" s="17" t="n">
        <v>27</v>
      </c>
      <c r="B28" s="18" t="s">
        <v>159</v>
      </c>
      <c r="C28" s="18" t="s">
        <v>160</v>
      </c>
      <c r="D28" s="18" t="s">
        <v>161</v>
      </c>
      <c r="E28" s="19" t="str">
        <f aca="false">PROPER(TRIM(B28))</f>
        <v>Ahmad Rahayu</v>
      </c>
      <c r="F28" s="19" t="str">
        <f aca="false">LEFT(E28,FIND(" ",E28)-1)</f>
        <v>Ahmad</v>
      </c>
      <c r="G28" s="19" t="str">
        <f aca="false">LOWER(TRIM(D28))</f>
        <v>ahmad.rahayu@gmail.com</v>
      </c>
      <c r="H28" s="19" t="str">
        <f aca="false">MID(G28,FIND("@",G28)+1,50)</f>
        <v>gmail.com</v>
      </c>
      <c r="I28" s="19" t="str">
        <f aca="false">SUBSTITUTE(SUBSTITUTE(C28,"-","")," ","")</f>
        <v>+6281642197318</v>
      </c>
      <c r="J28" s="19" t="str">
        <f aca="false">IF(LEFT(I28,3)="+62","0"&amp;MID(I28,4,20),I28)</f>
        <v>081642197318</v>
      </c>
      <c r="K28" s="19" t="str">
        <f aca="false">VLOOKUP(VALUE(MID(J28,2,3)),Acuan!$A$2:$B$13,2,FALSE())</f>
        <v>Indosat</v>
      </c>
      <c r="L28" s="19" t="str">
        <f aca="false">IF(COUNTIF($G$2:$G$31,G28)&gt;1,"Duplikat","Unik")</f>
        <v>Unik</v>
      </c>
    </row>
    <row r="29" customFormat="false" ht="15" hidden="false" customHeight="false" outlineLevel="0" collapsed="false">
      <c r="A29" s="17" t="n">
        <v>28</v>
      </c>
      <c r="B29" s="18" t="s">
        <v>162</v>
      </c>
      <c r="C29" s="18" t="s">
        <v>163</v>
      </c>
      <c r="D29" s="18" t="s">
        <v>164</v>
      </c>
      <c r="E29" s="19" t="str">
        <f aca="false">PROPER(TRIM(B29))</f>
        <v>Lia Rahayu</v>
      </c>
      <c r="F29" s="19" t="str">
        <f aca="false">LEFT(E29,FIND(" ",E29)-1)</f>
        <v>Lia</v>
      </c>
      <c r="G29" s="19" t="str">
        <f aca="false">LOWER(TRIM(D29))</f>
        <v>lia.rahayu@cvbintang.com</v>
      </c>
      <c r="H29" s="19" t="str">
        <f aca="false">MID(G29,FIND("@",G29)+1,50)</f>
        <v>cvbintang.com</v>
      </c>
      <c r="I29" s="19" t="str">
        <f aca="false">SUBSTITUTE(SUBSTITUTE(C29,"-","")," ","")</f>
        <v>088121294229</v>
      </c>
      <c r="J29" s="19" t="str">
        <f aca="false">IF(LEFT(I29,3)="+62","0"&amp;MID(I29,4,20),I29)</f>
        <v>088121294229</v>
      </c>
      <c r="K29" s="19" t="str">
        <f aca="false">VLOOKUP(VALUE(MID(J29,2,3)),Acuan!$A$2:$B$13,2,FALSE())</f>
        <v>Smartfren</v>
      </c>
      <c r="L29" s="19" t="str">
        <f aca="false">IF(COUNTIF($G$2:$G$31,G29)&gt;1,"Duplikat","Unik")</f>
        <v>Duplikat</v>
      </c>
    </row>
    <row r="30" customFormat="false" ht="15" hidden="false" customHeight="false" outlineLevel="0" collapsed="false">
      <c r="A30" s="17" t="n">
        <v>29</v>
      </c>
      <c r="B30" s="18" t="s">
        <v>165</v>
      </c>
      <c r="C30" s="18" t="s">
        <v>166</v>
      </c>
      <c r="D30" s="18" t="s">
        <v>167</v>
      </c>
      <c r="E30" s="19" t="str">
        <f aca="false">PROPER(TRIM(B30))</f>
        <v>Vina Pratama</v>
      </c>
      <c r="F30" s="19" t="str">
        <f aca="false">LEFT(E30,FIND(" ",E30)-1)</f>
        <v>Vina</v>
      </c>
      <c r="G30" s="19" t="str">
        <f aca="false">LOWER(TRIM(D30))</f>
        <v>vina.pratama@cvbintang.com</v>
      </c>
      <c r="H30" s="19" t="str">
        <f aca="false">MID(G30,FIND("@",G30)+1,50)</f>
        <v>cvbintang.com</v>
      </c>
      <c r="I30" s="19" t="str">
        <f aca="false">SUBSTITUTE(SUBSTITUTE(C30,"-","")," ","")</f>
        <v>+6281228677393</v>
      </c>
      <c r="J30" s="19" t="str">
        <f aca="false">IF(LEFT(I30,3)="+62","0"&amp;MID(I30,4,20),I30)</f>
        <v>081228677393</v>
      </c>
      <c r="K30" s="19" t="str">
        <f aca="false">VLOOKUP(VALUE(MID(J30,2,3)),Acuan!$A$2:$B$13,2,FALSE())</f>
        <v>Telkomsel</v>
      </c>
      <c r="L30" s="19" t="str">
        <f aca="false">IF(COUNTIF($G$2:$G$31,G30)&gt;1,"Duplikat","Unik")</f>
        <v>Unik</v>
      </c>
    </row>
    <row r="31" customFormat="false" ht="15" hidden="false" customHeight="false" outlineLevel="0" collapsed="false">
      <c r="A31" s="17" t="n">
        <v>30</v>
      </c>
      <c r="B31" s="18" t="s">
        <v>168</v>
      </c>
      <c r="C31" s="18" t="s">
        <v>169</v>
      </c>
      <c r="D31" s="18" t="s">
        <v>170</v>
      </c>
      <c r="E31" s="19" t="str">
        <f aca="false">PROPER(TRIM(B31))</f>
        <v>Dimas Ramadhan</v>
      </c>
      <c r="F31" s="19" t="str">
        <f aca="false">LEFT(E31,FIND(" ",E31)-1)</f>
        <v>Dimas</v>
      </c>
      <c r="G31" s="19" t="str">
        <f aca="false">LOWER(TRIM(D31))</f>
        <v>dimas.ramadhan@gmail.com</v>
      </c>
      <c r="H31" s="19" t="str">
        <f aca="false">MID(G31,FIND("@",G31)+1,50)</f>
        <v>gmail.com</v>
      </c>
      <c r="I31" s="19" t="str">
        <f aca="false">SUBSTITUTE(SUBSTITUTE(C31,"-","")," ","")</f>
        <v>+6289599663784</v>
      </c>
      <c r="J31" s="19" t="str">
        <f aca="false">IF(LEFT(I31,3)="+62","0"&amp;MID(I31,4,20),I31)</f>
        <v>089599663784</v>
      </c>
      <c r="K31" s="19" t="str">
        <f aca="false">VLOOKUP(VALUE(MID(J31,2,3)),Acuan!$A$2:$B$13,2,FALSE())</f>
        <v>Tri</v>
      </c>
      <c r="L31" s="19" t="str">
        <f aca="false">IF(COUNTIF($G$2:$G$31,G31)&gt;1,"Duplikat","Unik")</f>
        <v>Unik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33.75" hidden="false" customHeight="true" outlineLevel="0" collapsed="false">
      <c r="A1" s="12" t="s">
        <v>171</v>
      </c>
      <c r="B1" s="12" t="s">
        <v>80</v>
      </c>
    </row>
    <row r="2" customFormat="false" ht="15" hidden="false" customHeight="false" outlineLevel="0" collapsed="false">
      <c r="A2" s="17" t="n">
        <v>811</v>
      </c>
      <c r="B2" s="18" t="s">
        <v>172</v>
      </c>
    </row>
    <row r="3" customFormat="false" ht="15" hidden="false" customHeight="false" outlineLevel="0" collapsed="false">
      <c r="A3" s="17" t="n">
        <v>812</v>
      </c>
      <c r="B3" s="18" t="s">
        <v>172</v>
      </c>
    </row>
    <row r="4" customFormat="false" ht="15" hidden="false" customHeight="false" outlineLevel="0" collapsed="false">
      <c r="A4" s="17" t="n">
        <v>813</v>
      </c>
      <c r="B4" s="18" t="s">
        <v>172</v>
      </c>
    </row>
    <row r="5" customFormat="false" ht="15" hidden="false" customHeight="false" outlineLevel="0" collapsed="false">
      <c r="A5" s="17" t="n">
        <v>815</v>
      </c>
      <c r="B5" s="18" t="s">
        <v>173</v>
      </c>
    </row>
    <row r="6" customFormat="false" ht="15" hidden="false" customHeight="false" outlineLevel="0" collapsed="false">
      <c r="A6" s="17" t="n">
        <v>816</v>
      </c>
      <c r="B6" s="18" t="s">
        <v>173</v>
      </c>
    </row>
    <row r="7" customFormat="false" ht="15" hidden="false" customHeight="false" outlineLevel="0" collapsed="false">
      <c r="A7" s="17" t="n">
        <v>817</v>
      </c>
      <c r="B7" s="18" t="s">
        <v>174</v>
      </c>
    </row>
    <row r="8" customFormat="false" ht="15" hidden="false" customHeight="false" outlineLevel="0" collapsed="false">
      <c r="A8" s="17" t="n">
        <v>818</v>
      </c>
      <c r="B8" s="18" t="s">
        <v>174</v>
      </c>
    </row>
    <row r="9" customFormat="false" ht="15" hidden="false" customHeight="false" outlineLevel="0" collapsed="false">
      <c r="A9" s="17" t="n">
        <v>857</v>
      </c>
      <c r="B9" s="18" t="s">
        <v>173</v>
      </c>
    </row>
    <row r="10" customFormat="false" ht="15" hidden="false" customHeight="false" outlineLevel="0" collapsed="false">
      <c r="A10" s="17" t="n">
        <v>877</v>
      </c>
      <c r="B10" s="18" t="s">
        <v>174</v>
      </c>
    </row>
    <row r="11" customFormat="false" ht="15" hidden="false" customHeight="false" outlineLevel="0" collapsed="false">
      <c r="A11" s="17" t="n">
        <v>881</v>
      </c>
      <c r="B11" s="18" t="s">
        <v>175</v>
      </c>
    </row>
    <row r="12" customFormat="false" ht="15" hidden="false" customHeight="false" outlineLevel="0" collapsed="false">
      <c r="A12" s="17" t="n">
        <v>895</v>
      </c>
      <c r="B12" s="18" t="s">
        <v>176</v>
      </c>
    </row>
    <row r="13" customFormat="false" ht="15" hidden="false" customHeight="false" outlineLevel="0" collapsed="false">
      <c r="A13" s="17" t="n">
        <v>896</v>
      </c>
      <c r="B13" s="1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0" t="s">
        <v>177</v>
      </c>
      <c r="B1" s="20"/>
      <c r="C1" s="20"/>
      <c r="D1" s="20"/>
    </row>
    <row r="2" customFormat="false" ht="15" hidden="false" customHeight="false" outlineLevel="0" collapsed="false">
      <c r="A2" s="21" t="s">
        <v>178</v>
      </c>
      <c r="B2" s="21"/>
      <c r="C2" s="21"/>
      <c r="D2" s="21"/>
    </row>
    <row r="3" customFormat="false" ht="15" hidden="false" customHeight="false" outlineLevel="0" collapsed="false">
      <c r="A3" s="12" t="s">
        <v>19</v>
      </c>
      <c r="B3" s="12" t="s">
        <v>179</v>
      </c>
      <c r="C3" s="12" t="s">
        <v>180</v>
      </c>
      <c r="D3" s="12" t="s">
        <v>181</v>
      </c>
    </row>
    <row r="4" customFormat="false" ht="19.5" hidden="false" customHeight="true" outlineLevel="0" collapsed="false">
      <c r="A4" s="22" t="s">
        <v>55</v>
      </c>
      <c r="B4" s="23" t="s">
        <v>182</v>
      </c>
      <c r="C4" s="24" t="n">
        <f aca="false">COUNTIF(Data!$L$2:$L$31,"Duplikat")</f>
        <v>6</v>
      </c>
      <c r="D4" s="25" t="s">
        <v>183</v>
      </c>
    </row>
    <row r="5" customFormat="false" ht="19.5" hidden="false" customHeight="true" outlineLevel="0" collapsed="false">
      <c r="A5" s="22" t="s">
        <v>59</v>
      </c>
      <c r="B5" s="23" t="s">
        <v>184</v>
      </c>
      <c r="C5" s="24" t="n">
        <f aca="false">SUMPRODUCT(1/COUNTIF(Data!$G$2:$G$31,Data!$G$2:$G$31))</f>
        <v>27</v>
      </c>
      <c r="D5" s="25" t="s">
        <v>185</v>
      </c>
    </row>
    <row r="6" customFormat="false" ht="19.5" hidden="false" customHeight="true" outlineLevel="0" collapsed="false">
      <c r="A6" s="22" t="s">
        <v>63</v>
      </c>
      <c r="B6" s="23" t="s">
        <v>186</v>
      </c>
      <c r="C6" s="24" t="n">
        <f aca="false">COUNTIF(Data!$H$2:$H$31,"gmail.com")</f>
        <v>15</v>
      </c>
      <c r="D6" s="25" t="s">
        <v>187</v>
      </c>
    </row>
    <row r="7" customFormat="false" ht="19.5" hidden="false" customHeight="true" outlineLevel="0" collapsed="false">
      <c r="A7" s="22" t="s">
        <v>188</v>
      </c>
      <c r="B7" s="23" t="s">
        <v>189</v>
      </c>
      <c r="C7" s="24" t="n">
        <f aca="false">COUNTIF(Data!$K$2:$K$31,"Telkomsel")</f>
        <v>7</v>
      </c>
      <c r="D7" s="25" t="s">
        <v>190</v>
      </c>
    </row>
    <row r="8" customFormat="false" ht="19.5" hidden="false" customHeight="true" outlineLevel="0" collapsed="false">
      <c r="A8" s="22" t="s">
        <v>191</v>
      </c>
      <c r="B8" s="23" t="s">
        <v>192</v>
      </c>
      <c r="C8" s="24" t="n">
        <f aca="false">COUNTIF(Data!$K$2:$K$31,"Indosat")</f>
        <v>7</v>
      </c>
      <c r="D8" s="25" t="s">
        <v>190</v>
      </c>
    </row>
    <row r="9" customFormat="false" ht="19.5" hidden="false" customHeight="true" outlineLevel="0" collapsed="false">
      <c r="A9" s="22" t="s">
        <v>193</v>
      </c>
      <c r="B9" s="23" t="s">
        <v>194</v>
      </c>
      <c r="C9" s="24" t="n">
        <f aca="false">COUNTIF(Data!$K$2:$K$31,"XL")</f>
        <v>8</v>
      </c>
      <c r="D9" s="25" t="s">
        <v>190</v>
      </c>
    </row>
    <row r="10" customFormat="false" ht="19.5" hidden="false" customHeight="true" outlineLevel="0" collapsed="false">
      <c r="A10" s="22" t="s">
        <v>195</v>
      </c>
      <c r="B10" s="23" t="s">
        <v>196</v>
      </c>
      <c r="C10" s="24" t="n">
        <f aca="false">COUNTIF(Data!$K$2:$K$31,"Smartfren")</f>
        <v>4</v>
      </c>
      <c r="D10" s="25" t="s">
        <v>190</v>
      </c>
    </row>
    <row r="11" customFormat="false" ht="19.5" hidden="false" customHeight="true" outlineLevel="0" collapsed="false">
      <c r="A11" s="22" t="s">
        <v>197</v>
      </c>
      <c r="B11" s="23" t="s">
        <v>198</v>
      </c>
      <c r="C11" s="24" t="n">
        <f aca="false">COUNTIF(Data!$K$2:$K$31,"Tri")</f>
        <v>4</v>
      </c>
      <c r="D11" s="25" t="s">
        <v>190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2026-10-10T06:49:17Z</dcterms:created>
  <dc:creator>PushExcel</dc:creator>
  <dc:description/>
  <dc:language>en-US</dc:language>
  <cp:lastModifiedBy/>
  <dcterms:modified xsi:type="dcterms:W3CDTF">2026-10-10T06:49:17Z</dcterms:modified>
  <cp:revision>0</cp:revision>
  <dc:subject/>
  <dc:title>Pembersihan Data Kontak Pelanggan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