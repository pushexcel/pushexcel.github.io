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<sst xmlns="http://schemas.openxmlformats.org/spreadsheetml/2006/main" count="317" uniqueCount="209">
  <si>
    <t xml:space="preserve">Kunci Jawaban: Rekap Kunjungan dan Biaya Klinik Pratama</t>
  </si>
  <si>
    <t xml:space="preserve">Latihan 32 dari 56  |  Tingkat: Menengah  |  Perkiraan waktu: 50 menit  |  pushexcel.github.io/Pushexcel</t>
  </si>
  <si>
    <t xml:space="preserve">Skenario</t>
  </si>
  <si>
    <t xml:space="preserve">Kamu petugas administrasi Klinik Pratama Sehat Sentosa. Data kunjungan Oktober 2026 sudah dicatat (hanya data administrasi, tanpa data medis). Umur dihitung sampai tanggal acuan 31 Oktober 2026. Tarif periksa tiap poli ada di sheet Acuan. Pasien berjenis Asuransi mendapat potongan 25 persen dari tarif periksa, sedangkan biaya obat dibayar penuh. Kelompok usia: di bawah 13 tahun Anak, 60 tahun ke atas Lansia, selain itu Dewasa.</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</si>
  <si>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</si>
  <si>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</si>
  <si>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</si>
  <si>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</si>
  <si>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</si>
  <si>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</si>
  <si>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</si>
  <si>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</si>
  <si>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</si>
  <si>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</si>
  <si>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</si>
  <si>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</si>
  <si>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</si>
  <si>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</si>
  <si>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</si>
  <si>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</si>
  <si>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</si>
  <si>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</si>
  <si>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</si>
  <si>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</si>
  <si>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umur pasien dalam tahun penuh sampai tanggal acuan umur.</t>
  </si>
  <si>
    <t xml:space="preserve">Sheet Data, kolom I (Umur), baris 2 sampai 37</t>
  </si>
  <si>
    <t xml:space="preserve">=DATEDIF(E2;$P$2;"y")</t>
  </si>
  <si>
    <t xml:space="preserve">2</t>
  </si>
  <si>
    <t xml:space="preserve">Tentukan kelompok usia: di bawah batas anak = Anak, sama dengan atau di atas batas lansia = Lansia, selain itu Dewasa.</t>
  </si>
  <si>
    <t xml:space="preserve">Sheet Data, kolom J (Kelompok Usia), baris 2 sampai 37</t>
  </si>
  <si>
    <t xml:space="preserve">=IF(I2&lt;$P$3;"Anak";IF(I2&gt;=$P$4;"Lansia";"Dewasa"))</t>
  </si>
  <si>
    <t xml:space="preserve">3</t>
  </si>
  <si>
    <t xml:space="preserve">Ambil tarif periksa dari sheet Acuan berdasarkan Poli.</t>
  </si>
  <si>
    <t xml:space="preserve">Sheet Data, kolom K (Tarif Periksa), baris 2 sampai 37</t>
  </si>
  <si>
    <t xml:space="preserve">=VLOOKUP(F2;Acuan!$A$2:$B$5;2;FALSE)</t>
  </si>
  <si>
    <t xml:space="preserve">4</t>
  </si>
  <si>
    <t xml:space="preserve">Hitung potongan: pasien Asuransi mendapat potongan dari tarif periksa, dibulatkan ke rupiah. Selain itu 0.</t>
  </si>
  <si>
    <t xml:space="preserve">Sheet Data, kolom L (Potongan), baris 2 sampai 37</t>
  </si>
  <si>
    <t xml:space="preserve">=IF(G2="Asuransi";ROUND(K2*$P$5;0);0)</t>
  </si>
  <si>
    <t xml:space="preserve">5</t>
  </si>
  <si>
    <t xml:space="preserve">Hitung total biaya: tarif periksa dikurangi potongan, ditambah biaya obat.</t>
  </si>
  <si>
    <t xml:space="preserve">Sheet Data, kolom M (Total Biaya), baris 2 sampai 37</t>
  </si>
  <si>
    <t xml:space="preserve">=K2-L2+H2</t>
  </si>
  <si>
    <t xml:space="preserve">6</t>
  </si>
  <si>
    <t xml:space="preserve">Pada sheet Acuan, hitung jumlah kunjungan tiap poli.</t>
  </si>
  <si>
    <t xml:space="preserve">Sheet Acuan, kolom C (Jumlah Kunjungan), baris 2 sampai 5</t>
  </si>
  <si>
    <t xml:space="preserve">=COUNTIF(Data!$F$2:$F$37;A2)</t>
  </si>
  <si>
    <t xml:space="preserve">7</t>
  </si>
  <si>
    <t xml:space="preserve">Pada sheet Acuan, hitung rata-rata umur pasien tiap poli.</t>
  </si>
  <si>
    <t xml:space="preserve">Sheet Acuan, kolom D (Rata-rata Umur), baris 2 sampai 5</t>
  </si>
  <si>
    <t xml:space="preserve">=AVERAGEIF(Data!$F$2:$F$37;A2;Data!$I$2:$I$37)</t>
  </si>
  <si>
    <t xml:space="preserve">8</t>
  </si>
  <si>
    <t xml:space="preserve">Pada sheet Acuan, hitung total pendapatan (Total Biaya) tiap poli.</t>
  </si>
  <si>
    <t xml:space="preserve">Sheet Acuan, kolom E (Total Pendapatan), baris 2 sampai 5</t>
  </si>
  <si>
    <t xml:space="preserve">=SUMIF(Data!$F$2:$F$37;A2;Data!$M$2:$M$37)</t>
  </si>
  <si>
    <t xml:space="preserve">9</t>
  </si>
  <si>
    <t xml:space="preserve">Berapa total pendapatan klinik, total potongan asuransi, dan total biaya obat?</t>
  </si>
  <si>
    <t xml:space="preserve">Sheet Ringkasan, sel C4 sampai C6</t>
  </si>
  <si>
    <t xml:space="preserve">=SUM(Data!$M$2:$M$37)
=SUM(Data!$L$2:$L$37)
=SUM(Data!$H$2:$H$37)</t>
  </si>
  <si>
    <t xml:space="preserve">10</t>
  </si>
  <si>
    <t xml:space="preserve">Berapa kunjungan pasien Perempuan (P) di poli Umum, dan berapa pasien yang termasuk Lansia?</t>
  </si>
  <si>
    <t xml:space="preserve">Sheet Ringkasan, sel C7 sampai C8</t>
  </si>
  <si>
    <t xml:space="preserve">=COUNTIFS(Data!$D$2:$D$37;"P";Data!$F$2:$F$37;"Umum")
=COUNTIF(Data!$J$2:$J$37;"Lansia")</t>
  </si>
  <si>
    <t xml:space="preserve">11</t>
  </si>
  <si>
    <t xml:space="preserve">Berapa rata-rata umur seluruh pasien, dan berapa rata-rata total biaya pasien Asuransi?</t>
  </si>
  <si>
    <t xml:space="preserve">Sheet Ringkasan, sel C9 sampai C10</t>
  </si>
  <si>
    <t xml:space="preserve">=AVERAGE(Data!$I$2:$I$37)
=AVERAGEIF(Data!$G$2:$G$37;"Asuransi";Data!$M$2:$M$37)</t>
  </si>
  <si>
    <t xml:space="preserve">12</t>
  </si>
  <si>
    <t xml:space="preserve">Poli mana yang paling padat kunjungannya, dan siapa pasien tertua?</t>
  </si>
  <si>
    <t xml:space="preserve">Sheet Ringkasan, sel C11 sampai C12</t>
  </si>
  <si>
    <t xml:space="preserve">=INDEX(Acuan!$A$2:$A$5;MATCH(MAX(Acuan!$C$2:$C$5);Acuan!$C$2:$C$5;0))
=INDEX(Data!$C$2:$C$37;MATCH(MAX(Data!$I$2:$I$37);Data!$I$2:$I$37;0))</t>
  </si>
  <si>
    <t xml:space="preserve">No Kunjungan</t>
  </si>
  <si>
    <t xml:space="preserve">Tanggal Kunjungan</t>
  </si>
  <si>
    <t xml:space="preserve">Nama Pasien</t>
  </si>
  <si>
    <t xml:space="preserve">JK</t>
  </si>
  <si>
    <t xml:space="preserve">Tanggal Lahir</t>
  </si>
  <si>
    <t xml:space="preserve">Poli</t>
  </si>
  <si>
    <t xml:space="preserve">Jenis Pasien</t>
  </si>
  <si>
    <t xml:space="preserve">Biaya Obat</t>
  </si>
  <si>
    <t xml:space="preserve">Umur</t>
  </si>
  <si>
    <t xml:space="preserve">Kelompok Usia</t>
  </si>
  <si>
    <t xml:space="preserve">Tarif Periksa</t>
  </si>
  <si>
    <t xml:space="preserve">Potongan</t>
  </si>
  <si>
    <t xml:space="preserve">Total Biaya</t>
  </si>
  <si>
    <t xml:space="preserve">Parameter</t>
  </si>
  <si>
    <t xml:space="preserve">Nilai</t>
  </si>
  <si>
    <t xml:space="preserve">Keterangan</t>
  </si>
  <si>
    <t xml:space="preserve">KJ-001</t>
  </si>
  <si>
    <t xml:space="preserve">Hesti Kusuma</t>
  </si>
  <si>
    <t xml:space="preserve">P</t>
  </si>
  <si>
    <t xml:space="preserve">Gigi</t>
  </si>
  <si>
    <t xml:space="preserve">Umum</t>
  </si>
  <si>
    <t xml:space="preserve">Tanggal acuan umur</t>
  </si>
  <si>
    <t xml:space="preserve">Umur dihitung sampai tanggal ini</t>
  </si>
  <si>
    <t xml:space="preserve">KJ-002</t>
  </si>
  <si>
    <t xml:space="preserve">Citra Rahayu</t>
  </si>
  <si>
    <t xml:space="preserve">Asuransi</t>
  </si>
  <si>
    <t xml:space="preserve">Batas anak</t>
  </si>
  <si>
    <t xml:space="preserve">Umur di bawah angka ini = Anak</t>
  </si>
  <si>
    <t xml:space="preserve">KJ-003</t>
  </si>
  <si>
    <t xml:space="preserve">Yoga Syahputra</t>
  </si>
  <si>
    <t xml:space="preserve">L</t>
  </si>
  <si>
    <t xml:space="preserve">Batas lansia</t>
  </si>
  <si>
    <t xml:space="preserve">Umur sama dengan atau di atas angka ini = Lansia</t>
  </si>
  <si>
    <t xml:space="preserve">KJ-004</t>
  </si>
  <si>
    <t xml:space="preserve">Intan Hidayat</t>
  </si>
  <si>
    <t xml:space="preserve">Potongan asuransi</t>
  </si>
  <si>
    <t xml:space="preserve">Dari tarif periksa</t>
  </si>
  <si>
    <t xml:space="preserve">KJ-005</t>
  </si>
  <si>
    <t xml:space="preserve">Oki Ramadhan</t>
  </si>
  <si>
    <t xml:space="preserve">KJ-006</t>
  </si>
  <si>
    <t xml:space="preserve">Bayu Wijaya</t>
  </si>
  <si>
    <t xml:space="preserve">Anak</t>
  </si>
  <si>
    <t xml:space="preserve">KJ-007</t>
  </si>
  <si>
    <t xml:space="preserve">Andi Yulianto</t>
  </si>
  <si>
    <t xml:space="preserve">KJ-008</t>
  </si>
  <si>
    <t xml:space="preserve">Farida Saputra</t>
  </si>
  <si>
    <t xml:space="preserve">KJ-009</t>
  </si>
  <si>
    <t xml:space="preserve">Rahmat Wijaya</t>
  </si>
  <si>
    <t xml:space="preserve">KJ-010</t>
  </si>
  <si>
    <t xml:space="preserve">Tono Permana</t>
  </si>
  <si>
    <t xml:space="preserve">KJ-011</t>
  </si>
  <si>
    <t xml:space="preserve">Vina Purnomo</t>
  </si>
  <si>
    <t xml:space="preserve">KJ-012</t>
  </si>
  <si>
    <t xml:space="preserve">Citra Permana</t>
  </si>
  <si>
    <t xml:space="preserve">Lansia</t>
  </si>
  <si>
    <t xml:space="preserve">KJ-013</t>
  </si>
  <si>
    <t xml:space="preserve">Sari Rahayu</t>
  </si>
  <si>
    <t xml:space="preserve">KJ-014</t>
  </si>
  <si>
    <t xml:space="preserve">Ayu Handayani</t>
  </si>
  <si>
    <t xml:space="preserve">KJ-015</t>
  </si>
  <si>
    <t xml:space="preserve">Fitri Wijaya</t>
  </si>
  <si>
    <t xml:space="preserve">KJ-016</t>
  </si>
  <si>
    <t xml:space="preserve">Khoirul Fauzi</t>
  </si>
  <si>
    <t xml:space="preserve">KJ-017</t>
  </si>
  <si>
    <t xml:space="preserve">Dewi Firmansyah</t>
  </si>
  <si>
    <t xml:space="preserve">KJ-018</t>
  </si>
  <si>
    <t xml:space="preserve">Budi Purnomo</t>
  </si>
  <si>
    <t xml:space="preserve">KJ-019</t>
  </si>
  <si>
    <t xml:space="preserve">Prasetyo Fauzi</t>
  </si>
  <si>
    <t xml:space="preserve">KJ-020</t>
  </si>
  <si>
    <t xml:space="preserve">Hadi Firmansyah</t>
  </si>
  <si>
    <t xml:space="preserve">KJ-021</t>
  </si>
  <si>
    <t xml:space="preserve">Zainal Pratama</t>
  </si>
  <si>
    <t xml:space="preserve">KJ-022</t>
  </si>
  <si>
    <t xml:space="preserve">Vivi Purnomo</t>
  </si>
  <si>
    <t xml:space="preserve">KJ-023</t>
  </si>
  <si>
    <t xml:space="preserve">Umar Santoso</t>
  </si>
  <si>
    <t xml:space="preserve">KJ-024</t>
  </si>
  <si>
    <t xml:space="preserve">Dewi Yulianto</t>
  </si>
  <si>
    <t xml:space="preserve">KJ-025</t>
  </si>
  <si>
    <t xml:space="preserve">Eko Yulianto</t>
  </si>
  <si>
    <t xml:space="preserve">KJ-026</t>
  </si>
  <si>
    <t xml:space="preserve">Sari Susanto</t>
  </si>
  <si>
    <t xml:space="preserve">KJ-027</t>
  </si>
  <si>
    <t xml:space="preserve">Rahmat Syahputra</t>
  </si>
  <si>
    <t xml:space="preserve">KJ-028</t>
  </si>
  <si>
    <t xml:space="preserve">Bayu Wibowo</t>
  </si>
  <si>
    <t xml:space="preserve">KJ-029</t>
  </si>
  <si>
    <t xml:space="preserve">Khoirul Suryani</t>
  </si>
  <si>
    <t xml:space="preserve">KJ-030</t>
  </si>
  <si>
    <t xml:space="preserve">Utami Ramadhan</t>
  </si>
  <si>
    <t xml:space="preserve">KJ-031</t>
  </si>
  <si>
    <t xml:space="preserve">Kartika Utomo</t>
  </si>
  <si>
    <t xml:space="preserve">KJ-032</t>
  </si>
  <si>
    <t xml:space="preserve">Gita Wibowo</t>
  </si>
  <si>
    <t xml:space="preserve">KJ-033</t>
  </si>
  <si>
    <t xml:space="preserve">Dimas Ramadhan</t>
  </si>
  <si>
    <t xml:space="preserve">KJ-034</t>
  </si>
  <si>
    <t xml:space="preserve">Mulyadi Permana</t>
  </si>
  <si>
    <t xml:space="preserve">KJ-035</t>
  </si>
  <si>
    <t xml:space="preserve">Putri Saputra</t>
  </si>
  <si>
    <t xml:space="preserve">KJ-036</t>
  </si>
  <si>
    <t xml:space="preserve">Fitri Rahayu</t>
  </si>
  <si>
    <t xml:space="preserve">Jumlah Kunjungan</t>
  </si>
  <si>
    <t xml:space="preserve">Rata-rata Umur</t>
  </si>
  <si>
    <t xml:space="preserve">Total Pendapatan</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</si>
  <si>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</si>
  <si>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</si>
  <si>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</si>
  <si>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</si>
  <si>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</si>
  <si>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</si>
  <si>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pendapatan klinik</t>
  </si>
  <si>
    <t xml:space="preserve">Rupiah, mis. Rp 4.000.000</t>
  </si>
  <si>
    <t xml:space="preserve">9b</t>
  </si>
  <si>
    <t xml:space="preserve">Total potongan asuransi</t>
  </si>
  <si>
    <t xml:space="preserve">Rupiah, mis. Rp 500.000</t>
  </si>
  <si>
    <t xml:space="preserve">9c</t>
  </si>
  <si>
    <t xml:space="preserve">Total biaya obat</t>
  </si>
  <si>
    <t xml:space="preserve">Rupiah, mis. Rp 1.500.000</t>
  </si>
  <si>
    <t xml:space="preserve">10a</t>
  </si>
  <si>
    <t xml:space="preserve">Kunjungan pasien P di poli Umum</t>
  </si>
  <si>
    <t xml:space="preserve">Angka bulat, mis. 5</t>
  </si>
  <si>
    <t xml:space="preserve">10b</t>
  </si>
  <si>
    <t xml:space="preserve">Jumlah pasien Lansia</t>
  </si>
  <si>
    <t xml:space="preserve">Angka bulat, mis. 6</t>
  </si>
  <si>
    <t xml:space="preserve">11a</t>
  </si>
  <si>
    <t xml:space="preserve">Rata-rata umur seluruh pasien</t>
  </si>
  <si>
    <t xml:space="preserve">Angka desimal, mis. 31,5</t>
  </si>
  <si>
    <t xml:space="preserve">11b</t>
  </si>
  <si>
    <t xml:space="preserve">Rata-rata total biaya pasien Asuransi</t>
  </si>
  <si>
    <t xml:space="preserve">Rupiah, mis. Rp 90.000</t>
  </si>
  <si>
    <t xml:space="preserve">12a</t>
  </si>
  <si>
    <t xml:space="preserve">Poli paling padat</t>
  </si>
  <si>
    <t xml:space="preserve">Teks: nama poli</t>
  </si>
  <si>
    <t xml:space="preserve">12b</t>
  </si>
  <si>
    <t xml:space="preserve">Pasien tertua</t>
  </si>
  <si>
    <t xml:space="preserve">Teks: nama pasien</t>
  </si>
</sst>
</file>

<file path=xl/styles.xml><?xml version="1.0" encoding="utf-8"?>
<styleSheet xmlns="http://schemas.openxmlformats.org/spreadsheetml/2006/main">
  <numFmts count="6">
    <numFmt numFmtId="164" formatCode="General"/>
    <numFmt numFmtId="165" formatCode="dd/mm/yyyy"/>
    <numFmt numFmtId="166" formatCode="&quot;Rp &quot;#,##0"/>
    <numFmt numFmtId="167" formatCode="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22"/>
    <col collapsed="false" customWidth="true" hidden="false" outlineLevel="0" max="4" min="4" style="0" width="6"/>
    <col collapsed="false" customWidth="true" hidden="false" outlineLevel="0" max="5" min="5" style="0" width="13"/>
    <col collapsed="false" customWidth="true" hidden="false" outlineLevel="0" max="6" min="6" style="0" width="10"/>
    <col collapsed="false" customWidth="true" hidden="false" outlineLevel="0" max="8" min="7" style="0" width="12"/>
    <col collapsed="false" customWidth="true" hidden="false" outlineLevel="0" max="9" min="9" style="0" width="7"/>
    <col collapsed="false" customWidth="true" hidden="false" outlineLevel="0" max="10" min="10" style="0" width="13"/>
    <col collapsed="false" customWidth="true" hidden="false" outlineLevel="0" max="12" min="11" style="0" width="12"/>
    <col collapsed="false" customWidth="true" hidden="false" outlineLevel="0" max="13" min="13" style="0" width="13"/>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71</v>
      </c>
      <c r="B1" s="11" t="s">
        <v>72</v>
      </c>
      <c r="C1" s="11" t="s">
        <v>73</v>
      </c>
      <c r="D1" s="11" t="s">
        <v>74</v>
      </c>
      <c r="E1" s="11" t="s">
        <v>75</v>
      </c>
      <c r="F1" s="11" t="s">
        <v>76</v>
      </c>
      <c r="G1" s="11" t="s">
        <v>77</v>
      </c>
      <c r="H1" s="11" t="s">
        <v>78</v>
      </c>
      <c r="I1" s="15" t="s">
        <v>79</v>
      </c>
      <c r="J1" s="15" t="s">
        <v>80</v>
      </c>
      <c r="K1" s="15" t="s">
        <v>81</v>
      </c>
      <c r="L1" s="15" t="s">
        <v>82</v>
      </c>
      <c r="M1" s="15" t="s">
        <v>83</v>
      </c>
      <c r="O1" s="16" t="s">
        <v>84</v>
      </c>
      <c r="P1" s="16" t="s">
        <v>85</v>
      </c>
      <c r="Q1" s="16" t="s">
        <v>86</v>
      </c>
    </row>
    <row r="2" customFormat="false" ht="15" hidden="false" customHeight="false" outlineLevel="0" collapsed="false">
      <c r="A2" s="17" t="s">
        <v>87</v>
      </c>
      <c r="B2" s="18" t="n">
        <v>46296</v>
      </c>
      <c r="C2" s="17" t="s">
        <v>88</v>
      </c>
      <c r="D2" s="17" t="s">
        <v>89</v>
      </c>
      <c r="E2" s="18" t="n">
        <v>36012</v>
      </c>
      <c r="F2" s="17" t="s">
        <v>90</v>
      </c>
      <c r="G2" s="17" t="s">
        <v>91</v>
      </c>
      <c r="H2" s="19" t="n">
        <v>48000</v>
      </c>
      <c r="I2" s="20" t="n">
        <f aca="false">DATEDIF(E2,$P$2,"y")</f>
        <v>28</v>
      </c>
      <c r="J2" s="21" t="str">
        <f aca="false">IF(I2&lt;$P$3,"Anak",IF(I2&gt;=$P$4,"Lansia","Dewasa"))</f>
        <v>Dewasa</v>
      </c>
      <c r="K2" s="22" t="n">
        <f aca="false">VLOOKUP(F2,Acuan!$A$2:$B$5,2,FALSE())</f>
        <v>90000</v>
      </c>
      <c r="L2" s="22" t="n">
        <f aca="false">IF(G2="Asuransi",ROUND(K2*$P$5,0),0)</f>
        <v>0</v>
      </c>
      <c r="M2" s="22" t="n">
        <f aca="false">K2-L2+H2</f>
        <v>138000</v>
      </c>
      <c r="O2" s="23" t="s">
        <v>92</v>
      </c>
      <c r="P2" s="24" t="n">
        <v>46326</v>
      </c>
      <c r="Q2" s="23" t="s">
        <v>93</v>
      </c>
    </row>
    <row r="3" customFormat="false" ht="15" hidden="false" customHeight="false" outlineLevel="0" collapsed="false">
      <c r="A3" s="17" t="s">
        <v>94</v>
      </c>
      <c r="B3" s="18" t="n">
        <v>46296</v>
      </c>
      <c r="C3" s="17" t="s">
        <v>95</v>
      </c>
      <c r="D3" s="17" t="s">
        <v>89</v>
      </c>
      <c r="E3" s="18" t="n">
        <v>38993</v>
      </c>
      <c r="F3" s="17" t="s">
        <v>90</v>
      </c>
      <c r="G3" s="17" t="s">
        <v>96</v>
      </c>
      <c r="H3" s="19" t="n">
        <v>15000</v>
      </c>
      <c r="I3" s="20" t="n">
        <f aca="false">DATEDIF(E3,$P$2,"y")</f>
        <v>20</v>
      </c>
      <c r="J3" s="21" t="str">
        <f aca="false">IF(I3&lt;$P$3,"Anak",IF(I3&gt;=$P$4,"Lansia","Dewasa"))</f>
        <v>Dewasa</v>
      </c>
      <c r="K3" s="22" t="n">
        <f aca="false">VLOOKUP(F3,Acuan!$A$2:$B$5,2,FALSE())</f>
        <v>90000</v>
      </c>
      <c r="L3" s="22" t="n">
        <f aca="false">IF(G3="Asuransi",ROUND(K3*$P$5,0),0)</f>
        <v>22500</v>
      </c>
      <c r="M3" s="22" t="n">
        <f aca="false">K3-L3+H3</f>
        <v>82500</v>
      </c>
      <c r="O3" s="23" t="s">
        <v>97</v>
      </c>
      <c r="P3" s="25" t="n">
        <v>13</v>
      </c>
      <c r="Q3" s="23" t="s">
        <v>98</v>
      </c>
    </row>
    <row r="4" customFormat="false" ht="15" hidden="false" customHeight="false" outlineLevel="0" collapsed="false">
      <c r="A4" s="17" t="s">
        <v>99</v>
      </c>
      <c r="B4" s="18" t="n">
        <v>46296</v>
      </c>
      <c r="C4" s="17" t="s">
        <v>100</v>
      </c>
      <c r="D4" s="17" t="s">
        <v>101</v>
      </c>
      <c r="E4" s="18" t="n">
        <v>37348</v>
      </c>
      <c r="F4" s="17" t="s">
        <v>90</v>
      </c>
      <c r="G4" s="17" t="s">
        <v>96</v>
      </c>
      <c r="H4" s="19" t="n">
        <v>35000</v>
      </c>
      <c r="I4" s="20" t="n">
        <f aca="false">DATEDIF(E4,$P$2,"y")</f>
        <v>24</v>
      </c>
      <c r="J4" s="21" t="str">
        <f aca="false">IF(I4&lt;$P$3,"Anak",IF(I4&gt;=$P$4,"Lansia","Dewasa"))</f>
        <v>Dewasa</v>
      </c>
      <c r="K4" s="22" t="n">
        <f aca="false">VLOOKUP(F4,Acuan!$A$2:$B$5,2,FALSE())</f>
        <v>90000</v>
      </c>
      <c r="L4" s="22" t="n">
        <f aca="false">IF(G4="Asuransi",ROUND(K4*$P$5,0),0)</f>
        <v>22500</v>
      </c>
      <c r="M4" s="22" t="n">
        <f aca="false">K4-L4+H4</f>
        <v>102500</v>
      </c>
      <c r="O4" s="23" t="s">
        <v>102</v>
      </c>
      <c r="P4" s="25" t="n">
        <v>60</v>
      </c>
      <c r="Q4" s="23" t="s">
        <v>103</v>
      </c>
    </row>
    <row r="5" customFormat="false" ht="15" hidden="false" customHeight="false" outlineLevel="0" collapsed="false">
      <c r="A5" s="17" t="s">
        <v>104</v>
      </c>
      <c r="B5" s="18" t="n">
        <v>46299</v>
      </c>
      <c r="C5" s="17" t="s">
        <v>105</v>
      </c>
      <c r="D5" s="17" t="s">
        <v>89</v>
      </c>
      <c r="E5" s="18" t="n">
        <v>37485</v>
      </c>
      <c r="F5" s="17" t="s">
        <v>90</v>
      </c>
      <c r="G5" s="17" t="s">
        <v>96</v>
      </c>
      <c r="H5" s="19" t="n">
        <v>0</v>
      </c>
      <c r="I5" s="20" t="n">
        <f aca="false">DATEDIF(E5,$P$2,"y")</f>
        <v>24</v>
      </c>
      <c r="J5" s="21" t="str">
        <f aca="false">IF(I5&lt;$P$3,"Anak",IF(I5&gt;=$P$4,"Lansia","Dewasa"))</f>
        <v>Dewasa</v>
      </c>
      <c r="K5" s="22" t="n">
        <f aca="false">VLOOKUP(F5,Acuan!$A$2:$B$5,2,FALSE())</f>
        <v>90000</v>
      </c>
      <c r="L5" s="22" t="n">
        <f aca="false">IF(G5="Asuransi",ROUND(K5*$P$5,0),0)</f>
        <v>22500</v>
      </c>
      <c r="M5" s="22" t="n">
        <f aca="false">K5-L5+H5</f>
        <v>67500</v>
      </c>
      <c r="O5" s="23" t="s">
        <v>106</v>
      </c>
      <c r="P5" s="26" t="n">
        <v>0.25</v>
      </c>
      <c r="Q5" s="23" t="s">
        <v>107</v>
      </c>
    </row>
    <row r="6" customFormat="false" ht="15" hidden="false" customHeight="false" outlineLevel="0" collapsed="false">
      <c r="A6" s="17" t="s">
        <v>108</v>
      </c>
      <c r="B6" s="18" t="n">
        <v>46299</v>
      </c>
      <c r="C6" s="17" t="s">
        <v>109</v>
      </c>
      <c r="D6" s="17" t="s">
        <v>101</v>
      </c>
      <c r="E6" s="18" t="n">
        <v>27573</v>
      </c>
      <c r="F6" s="17" t="s">
        <v>91</v>
      </c>
      <c r="G6" s="17" t="s">
        <v>96</v>
      </c>
      <c r="H6" s="19" t="n">
        <v>35000</v>
      </c>
      <c r="I6" s="20" t="n">
        <f aca="false">DATEDIF(E6,$P$2,"y")</f>
        <v>51</v>
      </c>
      <c r="J6" s="21" t="str">
        <f aca="false">IF(I6&lt;$P$3,"Anak",IF(I6&gt;=$P$4,"Lansia","Dewasa"))</f>
        <v>Dewasa</v>
      </c>
      <c r="K6" s="22" t="n">
        <f aca="false">VLOOKUP(F6,Acuan!$A$2:$B$5,2,FALSE())</f>
        <v>60000</v>
      </c>
      <c r="L6" s="22" t="n">
        <f aca="false">IF(G6="Asuransi",ROUND(K6*$P$5,0),0)</f>
        <v>15000</v>
      </c>
      <c r="M6" s="22" t="n">
        <f aca="false">K6-L6+H6</f>
        <v>80000</v>
      </c>
    </row>
    <row r="7" customFormat="false" ht="15" hidden="false" customHeight="false" outlineLevel="0" collapsed="false">
      <c r="A7" s="17" t="s">
        <v>110</v>
      </c>
      <c r="B7" s="18" t="n">
        <v>46299</v>
      </c>
      <c r="C7" s="17" t="s">
        <v>111</v>
      </c>
      <c r="D7" s="17" t="s">
        <v>101</v>
      </c>
      <c r="E7" s="18" t="n">
        <v>44264</v>
      </c>
      <c r="F7" s="17" t="s">
        <v>112</v>
      </c>
      <c r="G7" s="17" t="s">
        <v>91</v>
      </c>
      <c r="H7" s="19" t="n">
        <v>35000</v>
      </c>
      <c r="I7" s="20" t="n">
        <f aca="false">DATEDIF(E7,$P$2,"y")</f>
        <v>5</v>
      </c>
      <c r="J7" s="21" t="str">
        <f aca="false">IF(I7&lt;$P$3,"Anak",IF(I7&gt;=$P$4,"Lansia","Dewasa"))</f>
        <v>Anak</v>
      </c>
      <c r="K7" s="22" t="n">
        <f aca="false">VLOOKUP(F7,Acuan!$A$2:$B$5,2,FALSE())</f>
        <v>70000</v>
      </c>
      <c r="L7" s="22" t="n">
        <f aca="false">IF(G7="Asuransi",ROUND(K7*$P$5,0),0)</f>
        <v>0</v>
      </c>
      <c r="M7" s="22" t="n">
        <f aca="false">K7-L7+H7</f>
        <v>105000</v>
      </c>
    </row>
    <row r="8" customFormat="false" ht="15" hidden="false" customHeight="false" outlineLevel="0" collapsed="false">
      <c r="A8" s="17" t="s">
        <v>113</v>
      </c>
      <c r="B8" s="18" t="n">
        <v>46303</v>
      </c>
      <c r="C8" s="17" t="s">
        <v>114</v>
      </c>
      <c r="D8" s="17" t="s">
        <v>101</v>
      </c>
      <c r="E8" s="18" t="n">
        <v>37084</v>
      </c>
      <c r="F8" s="17" t="s">
        <v>91</v>
      </c>
      <c r="G8" s="17" t="s">
        <v>91</v>
      </c>
      <c r="H8" s="19" t="n">
        <v>110000</v>
      </c>
      <c r="I8" s="20" t="n">
        <f aca="false">DATEDIF(E8,$P$2,"y")</f>
        <v>25</v>
      </c>
      <c r="J8" s="21" t="str">
        <f aca="false">IF(I8&lt;$P$3,"Anak",IF(I8&gt;=$P$4,"Lansia","Dewasa"))</f>
        <v>Dewasa</v>
      </c>
      <c r="K8" s="22" t="n">
        <f aca="false">VLOOKUP(F8,Acuan!$A$2:$B$5,2,FALSE())</f>
        <v>60000</v>
      </c>
      <c r="L8" s="22" t="n">
        <f aca="false">IF(G8="Asuransi",ROUND(K8*$P$5,0),0)</f>
        <v>0</v>
      </c>
      <c r="M8" s="22" t="n">
        <f aca="false">K8-L8+H8</f>
        <v>170000</v>
      </c>
    </row>
    <row r="9" customFormat="false" ht="15" hidden="false" customHeight="false" outlineLevel="0" collapsed="false">
      <c r="A9" s="17" t="s">
        <v>115</v>
      </c>
      <c r="B9" s="18" t="n">
        <v>46304</v>
      </c>
      <c r="C9" s="17" t="s">
        <v>116</v>
      </c>
      <c r="D9" s="17" t="s">
        <v>89</v>
      </c>
      <c r="E9" s="18" t="n">
        <v>35308</v>
      </c>
      <c r="F9" s="17" t="s">
        <v>90</v>
      </c>
      <c r="G9" s="17" t="s">
        <v>91</v>
      </c>
      <c r="H9" s="19" t="n">
        <v>22000</v>
      </c>
      <c r="I9" s="20" t="n">
        <f aca="false">DATEDIF(E9,$P$2,"y")</f>
        <v>30</v>
      </c>
      <c r="J9" s="21" t="str">
        <f aca="false">IF(I9&lt;$P$3,"Anak",IF(I9&gt;=$P$4,"Lansia","Dewasa"))</f>
        <v>Dewasa</v>
      </c>
      <c r="K9" s="22" t="n">
        <f aca="false">VLOOKUP(F9,Acuan!$A$2:$B$5,2,FALSE())</f>
        <v>90000</v>
      </c>
      <c r="L9" s="22" t="n">
        <f aca="false">IF(G9="Asuransi",ROUND(K9*$P$5,0),0)</f>
        <v>0</v>
      </c>
      <c r="M9" s="22" t="n">
        <f aca="false">K9-L9+H9</f>
        <v>112000</v>
      </c>
    </row>
    <row r="10" customFormat="false" ht="15" hidden="false" customHeight="false" outlineLevel="0" collapsed="false">
      <c r="A10" s="17" t="s">
        <v>117</v>
      </c>
      <c r="B10" s="18" t="n">
        <v>46304</v>
      </c>
      <c r="C10" s="17" t="s">
        <v>118</v>
      </c>
      <c r="D10" s="17" t="s">
        <v>101</v>
      </c>
      <c r="E10" s="18" t="n">
        <v>31490</v>
      </c>
      <c r="F10" s="17" t="s">
        <v>91</v>
      </c>
      <c r="G10" s="17" t="s">
        <v>91</v>
      </c>
      <c r="H10" s="19" t="n">
        <v>85000</v>
      </c>
      <c r="I10" s="20" t="n">
        <f aca="false">DATEDIF(E10,$P$2,"y")</f>
        <v>40</v>
      </c>
      <c r="J10" s="21" t="str">
        <f aca="false">IF(I10&lt;$P$3,"Anak",IF(I10&gt;=$P$4,"Lansia","Dewasa"))</f>
        <v>Dewasa</v>
      </c>
      <c r="K10" s="22" t="n">
        <f aca="false">VLOOKUP(F10,Acuan!$A$2:$B$5,2,FALSE())</f>
        <v>60000</v>
      </c>
      <c r="L10" s="22" t="n">
        <f aca="false">IF(G10="Asuransi",ROUND(K10*$P$5,0),0)</f>
        <v>0</v>
      </c>
      <c r="M10" s="22" t="n">
        <f aca="false">K10-L10+H10</f>
        <v>145000</v>
      </c>
    </row>
    <row r="11" customFormat="false" ht="15" hidden="false" customHeight="false" outlineLevel="0" collapsed="false">
      <c r="A11" s="17" t="s">
        <v>119</v>
      </c>
      <c r="B11" s="18" t="n">
        <v>46304</v>
      </c>
      <c r="C11" s="17" t="s">
        <v>120</v>
      </c>
      <c r="D11" s="17" t="s">
        <v>101</v>
      </c>
      <c r="E11" s="18" t="n">
        <v>36196</v>
      </c>
      <c r="F11" s="17" t="s">
        <v>91</v>
      </c>
      <c r="G11" s="17" t="s">
        <v>91</v>
      </c>
      <c r="H11" s="19" t="n">
        <v>22000</v>
      </c>
      <c r="I11" s="20" t="n">
        <f aca="false">DATEDIF(E11,$P$2,"y")</f>
        <v>27</v>
      </c>
      <c r="J11" s="21" t="str">
        <f aca="false">IF(I11&lt;$P$3,"Anak",IF(I11&gt;=$P$4,"Lansia","Dewasa"))</f>
        <v>Dewasa</v>
      </c>
      <c r="K11" s="22" t="n">
        <f aca="false">VLOOKUP(F11,Acuan!$A$2:$B$5,2,FALSE())</f>
        <v>60000</v>
      </c>
      <c r="L11" s="22" t="n">
        <f aca="false">IF(G11="Asuransi",ROUND(K11*$P$5,0),0)</f>
        <v>0</v>
      </c>
      <c r="M11" s="22" t="n">
        <f aca="false">K11-L11+H11</f>
        <v>82000</v>
      </c>
    </row>
    <row r="12" customFormat="false" ht="15" hidden="false" customHeight="false" outlineLevel="0" collapsed="false">
      <c r="A12" s="17" t="s">
        <v>121</v>
      </c>
      <c r="B12" s="18" t="n">
        <v>46305</v>
      </c>
      <c r="C12" s="17" t="s">
        <v>122</v>
      </c>
      <c r="D12" s="17" t="s">
        <v>89</v>
      </c>
      <c r="E12" s="18" t="n">
        <v>40413</v>
      </c>
      <c r="F12" s="17" t="s">
        <v>91</v>
      </c>
      <c r="G12" s="17" t="s">
        <v>91</v>
      </c>
      <c r="H12" s="19" t="n">
        <v>85000</v>
      </c>
      <c r="I12" s="20" t="n">
        <f aca="false">DATEDIF(E12,$P$2,"y")</f>
        <v>16</v>
      </c>
      <c r="J12" s="21" t="str">
        <f aca="false">IF(I12&lt;$P$3,"Anak",IF(I12&gt;=$P$4,"Lansia","Dewasa"))</f>
        <v>Dewasa</v>
      </c>
      <c r="K12" s="22" t="n">
        <f aca="false">VLOOKUP(F12,Acuan!$A$2:$B$5,2,FALSE())</f>
        <v>60000</v>
      </c>
      <c r="L12" s="22" t="n">
        <f aca="false">IF(G12="Asuransi",ROUND(K12*$P$5,0),0)</f>
        <v>0</v>
      </c>
      <c r="M12" s="22" t="n">
        <f aca="false">K12-L12+H12</f>
        <v>145000</v>
      </c>
    </row>
    <row r="13" customFormat="false" ht="15" hidden="false" customHeight="false" outlineLevel="0" collapsed="false">
      <c r="A13" s="17" t="s">
        <v>123</v>
      </c>
      <c r="B13" s="18" t="n">
        <v>46305</v>
      </c>
      <c r="C13" s="17" t="s">
        <v>124</v>
      </c>
      <c r="D13" s="17" t="s">
        <v>89</v>
      </c>
      <c r="E13" s="18" t="n">
        <v>16448</v>
      </c>
      <c r="F13" s="17" t="s">
        <v>125</v>
      </c>
      <c r="G13" s="17" t="s">
        <v>96</v>
      </c>
      <c r="H13" s="19" t="n">
        <v>0</v>
      </c>
      <c r="I13" s="20" t="n">
        <f aca="false">DATEDIF(E13,$P$2,"y")</f>
        <v>81</v>
      </c>
      <c r="J13" s="21" t="str">
        <f aca="false">IF(I13&lt;$P$3,"Anak",IF(I13&gt;=$P$4,"Lansia","Dewasa"))</f>
        <v>Lansia</v>
      </c>
      <c r="K13" s="22" t="n">
        <f aca="false">VLOOKUP(F13,Acuan!$A$2:$B$5,2,FALSE())</f>
        <v>65000</v>
      </c>
      <c r="L13" s="22" t="n">
        <f aca="false">IF(G13="Asuransi",ROUND(K13*$P$5,0),0)</f>
        <v>16250</v>
      </c>
      <c r="M13" s="22" t="n">
        <f aca="false">K13-L13+H13</f>
        <v>48750</v>
      </c>
    </row>
    <row r="14" customFormat="false" ht="15" hidden="false" customHeight="false" outlineLevel="0" collapsed="false">
      <c r="A14" s="17" t="s">
        <v>126</v>
      </c>
      <c r="B14" s="18" t="n">
        <v>46308</v>
      </c>
      <c r="C14" s="17" t="s">
        <v>127</v>
      </c>
      <c r="D14" s="17" t="s">
        <v>89</v>
      </c>
      <c r="E14" s="18" t="n">
        <v>32185</v>
      </c>
      <c r="F14" s="17" t="s">
        <v>91</v>
      </c>
      <c r="G14" s="17" t="s">
        <v>96</v>
      </c>
      <c r="H14" s="19" t="n">
        <v>15000</v>
      </c>
      <c r="I14" s="20" t="n">
        <f aca="false">DATEDIF(E14,$P$2,"y")</f>
        <v>38</v>
      </c>
      <c r="J14" s="21" t="str">
        <f aca="false">IF(I14&lt;$P$3,"Anak",IF(I14&gt;=$P$4,"Lansia","Dewasa"))</f>
        <v>Dewasa</v>
      </c>
      <c r="K14" s="22" t="n">
        <f aca="false">VLOOKUP(F14,Acuan!$A$2:$B$5,2,FALSE())</f>
        <v>60000</v>
      </c>
      <c r="L14" s="22" t="n">
        <f aca="false">IF(G14="Asuransi",ROUND(K14*$P$5,0),0)</f>
        <v>15000</v>
      </c>
      <c r="M14" s="22" t="n">
        <f aca="false">K14-L14+H14</f>
        <v>60000</v>
      </c>
    </row>
    <row r="15" customFormat="false" ht="15" hidden="false" customHeight="false" outlineLevel="0" collapsed="false">
      <c r="A15" s="17" t="s">
        <v>128</v>
      </c>
      <c r="B15" s="18" t="n">
        <v>46308</v>
      </c>
      <c r="C15" s="17" t="s">
        <v>129</v>
      </c>
      <c r="D15" s="17" t="s">
        <v>89</v>
      </c>
      <c r="E15" s="18" t="n">
        <v>41136</v>
      </c>
      <c r="F15" s="17" t="s">
        <v>90</v>
      </c>
      <c r="G15" s="17" t="s">
        <v>91</v>
      </c>
      <c r="H15" s="19" t="n">
        <v>85000</v>
      </c>
      <c r="I15" s="20" t="n">
        <f aca="false">DATEDIF(E15,$P$2,"y")</f>
        <v>14</v>
      </c>
      <c r="J15" s="21" t="str">
        <f aca="false">IF(I15&lt;$P$3,"Anak",IF(I15&gt;=$P$4,"Lansia","Dewasa"))</f>
        <v>Dewasa</v>
      </c>
      <c r="K15" s="22" t="n">
        <f aca="false">VLOOKUP(F15,Acuan!$A$2:$B$5,2,FALSE())</f>
        <v>90000</v>
      </c>
      <c r="L15" s="22" t="n">
        <f aca="false">IF(G15="Asuransi",ROUND(K15*$P$5,0),0)</f>
        <v>0</v>
      </c>
      <c r="M15" s="22" t="n">
        <f aca="false">K15-L15+H15</f>
        <v>175000</v>
      </c>
    </row>
    <row r="16" customFormat="false" ht="15" hidden="false" customHeight="false" outlineLevel="0" collapsed="false">
      <c r="A16" s="17" t="s">
        <v>130</v>
      </c>
      <c r="B16" s="18" t="n">
        <v>46309</v>
      </c>
      <c r="C16" s="17" t="s">
        <v>131</v>
      </c>
      <c r="D16" s="17" t="s">
        <v>89</v>
      </c>
      <c r="E16" s="18" t="n">
        <v>30567</v>
      </c>
      <c r="F16" s="17" t="s">
        <v>91</v>
      </c>
      <c r="G16" s="17" t="s">
        <v>96</v>
      </c>
      <c r="H16" s="19" t="n">
        <v>22000</v>
      </c>
      <c r="I16" s="20" t="n">
        <f aca="false">DATEDIF(E16,$P$2,"y")</f>
        <v>43</v>
      </c>
      <c r="J16" s="21" t="str">
        <f aca="false">IF(I16&lt;$P$3,"Anak",IF(I16&gt;=$P$4,"Lansia","Dewasa"))</f>
        <v>Dewasa</v>
      </c>
      <c r="K16" s="22" t="n">
        <f aca="false">VLOOKUP(F16,Acuan!$A$2:$B$5,2,FALSE())</f>
        <v>60000</v>
      </c>
      <c r="L16" s="22" t="n">
        <f aca="false">IF(G16="Asuransi",ROUND(K16*$P$5,0),0)</f>
        <v>15000</v>
      </c>
      <c r="M16" s="22" t="n">
        <f aca="false">K16-L16+H16</f>
        <v>67000</v>
      </c>
    </row>
    <row r="17" customFormat="false" ht="15" hidden="false" customHeight="false" outlineLevel="0" collapsed="false">
      <c r="A17" s="17" t="s">
        <v>132</v>
      </c>
      <c r="B17" s="18" t="n">
        <v>46309</v>
      </c>
      <c r="C17" s="17" t="s">
        <v>133</v>
      </c>
      <c r="D17" s="17" t="s">
        <v>101</v>
      </c>
      <c r="E17" s="18" t="n">
        <v>39828</v>
      </c>
      <c r="F17" s="17" t="s">
        <v>91</v>
      </c>
      <c r="G17" s="17" t="s">
        <v>96</v>
      </c>
      <c r="H17" s="19" t="n">
        <v>0</v>
      </c>
      <c r="I17" s="20" t="n">
        <f aca="false">DATEDIF(E17,$P$2,"y")</f>
        <v>17</v>
      </c>
      <c r="J17" s="21" t="str">
        <f aca="false">IF(I17&lt;$P$3,"Anak",IF(I17&gt;=$P$4,"Lansia","Dewasa"))</f>
        <v>Dewasa</v>
      </c>
      <c r="K17" s="22" t="n">
        <f aca="false">VLOOKUP(F17,Acuan!$A$2:$B$5,2,FALSE())</f>
        <v>60000</v>
      </c>
      <c r="L17" s="22" t="n">
        <f aca="false">IF(G17="Asuransi",ROUND(K17*$P$5,0),0)</f>
        <v>15000</v>
      </c>
      <c r="M17" s="22" t="n">
        <f aca="false">K17-L17+H17</f>
        <v>45000</v>
      </c>
    </row>
    <row r="18" customFormat="false" ht="15" hidden="false" customHeight="false" outlineLevel="0" collapsed="false">
      <c r="A18" s="17" t="s">
        <v>134</v>
      </c>
      <c r="B18" s="18" t="n">
        <v>46309</v>
      </c>
      <c r="C18" s="17" t="s">
        <v>135</v>
      </c>
      <c r="D18" s="17" t="s">
        <v>89</v>
      </c>
      <c r="E18" s="18" t="n">
        <v>45552</v>
      </c>
      <c r="F18" s="17" t="s">
        <v>112</v>
      </c>
      <c r="G18" s="17" t="s">
        <v>91</v>
      </c>
      <c r="H18" s="19" t="n">
        <v>85000</v>
      </c>
      <c r="I18" s="20" t="n">
        <f aca="false">DATEDIF(E18,$P$2,"y")</f>
        <v>2</v>
      </c>
      <c r="J18" s="21" t="str">
        <f aca="false">IF(I18&lt;$P$3,"Anak",IF(I18&gt;=$P$4,"Lansia","Dewasa"))</f>
        <v>Anak</v>
      </c>
      <c r="K18" s="22" t="n">
        <f aca="false">VLOOKUP(F18,Acuan!$A$2:$B$5,2,FALSE())</f>
        <v>70000</v>
      </c>
      <c r="L18" s="22" t="n">
        <f aca="false">IF(G18="Asuransi",ROUND(K18*$P$5,0),0)</f>
        <v>0</v>
      </c>
      <c r="M18" s="22" t="n">
        <f aca="false">K18-L18+H18</f>
        <v>155000</v>
      </c>
    </row>
    <row r="19" customFormat="false" ht="15" hidden="false" customHeight="false" outlineLevel="0" collapsed="false">
      <c r="A19" s="17" t="s">
        <v>136</v>
      </c>
      <c r="B19" s="18" t="n">
        <v>46311</v>
      </c>
      <c r="C19" s="17" t="s">
        <v>137</v>
      </c>
      <c r="D19" s="17" t="s">
        <v>101</v>
      </c>
      <c r="E19" s="18" t="n">
        <v>37866</v>
      </c>
      <c r="F19" s="17" t="s">
        <v>90</v>
      </c>
      <c r="G19" s="17" t="s">
        <v>96</v>
      </c>
      <c r="H19" s="19" t="n">
        <v>48000</v>
      </c>
      <c r="I19" s="20" t="n">
        <f aca="false">DATEDIF(E19,$P$2,"y")</f>
        <v>23</v>
      </c>
      <c r="J19" s="21" t="str">
        <f aca="false">IF(I19&lt;$P$3,"Anak",IF(I19&gt;=$P$4,"Lansia","Dewasa"))</f>
        <v>Dewasa</v>
      </c>
      <c r="K19" s="22" t="n">
        <f aca="false">VLOOKUP(F19,Acuan!$A$2:$B$5,2,FALSE())</f>
        <v>90000</v>
      </c>
      <c r="L19" s="22" t="n">
        <f aca="false">IF(G19="Asuransi",ROUND(K19*$P$5,0),0)</f>
        <v>22500</v>
      </c>
      <c r="M19" s="22" t="n">
        <f aca="false">K19-L19+H19</f>
        <v>115500</v>
      </c>
    </row>
    <row r="20" customFormat="false" ht="15" hidden="false" customHeight="false" outlineLevel="0" collapsed="false">
      <c r="A20" s="17" t="s">
        <v>138</v>
      </c>
      <c r="B20" s="18" t="n">
        <v>46311</v>
      </c>
      <c r="C20" s="17" t="s">
        <v>139</v>
      </c>
      <c r="D20" s="17" t="s">
        <v>101</v>
      </c>
      <c r="E20" s="18" t="n">
        <v>39631</v>
      </c>
      <c r="F20" s="17" t="s">
        <v>90</v>
      </c>
      <c r="G20" s="17" t="s">
        <v>91</v>
      </c>
      <c r="H20" s="19" t="n">
        <v>0</v>
      </c>
      <c r="I20" s="20" t="n">
        <f aca="false">DATEDIF(E20,$P$2,"y")</f>
        <v>18</v>
      </c>
      <c r="J20" s="21" t="str">
        <f aca="false">IF(I20&lt;$P$3,"Anak",IF(I20&gt;=$P$4,"Lansia","Dewasa"))</f>
        <v>Dewasa</v>
      </c>
      <c r="K20" s="22" t="n">
        <f aca="false">VLOOKUP(F20,Acuan!$A$2:$B$5,2,FALSE())</f>
        <v>90000</v>
      </c>
      <c r="L20" s="22" t="n">
        <f aca="false">IF(G20="Asuransi",ROUND(K20*$P$5,0),0)</f>
        <v>0</v>
      </c>
      <c r="M20" s="22" t="n">
        <f aca="false">K20-L20+H20</f>
        <v>90000</v>
      </c>
    </row>
    <row r="21" customFormat="false" ht="15" hidden="false" customHeight="false" outlineLevel="0" collapsed="false">
      <c r="A21" s="17" t="s">
        <v>140</v>
      </c>
      <c r="B21" s="18" t="n">
        <v>46312</v>
      </c>
      <c r="C21" s="17" t="s">
        <v>141</v>
      </c>
      <c r="D21" s="17" t="s">
        <v>101</v>
      </c>
      <c r="E21" s="18" t="n">
        <v>44401</v>
      </c>
      <c r="F21" s="17" t="s">
        <v>112</v>
      </c>
      <c r="G21" s="17" t="s">
        <v>91</v>
      </c>
      <c r="H21" s="19" t="n">
        <v>85000</v>
      </c>
      <c r="I21" s="20" t="n">
        <f aca="false">DATEDIF(E21,$P$2,"y")</f>
        <v>5</v>
      </c>
      <c r="J21" s="21" t="str">
        <f aca="false">IF(I21&lt;$P$3,"Anak",IF(I21&gt;=$P$4,"Lansia","Dewasa"))</f>
        <v>Anak</v>
      </c>
      <c r="K21" s="22" t="n">
        <f aca="false">VLOOKUP(F21,Acuan!$A$2:$B$5,2,FALSE())</f>
        <v>70000</v>
      </c>
      <c r="L21" s="22" t="n">
        <f aca="false">IF(G21="Asuransi",ROUND(K21*$P$5,0),0)</f>
        <v>0</v>
      </c>
      <c r="M21" s="22" t="n">
        <f aca="false">K21-L21+H21</f>
        <v>155000</v>
      </c>
    </row>
    <row r="22" customFormat="false" ht="15" hidden="false" customHeight="false" outlineLevel="0" collapsed="false">
      <c r="A22" s="17" t="s">
        <v>142</v>
      </c>
      <c r="B22" s="18" t="n">
        <v>46312</v>
      </c>
      <c r="C22" s="17" t="s">
        <v>143</v>
      </c>
      <c r="D22" s="17" t="s">
        <v>101</v>
      </c>
      <c r="E22" s="18" t="n">
        <v>35530</v>
      </c>
      <c r="F22" s="17" t="s">
        <v>91</v>
      </c>
      <c r="G22" s="17" t="s">
        <v>96</v>
      </c>
      <c r="H22" s="19" t="n">
        <v>15000</v>
      </c>
      <c r="I22" s="20" t="n">
        <f aca="false">DATEDIF(E22,$P$2,"y")</f>
        <v>29</v>
      </c>
      <c r="J22" s="21" t="str">
        <f aca="false">IF(I22&lt;$P$3,"Anak",IF(I22&gt;=$P$4,"Lansia","Dewasa"))</f>
        <v>Dewasa</v>
      </c>
      <c r="K22" s="22" t="n">
        <f aca="false">VLOOKUP(F22,Acuan!$A$2:$B$5,2,FALSE())</f>
        <v>60000</v>
      </c>
      <c r="L22" s="22" t="n">
        <f aca="false">IF(G22="Asuransi",ROUND(K22*$P$5,0),0)</f>
        <v>15000</v>
      </c>
      <c r="M22" s="22" t="n">
        <f aca="false">K22-L22+H22</f>
        <v>60000</v>
      </c>
    </row>
    <row r="23" customFormat="false" ht="15" hidden="false" customHeight="false" outlineLevel="0" collapsed="false">
      <c r="A23" s="17" t="s">
        <v>144</v>
      </c>
      <c r="B23" s="18" t="n">
        <v>46314</v>
      </c>
      <c r="C23" s="17" t="s">
        <v>145</v>
      </c>
      <c r="D23" s="17" t="s">
        <v>89</v>
      </c>
      <c r="E23" s="18" t="n">
        <v>29475</v>
      </c>
      <c r="F23" s="17" t="s">
        <v>90</v>
      </c>
      <c r="G23" s="17" t="s">
        <v>96</v>
      </c>
      <c r="H23" s="19" t="n">
        <v>0</v>
      </c>
      <c r="I23" s="20" t="n">
        <f aca="false">DATEDIF(E23,$P$2,"y")</f>
        <v>46</v>
      </c>
      <c r="J23" s="21" t="str">
        <f aca="false">IF(I23&lt;$P$3,"Anak",IF(I23&gt;=$P$4,"Lansia","Dewasa"))</f>
        <v>Dewasa</v>
      </c>
      <c r="K23" s="22" t="n">
        <f aca="false">VLOOKUP(F23,Acuan!$A$2:$B$5,2,FALSE())</f>
        <v>90000</v>
      </c>
      <c r="L23" s="22" t="n">
        <f aca="false">IF(G23="Asuransi",ROUND(K23*$P$5,0),0)</f>
        <v>22500</v>
      </c>
      <c r="M23" s="22" t="n">
        <f aca="false">K23-L23+H23</f>
        <v>67500</v>
      </c>
    </row>
    <row r="24" customFormat="false" ht="15" hidden="false" customHeight="false" outlineLevel="0" collapsed="false">
      <c r="A24" s="17" t="s">
        <v>146</v>
      </c>
      <c r="B24" s="18" t="n">
        <v>46314</v>
      </c>
      <c r="C24" s="17" t="s">
        <v>147</v>
      </c>
      <c r="D24" s="17" t="s">
        <v>101</v>
      </c>
      <c r="E24" s="18" t="n">
        <v>19855</v>
      </c>
      <c r="F24" s="17" t="s">
        <v>125</v>
      </c>
      <c r="G24" s="17" t="s">
        <v>91</v>
      </c>
      <c r="H24" s="19" t="n">
        <v>35000</v>
      </c>
      <c r="I24" s="20" t="n">
        <f aca="false">DATEDIF(E24,$P$2,"y")</f>
        <v>72</v>
      </c>
      <c r="J24" s="21" t="str">
        <f aca="false">IF(I24&lt;$P$3,"Anak",IF(I24&gt;=$P$4,"Lansia","Dewasa"))</f>
        <v>Lansia</v>
      </c>
      <c r="K24" s="22" t="n">
        <f aca="false">VLOOKUP(F24,Acuan!$A$2:$B$5,2,FALSE())</f>
        <v>65000</v>
      </c>
      <c r="L24" s="22" t="n">
        <f aca="false">IF(G24="Asuransi",ROUND(K24*$P$5,0),0)</f>
        <v>0</v>
      </c>
      <c r="M24" s="22" t="n">
        <f aca="false">K24-L24+H24</f>
        <v>100000</v>
      </c>
    </row>
    <row r="25" customFormat="false" ht="15" hidden="false" customHeight="false" outlineLevel="0" collapsed="false">
      <c r="A25" s="17" t="s">
        <v>148</v>
      </c>
      <c r="B25" s="18" t="n">
        <v>46315</v>
      </c>
      <c r="C25" s="17" t="s">
        <v>149</v>
      </c>
      <c r="D25" s="17" t="s">
        <v>89</v>
      </c>
      <c r="E25" s="18" t="n">
        <v>42645</v>
      </c>
      <c r="F25" s="17" t="s">
        <v>112</v>
      </c>
      <c r="G25" s="17" t="s">
        <v>96</v>
      </c>
      <c r="H25" s="19" t="n">
        <v>48000</v>
      </c>
      <c r="I25" s="20" t="n">
        <f aca="false">DATEDIF(E25,$P$2,"y")</f>
        <v>10</v>
      </c>
      <c r="J25" s="21" t="str">
        <f aca="false">IF(I25&lt;$P$3,"Anak",IF(I25&gt;=$P$4,"Lansia","Dewasa"))</f>
        <v>Anak</v>
      </c>
      <c r="K25" s="22" t="n">
        <f aca="false">VLOOKUP(F25,Acuan!$A$2:$B$5,2,FALSE())</f>
        <v>70000</v>
      </c>
      <c r="L25" s="22" t="n">
        <f aca="false">IF(G25="Asuransi",ROUND(K25*$P$5,0),0)</f>
        <v>17500</v>
      </c>
      <c r="M25" s="22" t="n">
        <f aca="false">K25-L25+H25</f>
        <v>100500</v>
      </c>
    </row>
    <row r="26" customFormat="false" ht="15" hidden="false" customHeight="false" outlineLevel="0" collapsed="false">
      <c r="A26" s="17" t="s">
        <v>150</v>
      </c>
      <c r="B26" s="18" t="n">
        <v>46315</v>
      </c>
      <c r="C26" s="17" t="s">
        <v>151</v>
      </c>
      <c r="D26" s="17" t="s">
        <v>101</v>
      </c>
      <c r="E26" s="18" t="n">
        <v>23806</v>
      </c>
      <c r="F26" s="17" t="s">
        <v>91</v>
      </c>
      <c r="G26" s="17" t="s">
        <v>91</v>
      </c>
      <c r="H26" s="19" t="n">
        <v>85000</v>
      </c>
      <c r="I26" s="20" t="n">
        <f aca="false">DATEDIF(E26,$P$2,"y")</f>
        <v>61</v>
      </c>
      <c r="J26" s="21" t="str">
        <f aca="false">IF(I26&lt;$P$3,"Anak",IF(I26&gt;=$P$4,"Lansia","Dewasa"))</f>
        <v>Lansia</v>
      </c>
      <c r="K26" s="22" t="n">
        <f aca="false">VLOOKUP(F26,Acuan!$A$2:$B$5,2,FALSE())</f>
        <v>60000</v>
      </c>
      <c r="L26" s="22" t="n">
        <f aca="false">IF(G26="Asuransi",ROUND(K26*$P$5,0),0)</f>
        <v>0</v>
      </c>
      <c r="M26" s="22" t="n">
        <f aca="false">K26-L26+H26</f>
        <v>145000</v>
      </c>
    </row>
    <row r="27" customFormat="false" ht="15" hidden="false" customHeight="false" outlineLevel="0" collapsed="false">
      <c r="A27" s="17" t="s">
        <v>152</v>
      </c>
      <c r="B27" s="18" t="n">
        <v>46315</v>
      </c>
      <c r="C27" s="17" t="s">
        <v>153</v>
      </c>
      <c r="D27" s="17" t="s">
        <v>89</v>
      </c>
      <c r="E27" s="18" t="n">
        <v>44023</v>
      </c>
      <c r="F27" s="17" t="s">
        <v>112</v>
      </c>
      <c r="G27" s="17" t="s">
        <v>96</v>
      </c>
      <c r="H27" s="19" t="n">
        <v>0</v>
      </c>
      <c r="I27" s="20" t="n">
        <f aca="false">DATEDIF(E27,$P$2,"y")</f>
        <v>6</v>
      </c>
      <c r="J27" s="21" t="str">
        <f aca="false">IF(I27&lt;$P$3,"Anak",IF(I27&gt;=$P$4,"Lansia","Dewasa"))</f>
        <v>Anak</v>
      </c>
      <c r="K27" s="22" t="n">
        <f aca="false">VLOOKUP(F27,Acuan!$A$2:$B$5,2,FALSE())</f>
        <v>70000</v>
      </c>
      <c r="L27" s="22" t="n">
        <f aca="false">IF(G27="Asuransi",ROUND(K27*$P$5,0),0)</f>
        <v>17500</v>
      </c>
      <c r="M27" s="22" t="n">
        <f aca="false">K27-L27+H27</f>
        <v>52500</v>
      </c>
    </row>
    <row r="28" customFormat="false" ht="15" hidden="false" customHeight="false" outlineLevel="0" collapsed="false">
      <c r="A28" s="17" t="s">
        <v>154</v>
      </c>
      <c r="B28" s="18" t="n">
        <v>46316</v>
      </c>
      <c r="C28" s="17" t="s">
        <v>155</v>
      </c>
      <c r="D28" s="17" t="s">
        <v>101</v>
      </c>
      <c r="E28" s="18" t="n">
        <v>35434</v>
      </c>
      <c r="F28" s="17" t="s">
        <v>91</v>
      </c>
      <c r="G28" s="17" t="s">
        <v>96</v>
      </c>
      <c r="H28" s="19" t="n">
        <v>22000</v>
      </c>
      <c r="I28" s="20" t="n">
        <f aca="false">DATEDIF(E28,$P$2,"y")</f>
        <v>29</v>
      </c>
      <c r="J28" s="21" t="str">
        <f aca="false">IF(I28&lt;$P$3,"Anak",IF(I28&gt;=$P$4,"Lansia","Dewasa"))</f>
        <v>Dewasa</v>
      </c>
      <c r="K28" s="22" t="n">
        <f aca="false">VLOOKUP(F28,Acuan!$A$2:$B$5,2,FALSE())</f>
        <v>60000</v>
      </c>
      <c r="L28" s="22" t="n">
        <f aca="false">IF(G28="Asuransi",ROUND(K28*$P$5,0),0)</f>
        <v>15000</v>
      </c>
      <c r="M28" s="22" t="n">
        <f aca="false">K28-L28+H28</f>
        <v>67000</v>
      </c>
    </row>
    <row r="29" customFormat="false" ht="15" hidden="false" customHeight="false" outlineLevel="0" collapsed="false">
      <c r="A29" s="17" t="s">
        <v>156</v>
      </c>
      <c r="B29" s="18" t="n">
        <v>46317</v>
      </c>
      <c r="C29" s="17" t="s">
        <v>157</v>
      </c>
      <c r="D29" s="17" t="s">
        <v>101</v>
      </c>
      <c r="E29" s="18" t="n">
        <v>29783</v>
      </c>
      <c r="F29" s="17" t="s">
        <v>91</v>
      </c>
      <c r="G29" s="17" t="s">
        <v>96</v>
      </c>
      <c r="H29" s="19" t="n">
        <v>0</v>
      </c>
      <c r="I29" s="20" t="n">
        <f aca="false">DATEDIF(E29,$P$2,"y")</f>
        <v>45</v>
      </c>
      <c r="J29" s="21" t="str">
        <f aca="false">IF(I29&lt;$P$3,"Anak",IF(I29&gt;=$P$4,"Lansia","Dewasa"))</f>
        <v>Dewasa</v>
      </c>
      <c r="K29" s="22" t="n">
        <f aca="false">VLOOKUP(F29,Acuan!$A$2:$B$5,2,FALSE())</f>
        <v>60000</v>
      </c>
      <c r="L29" s="22" t="n">
        <f aca="false">IF(G29="Asuransi",ROUND(K29*$P$5,0),0)</f>
        <v>15000</v>
      </c>
      <c r="M29" s="22" t="n">
        <f aca="false">K29-L29+H29</f>
        <v>45000</v>
      </c>
    </row>
    <row r="30" customFormat="false" ht="15" hidden="false" customHeight="false" outlineLevel="0" collapsed="false">
      <c r="A30" s="17" t="s">
        <v>158</v>
      </c>
      <c r="B30" s="18" t="n">
        <v>46319</v>
      </c>
      <c r="C30" s="17" t="s">
        <v>159</v>
      </c>
      <c r="D30" s="17" t="s">
        <v>101</v>
      </c>
      <c r="E30" s="18" t="n">
        <v>21819</v>
      </c>
      <c r="F30" s="17" t="s">
        <v>90</v>
      </c>
      <c r="G30" s="17" t="s">
        <v>91</v>
      </c>
      <c r="H30" s="19" t="n">
        <v>22000</v>
      </c>
      <c r="I30" s="20" t="n">
        <f aca="false">DATEDIF(E30,$P$2,"y")</f>
        <v>67</v>
      </c>
      <c r="J30" s="21" t="str">
        <f aca="false">IF(I30&lt;$P$3,"Anak",IF(I30&gt;=$P$4,"Lansia","Dewasa"))</f>
        <v>Lansia</v>
      </c>
      <c r="K30" s="22" t="n">
        <f aca="false">VLOOKUP(F30,Acuan!$A$2:$B$5,2,FALSE())</f>
        <v>90000</v>
      </c>
      <c r="L30" s="22" t="n">
        <f aca="false">IF(G30="Asuransi",ROUND(K30*$P$5,0),0)</f>
        <v>0</v>
      </c>
      <c r="M30" s="22" t="n">
        <f aca="false">K30-L30+H30</f>
        <v>112000</v>
      </c>
    </row>
    <row r="31" customFormat="false" ht="15" hidden="false" customHeight="false" outlineLevel="0" collapsed="false">
      <c r="A31" s="17" t="s">
        <v>160</v>
      </c>
      <c r="B31" s="18" t="n">
        <v>46319</v>
      </c>
      <c r="C31" s="17" t="s">
        <v>161</v>
      </c>
      <c r="D31" s="17" t="s">
        <v>89</v>
      </c>
      <c r="E31" s="18" t="n">
        <v>27397</v>
      </c>
      <c r="F31" s="17" t="s">
        <v>90</v>
      </c>
      <c r="G31" s="17" t="s">
        <v>96</v>
      </c>
      <c r="H31" s="19" t="n">
        <v>0</v>
      </c>
      <c r="I31" s="20" t="n">
        <f aca="false">DATEDIF(E31,$P$2,"y")</f>
        <v>51</v>
      </c>
      <c r="J31" s="21" t="str">
        <f aca="false">IF(I31&lt;$P$3,"Anak",IF(I31&gt;=$P$4,"Lansia","Dewasa"))</f>
        <v>Dewasa</v>
      </c>
      <c r="K31" s="22" t="n">
        <f aca="false">VLOOKUP(F31,Acuan!$A$2:$B$5,2,FALSE())</f>
        <v>90000</v>
      </c>
      <c r="L31" s="22" t="n">
        <f aca="false">IF(G31="Asuransi",ROUND(K31*$P$5,0),0)</f>
        <v>22500</v>
      </c>
      <c r="M31" s="22" t="n">
        <f aca="false">K31-L31+H31</f>
        <v>67500</v>
      </c>
    </row>
    <row r="32" customFormat="false" ht="15" hidden="false" customHeight="false" outlineLevel="0" collapsed="false">
      <c r="A32" s="17" t="s">
        <v>162</v>
      </c>
      <c r="B32" s="18" t="n">
        <v>46319</v>
      </c>
      <c r="C32" s="17" t="s">
        <v>163</v>
      </c>
      <c r="D32" s="17" t="s">
        <v>89</v>
      </c>
      <c r="E32" s="18" t="n">
        <v>25227</v>
      </c>
      <c r="F32" s="17" t="s">
        <v>91</v>
      </c>
      <c r="G32" s="17" t="s">
        <v>91</v>
      </c>
      <c r="H32" s="19" t="n">
        <v>22000</v>
      </c>
      <c r="I32" s="20" t="n">
        <f aca="false">DATEDIF(E32,$P$2,"y")</f>
        <v>57</v>
      </c>
      <c r="J32" s="21" t="str">
        <f aca="false">IF(I32&lt;$P$3,"Anak",IF(I32&gt;=$P$4,"Lansia","Dewasa"))</f>
        <v>Dewasa</v>
      </c>
      <c r="K32" s="22" t="n">
        <f aca="false">VLOOKUP(F32,Acuan!$A$2:$B$5,2,FALSE())</f>
        <v>60000</v>
      </c>
      <c r="L32" s="22" t="n">
        <f aca="false">IF(G32="Asuransi",ROUND(K32*$P$5,0),0)</f>
        <v>0</v>
      </c>
      <c r="M32" s="22" t="n">
        <f aca="false">K32-L32+H32</f>
        <v>82000</v>
      </c>
    </row>
    <row r="33" customFormat="false" ht="15" hidden="false" customHeight="false" outlineLevel="0" collapsed="false">
      <c r="A33" s="17" t="s">
        <v>164</v>
      </c>
      <c r="B33" s="18" t="n">
        <v>46320</v>
      </c>
      <c r="C33" s="17" t="s">
        <v>165</v>
      </c>
      <c r="D33" s="17" t="s">
        <v>89</v>
      </c>
      <c r="E33" s="18" t="n">
        <v>17941</v>
      </c>
      <c r="F33" s="17" t="s">
        <v>125</v>
      </c>
      <c r="G33" s="17" t="s">
        <v>91</v>
      </c>
      <c r="H33" s="19" t="n">
        <v>15000</v>
      </c>
      <c r="I33" s="20" t="n">
        <f aca="false">DATEDIF(E33,$P$2,"y")</f>
        <v>77</v>
      </c>
      <c r="J33" s="21" t="str">
        <f aca="false">IF(I33&lt;$P$3,"Anak",IF(I33&gt;=$P$4,"Lansia","Dewasa"))</f>
        <v>Lansia</v>
      </c>
      <c r="K33" s="22" t="n">
        <f aca="false">VLOOKUP(F33,Acuan!$A$2:$B$5,2,FALSE())</f>
        <v>65000</v>
      </c>
      <c r="L33" s="22" t="n">
        <f aca="false">IF(G33="Asuransi",ROUND(K33*$P$5,0),0)</f>
        <v>0</v>
      </c>
      <c r="M33" s="22" t="n">
        <f aca="false">K33-L33+H33</f>
        <v>80000</v>
      </c>
    </row>
    <row r="34" customFormat="false" ht="15" hidden="false" customHeight="false" outlineLevel="0" collapsed="false">
      <c r="A34" s="17" t="s">
        <v>166</v>
      </c>
      <c r="B34" s="18" t="n">
        <v>46322</v>
      </c>
      <c r="C34" s="17" t="s">
        <v>167</v>
      </c>
      <c r="D34" s="17" t="s">
        <v>101</v>
      </c>
      <c r="E34" s="18" t="n">
        <v>28895</v>
      </c>
      <c r="F34" s="17" t="s">
        <v>91</v>
      </c>
      <c r="G34" s="17" t="s">
        <v>91</v>
      </c>
      <c r="H34" s="19" t="n">
        <v>48000</v>
      </c>
      <c r="I34" s="20" t="n">
        <f aca="false">DATEDIF(E34,$P$2,"y")</f>
        <v>47</v>
      </c>
      <c r="J34" s="21" t="str">
        <f aca="false">IF(I34&lt;$P$3,"Anak",IF(I34&gt;=$P$4,"Lansia","Dewasa"))</f>
        <v>Dewasa</v>
      </c>
      <c r="K34" s="22" t="n">
        <f aca="false">VLOOKUP(F34,Acuan!$A$2:$B$5,2,FALSE())</f>
        <v>60000</v>
      </c>
      <c r="L34" s="22" t="n">
        <f aca="false">IF(G34="Asuransi",ROUND(K34*$P$5,0),0)</f>
        <v>0</v>
      </c>
      <c r="M34" s="22" t="n">
        <f aca="false">K34-L34+H34</f>
        <v>108000</v>
      </c>
    </row>
    <row r="35" customFormat="false" ht="15" hidden="false" customHeight="false" outlineLevel="0" collapsed="false">
      <c r="A35" s="17" t="s">
        <v>168</v>
      </c>
      <c r="B35" s="18" t="n">
        <v>46323</v>
      </c>
      <c r="C35" s="17" t="s">
        <v>169</v>
      </c>
      <c r="D35" s="17" t="s">
        <v>101</v>
      </c>
      <c r="E35" s="18" t="n">
        <v>42595</v>
      </c>
      <c r="F35" s="17" t="s">
        <v>90</v>
      </c>
      <c r="G35" s="17" t="s">
        <v>96</v>
      </c>
      <c r="H35" s="19" t="n">
        <v>22000</v>
      </c>
      <c r="I35" s="20" t="n">
        <f aca="false">DATEDIF(E35,$P$2,"y")</f>
        <v>10</v>
      </c>
      <c r="J35" s="21" t="str">
        <f aca="false">IF(I35&lt;$P$3,"Anak",IF(I35&gt;=$P$4,"Lansia","Dewasa"))</f>
        <v>Anak</v>
      </c>
      <c r="K35" s="22" t="n">
        <f aca="false">VLOOKUP(F35,Acuan!$A$2:$B$5,2,FALSE())</f>
        <v>90000</v>
      </c>
      <c r="L35" s="22" t="n">
        <f aca="false">IF(G35="Asuransi",ROUND(K35*$P$5,0),0)</f>
        <v>22500</v>
      </c>
      <c r="M35" s="22" t="n">
        <f aca="false">K35-L35+H35</f>
        <v>89500</v>
      </c>
    </row>
    <row r="36" customFormat="false" ht="15" hidden="false" customHeight="false" outlineLevel="0" collapsed="false">
      <c r="A36" s="17" t="s">
        <v>170</v>
      </c>
      <c r="B36" s="18" t="n">
        <v>46324</v>
      </c>
      <c r="C36" s="17" t="s">
        <v>171</v>
      </c>
      <c r="D36" s="17" t="s">
        <v>89</v>
      </c>
      <c r="E36" s="18" t="n">
        <v>34702</v>
      </c>
      <c r="F36" s="17" t="s">
        <v>91</v>
      </c>
      <c r="G36" s="17" t="s">
        <v>96</v>
      </c>
      <c r="H36" s="19" t="n">
        <v>35000</v>
      </c>
      <c r="I36" s="20" t="n">
        <f aca="false">DATEDIF(E36,$P$2,"y")</f>
        <v>31</v>
      </c>
      <c r="J36" s="21" t="str">
        <f aca="false">IF(I36&lt;$P$3,"Anak",IF(I36&gt;=$P$4,"Lansia","Dewasa"))</f>
        <v>Dewasa</v>
      </c>
      <c r="K36" s="22" t="n">
        <f aca="false">VLOOKUP(F36,Acuan!$A$2:$B$5,2,FALSE())</f>
        <v>60000</v>
      </c>
      <c r="L36" s="22" t="n">
        <f aca="false">IF(G36="Asuransi",ROUND(K36*$P$5,0),0)</f>
        <v>15000</v>
      </c>
      <c r="M36" s="22" t="n">
        <f aca="false">K36-L36+H36</f>
        <v>80000</v>
      </c>
    </row>
    <row r="37" customFormat="false" ht="15" hidden="false" customHeight="false" outlineLevel="0" collapsed="false">
      <c r="A37" s="17" t="s">
        <v>172</v>
      </c>
      <c r="B37" s="18" t="n">
        <v>46325</v>
      </c>
      <c r="C37" s="17" t="s">
        <v>173</v>
      </c>
      <c r="D37" s="17" t="s">
        <v>89</v>
      </c>
      <c r="E37" s="18" t="n">
        <v>28998</v>
      </c>
      <c r="F37" s="17" t="s">
        <v>91</v>
      </c>
      <c r="G37" s="17" t="s">
        <v>91</v>
      </c>
      <c r="H37" s="19" t="n">
        <v>15000</v>
      </c>
      <c r="I37" s="20" t="n">
        <f aca="false">DATEDIF(E37,$P$2,"y")</f>
        <v>47</v>
      </c>
      <c r="J37" s="21" t="str">
        <f aca="false">IF(I37&lt;$P$3,"Anak",IF(I37&gt;=$P$4,"Lansia","Dewasa"))</f>
        <v>Dewasa</v>
      </c>
      <c r="K37" s="22" t="n">
        <f aca="false">VLOOKUP(F37,Acuan!$A$2:$B$5,2,FALSE())</f>
        <v>60000</v>
      </c>
      <c r="L37" s="22" t="n">
        <f aca="false">IF(G37="Asuransi",ROUND(K37*$P$5,0),0)</f>
        <v>0</v>
      </c>
      <c r="M37" s="22" t="n">
        <f aca="false">K37-L37+H37</f>
        <v>75000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4" min="4" style="0" width="13"/>
    <col collapsed="false" customWidth="true" hidden="false" outlineLevel="0" max="5" min="5" style="0" width="16"/>
  </cols>
  <sheetData>
    <row r="1" customFormat="false" ht="33.75" hidden="false" customHeight="true" outlineLevel="0" collapsed="false">
      <c r="A1" s="11" t="s">
        <v>76</v>
      </c>
      <c r="B1" s="11" t="s">
        <v>81</v>
      </c>
      <c r="C1" s="15" t="s">
        <v>174</v>
      </c>
      <c r="D1" s="15" t="s">
        <v>175</v>
      </c>
      <c r="E1" s="15" t="s">
        <v>176</v>
      </c>
    </row>
    <row r="2" customFormat="false" ht="15" hidden="false" customHeight="false" outlineLevel="0" collapsed="false">
      <c r="A2" s="17" t="s">
        <v>91</v>
      </c>
      <c r="B2" s="19" t="n">
        <v>60000</v>
      </c>
      <c r="C2" s="20" t="n">
        <f aca="false">COUNTIF(Data!$F$2:$F$37,A2)</f>
        <v>16</v>
      </c>
      <c r="D2" s="27" t="n">
        <f aca="false">AVERAGEIF(Data!$F$2:$F$37,A2,Data!$I$2:$I$37)</f>
        <v>37.6875</v>
      </c>
      <c r="E2" s="22" t="n">
        <f aca="false">SUMIF(Data!$F$2:$F$37,A2,Data!$M$2:$M$37)</f>
        <v>1456000</v>
      </c>
    </row>
    <row r="3" customFormat="false" ht="15" hidden="false" customHeight="false" outlineLevel="0" collapsed="false">
      <c r="A3" s="17" t="s">
        <v>90</v>
      </c>
      <c r="B3" s="19" t="n">
        <v>90000</v>
      </c>
      <c r="C3" s="20" t="n">
        <f aca="false">COUNTIF(Data!$F$2:$F$37,A3)</f>
        <v>12</v>
      </c>
      <c r="D3" s="27" t="n">
        <f aca="false">AVERAGEIF(Data!$F$2:$F$37,A3,Data!$I$2:$I$37)</f>
        <v>29.5833333333333</v>
      </c>
      <c r="E3" s="22" t="n">
        <f aca="false">SUMIF(Data!$F$2:$F$37,A3,Data!$M$2:$M$37)</f>
        <v>1219500</v>
      </c>
    </row>
    <row r="4" customFormat="false" ht="15" hidden="false" customHeight="false" outlineLevel="0" collapsed="false">
      <c r="A4" s="17" t="s">
        <v>112</v>
      </c>
      <c r="B4" s="19" t="n">
        <v>70000</v>
      </c>
      <c r="C4" s="20" t="n">
        <f aca="false">COUNTIF(Data!$F$2:$F$37,A4)</f>
        <v>5</v>
      </c>
      <c r="D4" s="27" t="n">
        <f aca="false">AVERAGEIF(Data!$F$2:$F$37,A4,Data!$I$2:$I$37)</f>
        <v>5.6</v>
      </c>
      <c r="E4" s="22" t="n">
        <f aca="false">SUMIF(Data!$F$2:$F$37,A4,Data!$M$2:$M$37)</f>
        <v>568000</v>
      </c>
    </row>
    <row r="5" customFormat="false" ht="15" hidden="false" customHeight="false" outlineLevel="0" collapsed="false">
      <c r="A5" s="17" t="s">
        <v>125</v>
      </c>
      <c r="B5" s="19" t="n">
        <v>65000</v>
      </c>
      <c r="C5" s="20" t="n">
        <f aca="false">COUNTIF(Data!$F$2:$F$37,A5)</f>
        <v>3</v>
      </c>
      <c r="D5" s="27" t="n">
        <f aca="false">AVERAGEIF(Data!$F$2:$F$37,A5,Data!$I$2:$I$37)</f>
        <v>76.6666666666667</v>
      </c>
      <c r="E5" s="22" t="n">
        <f aca="false">SUMIF(Data!$F$2:$F$37,A5,Data!$M$2:$M$37)</f>
        <v>228750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177</v>
      </c>
      <c r="B1" s="28"/>
      <c r="C1" s="28"/>
      <c r="D1" s="28"/>
    </row>
    <row r="2" customFormat="false" ht="15" hidden="false" customHeight="false" outlineLevel="0" collapsed="false">
      <c r="A2" s="29" t="s">
        <v>178</v>
      </c>
      <c r="B2" s="29"/>
      <c r="C2" s="29"/>
      <c r="D2" s="29"/>
    </row>
    <row r="3" customFormat="false" ht="15" hidden="false" customHeight="false" outlineLevel="0" collapsed="false">
      <c r="A3" s="11" t="s">
        <v>19</v>
      </c>
      <c r="B3" s="11" t="s">
        <v>179</v>
      </c>
      <c r="C3" s="11" t="s">
        <v>180</v>
      </c>
      <c r="D3" s="11" t="s">
        <v>181</v>
      </c>
    </row>
    <row r="4" customFormat="false" ht="15" hidden="false" customHeight="false" outlineLevel="0" collapsed="false">
      <c r="A4" s="30" t="s">
        <v>182</v>
      </c>
      <c r="B4" s="31" t="s">
        <v>183</v>
      </c>
      <c r="C4" s="22" t="n">
        <f aca="false">SUM(Data!$M$2:$M$37)</f>
        <v>3472250</v>
      </c>
      <c r="D4" s="32" t="s">
        <v>184</v>
      </c>
    </row>
    <row r="5" customFormat="false" ht="15" hidden="false" customHeight="false" outlineLevel="0" collapsed="false">
      <c r="A5" s="30" t="s">
        <v>185</v>
      </c>
      <c r="B5" s="31" t="s">
        <v>186</v>
      </c>
      <c r="C5" s="22" t="n">
        <f aca="false">SUM(Data!$L$2:$L$37)</f>
        <v>328750</v>
      </c>
      <c r="D5" s="32" t="s">
        <v>187</v>
      </c>
    </row>
    <row r="6" customFormat="false" ht="15" hidden="false" customHeight="false" outlineLevel="0" collapsed="false">
      <c r="A6" s="30" t="s">
        <v>188</v>
      </c>
      <c r="B6" s="31" t="s">
        <v>189</v>
      </c>
      <c r="C6" s="22" t="n">
        <f aca="false">SUM(Data!$H$2:$H$37)</f>
        <v>1216000</v>
      </c>
      <c r="D6" s="32" t="s">
        <v>190</v>
      </c>
    </row>
    <row r="7" customFormat="false" ht="15" hidden="false" customHeight="false" outlineLevel="0" collapsed="false">
      <c r="A7" s="30" t="s">
        <v>191</v>
      </c>
      <c r="B7" s="31" t="s">
        <v>192</v>
      </c>
      <c r="C7" s="20" t="n">
        <f aca="false">COUNTIFS(Data!$D$2:$D$37,"P",Data!$F$2:$F$37,"Umum")</f>
        <v>6</v>
      </c>
      <c r="D7" s="32" t="s">
        <v>193</v>
      </c>
    </row>
    <row r="8" customFormat="false" ht="15" hidden="false" customHeight="false" outlineLevel="0" collapsed="false">
      <c r="A8" s="30" t="s">
        <v>194</v>
      </c>
      <c r="B8" s="31" t="s">
        <v>195</v>
      </c>
      <c r="C8" s="20" t="n">
        <f aca="false">COUNTIF(Data!$J$2:$J$37,"Lansia")</f>
        <v>5</v>
      </c>
      <c r="D8" s="32" t="s">
        <v>196</v>
      </c>
    </row>
    <row r="9" customFormat="false" ht="15" hidden="false" customHeight="false" outlineLevel="0" collapsed="false">
      <c r="A9" s="30" t="s">
        <v>197</v>
      </c>
      <c r="B9" s="31" t="s">
        <v>198</v>
      </c>
      <c r="C9" s="27" t="n">
        <f aca="false">AVERAGE(Data!$I$2:$I$37)</f>
        <v>33.7777777777778</v>
      </c>
      <c r="D9" s="32" t="s">
        <v>199</v>
      </c>
    </row>
    <row r="10" customFormat="false" ht="15" hidden="false" customHeight="false" outlineLevel="0" collapsed="false">
      <c r="A10" s="30" t="s">
        <v>200</v>
      </c>
      <c r="B10" s="31" t="s">
        <v>201</v>
      </c>
      <c r="C10" s="22" t="n">
        <f aca="false">AVERAGEIF(Data!$G$2:$G$37,"Asuransi",Data!$M$2:$M$37)</f>
        <v>72125</v>
      </c>
      <c r="D10" s="32" t="s">
        <v>202</v>
      </c>
    </row>
    <row r="11" customFormat="false" ht="15" hidden="false" customHeight="false" outlineLevel="0" collapsed="false">
      <c r="A11" s="30" t="s">
        <v>203</v>
      </c>
      <c r="B11" s="31" t="s">
        <v>204</v>
      </c>
      <c r="C11" s="21" t="str">
        <f aca="false">INDEX(Acuan!$A$2:$A$5,MATCH(MAX(Acuan!$C$2:$C$5),Acuan!$C$2:$C$5,0))</f>
        <v>Umum</v>
      </c>
      <c r="D11" s="32" t="s">
        <v>205</v>
      </c>
    </row>
    <row r="12" customFormat="false" ht="15" hidden="false" customHeight="false" outlineLevel="0" collapsed="false">
      <c r="A12" s="30" t="s">
        <v>206</v>
      </c>
      <c r="B12" s="31" t="s">
        <v>207</v>
      </c>
      <c r="C12" s="21" t="str">
        <f aca="false">INDEX(Data!$C$2:$C$37,MATCH(MAX(Data!$I$2:$I$37),Data!$I$2:$I$37,0))</f>
        <v>Citra Permana</v>
      </c>
      <c r="D12" s="32" t="s">
        <v>208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2026-10-14T23:33:47Z</dcterms:created>
  <dc:creator>PushExcel</dc:creator>
  <dc:description/>
  <dc:language>en-US</dc:language>
  <cp:lastModifiedBy/>
  <dcterms:modified xsi:type="dcterms:W3CDTF">2026-10-14T23:33:47Z</dcterms:modified>
  <cp:revision>0</cp:revision>
  <dc:subject/>
  <dc:title>Rekap Kunjungan dan Biaya Klinik Pratama - Kunci</dc:title>
</cp:coreProperties>
</file>

<file path=docProps/custom.xml><?xml version="1.0" encoding="utf-8"?>
<Properties xmlns="http://schemas.openxmlformats.org/officeDocument/2006/custom-properties" xmlns:vt="http://schemas.openxmlformats.org/officeDocument/2006/docPropsVTypes"/>
</file>