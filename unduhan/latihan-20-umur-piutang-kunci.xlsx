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<sst xmlns="http://schemas.openxmlformats.org/spreadsheetml/2006/main" count="190" uniqueCount="158">
  <si>
    <t xml:space="preserve">Kunci Jawaban: Umur Piutang dan Cadangan Kerugian</t>
  </si>
  <si>
    <t xml:space="preserve">Latihan 20 dari 104  |  Tingkat: Lanjutan  |  Perkiraan waktu: 65 menit  |  pushexcel.github.io/Pushexcel</t>
  </si>
  <si>
    <t xml:space="preserve">Skenario</t>
  </si>
  <si>
    <t xml:space="preserve">Kamu staf penagihan di PT Prima Distribusi. Per 15 Oktober 2026 ada 32 faktur penjualan kredit. Kamu mengelompokkan faktur berdasarkan berapa hari lewat jatuh tempo (aging) dan menghitung cadangan kerugian piutang dengan persentase tiap kelompok (sheet Acuan). Jatuh tempo = tanggal faktur ditambah tempo bayar.</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</si>
  <si>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</si>
  <si>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</si>
  <si>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</si>
  <si>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</si>
  <si>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</si>
  <si>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</si>
  <si>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</si>
  <si>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</si>
  <si>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</si>
  <si>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</si>
  <si>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</si>
  <si>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</si>
  <si>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</si>
  <si>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</si>
  <si>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</si>
  <si>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</si>
  <si>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</si>
  <si>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</si>
  <si>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</si>
  <si>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</si>
  <si>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tanggal jatuh tempo: tanggal faktur ditambah tempo (hari).</t>
  </si>
  <si>
    <t xml:space="preserve">Sheet Data, kolom H (Jatuh Tempo), baris 2 sampai 33</t>
  </si>
  <si>
    <t xml:space="preserve">=D2+E2</t>
  </si>
  <si>
    <t xml:space="preserve">2</t>
  </si>
  <si>
    <t xml:space="preserve">Hitung sisa piutang: nilai faktur dikurangi yang sudah dibayar.</t>
  </si>
  <si>
    <t xml:space="preserve">Sheet Data, kolom I (Sisa Piutang), baris 2 sampai 33</t>
  </si>
  <si>
    <t xml:space="preserve">=F2-G2</t>
  </si>
  <si>
    <t xml:space="preserve">3</t>
  </si>
  <si>
    <t xml:space="preserve">Hitung hari lewat jatuh tempo: tanggal acuan dikurangi jatuh tempo. Hasil dibuat 0 bila belum jatuh tempo, atau bila fakturnya sudah lunas (sisa 0).</t>
  </si>
  <si>
    <t xml:space="preserve">Sheet Data, kolom J (Hari Lewat Tempo), baris 2 sampai 33</t>
  </si>
  <si>
    <t xml:space="preserve">=IF(I2=0;0;MAX(0;$O$2-H2))</t>
  </si>
  <si>
    <t xml:space="preserve">4</t>
  </si>
  <si>
    <t xml:space="preserve">Kelompokkan: sisa 0 = Lunas; belum lewat tempo (umur 0) = Belum Jatuh Tempo; umur sampai 30 = 1-30 Hari; sampai 60 = 31-60 Hari; selain itu Lebih dari 60 Hari.</t>
  </si>
  <si>
    <t xml:space="preserve">Sheet Data, kolom K (Kelompok Umur), baris 2 sampai 33</t>
  </si>
  <si>
    <t xml:space="preserve">=IF(I2=0;"Lunas";IF(J2=0;"Belum Jatuh Tempo";IF(J2&lt;=30;"1-30 Hari";IF(J2&lt;=60;"31-60 Hari";"Lebih dari 60 Hari"))))</t>
  </si>
  <si>
    <t xml:space="preserve">5</t>
  </si>
  <si>
    <t xml:space="preserve">Hitung cadangan kerugian: sisa piutang dikali persentase cadangan kelompok umurnya (sheet Acuan).</t>
  </si>
  <si>
    <t xml:space="preserve">Sheet Data, kolom L (Cadangan Kerugian), baris 2 sampai 33</t>
  </si>
  <si>
    <t xml:space="preserve">=ROUND(I2*VLOOKUP(K2;Acuan!$A$2:$B$6;2;FALSE);0)</t>
  </si>
  <si>
    <t xml:space="preserve">6</t>
  </si>
  <si>
    <t xml:space="preserve">Berapa total sisa piutang, dan berapa total cadangan kerugian?</t>
  </si>
  <si>
    <t xml:space="preserve">Sheet Ringkasan, sel C4 sampai C5</t>
  </si>
  <si>
    <t xml:space="preserve">=SUM(Data!$I$2:$I$33)
=SUM(Data!$L$2:$L$33)</t>
  </si>
  <si>
    <t xml:space="preserve">7</t>
  </si>
  <si>
    <t xml:space="preserve">Berapa persen piutang yang sudah lewat jatuh tempo dari total sisa piutang?</t>
  </si>
  <si>
    <t xml:space="preserve">Sheet Ringkasan, sel C6</t>
  </si>
  <si>
    <t xml:space="preserve">=SUMIF(Data!$J$2:$J$33;"&gt;0";Data!$I$2:$I$33)/SUM(Data!$I$2:$I$33)</t>
  </si>
  <si>
    <t xml:space="preserve">8</t>
  </si>
  <si>
    <t xml:space="preserve">Berapa faktur yang sudah Lunas?</t>
  </si>
  <si>
    <t xml:space="preserve">Sheet Ringkasan, sel C7</t>
  </si>
  <si>
    <t xml:space="preserve">=COUNTIF(Data!$K$2:$K$33;"Lunas")</t>
  </si>
  <si>
    <t xml:space="preserve">9</t>
  </si>
  <si>
    <t xml:space="preserve">Faktur mana yang paling lama lewat jatuh tempo?</t>
  </si>
  <si>
    <t xml:space="preserve">Sheet Ringkasan, sel C8</t>
  </si>
  <si>
    <t xml:space="preserve">=INDEX(Data!$B$2:$B$33;MATCH(MAX(Data!$J$2:$J$33);Data!$J$2:$J$33;0))</t>
  </si>
  <si>
    <t xml:space="preserve">10</t>
  </si>
  <si>
    <t xml:space="preserve">Pada sheet Acuan, hitung jumlah faktur tiap kelompok umur.</t>
  </si>
  <si>
    <t xml:space="preserve">Sheet Acuan, kolom C (Jumlah Faktur), baris 2 sampai 6</t>
  </si>
  <si>
    <t xml:space="preserve">=COUNTIF(Data!$K$2:$K$33;A2)</t>
  </si>
  <si>
    <t xml:space="preserve">11</t>
  </si>
  <si>
    <t xml:space="preserve">Pada sheet Acuan, hitung total sisa piutang tiap kelompok umur.</t>
  </si>
  <si>
    <t xml:space="preserve">Sheet Acuan, kolom D (Total Sisa Piutang), baris 2 sampai 6</t>
  </si>
  <si>
    <t xml:space="preserve">=SUMIF(Data!$K$2:$K$33;A2;Data!$I$2:$I$33)</t>
  </si>
  <si>
    <t xml:space="preserve">12</t>
  </si>
  <si>
    <t xml:space="preserve">Pada sheet Acuan, hitung total cadangan kerugian tiap kelompok umur.</t>
  </si>
  <si>
    <t xml:space="preserve">Sheet Acuan, kolom E (Total Cadangan), baris 2 sampai 6</t>
  </si>
  <si>
    <t xml:space="preserve">=SUMIF(Data!$K$2:$K$33;A2;Data!$L$2:$L$33)</t>
  </si>
  <si>
    <t xml:space="preserve">13</t>
  </si>
  <si>
    <t xml:space="preserve">Kelompok umur mana yang memegang sisa piutang terbesar?</t>
  </si>
  <si>
    <t xml:space="preserve">Sheet Ringkasan, sel C9</t>
  </si>
  <si>
    <t xml:space="preserve">=INDEX(Acuan!$A$2:$A$6;MATCH(MAX(Acuan!$D$2:$D$6);Acuan!$D$2:$D$6;0))</t>
  </si>
  <si>
    <t xml:space="preserve">No. Faktur</t>
  </si>
  <si>
    <t xml:space="preserve">Pelanggan</t>
  </si>
  <si>
    <t xml:space="preserve">Tanggal Faktur</t>
  </si>
  <si>
    <t xml:space="preserve">Tempo (hari)</t>
  </si>
  <si>
    <t xml:space="preserve">Nilai Faktur</t>
  </si>
  <si>
    <t xml:space="preserve">Sudah Dibayar</t>
  </si>
  <si>
    <t xml:space="preserve">Jatuh Tempo</t>
  </si>
  <si>
    <t xml:space="preserve">Sisa Piutang</t>
  </si>
  <si>
    <t xml:space="preserve">Hari Lewat Tempo</t>
  </si>
  <si>
    <t xml:space="preserve">Kelompok Umur</t>
  </si>
  <si>
    <t xml:space="preserve">Cadangan Kerugian</t>
  </si>
  <si>
    <t xml:space="preserve">Parameter</t>
  </si>
  <si>
    <t xml:space="preserve">Nilai</t>
  </si>
  <si>
    <t xml:space="preserve">Keterangan</t>
  </si>
  <si>
    <t xml:space="preserve">INV-2026-001</t>
  </si>
  <si>
    <t xml:space="preserve">Koperasi Bina Warga</t>
  </si>
  <si>
    <t xml:space="preserve">Tanggal acuan</t>
  </si>
  <si>
    <t xml:space="preserve">Umur piutang dihitung sampai tanggal ini</t>
  </si>
  <si>
    <t xml:space="preserve">INV-2026-002</t>
  </si>
  <si>
    <t xml:space="preserve">CV Dinamika Printing</t>
  </si>
  <si>
    <t xml:space="preserve">INV-2026-003</t>
  </si>
  <si>
    <t xml:space="preserve">PT Anugerah Tekstil</t>
  </si>
  <si>
    <t xml:space="preserve">INV-2026-004</t>
  </si>
  <si>
    <t xml:space="preserve">CV Berkah Mandiri</t>
  </si>
  <si>
    <t xml:space="preserve">INV-2026-005</t>
  </si>
  <si>
    <t xml:space="preserve">INV-2026-006</t>
  </si>
  <si>
    <t xml:space="preserve">INV-2026-007</t>
  </si>
  <si>
    <t xml:space="preserve">INV-2026-008</t>
  </si>
  <si>
    <t xml:space="preserve">PT Cahaya Logistik</t>
  </si>
  <si>
    <t xml:space="preserve">INV-2026-009</t>
  </si>
  <si>
    <t xml:space="preserve">INV-2026-010</t>
  </si>
  <si>
    <t xml:space="preserve">UD Tani Jaya</t>
  </si>
  <si>
    <t xml:space="preserve">INV-2026-011</t>
  </si>
  <si>
    <t xml:space="preserve">Toko Sentosa Abadi</t>
  </si>
  <si>
    <t xml:space="preserve">INV-2026-012</t>
  </si>
  <si>
    <t xml:space="preserve">PT Eka Konstruksi</t>
  </si>
  <si>
    <t xml:space="preserve">INV-2026-013</t>
  </si>
  <si>
    <t xml:space="preserve">INV-2026-014</t>
  </si>
  <si>
    <t xml:space="preserve">INV-2026-015</t>
  </si>
  <si>
    <t xml:space="preserve">INV-2026-016</t>
  </si>
  <si>
    <t xml:space="preserve">INV-2026-017</t>
  </si>
  <si>
    <t xml:space="preserve">INV-2026-018</t>
  </si>
  <si>
    <t xml:space="preserve">INV-2026-019</t>
  </si>
  <si>
    <t xml:space="preserve">INV-2026-020</t>
  </si>
  <si>
    <t xml:space="preserve">INV-2026-021</t>
  </si>
  <si>
    <t xml:space="preserve">INV-2026-022</t>
  </si>
  <si>
    <t xml:space="preserve">INV-2026-023</t>
  </si>
  <si>
    <t xml:space="preserve">INV-2026-024</t>
  </si>
  <si>
    <t xml:space="preserve">INV-2026-025</t>
  </si>
  <si>
    <t xml:space="preserve">INV-2026-026</t>
  </si>
  <si>
    <t xml:space="preserve">INV-2026-027</t>
  </si>
  <si>
    <t xml:space="preserve">INV-2026-028</t>
  </si>
  <si>
    <t xml:space="preserve">INV-2026-029</t>
  </si>
  <si>
    <t xml:space="preserve">INV-2026-030</t>
  </si>
  <si>
    <t xml:space="preserve">INV-2026-031</t>
  </si>
  <si>
    <t xml:space="preserve">INV-2026-032</t>
  </si>
  <si>
    <t xml:space="preserve">Cadangan</t>
  </si>
  <si>
    <t xml:space="preserve">Jumlah Faktur</t>
  </si>
  <si>
    <t xml:space="preserve">Total Sisa Piutang</t>
  </si>
  <si>
    <t xml:space="preserve">Total Cadangan</t>
  </si>
  <si>
    <t xml:space="preserve">Lunas</t>
  </si>
  <si>
    <t xml:space="preserve">Belum Jatuh Tempo</t>
  </si>
  <si>
    <t xml:space="preserve">1-30 Hari</t>
  </si>
  <si>
    <t xml:space="preserve">31-60 Hari</t>
  </si>
  <si>
    <t xml:space="preserve">Lebih dari 60 Hari</t>
  </si>
  <si>
    <t xml:space="preserve">Ringkasan: lembar jawaban soal berjenis ringkasan</t>
  </si>
  <si>
    <t xml:space="preserve">Sel hijau berisi rumus kunci.</t>
  </si>
  <si>
    <t xml:space="preserve">Pertanyaan</t>
  </si>
  <si>
    <t xml:space="preserve">Jawaban</t>
  </si>
  <si>
    <t xml:space="preserve">Contoh format hasil</t>
  </si>
  <si>
    <t xml:space="preserve">6a</t>
  </si>
  <si>
    <t xml:space="preserve">Total sisa piutang</t>
  </si>
  <si>
    <t xml:space="preserve">Rupiah, mis. Rp 1.200.000.000</t>
  </si>
  <si>
    <t xml:space="preserve">6b</t>
  </si>
  <si>
    <t xml:space="preserve">Total cadangan kerugian</t>
  </si>
  <si>
    <t xml:space="preserve">Persentase piutang lewat jatuh tempo</t>
  </si>
  <si>
    <t xml:space="preserve">Persen, mis. 72,4%</t>
  </si>
  <si>
    <t xml:space="preserve">Jumlah faktur lunas</t>
  </si>
  <si>
    <t xml:space="preserve">Angka bulat, mis. 11</t>
  </si>
  <si>
    <t xml:space="preserve">Nomor faktur dengan umur lewat tempo terlama</t>
  </si>
  <si>
    <t xml:space="preserve">Teks: nomor faktur</t>
  </si>
  <si>
    <t xml:space="preserve">Kelompok umur dengan sisa piutang terbesar</t>
  </si>
  <si>
    <t xml:space="preserve">Teks: kelompok umur</t>
  </si>
</sst>
</file>

<file path=xl/styles.xml><?xml version="1.0" encoding="utf-8"?>
<styleSheet xmlns="http://schemas.openxmlformats.org/spreadsheetml/2006/main">
  <numFmts count="6">
    <numFmt numFmtId="164" formatCode="General"/>
    <numFmt numFmtId="165" formatCode="0"/>
    <numFmt numFmtId="166" formatCode="dd/mm/yyyy"/>
    <numFmt numFmtId="167" formatCode="&quot;Rp &quot;#,##0"/>
    <numFmt numFmtId="168" formatCode="0%"/>
    <numFmt numFmtId="169" formatCode="0.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i val="true"/>
      <sz val="9"/>
      <color rgb="FF595959"/>
      <name val="Arial"/>
      <family val="0"/>
      <charset val="1"/>
    </font>
    <font>
      <b val="true"/>
      <sz val="13"/>
      <color rgb="FF1F4E3D"/>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8" fontId="7" fillId="0" borderId="1" xfId="0" applyFont="true" applyBorder="true" applyAlignment="true" applyProtection="false">
      <alignment horizontal="right" vertical="center"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30" hidden="false" customHeight="true" outlineLevel="0" collapsed="false">
      <c r="A21" s="13" t="s">
        <v>23</v>
      </c>
      <c r="B21" s="14" t="s">
        <v>24</v>
      </c>
      <c r="C21" s="14" t="s">
        <v>25</v>
      </c>
      <c r="D21" s="15" t="s">
        <v>26</v>
      </c>
    </row>
    <row r="22" customFormat="false" ht="30" hidden="false" customHeight="true" outlineLevel="0" collapsed="false">
      <c r="A22" s="13" t="s">
        <v>27</v>
      </c>
      <c r="B22" s="14" t="s">
        <v>28</v>
      </c>
      <c r="C22" s="14" t="s">
        <v>29</v>
      </c>
      <c r="D22" s="15" t="s">
        <v>30</v>
      </c>
    </row>
    <row r="23" customFormat="false" ht="42" hidden="false" customHeight="true" outlineLevel="0" collapsed="false">
      <c r="A23" s="13" t="s">
        <v>31</v>
      </c>
      <c r="B23" s="14" t="s">
        <v>32</v>
      </c>
      <c r="C23" s="14" t="s">
        <v>33</v>
      </c>
      <c r="D23" s="15" t="s">
        <v>34</v>
      </c>
    </row>
    <row r="24" customFormat="false" ht="42" hidden="false" customHeight="true" outlineLevel="0" collapsed="false">
      <c r="A24" s="13" t="s">
        <v>35</v>
      </c>
      <c r="B24" s="14" t="s">
        <v>36</v>
      </c>
      <c r="C24" s="14" t="s">
        <v>37</v>
      </c>
      <c r="D24" s="15" t="s">
        <v>38</v>
      </c>
    </row>
    <row r="25" customFormat="false" ht="30" hidden="false" customHeight="true" outlineLevel="0" collapsed="false">
      <c r="A25" s="13" t="s">
        <v>39</v>
      </c>
      <c r="B25" s="14" t="s">
        <v>40</v>
      </c>
      <c r="C25" s="14" t="s">
        <v>41</v>
      </c>
      <c r="D25" s="15" t="s">
        <v>42</v>
      </c>
    </row>
    <row r="26" customFormat="false" ht="30" hidden="false" customHeight="true" outlineLevel="0" collapsed="false">
      <c r="A26" s="13" t="s">
        <v>43</v>
      </c>
      <c r="B26" s="14" t="s">
        <v>44</v>
      </c>
      <c r="C26" s="14" t="s">
        <v>45</v>
      </c>
      <c r="D26" s="15" t="s">
        <v>46</v>
      </c>
    </row>
    <row r="27" customFormat="false" ht="30" hidden="false" customHeight="true" outlineLevel="0" collapsed="false">
      <c r="A27" s="13" t="s">
        <v>47</v>
      </c>
      <c r="B27" s="14" t="s">
        <v>48</v>
      </c>
      <c r="C27" s="14" t="s">
        <v>49</v>
      </c>
      <c r="D27" s="15" t="s">
        <v>50</v>
      </c>
    </row>
    <row r="28" customFormat="false" ht="30" hidden="false" customHeight="true" outlineLevel="0" collapsed="false">
      <c r="A28" s="13" t="s">
        <v>51</v>
      </c>
      <c r="B28" s="14" t="s">
        <v>52</v>
      </c>
      <c r="C28" s="14" t="s">
        <v>53</v>
      </c>
      <c r="D28" s="15" t="s">
        <v>54</v>
      </c>
    </row>
    <row r="29" customFormat="false" ht="30" hidden="false" customHeight="true" outlineLevel="0" collapsed="false">
      <c r="A29" s="13" t="s">
        <v>55</v>
      </c>
      <c r="B29" s="14" t="s">
        <v>56</v>
      </c>
      <c r="C29" s="14" t="s">
        <v>57</v>
      </c>
      <c r="D29" s="15" t="s">
        <v>58</v>
      </c>
    </row>
    <row r="30" customFormat="false" ht="30" hidden="false" customHeight="true" outlineLevel="0" collapsed="false">
      <c r="A30" s="13" t="s">
        <v>59</v>
      </c>
      <c r="B30" s="14" t="s">
        <v>60</v>
      </c>
      <c r="C30" s="14" t="s">
        <v>61</v>
      </c>
      <c r="D30" s="15" t="s">
        <v>62</v>
      </c>
    </row>
    <row r="31" customFormat="false" ht="30" hidden="false" customHeight="true" outlineLevel="0" collapsed="false">
      <c r="A31" s="13" t="s">
        <v>63</v>
      </c>
      <c r="B31" s="14" t="s">
        <v>64</v>
      </c>
      <c r="C31" s="14" t="s">
        <v>65</v>
      </c>
      <c r="D31" s="15" t="s">
        <v>66</v>
      </c>
    </row>
    <row r="32" customFormat="false" ht="30" hidden="false" customHeight="true" outlineLevel="0" collapsed="false">
      <c r="A32" s="13" t="s">
        <v>67</v>
      </c>
      <c r="B32" s="14" t="s">
        <v>68</v>
      </c>
      <c r="C32" s="14" t="s">
        <v>69</v>
      </c>
      <c r="D32" s="15" t="s">
        <v>70</v>
      </c>
    </row>
    <row r="33" customFormat="false" ht="30" hidden="false" customHeight="true" outlineLevel="0" collapsed="false">
      <c r="A33" s="13" t="s">
        <v>71</v>
      </c>
      <c r="B33" s="14" t="s">
        <v>72</v>
      </c>
      <c r="C33" s="14" t="s">
        <v>73</v>
      </c>
      <c r="D33" s="15" t="s">
        <v>74</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24"/>
    <col collapsed="false" customWidth="true" hidden="false" outlineLevel="0" max="4" min="4" style="0" width="13"/>
    <col collapsed="false" customWidth="true" hidden="false" outlineLevel="0" max="5" min="5" style="0" width="11"/>
    <col collapsed="false" customWidth="true" hidden="false" outlineLevel="0" max="7" min="6" style="0" width="15"/>
    <col collapsed="false" customWidth="true" hidden="false" outlineLevel="0" max="8" min="8" style="0" width="13"/>
    <col collapsed="false" customWidth="true" hidden="false" outlineLevel="0" max="9" min="9" style="0" width="15"/>
    <col collapsed="false" customWidth="true" hidden="false" outlineLevel="0" max="10" min="10" style="0" width="12"/>
    <col collapsed="false" customWidth="true" hidden="false" outlineLevel="0" max="11" min="11" style="0" width="19"/>
    <col collapsed="false" customWidth="true" hidden="false" outlineLevel="0" max="12" min="12" style="0" width="15"/>
    <col collapsed="false" customWidth="true" hidden="false" outlineLevel="0" max="13" min="13" style="0" width="3"/>
    <col collapsed="false" customWidth="true" hidden="false" outlineLevel="0" max="14" min="14" style="0" width="30"/>
    <col collapsed="false" customWidth="true" hidden="false" outlineLevel="0" max="15" min="15" style="0" width="16"/>
    <col collapsed="false" customWidth="true" hidden="false" outlineLevel="0" max="16" min="16" style="0" width="42"/>
  </cols>
  <sheetData>
    <row r="1" customFormat="false" ht="33.75" hidden="false" customHeight="true" outlineLevel="0" collapsed="false">
      <c r="A1" s="12" t="s">
        <v>19</v>
      </c>
      <c r="B1" s="12" t="s">
        <v>75</v>
      </c>
      <c r="C1" s="12" t="s">
        <v>76</v>
      </c>
      <c r="D1" s="12" t="s">
        <v>77</v>
      </c>
      <c r="E1" s="12" t="s">
        <v>78</v>
      </c>
      <c r="F1" s="12" t="s">
        <v>79</v>
      </c>
      <c r="G1" s="12" t="s">
        <v>80</v>
      </c>
      <c r="H1" s="16" t="s">
        <v>81</v>
      </c>
      <c r="I1" s="16" t="s">
        <v>82</v>
      </c>
      <c r="J1" s="16" t="s">
        <v>83</v>
      </c>
      <c r="K1" s="16" t="s">
        <v>84</v>
      </c>
      <c r="L1" s="16" t="s">
        <v>85</v>
      </c>
      <c r="N1" s="17" t="s">
        <v>86</v>
      </c>
      <c r="O1" s="17" t="s">
        <v>87</v>
      </c>
      <c r="P1" s="17" t="s">
        <v>88</v>
      </c>
    </row>
    <row r="2" customFormat="false" ht="15" hidden="false" customHeight="false" outlineLevel="0" collapsed="false">
      <c r="A2" s="18" t="n">
        <v>1</v>
      </c>
      <c r="B2" s="19" t="s">
        <v>89</v>
      </c>
      <c r="C2" s="19" t="s">
        <v>90</v>
      </c>
      <c r="D2" s="20" t="n">
        <v>46113</v>
      </c>
      <c r="E2" s="18" t="n">
        <v>45</v>
      </c>
      <c r="F2" s="21" t="n">
        <v>32800000</v>
      </c>
      <c r="G2" s="21" t="n">
        <v>32800000</v>
      </c>
      <c r="H2" s="22" t="n">
        <f aca="false">D2+E2</f>
        <v>46158</v>
      </c>
      <c r="I2" s="23" t="n">
        <f aca="false">F2-G2</f>
        <v>0</v>
      </c>
      <c r="J2" s="24" t="n">
        <f aca="false">IF(I2=0,0,MAX(0,$O$2-H2))</f>
        <v>0</v>
      </c>
      <c r="K2" s="25" t="str">
        <f aca="false">IF(I2=0,"Lunas",IF(J2=0,"Belum Jatuh Tempo",IF(J2&lt;=30,"1-30 Hari",IF(J2&lt;=60,"31-60 Hari","Lebih dari 60 Hari"))))</f>
        <v>Lunas</v>
      </c>
      <c r="L2" s="23" t="n">
        <f aca="false">ROUND(I2*VLOOKUP(K2,Acuan!$A$2:$B$6,2,FALSE()),0)</f>
        <v>0</v>
      </c>
      <c r="N2" s="26" t="s">
        <v>91</v>
      </c>
      <c r="O2" s="27" t="n">
        <v>46310</v>
      </c>
      <c r="P2" s="28" t="s">
        <v>92</v>
      </c>
    </row>
    <row r="3" customFormat="false" ht="15" hidden="false" customHeight="false" outlineLevel="0" collapsed="false">
      <c r="A3" s="18" t="n">
        <v>2</v>
      </c>
      <c r="B3" s="19" t="s">
        <v>93</v>
      </c>
      <c r="C3" s="19" t="s">
        <v>94</v>
      </c>
      <c r="D3" s="20" t="n">
        <v>46116</v>
      </c>
      <c r="E3" s="18" t="n">
        <v>30</v>
      </c>
      <c r="F3" s="21" t="n">
        <v>59400000</v>
      </c>
      <c r="G3" s="21" t="n">
        <v>0</v>
      </c>
      <c r="H3" s="22" t="n">
        <f aca="false">D3+E3</f>
        <v>46146</v>
      </c>
      <c r="I3" s="23" t="n">
        <f aca="false">F3-G3</f>
        <v>59400000</v>
      </c>
      <c r="J3" s="24" t="n">
        <f aca="false">IF(I3=0,0,MAX(0,$O$2-H3))</f>
        <v>164</v>
      </c>
      <c r="K3" s="25" t="str">
        <f aca="false">IF(I3=0,"Lunas",IF(J3=0,"Belum Jatuh Tempo",IF(J3&lt;=30,"1-30 Hari",IF(J3&lt;=60,"31-60 Hari","Lebih dari 60 Hari"))))</f>
        <v>Lebih dari 60 Hari</v>
      </c>
      <c r="L3" s="23" t="n">
        <f aca="false">ROUND(I3*VLOOKUP(K3,Acuan!$A$2:$B$6,2,FALSE()),0)</f>
        <v>14850000</v>
      </c>
    </row>
    <row r="4" customFormat="false" ht="15" hidden="false" customHeight="false" outlineLevel="0" collapsed="false">
      <c r="A4" s="18" t="n">
        <v>3</v>
      </c>
      <c r="B4" s="19" t="s">
        <v>95</v>
      </c>
      <c r="C4" s="19" t="s">
        <v>96</v>
      </c>
      <c r="D4" s="20" t="n">
        <v>46118</v>
      </c>
      <c r="E4" s="18" t="n">
        <v>30</v>
      </c>
      <c r="F4" s="21" t="n">
        <v>19500000</v>
      </c>
      <c r="G4" s="21" t="n">
        <v>16500000</v>
      </c>
      <c r="H4" s="22" t="n">
        <f aca="false">D4+E4</f>
        <v>46148</v>
      </c>
      <c r="I4" s="23" t="n">
        <f aca="false">F4-G4</f>
        <v>3000000</v>
      </c>
      <c r="J4" s="24" t="n">
        <f aca="false">IF(I4=0,0,MAX(0,$O$2-H4))</f>
        <v>162</v>
      </c>
      <c r="K4" s="25" t="str">
        <f aca="false">IF(I4=0,"Lunas",IF(J4=0,"Belum Jatuh Tempo",IF(J4&lt;=30,"1-30 Hari",IF(J4&lt;=60,"31-60 Hari","Lebih dari 60 Hari"))))</f>
        <v>Lebih dari 60 Hari</v>
      </c>
      <c r="L4" s="23" t="n">
        <f aca="false">ROUND(I4*VLOOKUP(K4,Acuan!$A$2:$B$6,2,FALSE()),0)</f>
        <v>750000</v>
      </c>
    </row>
    <row r="5" customFormat="false" ht="15" hidden="false" customHeight="false" outlineLevel="0" collapsed="false">
      <c r="A5" s="18" t="n">
        <v>4</v>
      </c>
      <c r="B5" s="19" t="s">
        <v>97</v>
      </c>
      <c r="C5" s="19" t="s">
        <v>98</v>
      </c>
      <c r="D5" s="20" t="n">
        <v>46119</v>
      </c>
      <c r="E5" s="18" t="n">
        <v>14</v>
      </c>
      <c r="F5" s="21" t="n">
        <v>68100000</v>
      </c>
      <c r="G5" s="21" t="n">
        <v>64500000</v>
      </c>
      <c r="H5" s="22" t="n">
        <f aca="false">D5+E5</f>
        <v>46133</v>
      </c>
      <c r="I5" s="23" t="n">
        <f aca="false">F5-G5</f>
        <v>3600000</v>
      </c>
      <c r="J5" s="24" t="n">
        <f aca="false">IF(I5=0,0,MAX(0,$O$2-H5))</f>
        <v>177</v>
      </c>
      <c r="K5" s="25" t="str">
        <f aca="false">IF(I5=0,"Lunas",IF(J5=0,"Belum Jatuh Tempo",IF(J5&lt;=30,"1-30 Hari",IF(J5&lt;=60,"31-60 Hari","Lebih dari 60 Hari"))))</f>
        <v>Lebih dari 60 Hari</v>
      </c>
      <c r="L5" s="23" t="n">
        <f aca="false">ROUND(I5*VLOOKUP(K5,Acuan!$A$2:$B$6,2,FALSE()),0)</f>
        <v>900000</v>
      </c>
    </row>
    <row r="6" customFormat="false" ht="15" hidden="false" customHeight="false" outlineLevel="0" collapsed="false">
      <c r="A6" s="18" t="n">
        <v>5</v>
      </c>
      <c r="B6" s="19" t="s">
        <v>99</v>
      </c>
      <c r="C6" s="19" t="s">
        <v>94</v>
      </c>
      <c r="D6" s="20" t="n">
        <v>46129</v>
      </c>
      <c r="E6" s="18" t="n">
        <v>45</v>
      </c>
      <c r="F6" s="21" t="n">
        <v>89900000</v>
      </c>
      <c r="G6" s="21" t="n">
        <v>37500000</v>
      </c>
      <c r="H6" s="22" t="n">
        <f aca="false">D6+E6</f>
        <v>46174</v>
      </c>
      <c r="I6" s="23" t="n">
        <f aca="false">F6-G6</f>
        <v>52400000</v>
      </c>
      <c r="J6" s="24" t="n">
        <f aca="false">IF(I6=0,0,MAX(0,$O$2-H6))</f>
        <v>136</v>
      </c>
      <c r="K6" s="25" t="str">
        <f aca="false">IF(I6=0,"Lunas",IF(J6=0,"Belum Jatuh Tempo",IF(J6&lt;=30,"1-30 Hari",IF(J6&lt;=60,"31-60 Hari","Lebih dari 60 Hari"))))</f>
        <v>Lebih dari 60 Hari</v>
      </c>
      <c r="L6" s="23" t="n">
        <f aca="false">ROUND(I6*VLOOKUP(K6,Acuan!$A$2:$B$6,2,FALSE()),0)</f>
        <v>13100000</v>
      </c>
    </row>
    <row r="7" customFormat="false" ht="15" hidden="false" customHeight="false" outlineLevel="0" collapsed="false">
      <c r="A7" s="18" t="n">
        <v>6</v>
      </c>
      <c r="B7" s="19" t="s">
        <v>100</v>
      </c>
      <c r="C7" s="19" t="s">
        <v>94</v>
      </c>
      <c r="D7" s="20" t="n">
        <v>46130</v>
      </c>
      <c r="E7" s="18" t="n">
        <v>30</v>
      </c>
      <c r="F7" s="21" t="n">
        <v>59400000</v>
      </c>
      <c r="G7" s="21" t="n">
        <v>20700000</v>
      </c>
      <c r="H7" s="22" t="n">
        <f aca="false">D7+E7</f>
        <v>46160</v>
      </c>
      <c r="I7" s="23" t="n">
        <f aca="false">F7-G7</f>
        <v>38700000</v>
      </c>
      <c r="J7" s="24" t="n">
        <f aca="false">IF(I7=0,0,MAX(0,$O$2-H7))</f>
        <v>150</v>
      </c>
      <c r="K7" s="25" t="str">
        <f aca="false">IF(I7=0,"Lunas",IF(J7=0,"Belum Jatuh Tempo",IF(J7&lt;=30,"1-30 Hari",IF(J7&lt;=60,"31-60 Hari","Lebih dari 60 Hari"))))</f>
        <v>Lebih dari 60 Hari</v>
      </c>
      <c r="L7" s="23" t="n">
        <f aca="false">ROUND(I7*VLOOKUP(K7,Acuan!$A$2:$B$6,2,FALSE()),0)</f>
        <v>9675000</v>
      </c>
    </row>
    <row r="8" customFormat="false" ht="15" hidden="false" customHeight="false" outlineLevel="0" collapsed="false">
      <c r="A8" s="18" t="n">
        <v>7</v>
      </c>
      <c r="B8" s="19" t="s">
        <v>101</v>
      </c>
      <c r="C8" s="19" t="s">
        <v>96</v>
      </c>
      <c r="D8" s="20" t="n">
        <v>46138</v>
      </c>
      <c r="E8" s="18" t="n">
        <v>45</v>
      </c>
      <c r="F8" s="21" t="n">
        <v>41000000</v>
      </c>
      <c r="G8" s="21" t="n">
        <v>0</v>
      </c>
      <c r="H8" s="22" t="n">
        <f aca="false">D8+E8</f>
        <v>46183</v>
      </c>
      <c r="I8" s="23" t="n">
        <f aca="false">F8-G8</f>
        <v>41000000</v>
      </c>
      <c r="J8" s="24" t="n">
        <f aca="false">IF(I8=0,0,MAX(0,$O$2-H8))</f>
        <v>127</v>
      </c>
      <c r="K8" s="25" t="str">
        <f aca="false">IF(I8=0,"Lunas",IF(J8=0,"Belum Jatuh Tempo",IF(J8&lt;=30,"1-30 Hari",IF(J8&lt;=60,"31-60 Hari","Lebih dari 60 Hari"))))</f>
        <v>Lebih dari 60 Hari</v>
      </c>
      <c r="L8" s="23" t="n">
        <f aca="false">ROUND(I8*VLOOKUP(K8,Acuan!$A$2:$B$6,2,FALSE()),0)</f>
        <v>10250000</v>
      </c>
    </row>
    <row r="9" customFormat="false" ht="15" hidden="false" customHeight="false" outlineLevel="0" collapsed="false">
      <c r="A9" s="18" t="n">
        <v>8</v>
      </c>
      <c r="B9" s="19" t="s">
        <v>102</v>
      </c>
      <c r="C9" s="19" t="s">
        <v>103</v>
      </c>
      <c r="D9" s="20" t="n">
        <v>46143</v>
      </c>
      <c r="E9" s="18" t="n">
        <v>14</v>
      </c>
      <c r="F9" s="21" t="n">
        <v>15600000</v>
      </c>
      <c r="G9" s="21" t="n">
        <v>0</v>
      </c>
      <c r="H9" s="22" t="n">
        <f aca="false">D9+E9</f>
        <v>46157</v>
      </c>
      <c r="I9" s="23" t="n">
        <f aca="false">F9-G9</f>
        <v>15600000</v>
      </c>
      <c r="J9" s="24" t="n">
        <f aca="false">IF(I9=0,0,MAX(0,$O$2-H9))</f>
        <v>153</v>
      </c>
      <c r="K9" s="25" t="str">
        <f aca="false">IF(I9=0,"Lunas",IF(J9=0,"Belum Jatuh Tempo",IF(J9&lt;=30,"1-30 Hari",IF(J9&lt;=60,"31-60 Hari","Lebih dari 60 Hari"))))</f>
        <v>Lebih dari 60 Hari</v>
      </c>
      <c r="L9" s="23" t="n">
        <f aca="false">ROUND(I9*VLOOKUP(K9,Acuan!$A$2:$B$6,2,FALSE()),0)</f>
        <v>3900000</v>
      </c>
    </row>
    <row r="10" customFormat="false" ht="15" hidden="false" customHeight="false" outlineLevel="0" collapsed="false">
      <c r="A10" s="18" t="n">
        <v>9</v>
      </c>
      <c r="B10" s="19" t="s">
        <v>104</v>
      </c>
      <c r="C10" s="19" t="s">
        <v>103</v>
      </c>
      <c r="D10" s="20" t="n">
        <v>46159</v>
      </c>
      <c r="E10" s="18" t="n">
        <v>30</v>
      </c>
      <c r="F10" s="21" t="n">
        <v>36800000</v>
      </c>
      <c r="G10" s="21" t="n">
        <v>1200000</v>
      </c>
      <c r="H10" s="22" t="n">
        <f aca="false">D10+E10</f>
        <v>46189</v>
      </c>
      <c r="I10" s="23" t="n">
        <f aca="false">F10-G10</f>
        <v>35600000</v>
      </c>
      <c r="J10" s="24" t="n">
        <f aca="false">IF(I10=0,0,MAX(0,$O$2-H10))</f>
        <v>121</v>
      </c>
      <c r="K10" s="25" t="str">
        <f aca="false">IF(I10=0,"Lunas",IF(J10=0,"Belum Jatuh Tempo",IF(J10&lt;=30,"1-30 Hari",IF(J10&lt;=60,"31-60 Hari","Lebih dari 60 Hari"))))</f>
        <v>Lebih dari 60 Hari</v>
      </c>
      <c r="L10" s="23" t="n">
        <f aca="false">ROUND(I10*VLOOKUP(K10,Acuan!$A$2:$B$6,2,FALSE()),0)</f>
        <v>8900000</v>
      </c>
    </row>
    <row r="11" customFormat="false" ht="15" hidden="false" customHeight="false" outlineLevel="0" collapsed="false">
      <c r="A11" s="18" t="n">
        <v>10</v>
      </c>
      <c r="B11" s="19" t="s">
        <v>105</v>
      </c>
      <c r="C11" s="19" t="s">
        <v>106</v>
      </c>
      <c r="D11" s="20" t="n">
        <v>46171</v>
      </c>
      <c r="E11" s="18" t="n">
        <v>14</v>
      </c>
      <c r="F11" s="21" t="n">
        <v>10300000</v>
      </c>
      <c r="G11" s="21" t="n">
        <v>10300000</v>
      </c>
      <c r="H11" s="22" t="n">
        <f aca="false">D11+E11</f>
        <v>46185</v>
      </c>
      <c r="I11" s="23" t="n">
        <f aca="false">F11-G11</f>
        <v>0</v>
      </c>
      <c r="J11" s="24" t="n">
        <f aca="false">IF(I11=0,0,MAX(0,$O$2-H11))</f>
        <v>0</v>
      </c>
      <c r="K11" s="25" t="str">
        <f aca="false">IF(I11=0,"Lunas",IF(J11=0,"Belum Jatuh Tempo",IF(J11&lt;=30,"1-30 Hari",IF(J11&lt;=60,"31-60 Hari","Lebih dari 60 Hari"))))</f>
        <v>Lunas</v>
      </c>
      <c r="L11" s="23" t="n">
        <f aca="false">ROUND(I11*VLOOKUP(K11,Acuan!$A$2:$B$6,2,FALSE()),0)</f>
        <v>0</v>
      </c>
    </row>
    <row r="12" customFormat="false" ht="15" hidden="false" customHeight="false" outlineLevel="0" collapsed="false">
      <c r="A12" s="18" t="n">
        <v>11</v>
      </c>
      <c r="B12" s="19" t="s">
        <v>107</v>
      </c>
      <c r="C12" s="19" t="s">
        <v>108</v>
      </c>
      <c r="D12" s="20" t="n">
        <v>46178</v>
      </c>
      <c r="E12" s="18" t="n">
        <v>14</v>
      </c>
      <c r="F12" s="21" t="n">
        <v>60000000</v>
      </c>
      <c r="G12" s="21" t="n">
        <v>54600000</v>
      </c>
      <c r="H12" s="22" t="n">
        <f aca="false">D12+E12</f>
        <v>46192</v>
      </c>
      <c r="I12" s="23" t="n">
        <f aca="false">F12-G12</f>
        <v>5400000</v>
      </c>
      <c r="J12" s="24" t="n">
        <f aca="false">IF(I12=0,0,MAX(0,$O$2-H12))</f>
        <v>118</v>
      </c>
      <c r="K12" s="25" t="str">
        <f aca="false">IF(I12=0,"Lunas",IF(J12=0,"Belum Jatuh Tempo",IF(J12&lt;=30,"1-30 Hari",IF(J12&lt;=60,"31-60 Hari","Lebih dari 60 Hari"))))</f>
        <v>Lebih dari 60 Hari</v>
      </c>
      <c r="L12" s="23" t="n">
        <f aca="false">ROUND(I12*VLOOKUP(K12,Acuan!$A$2:$B$6,2,FALSE()),0)</f>
        <v>1350000</v>
      </c>
    </row>
    <row r="13" customFormat="false" ht="15" hidden="false" customHeight="false" outlineLevel="0" collapsed="false">
      <c r="A13" s="18" t="n">
        <v>12</v>
      </c>
      <c r="B13" s="19" t="s">
        <v>109</v>
      </c>
      <c r="C13" s="19" t="s">
        <v>110</v>
      </c>
      <c r="D13" s="20" t="n">
        <v>46186</v>
      </c>
      <c r="E13" s="18" t="n">
        <v>45</v>
      </c>
      <c r="F13" s="21" t="n">
        <v>43300000</v>
      </c>
      <c r="G13" s="21" t="n">
        <v>30300000</v>
      </c>
      <c r="H13" s="22" t="n">
        <f aca="false">D13+E13</f>
        <v>46231</v>
      </c>
      <c r="I13" s="23" t="n">
        <f aca="false">F13-G13</f>
        <v>13000000</v>
      </c>
      <c r="J13" s="24" t="n">
        <f aca="false">IF(I13=0,0,MAX(0,$O$2-H13))</f>
        <v>79</v>
      </c>
      <c r="K13" s="25" t="str">
        <f aca="false">IF(I13=0,"Lunas",IF(J13=0,"Belum Jatuh Tempo",IF(J13&lt;=30,"1-30 Hari",IF(J13&lt;=60,"31-60 Hari","Lebih dari 60 Hari"))))</f>
        <v>Lebih dari 60 Hari</v>
      </c>
      <c r="L13" s="23" t="n">
        <f aca="false">ROUND(I13*VLOOKUP(K13,Acuan!$A$2:$B$6,2,FALSE()),0)</f>
        <v>3250000</v>
      </c>
    </row>
    <row r="14" customFormat="false" ht="15" hidden="false" customHeight="false" outlineLevel="0" collapsed="false">
      <c r="A14" s="18" t="n">
        <v>13</v>
      </c>
      <c r="B14" s="19" t="s">
        <v>111</v>
      </c>
      <c r="C14" s="19" t="s">
        <v>90</v>
      </c>
      <c r="D14" s="20" t="n">
        <v>46191</v>
      </c>
      <c r="E14" s="18" t="n">
        <v>14</v>
      </c>
      <c r="F14" s="21" t="n">
        <v>50400000</v>
      </c>
      <c r="G14" s="21" t="n">
        <v>50400000</v>
      </c>
      <c r="H14" s="22" t="n">
        <f aca="false">D14+E14</f>
        <v>46205</v>
      </c>
      <c r="I14" s="23" t="n">
        <f aca="false">F14-G14</f>
        <v>0</v>
      </c>
      <c r="J14" s="24" t="n">
        <f aca="false">IF(I14=0,0,MAX(0,$O$2-H14))</f>
        <v>0</v>
      </c>
      <c r="K14" s="25" t="str">
        <f aca="false">IF(I14=0,"Lunas",IF(J14=0,"Belum Jatuh Tempo",IF(J14&lt;=30,"1-30 Hari",IF(J14&lt;=60,"31-60 Hari","Lebih dari 60 Hari"))))</f>
        <v>Lunas</v>
      </c>
      <c r="L14" s="23" t="n">
        <f aca="false">ROUND(I14*VLOOKUP(K14,Acuan!$A$2:$B$6,2,FALSE()),0)</f>
        <v>0</v>
      </c>
    </row>
    <row r="15" customFormat="false" ht="15" hidden="false" customHeight="false" outlineLevel="0" collapsed="false">
      <c r="A15" s="18" t="n">
        <v>14</v>
      </c>
      <c r="B15" s="19" t="s">
        <v>112</v>
      </c>
      <c r="C15" s="19" t="s">
        <v>94</v>
      </c>
      <c r="D15" s="20" t="n">
        <v>46193</v>
      </c>
      <c r="E15" s="18" t="n">
        <v>45</v>
      </c>
      <c r="F15" s="21" t="n">
        <v>43300000</v>
      </c>
      <c r="G15" s="21" t="n">
        <v>43300000</v>
      </c>
      <c r="H15" s="22" t="n">
        <f aca="false">D15+E15</f>
        <v>46238</v>
      </c>
      <c r="I15" s="23" t="n">
        <f aca="false">F15-G15</f>
        <v>0</v>
      </c>
      <c r="J15" s="24" t="n">
        <f aca="false">IF(I15=0,0,MAX(0,$O$2-H15))</f>
        <v>0</v>
      </c>
      <c r="K15" s="25" t="str">
        <f aca="false">IF(I15=0,"Lunas",IF(J15=0,"Belum Jatuh Tempo",IF(J15&lt;=30,"1-30 Hari",IF(J15&lt;=60,"31-60 Hari","Lebih dari 60 Hari"))))</f>
        <v>Lunas</v>
      </c>
      <c r="L15" s="23" t="n">
        <f aca="false">ROUND(I15*VLOOKUP(K15,Acuan!$A$2:$B$6,2,FALSE()),0)</f>
        <v>0</v>
      </c>
    </row>
    <row r="16" customFormat="false" ht="15" hidden="false" customHeight="false" outlineLevel="0" collapsed="false">
      <c r="A16" s="18" t="n">
        <v>15</v>
      </c>
      <c r="B16" s="19" t="s">
        <v>113</v>
      </c>
      <c r="C16" s="19" t="s">
        <v>108</v>
      </c>
      <c r="D16" s="20" t="n">
        <v>46203</v>
      </c>
      <c r="E16" s="18" t="n">
        <v>30</v>
      </c>
      <c r="F16" s="21" t="n">
        <v>25400000</v>
      </c>
      <c r="G16" s="21" t="n">
        <v>0</v>
      </c>
      <c r="H16" s="22" t="n">
        <f aca="false">D16+E16</f>
        <v>46233</v>
      </c>
      <c r="I16" s="23" t="n">
        <f aca="false">F16-G16</f>
        <v>25400000</v>
      </c>
      <c r="J16" s="24" t="n">
        <f aca="false">IF(I16=0,0,MAX(0,$O$2-H16))</f>
        <v>77</v>
      </c>
      <c r="K16" s="25" t="str">
        <f aca="false">IF(I16=0,"Lunas",IF(J16=0,"Belum Jatuh Tempo",IF(J16&lt;=30,"1-30 Hari",IF(J16&lt;=60,"31-60 Hari","Lebih dari 60 Hari"))))</f>
        <v>Lebih dari 60 Hari</v>
      </c>
      <c r="L16" s="23" t="n">
        <f aca="false">ROUND(I16*VLOOKUP(K16,Acuan!$A$2:$B$6,2,FALSE()),0)</f>
        <v>6350000</v>
      </c>
    </row>
    <row r="17" customFormat="false" ht="15" hidden="false" customHeight="false" outlineLevel="0" collapsed="false">
      <c r="A17" s="18" t="n">
        <v>16</v>
      </c>
      <c r="B17" s="19" t="s">
        <v>114</v>
      </c>
      <c r="C17" s="19" t="s">
        <v>108</v>
      </c>
      <c r="D17" s="20" t="n">
        <v>46205</v>
      </c>
      <c r="E17" s="18" t="n">
        <v>30</v>
      </c>
      <c r="F17" s="21" t="n">
        <v>40400000</v>
      </c>
      <c r="G17" s="21" t="n">
        <v>40400000</v>
      </c>
      <c r="H17" s="22" t="n">
        <f aca="false">D17+E17</f>
        <v>46235</v>
      </c>
      <c r="I17" s="23" t="n">
        <f aca="false">F17-G17</f>
        <v>0</v>
      </c>
      <c r="J17" s="24" t="n">
        <f aca="false">IF(I17=0,0,MAX(0,$O$2-H17))</f>
        <v>0</v>
      </c>
      <c r="K17" s="25" t="str">
        <f aca="false">IF(I17=0,"Lunas",IF(J17=0,"Belum Jatuh Tempo",IF(J17&lt;=30,"1-30 Hari",IF(J17&lt;=60,"31-60 Hari","Lebih dari 60 Hari"))))</f>
        <v>Lunas</v>
      </c>
      <c r="L17" s="23" t="n">
        <f aca="false">ROUND(I17*VLOOKUP(K17,Acuan!$A$2:$B$6,2,FALSE()),0)</f>
        <v>0</v>
      </c>
    </row>
    <row r="18" customFormat="false" ht="15" hidden="false" customHeight="false" outlineLevel="0" collapsed="false">
      <c r="A18" s="18" t="n">
        <v>17</v>
      </c>
      <c r="B18" s="19" t="s">
        <v>115</v>
      </c>
      <c r="C18" s="19" t="s">
        <v>108</v>
      </c>
      <c r="D18" s="20" t="n">
        <v>46222</v>
      </c>
      <c r="E18" s="18" t="n">
        <v>45</v>
      </c>
      <c r="F18" s="21" t="n">
        <v>44300000</v>
      </c>
      <c r="G18" s="21" t="n">
        <v>44300000</v>
      </c>
      <c r="H18" s="22" t="n">
        <f aca="false">D18+E18</f>
        <v>46267</v>
      </c>
      <c r="I18" s="23" t="n">
        <f aca="false">F18-G18</f>
        <v>0</v>
      </c>
      <c r="J18" s="24" t="n">
        <f aca="false">IF(I18=0,0,MAX(0,$O$2-H18))</f>
        <v>0</v>
      </c>
      <c r="K18" s="25" t="str">
        <f aca="false">IF(I18=0,"Lunas",IF(J18=0,"Belum Jatuh Tempo",IF(J18&lt;=30,"1-30 Hari",IF(J18&lt;=60,"31-60 Hari","Lebih dari 60 Hari"))))</f>
        <v>Lunas</v>
      </c>
      <c r="L18" s="23" t="n">
        <f aca="false">ROUND(I18*VLOOKUP(K18,Acuan!$A$2:$B$6,2,FALSE()),0)</f>
        <v>0</v>
      </c>
    </row>
    <row r="19" customFormat="false" ht="15" hidden="false" customHeight="false" outlineLevel="0" collapsed="false">
      <c r="A19" s="18" t="n">
        <v>18</v>
      </c>
      <c r="B19" s="19" t="s">
        <v>116</v>
      </c>
      <c r="C19" s="19" t="s">
        <v>110</v>
      </c>
      <c r="D19" s="20" t="n">
        <v>46228</v>
      </c>
      <c r="E19" s="18" t="n">
        <v>30</v>
      </c>
      <c r="F19" s="21" t="n">
        <v>88300000</v>
      </c>
      <c r="G19" s="21" t="n">
        <v>88300000</v>
      </c>
      <c r="H19" s="22" t="n">
        <f aca="false">D19+E19</f>
        <v>46258</v>
      </c>
      <c r="I19" s="23" t="n">
        <f aca="false">F19-G19</f>
        <v>0</v>
      </c>
      <c r="J19" s="24" t="n">
        <f aca="false">IF(I19=0,0,MAX(0,$O$2-H19))</f>
        <v>0</v>
      </c>
      <c r="K19" s="25" t="str">
        <f aca="false">IF(I19=0,"Lunas",IF(J19=0,"Belum Jatuh Tempo",IF(J19&lt;=30,"1-30 Hari",IF(J19&lt;=60,"31-60 Hari","Lebih dari 60 Hari"))))</f>
        <v>Lunas</v>
      </c>
      <c r="L19" s="23" t="n">
        <f aca="false">ROUND(I19*VLOOKUP(K19,Acuan!$A$2:$B$6,2,FALSE()),0)</f>
        <v>0</v>
      </c>
    </row>
    <row r="20" customFormat="false" ht="15" hidden="false" customHeight="false" outlineLevel="0" collapsed="false">
      <c r="A20" s="18" t="n">
        <v>19</v>
      </c>
      <c r="B20" s="19" t="s">
        <v>117</v>
      </c>
      <c r="C20" s="19" t="s">
        <v>110</v>
      </c>
      <c r="D20" s="20" t="n">
        <v>46233</v>
      </c>
      <c r="E20" s="18" t="n">
        <v>45</v>
      </c>
      <c r="F20" s="21" t="n">
        <v>9700000</v>
      </c>
      <c r="G20" s="21" t="n">
        <v>0</v>
      </c>
      <c r="H20" s="22" t="n">
        <f aca="false">D20+E20</f>
        <v>46278</v>
      </c>
      <c r="I20" s="23" t="n">
        <f aca="false">F20-G20</f>
        <v>9700000</v>
      </c>
      <c r="J20" s="24" t="n">
        <f aca="false">IF(I20=0,0,MAX(0,$O$2-H20))</f>
        <v>32</v>
      </c>
      <c r="K20" s="25" t="str">
        <f aca="false">IF(I20=0,"Lunas",IF(J20=0,"Belum Jatuh Tempo",IF(J20&lt;=30,"1-30 Hari",IF(J20&lt;=60,"31-60 Hari","Lebih dari 60 Hari"))))</f>
        <v>31-60 Hari</v>
      </c>
      <c r="L20" s="23" t="n">
        <f aca="false">ROUND(I20*VLOOKUP(K20,Acuan!$A$2:$B$6,2,FALSE()),0)</f>
        <v>970000</v>
      </c>
    </row>
    <row r="21" customFormat="false" ht="15" hidden="false" customHeight="false" outlineLevel="0" collapsed="false">
      <c r="A21" s="18" t="n">
        <v>20</v>
      </c>
      <c r="B21" s="19" t="s">
        <v>118</v>
      </c>
      <c r="C21" s="19" t="s">
        <v>106</v>
      </c>
      <c r="D21" s="20" t="n">
        <v>46239</v>
      </c>
      <c r="E21" s="18" t="n">
        <v>14</v>
      </c>
      <c r="F21" s="21" t="n">
        <v>74200000</v>
      </c>
      <c r="G21" s="21" t="n">
        <v>0</v>
      </c>
      <c r="H21" s="22" t="n">
        <f aca="false">D21+E21</f>
        <v>46253</v>
      </c>
      <c r="I21" s="23" t="n">
        <f aca="false">F21-G21</f>
        <v>74200000</v>
      </c>
      <c r="J21" s="24" t="n">
        <f aca="false">IF(I21=0,0,MAX(0,$O$2-H21))</f>
        <v>57</v>
      </c>
      <c r="K21" s="25" t="str">
        <f aca="false">IF(I21=0,"Lunas",IF(J21=0,"Belum Jatuh Tempo",IF(J21&lt;=30,"1-30 Hari",IF(J21&lt;=60,"31-60 Hari","Lebih dari 60 Hari"))))</f>
        <v>31-60 Hari</v>
      </c>
      <c r="L21" s="23" t="n">
        <f aca="false">ROUND(I21*VLOOKUP(K21,Acuan!$A$2:$B$6,2,FALSE()),0)</f>
        <v>7420000</v>
      </c>
    </row>
    <row r="22" customFormat="false" ht="15" hidden="false" customHeight="false" outlineLevel="0" collapsed="false">
      <c r="A22" s="18" t="n">
        <v>21</v>
      </c>
      <c r="B22" s="19" t="s">
        <v>119</v>
      </c>
      <c r="C22" s="19" t="s">
        <v>103</v>
      </c>
      <c r="D22" s="20" t="n">
        <v>46241</v>
      </c>
      <c r="E22" s="18" t="n">
        <v>14</v>
      </c>
      <c r="F22" s="21" t="n">
        <v>31100000</v>
      </c>
      <c r="G22" s="21" t="n">
        <v>0</v>
      </c>
      <c r="H22" s="22" t="n">
        <f aca="false">D22+E22</f>
        <v>46255</v>
      </c>
      <c r="I22" s="23" t="n">
        <f aca="false">F22-G22</f>
        <v>31100000</v>
      </c>
      <c r="J22" s="24" t="n">
        <f aca="false">IF(I22=0,0,MAX(0,$O$2-H22))</f>
        <v>55</v>
      </c>
      <c r="K22" s="25" t="str">
        <f aca="false">IF(I22=0,"Lunas",IF(J22=0,"Belum Jatuh Tempo",IF(J22&lt;=30,"1-30 Hari",IF(J22&lt;=60,"31-60 Hari","Lebih dari 60 Hari"))))</f>
        <v>31-60 Hari</v>
      </c>
      <c r="L22" s="23" t="n">
        <f aca="false">ROUND(I22*VLOOKUP(K22,Acuan!$A$2:$B$6,2,FALSE()),0)</f>
        <v>3110000</v>
      </c>
    </row>
    <row r="23" customFormat="false" ht="15" hidden="false" customHeight="false" outlineLevel="0" collapsed="false">
      <c r="A23" s="18" t="n">
        <v>22</v>
      </c>
      <c r="B23" s="19" t="s">
        <v>120</v>
      </c>
      <c r="C23" s="19" t="s">
        <v>108</v>
      </c>
      <c r="D23" s="20" t="n">
        <v>46243</v>
      </c>
      <c r="E23" s="18" t="n">
        <v>45</v>
      </c>
      <c r="F23" s="21" t="n">
        <v>24600000</v>
      </c>
      <c r="G23" s="21" t="n">
        <v>0</v>
      </c>
      <c r="H23" s="22" t="n">
        <f aca="false">D23+E23</f>
        <v>46288</v>
      </c>
      <c r="I23" s="23" t="n">
        <f aca="false">F23-G23</f>
        <v>24600000</v>
      </c>
      <c r="J23" s="24" t="n">
        <f aca="false">IF(I23=0,0,MAX(0,$O$2-H23))</f>
        <v>22</v>
      </c>
      <c r="K23" s="25" t="str">
        <f aca="false">IF(I23=0,"Lunas",IF(J23=0,"Belum Jatuh Tempo",IF(J23&lt;=30,"1-30 Hari",IF(J23&lt;=60,"31-60 Hari","Lebih dari 60 Hari"))))</f>
        <v>1-30 Hari</v>
      </c>
      <c r="L23" s="23" t="n">
        <f aca="false">ROUND(I23*VLOOKUP(K23,Acuan!$A$2:$B$6,2,FALSE()),0)</f>
        <v>1230000</v>
      </c>
    </row>
    <row r="24" customFormat="false" ht="15" hidden="false" customHeight="false" outlineLevel="0" collapsed="false">
      <c r="A24" s="18" t="n">
        <v>23</v>
      </c>
      <c r="B24" s="19" t="s">
        <v>121</v>
      </c>
      <c r="C24" s="19" t="s">
        <v>96</v>
      </c>
      <c r="D24" s="20" t="n">
        <v>46244</v>
      </c>
      <c r="E24" s="18" t="n">
        <v>14</v>
      </c>
      <c r="F24" s="21" t="n">
        <v>29500000</v>
      </c>
      <c r="G24" s="21" t="n">
        <v>28700000</v>
      </c>
      <c r="H24" s="22" t="n">
        <f aca="false">D24+E24</f>
        <v>46258</v>
      </c>
      <c r="I24" s="23" t="n">
        <f aca="false">F24-G24</f>
        <v>800000</v>
      </c>
      <c r="J24" s="24" t="n">
        <f aca="false">IF(I24=0,0,MAX(0,$O$2-H24))</f>
        <v>52</v>
      </c>
      <c r="K24" s="25" t="str">
        <f aca="false">IF(I24=0,"Lunas",IF(J24=0,"Belum Jatuh Tempo",IF(J24&lt;=30,"1-30 Hari",IF(J24&lt;=60,"31-60 Hari","Lebih dari 60 Hari"))))</f>
        <v>31-60 Hari</v>
      </c>
      <c r="L24" s="23" t="n">
        <f aca="false">ROUND(I24*VLOOKUP(K24,Acuan!$A$2:$B$6,2,FALSE()),0)</f>
        <v>80000</v>
      </c>
    </row>
    <row r="25" customFormat="false" ht="15" hidden="false" customHeight="false" outlineLevel="0" collapsed="false">
      <c r="A25" s="18" t="n">
        <v>24</v>
      </c>
      <c r="B25" s="19" t="s">
        <v>122</v>
      </c>
      <c r="C25" s="19" t="s">
        <v>96</v>
      </c>
      <c r="D25" s="20" t="n">
        <v>46246</v>
      </c>
      <c r="E25" s="18" t="n">
        <v>45</v>
      </c>
      <c r="F25" s="21" t="n">
        <v>51800000</v>
      </c>
      <c r="G25" s="21" t="n">
        <v>51800000</v>
      </c>
      <c r="H25" s="22" t="n">
        <f aca="false">D25+E25</f>
        <v>46291</v>
      </c>
      <c r="I25" s="23" t="n">
        <f aca="false">F25-G25</f>
        <v>0</v>
      </c>
      <c r="J25" s="24" t="n">
        <f aca="false">IF(I25=0,0,MAX(0,$O$2-H25))</f>
        <v>0</v>
      </c>
      <c r="K25" s="25" t="str">
        <f aca="false">IF(I25=0,"Lunas",IF(J25=0,"Belum Jatuh Tempo",IF(J25&lt;=30,"1-30 Hari",IF(J25&lt;=60,"31-60 Hari","Lebih dari 60 Hari"))))</f>
        <v>Lunas</v>
      </c>
      <c r="L25" s="23" t="n">
        <f aca="false">ROUND(I25*VLOOKUP(K25,Acuan!$A$2:$B$6,2,FALSE()),0)</f>
        <v>0</v>
      </c>
    </row>
    <row r="26" customFormat="false" ht="15" hidden="false" customHeight="false" outlineLevel="0" collapsed="false">
      <c r="A26" s="18" t="n">
        <v>25</v>
      </c>
      <c r="B26" s="19" t="s">
        <v>123</v>
      </c>
      <c r="C26" s="19" t="s">
        <v>108</v>
      </c>
      <c r="D26" s="20" t="n">
        <v>46255</v>
      </c>
      <c r="E26" s="18" t="n">
        <v>30</v>
      </c>
      <c r="F26" s="21" t="n">
        <v>85100000</v>
      </c>
      <c r="G26" s="21" t="n">
        <v>85100000</v>
      </c>
      <c r="H26" s="22" t="n">
        <f aca="false">D26+E26</f>
        <v>46285</v>
      </c>
      <c r="I26" s="23" t="n">
        <f aca="false">F26-G26</f>
        <v>0</v>
      </c>
      <c r="J26" s="24" t="n">
        <f aca="false">IF(I26=0,0,MAX(0,$O$2-H26))</f>
        <v>0</v>
      </c>
      <c r="K26" s="25" t="str">
        <f aca="false">IF(I26=0,"Lunas",IF(J26=0,"Belum Jatuh Tempo",IF(J26&lt;=30,"1-30 Hari",IF(J26&lt;=60,"31-60 Hari","Lebih dari 60 Hari"))))</f>
        <v>Lunas</v>
      </c>
      <c r="L26" s="23" t="n">
        <f aca="false">ROUND(I26*VLOOKUP(K26,Acuan!$A$2:$B$6,2,FALSE()),0)</f>
        <v>0</v>
      </c>
    </row>
    <row r="27" customFormat="false" ht="15" hidden="false" customHeight="false" outlineLevel="0" collapsed="false">
      <c r="A27" s="18" t="n">
        <v>26</v>
      </c>
      <c r="B27" s="19" t="s">
        <v>124</v>
      </c>
      <c r="C27" s="19" t="s">
        <v>106</v>
      </c>
      <c r="D27" s="20" t="n">
        <v>46264</v>
      </c>
      <c r="E27" s="18" t="n">
        <v>14</v>
      </c>
      <c r="F27" s="21" t="n">
        <v>20000000</v>
      </c>
      <c r="G27" s="21" t="n">
        <v>0</v>
      </c>
      <c r="H27" s="22" t="n">
        <f aca="false">D27+E27</f>
        <v>46278</v>
      </c>
      <c r="I27" s="23" t="n">
        <f aca="false">F27-G27</f>
        <v>20000000</v>
      </c>
      <c r="J27" s="24" t="n">
        <f aca="false">IF(I27=0,0,MAX(0,$O$2-H27))</f>
        <v>32</v>
      </c>
      <c r="K27" s="25" t="str">
        <f aca="false">IF(I27=0,"Lunas",IF(J27=0,"Belum Jatuh Tempo",IF(J27&lt;=30,"1-30 Hari",IF(J27&lt;=60,"31-60 Hari","Lebih dari 60 Hari"))))</f>
        <v>31-60 Hari</v>
      </c>
      <c r="L27" s="23" t="n">
        <f aca="false">ROUND(I27*VLOOKUP(K27,Acuan!$A$2:$B$6,2,FALSE()),0)</f>
        <v>2000000</v>
      </c>
    </row>
    <row r="28" customFormat="false" ht="15" hidden="false" customHeight="false" outlineLevel="0" collapsed="false">
      <c r="A28" s="18" t="n">
        <v>27</v>
      </c>
      <c r="B28" s="19" t="s">
        <v>125</v>
      </c>
      <c r="C28" s="19" t="s">
        <v>98</v>
      </c>
      <c r="D28" s="20" t="n">
        <v>46271</v>
      </c>
      <c r="E28" s="18" t="n">
        <v>14</v>
      </c>
      <c r="F28" s="21" t="n">
        <v>78200000</v>
      </c>
      <c r="G28" s="21" t="n">
        <v>28600000</v>
      </c>
      <c r="H28" s="22" t="n">
        <f aca="false">D28+E28</f>
        <v>46285</v>
      </c>
      <c r="I28" s="23" t="n">
        <f aca="false">F28-G28</f>
        <v>49600000</v>
      </c>
      <c r="J28" s="24" t="n">
        <f aca="false">IF(I28=0,0,MAX(0,$O$2-H28))</f>
        <v>25</v>
      </c>
      <c r="K28" s="25" t="str">
        <f aca="false">IF(I28=0,"Lunas",IF(J28=0,"Belum Jatuh Tempo",IF(J28&lt;=30,"1-30 Hari",IF(J28&lt;=60,"31-60 Hari","Lebih dari 60 Hari"))))</f>
        <v>1-30 Hari</v>
      </c>
      <c r="L28" s="23" t="n">
        <f aca="false">ROUND(I28*VLOOKUP(K28,Acuan!$A$2:$B$6,2,FALSE()),0)</f>
        <v>2480000</v>
      </c>
    </row>
    <row r="29" customFormat="false" ht="15" hidden="false" customHeight="false" outlineLevel="0" collapsed="false">
      <c r="A29" s="18" t="n">
        <v>28</v>
      </c>
      <c r="B29" s="19" t="s">
        <v>126</v>
      </c>
      <c r="C29" s="19" t="s">
        <v>108</v>
      </c>
      <c r="D29" s="20" t="n">
        <v>46280</v>
      </c>
      <c r="E29" s="18" t="n">
        <v>45</v>
      </c>
      <c r="F29" s="21" t="n">
        <v>51500000</v>
      </c>
      <c r="G29" s="21" t="n">
        <v>0</v>
      </c>
      <c r="H29" s="22" t="n">
        <f aca="false">D29+E29</f>
        <v>46325</v>
      </c>
      <c r="I29" s="23" t="n">
        <f aca="false">F29-G29</f>
        <v>51500000</v>
      </c>
      <c r="J29" s="24" t="n">
        <f aca="false">IF(I29=0,0,MAX(0,$O$2-H29))</f>
        <v>0</v>
      </c>
      <c r="K29" s="25" t="str">
        <f aca="false">IF(I29=0,"Lunas",IF(J29=0,"Belum Jatuh Tempo",IF(J29&lt;=30,"1-30 Hari",IF(J29&lt;=60,"31-60 Hari","Lebih dari 60 Hari"))))</f>
        <v>Belum Jatuh Tempo</v>
      </c>
      <c r="L29" s="23" t="n">
        <f aca="false">ROUND(I29*VLOOKUP(K29,Acuan!$A$2:$B$6,2,FALSE()),0)</f>
        <v>515000</v>
      </c>
    </row>
    <row r="30" customFormat="false" ht="15" hidden="false" customHeight="false" outlineLevel="0" collapsed="false">
      <c r="A30" s="18" t="n">
        <v>29</v>
      </c>
      <c r="B30" s="19" t="s">
        <v>127</v>
      </c>
      <c r="C30" s="19" t="s">
        <v>108</v>
      </c>
      <c r="D30" s="20" t="n">
        <v>46287</v>
      </c>
      <c r="E30" s="18" t="n">
        <v>30</v>
      </c>
      <c r="F30" s="21" t="n">
        <v>41400000</v>
      </c>
      <c r="G30" s="21" t="n">
        <v>41400000</v>
      </c>
      <c r="H30" s="22" t="n">
        <f aca="false">D30+E30</f>
        <v>46317</v>
      </c>
      <c r="I30" s="23" t="n">
        <f aca="false">F30-G30</f>
        <v>0</v>
      </c>
      <c r="J30" s="24" t="n">
        <f aca="false">IF(I30=0,0,MAX(0,$O$2-H30))</f>
        <v>0</v>
      </c>
      <c r="K30" s="25" t="str">
        <f aca="false">IF(I30=0,"Lunas",IF(J30=0,"Belum Jatuh Tempo",IF(J30&lt;=30,"1-30 Hari",IF(J30&lt;=60,"31-60 Hari","Lebih dari 60 Hari"))))</f>
        <v>Lunas</v>
      </c>
      <c r="L30" s="23" t="n">
        <f aca="false">ROUND(I30*VLOOKUP(K30,Acuan!$A$2:$B$6,2,FALSE()),0)</f>
        <v>0</v>
      </c>
    </row>
    <row r="31" customFormat="false" ht="15" hidden="false" customHeight="false" outlineLevel="0" collapsed="false">
      <c r="A31" s="18" t="n">
        <v>30</v>
      </c>
      <c r="B31" s="19" t="s">
        <v>128</v>
      </c>
      <c r="C31" s="19" t="s">
        <v>106</v>
      </c>
      <c r="D31" s="20" t="n">
        <v>46289</v>
      </c>
      <c r="E31" s="18" t="n">
        <v>45</v>
      </c>
      <c r="F31" s="21" t="n">
        <v>62700000</v>
      </c>
      <c r="G31" s="21" t="n">
        <v>7500000</v>
      </c>
      <c r="H31" s="22" t="n">
        <f aca="false">D31+E31</f>
        <v>46334</v>
      </c>
      <c r="I31" s="23" t="n">
        <f aca="false">F31-G31</f>
        <v>55200000</v>
      </c>
      <c r="J31" s="24" t="n">
        <f aca="false">IF(I31=0,0,MAX(0,$O$2-H31))</f>
        <v>0</v>
      </c>
      <c r="K31" s="25" t="str">
        <f aca="false">IF(I31=0,"Lunas",IF(J31=0,"Belum Jatuh Tempo",IF(J31&lt;=30,"1-30 Hari",IF(J31&lt;=60,"31-60 Hari","Lebih dari 60 Hari"))))</f>
        <v>Belum Jatuh Tempo</v>
      </c>
      <c r="L31" s="23" t="n">
        <f aca="false">ROUND(I31*VLOOKUP(K31,Acuan!$A$2:$B$6,2,FALSE()),0)</f>
        <v>552000</v>
      </c>
    </row>
    <row r="32" customFormat="false" ht="15" hidden="false" customHeight="false" outlineLevel="0" collapsed="false">
      <c r="A32" s="18" t="n">
        <v>31</v>
      </c>
      <c r="B32" s="19" t="s">
        <v>129</v>
      </c>
      <c r="C32" s="19" t="s">
        <v>103</v>
      </c>
      <c r="D32" s="20" t="n">
        <v>46294</v>
      </c>
      <c r="E32" s="18" t="n">
        <v>30</v>
      </c>
      <c r="F32" s="21" t="n">
        <v>59900000</v>
      </c>
      <c r="G32" s="21" t="n">
        <v>48700000</v>
      </c>
      <c r="H32" s="22" t="n">
        <f aca="false">D32+E32</f>
        <v>46324</v>
      </c>
      <c r="I32" s="23" t="n">
        <f aca="false">F32-G32</f>
        <v>11200000</v>
      </c>
      <c r="J32" s="24" t="n">
        <f aca="false">IF(I32=0,0,MAX(0,$O$2-H32))</f>
        <v>0</v>
      </c>
      <c r="K32" s="25" t="str">
        <f aca="false">IF(I32=0,"Lunas",IF(J32=0,"Belum Jatuh Tempo",IF(J32&lt;=30,"1-30 Hari",IF(J32&lt;=60,"31-60 Hari","Lebih dari 60 Hari"))))</f>
        <v>Belum Jatuh Tempo</v>
      </c>
      <c r="L32" s="23" t="n">
        <f aca="false">ROUND(I32*VLOOKUP(K32,Acuan!$A$2:$B$6,2,FALSE()),0)</f>
        <v>112000</v>
      </c>
    </row>
    <row r="33" customFormat="false" ht="15" hidden="false" customHeight="false" outlineLevel="0" collapsed="false">
      <c r="A33" s="18" t="n">
        <v>32</v>
      </c>
      <c r="B33" s="19" t="s">
        <v>130</v>
      </c>
      <c r="C33" s="19" t="s">
        <v>110</v>
      </c>
      <c r="D33" s="20" t="n">
        <v>46294</v>
      </c>
      <c r="E33" s="18" t="n">
        <v>14</v>
      </c>
      <c r="F33" s="21" t="n">
        <v>25800000</v>
      </c>
      <c r="G33" s="21" t="n">
        <v>0</v>
      </c>
      <c r="H33" s="22" t="n">
        <f aca="false">D33+E33</f>
        <v>46308</v>
      </c>
      <c r="I33" s="23" t="n">
        <f aca="false">F33-G33</f>
        <v>25800000</v>
      </c>
      <c r="J33" s="24" t="n">
        <f aca="false">IF(I33=0,0,MAX(0,$O$2-H33))</f>
        <v>2</v>
      </c>
      <c r="K33" s="25" t="str">
        <f aca="false">IF(I33=0,"Lunas",IF(J33=0,"Belum Jatuh Tempo",IF(J33&lt;=30,"1-30 Hari",IF(J33&lt;=60,"31-60 Hari","Lebih dari 60 Hari"))))</f>
        <v>1-30 Hari</v>
      </c>
      <c r="L33" s="23" t="n">
        <f aca="false">ROUND(I33*VLOOKUP(K33,Acuan!$A$2:$B$6,2,FALSE()),0)</f>
        <v>1290000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1"/>
    <col collapsed="false" customWidth="true" hidden="false" outlineLevel="0" max="3" min="3" style="0" width="13"/>
    <col collapsed="false" customWidth="true" hidden="false" outlineLevel="0" max="4" min="4" style="0" width="17"/>
    <col collapsed="false" customWidth="true" hidden="false" outlineLevel="0" max="5" min="5" style="0" width="16"/>
  </cols>
  <sheetData>
    <row r="1" customFormat="false" ht="33.75" hidden="false" customHeight="true" outlineLevel="0" collapsed="false">
      <c r="A1" s="12" t="s">
        <v>84</v>
      </c>
      <c r="B1" s="12" t="s">
        <v>131</v>
      </c>
      <c r="C1" s="16" t="s">
        <v>132</v>
      </c>
      <c r="D1" s="16" t="s">
        <v>133</v>
      </c>
      <c r="E1" s="16" t="s">
        <v>134</v>
      </c>
    </row>
    <row r="2" customFormat="false" ht="15" hidden="false" customHeight="false" outlineLevel="0" collapsed="false">
      <c r="A2" s="19" t="s">
        <v>135</v>
      </c>
      <c r="B2" s="29" t="n">
        <v>0</v>
      </c>
      <c r="C2" s="24" t="n">
        <f aca="false">COUNTIF(Data!$K$2:$K$33,A2)</f>
        <v>10</v>
      </c>
      <c r="D2" s="23" t="n">
        <f aca="false">SUMIF(Data!$K$2:$K$33,A2,Data!$I$2:$I$33)</f>
        <v>0</v>
      </c>
      <c r="E2" s="23" t="n">
        <f aca="false">SUMIF(Data!$K$2:$K$33,A2,Data!$L$2:$L$33)</f>
        <v>0</v>
      </c>
    </row>
    <row r="3" customFormat="false" ht="15" hidden="false" customHeight="false" outlineLevel="0" collapsed="false">
      <c r="A3" s="19" t="s">
        <v>136</v>
      </c>
      <c r="B3" s="29" t="n">
        <v>0.01</v>
      </c>
      <c r="C3" s="24" t="n">
        <f aca="false">COUNTIF(Data!$K$2:$K$33,A3)</f>
        <v>3</v>
      </c>
      <c r="D3" s="23" t="n">
        <f aca="false">SUMIF(Data!$K$2:$K$33,A3,Data!$I$2:$I$33)</f>
        <v>117900000</v>
      </c>
      <c r="E3" s="23" t="n">
        <f aca="false">SUMIF(Data!$K$2:$K$33,A3,Data!$L$2:$L$33)</f>
        <v>1179000</v>
      </c>
    </row>
    <row r="4" customFormat="false" ht="15" hidden="false" customHeight="false" outlineLevel="0" collapsed="false">
      <c r="A4" s="19" t="s">
        <v>137</v>
      </c>
      <c r="B4" s="29" t="n">
        <v>0.05</v>
      </c>
      <c r="C4" s="24" t="n">
        <f aca="false">COUNTIF(Data!$K$2:$K$33,A4)</f>
        <v>3</v>
      </c>
      <c r="D4" s="23" t="n">
        <f aca="false">SUMIF(Data!$K$2:$K$33,A4,Data!$I$2:$I$33)</f>
        <v>100000000</v>
      </c>
      <c r="E4" s="23" t="n">
        <f aca="false">SUMIF(Data!$K$2:$K$33,A4,Data!$L$2:$L$33)</f>
        <v>5000000</v>
      </c>
    </row>
    <row r="5" customFormat="false" ht="15" hidden="false" customHeight="false" outlineLevel="0" collapsed="false">
      <c r="A5" s="19" t="s">
        <v>138</v>
      </c>
      <c r="B5" s="29" t="n">
        <v>0.1</v>
      </c>
      <c r="C5" s="24" t="n">
        <f aca="false">COUNTIF(Data!$K$2:$K$33,A5)</f>
        <v>5</v>
      </c>
      <c r="D5" s="23" t="n">
        <f aca="false">SUMIF(Data!$K$2:$K$33,A5,Data!$I$2:$I$33)</f>
        <v>135800000</v>
      </c>
      <c r="E5" s="23" t="n">
        <f aca="false">SUMIF(Data!$K$2:$K$33,A5,Data!$L$2:$L$33)</f>
        <v>13580000</v>
      </c>
    </row>
    <row r="6" customFormat="false" ht="15" hidden="false" customHeight="false" outlineLevel="0" collapsed="false">
      <c r="A6" s="19" t="s">
        <v>139</v>
      </c>
      <c r="B6" s="29" t="n">
        <v>0.25</v>
      </c>
      <c r="C6" s="24" t="n">
        <f aca="false">COUNTIF(Data!$K$2:$K$33,A6)</f>
        <v>11</v>
      </c>
      <c r="D6" s="23" t="n">
        <f aca="false">SUMIF(Data!$K$2:$K$33,A6,Data!$I$2:$I$33)</f>
        <v>293100000</v>
      </c>
      <c r="E6" s="23" t="n">
        <f aca="false">SUMIF(Data!$K$2:$K$33,A6,Data!$L$2:$L$33)</f>
        <v>73275000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30" t="s">
        <v>140</v>
      </c>
      <c r="B1" s="30"/>
      <c r="C1" s="30"/>
      <c r="D1" s="30"/>
    </row>
    <row r="2" customFormat="false" ht="15" hidden="false" customHeight="false" outlineLevel="0" collapsed="false">
      <c r="A2" s="31" t="s">
        <v>141</v>
      </c>
      <c r="B2" s="31"/>
      <c r="C2" s="31"/>
      <c r="D2" s="31"/>
    </row>
    <row r="3" customFormat="false" ht="15" hidden="false" customHeight="false" outlineLevel="0" collapsed="false">
      <c r="A3" s="12" t="s">
        <v>19</v>
      </c>
      <c r="B3" s="12" t="s">
        <v>142</v>
      </c>
      <c r="C3" s="12" t="s">
        <v>143</v>
      </c>
      <c r="D3" s="12" t="s">
        <v>144</v>
      </c>
    </row>
    <row r="4" customFormat="false" ht="19.5" hidden="false" customHeight="true" outlineLevel="0" collapsed="false">
      <c r="A4" s="32" t="s">
        <v>145</v>
      </c>
      <c r="B4" s="33" t="s">
        <v>146</v>
      </c>
      <c r="C4" s="23" t="n">
        <f aca="false">SUM(Data!$I$2:$I$33)</f>
        <v>646800000</v>
      </c>
      <c r="D4" s="28" t="s">
        <v>147</v>
      </c>
    </row>
    <row r="5" customFormat="false" ht="19.5" hidden="false" customHeight="true" outlineLevel="0" collapsed="false">
      <c r="A5" s="32" t="s">
        <v>148</v>
      </c>
      <c r="B5" s="33" t="s">
        <v>149</v>
      </c>
      <c r="C5" s="23" t="n">
        <f aca="false">SUM(Data!$L$2:$L$33)</f>
        <v>93034000</v>
      </c>
      <c r="D5" s="28" t="s">
        <v>147</v>
      </c>
    </row>
    <row r="6" customFormat="false" ht="19.5" hidden="false" customHeight="true" outlineLevel="0" collapsed="false">
      <c r="A6" s="32" t="s">
        <v>47</v>
      </c>
      <c r="B6" s="33" t="s">
        <v>150</v>
      </c>
      <c r="C6" s="34" t="n">
        <f aca="false">SUMIF(Data!$J$2:$J$33,"&gt;0",Data!$I$2:$I$33)/SUM(Data!$I$2:$I$33)</f>
        <v>0.817717996289425</v>
      </c>
      <c r="D6" s="28" t="s">
        <v>151</v>
      </c>
    </row>
    <row r="7" customFormat="false" ht="19.5" hidden="false" customHeight="true" outlineLevel="0" collapsed="false">
      <c r="A7" s="32" t="s">
        <v>51</v>
      </c>
      <c r="B7" s="33" t="s">
        <v>152</v>
      </c>
      <c r="C7" s="24" t="n">
        <f aca="false">COUNTIF(Data!$K$2:$K$33,"Lunas")</f>
        <v>10</v>
      </c>
      <c r="D7" s="28" t="s">
        <v>153</v>
      </c>
    </row>
    <row r="8" customFormat="false" ht="19.5" hidden="false" customHeight="true" outlineLevel="0" collapsed="false">
      <c r="A8" s="32" t="s">
        <v>55</v>
      </c>
      <c r="B8" s="33" t="s">
        <v>154</v>
      </c>
      <c r="C8" s="25" t="str">
        <f aca="false">INDEX(Data!$B$2:$B$33,MATCH(MAX(Data!$J$2:$J$33),Data!$J$2:$J$33,0))</f>
        <v>INV-2026-004</v>
      </c>
      <c r="D8" s="28" t="s">
        <v>155</v>
      </c>
    </row>
    <row r="9" customFormat="false" ht="19.5" hidden="false" customHeight="true" outlineLevel="0" collapsed="false">
      <c r="A9" s="32" t="s">
        <v>71</v>
      </c>
      <c r="B9" s="33" t="s">
        <v>156</v>
      </c>
      <c r="C9" s="25" t="str">
        <f aca="false">INDEX(Acuan!$A$2:$A$6,MATCH(MAX(Acuan!$D$2:$D$6),Acuan!$D$2:$D$6,0))</f>
        <v>Lebih dari 60 Hari</v>
      </c>
      <c r="D9" s="28" t="s">
        <v>157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2026-10-10T06:49:19Z</dcterms:created>
  <dc:creator>PushExcel</dc:creator>
  <dc:description/>
  <dc:language>en-US</dc:language>
  <cp:lastModifiedBy/>
  <dcterms:modified xsi:type="dcterms:W3CDTF">2026-10-10T06:49:19Z</dcterms:modified>
  <cp:revision>0</cp:revision>
  <dc:subject/>
  <dc:title>Umur Piutang dan Cadangan Kerugian - Kunci</dc:title>
</cp:coreProperties>
</file>

<file path=docProps/custom.xml><?xml version="1.0" encoding="utf-8"?>
<Properties xmlns="http://schemas.openxmlformats.org/officeDocument/2006/custom-properties" xmlns:vt="http://schemas.openxmlformats.org/officeDocument/2006/docPropsVTypes"/>
</file>