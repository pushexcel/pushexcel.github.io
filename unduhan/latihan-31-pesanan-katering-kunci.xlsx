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<sst xmlns="http://schemas.openxmlformats.org/spreadsheetml/2006/main" count="246" uniqueCount="212">
  <si>
    <t xml:space="preserve">Kunci Jawaban: Pesanan Katering, DP, dan Sisa Pembayaran</t>
  </si>
  <si>
    <t xml:space="preserve">Latihan 31 dari 56  |  Tingkat: Menengah  |  Perkiraan waktu: 50 menit  |  pushexcel.github.io/Pushexcel</t>
  </si>
  <si>
    <t xml:space="preserve">Skenario</t>
  </si>
  <si>
    <t xml:space="preserve">Kamu admin Dapur Bu Lestari yang menerima pesanan katering dan nasi kotak. Ada 30 pesanan pada September sampai Oktober 2026. Harga per porsi tiap paket ada di sheet Acuan. Pesanan 100 porsi atau lebih mendapat diskon 8 persen dari subtotal. Setiap pesanan dikenai ongkos kirim tetap Rp 50.000. Pesanan dianggap DP Cukup bila DP minimal 30 persen dari total tagihan, dan Lunas bila DP sama dengan atau lebih dari total tagihan.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</si>
  <si>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</si>
  <si>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</si>
  <si>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</si>
  <si>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</si>
  <si>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</si>
  <si>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</si>
  <si>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</si>
  <si>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</si>
  <si>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</si>
  <si>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</si>
  <si>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</si>
  <si>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</si>
  <si>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</si>
  <si>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</si>
  <si>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</si>
  <si>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</si>
  <si>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</si>
  <si>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</si>
  <si>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</si>
  <si>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</si>
  <si>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nama paket dari sheet Acuan berdasarkan Kode Paket.</t>
  </si>
  <si>
    <t xml:space="preserve">Sheet Data, kolom H (Nama Paket), baris 2 sampai 31</t>
  </si>
  <si>
    <t xml:space="preserve">=VLOOKUP(E2;Acuan!$A$2:$C$6;2;FALSE)</t>
  </si>
  <si>
    <t xml:space="preserve">2</t>
  </si>
  <si>
    <t xml:space="preserve">Ambil harga per porsi dari sheet Acuan berdasarkan Kode Paket.</t>
  </si>
  <si>
    <t xml:space="preserve">Sheet Data, kolom I (Harga per Porsi), baris 2 sampai 31</t>
  </si>
  <si>
    <t xml:space="preserve">=VLOOKUP(E2;Acuan!$A$2:$C$6;3;FALSE)</t>
  </si>
  <si>
    <t xml:space="preserve">3</t>
  </si>
  <si>
    <t xml:space="preserve">Hitung subtotal: jumlah porsi dikali harga per porsi.</t>
  </si>
  <si>
    <t xml:space="preserve">Sheet Data, kolom J (Subtotal), baris 2 sampai 31</t>
  </si>
  <si>
    <t xml:space="preserve">=F2*I2</t>
  </si>
  <si>
    <t xml:space="preserve">4</t>
  </si>
  <si>
    <t xml:space="preserve">Hitung diskon: pesanan dengan porsi sama dengan atau lebih dari batas mendapat diskon dari subtotal, dibulatkan ke rupiah. Selain itu 0.</t>
  </si>
  <si>
    <t xml:space="preserve">Sheet Data, kolom K (Diskon), baris 2 sampai 31</t>
  </si>
  <si>
    <t xml:space="preserve">=IF(F2&gt;=$R$2;ROUND(J2*$R$3;0);0)</t>
  </si>
  <si>
    <t xml:space="preserve">5</t>
  </si>
  <si>
    <t xml:space="preserve">Hitung total tagihan: subtotal dikurangi diskon, ditambah ongkos kirim.</t>
  </si>
  <si>
    <t xml:space="preserve">Sheet Data, kolom L (Total Tagihan), baris 2 sampai 31</t>
  </si>
  <si>
    <t xml:space="preserve">=J2-K2+$R$4</t>
  </si>
  <si>
    <t xml:space="preserve">6</t>
  </si>
  <si>
    <t xml:space="preserve">Hitung sisa bayar: total tagihan dikurangi DP. Bila DP melebihi total tagihan, sisa bayar 0.</t>
  </si>
  <si>
    <t xml:space="preserve">Sheet Data, kolom M (Sisa Bayar), baris 2 sampai 31</t>
  </si>
  <si>
    <t xml:space="preserve">=MAX(L2-G2;0)</t>
  </si>
  <si>
    <t xml:space="preserve">7</t>
  </si>
  <si>
    <t xml:space="preserve">Beri status: Lunas bila DP sama dengan atau lebih dari total tagihan, DP Cukup bila DP minimal sebesar persen minimal dari total tagihan, selain itu DP Kurang.</t>
  </si>
  <si>
    <t xml:space="preserve">Sheet Data, kolom N (Status Bayar), baris 2 sampai 31</t>
  </si>
  <si>
    <t xml:space="preserve">=IF(G2&gt;=L2;"Lunas";IF(G2&gt;=ROUND(L2*$R$5;0);"DP Cukup";"DP Kurang"))</t>
  </si>
  <si>
    <t xml:space="preserve">8</t>
  </si>
  <si>
    <t xml:space="preserve">Hitung jarak hari antara tanggal pesan dan tanggal acara.</t>
  </si>
  <si>
    <t xml:space="preserve">Sheet Data, kolom O (Jarak Hari), baris 2 sampai 31</t>
  </si>
  <si>
    <t xml:space="preserve">=C2-B2</t>
  </si>
  <si>
    <t xml:space="preserve">9</t>
  </si>
  <si>
    <t xml:space="preserve">Pada sheet Acuan, hitung jumlah pesanan tiap paket.</t>
  </si>
  <si>
    <t xml:space="preserve">Sheet Acuan, kolom D (Jumlah Pesanan), baris 2 sampai 6</t>
  </si>
  <si>
    <t xml:space="preserve">=COUNTIF(Data!$E$2:$E$31;A2)</t>
  </si>
  <si>
    <t xml:space="preserve">10</t>
  </si>
  <si>
    <t xml:space="preserve">Pada sheet Acuan, hitung total porsi yang dipesan tiap paket.</t>
  </si>
  <si>
    <t xml:space="preserve">Sheet Acuan, kolom E (Total Porsi), baris 2 sampai 6</t>
  </si>
  <si>
    <t xml:space="preserve">=SUMIF(Data!$E$2:$E$31;A2;Data!$F$2:$F$31)</t>
  </si>
  <si>
    <t xml:space="preserve">11</t>
  </si>
  <si>
    <t xml:space="preserve">Berapa total tagihan seluruh pesanan, total diskon yang diberikan, dan total sisa bayar yang belum diterima?</t>
  </si>
  <si>
    <t xml:space="preserve">Sheet Ringkasan, sel C4 sampai C6</t>
  </si>
  <si>
    <t xml:space="preserve">=SUM(Data!$L$2:$L$31)
=SUM(Data!$K$2:$K$31)
=SUM(Data!$M$2:$M$31)</t>
  </si>
  <si>
    <t xml:space="preserve">12</t>
  </si>
  <si>
    <t xml:space="preserve">Berapa pesanan yang Lunas, DP Cukup, dan DP Kurang?</t>
  </si>
  <si>
    <t xml:space="preserve">Sheet Ringkasan, sel C7 sampai C9</t>
  </si>
  <si>
    <t xml:space="preserve">=COUNTIF(Data!$N$2:$N$31;"Lunas")
=COUNTIF(Data!$N$2:$N$31;"DP Cukup")
=COUNTIF(Data!$N$2:$N$31;"DP Kurang")</t>
  </si>
  <si>
    <t xml:space="preserve">13</t>
  </si>
  <si>
    <t xml:space="preserve">Siapa pemesan dengan total tagihan terbesar, dan paket apa yang paling banyak dipesan (total porsi terbanyak)?</t>
  </si>
  <si>
    <t xml:space="preserve">Sheet Ringkasan, sel C10 sampai C11</t>
  </si>
  <si>
    <t xml:space="preserve">=INDEX(Data!$D$2:$D$31;MATCH(MAX(Data!$L$2:$L$31);Data!$L$2:$L$31;0))
=INDEX(Acuan!$B$2:$B$6;MATCH(MAX(Acuan!$E$2:$E$6);Acuan!$E$2:$E$6;0))</t>
  </si>
  <si>
    <t xml:space="preserve">14</t>
  </si>
  <si>
    <t xml:space="preserve">Berapa rata-rata jarak hari antara pesan dan acara, dan berapa pesanan yang mendapat diskon?</t>
  </si>
  <si>
    <t xml:space="preserve">Sheet Ringkasan, sel C12 sampai C13</t>
  </si>
  <si>
    <t xml:space="preserve">=AVERAGE(Data!$O$2:$O$31)
=COUNTIF(Data!$K$2:$K$31;"&gt;0")</t>
  </si>
  <si>
    <t xml:space="preserve">No Pesanan</t>
  </si>
  <si>
    <t xml:space="preserve">Tanggal Pesan</t>
  </si>
  <si>
    <t xml:space="preserve">Tanggal Acara</t>
  </si>
  <si>
    <t xml:space="preserve">Pemesan</t>
  </si>
  <si>
    <t xml:space="preserve">Kode Paket</t>
  </si>
  <si>
    <t xml:space="preserve">Porsi</t>
  </si>
  <si>
    <t xml:space="preserve">DP</t>
  </si>
  <si>
    <t xml:space="preserve">Nama Paket</t>
  </si>
  <si>
    <t xml:space="preserve">Harga per Porsi</t>
  </si>
  <si>
    <t xml:space="preserve">Subtotal</t>
  </si>
  <si>
    <t xml:space="preserve">Diskon</t>
  </si>
  <si>
    <t xml:space="preserve">Total Tagihan</t>
  </si>
  <si>
    <t xml:space="preserve">Sisa Bayar</t>
  </si>
  <si>
    <t xml:space="preserve">Status Bayar</t>
  </si>
  <si>
    <t xml:space="preserve">Jarak Hari</t>
  </si>
  <si>
    <t xml:space="preserve">Parameter</t>
  </si>
  <si>
    <t xml:space="preserve">Nilai</t>
  </si>
  <si>
    <t xml:space="preserve">Keterangan</t>
  </si>
  <si>
    <t xml:space="preserve">KTR-001</t>
  </si>
  <si>
    <t xml:space="preserve">Andi Amalia</t>
  </si>
  <si>
    <t xml:space="preserve">C</t>
  </si>
  <si>
    <t xml:space="preserve">Batas porsi diskon</t>
  </si>
  <si>
    <t xml:space="preserve">Porsi sama dengan atau lebih dari ini mendapat diskon</t>
  </si>
  <si>
    <t xml:space="preserve">KTR-002</t>
  </si>
  <si>
    <t xml:space="preserve">Edi Wijaya</t>
  </si>
  <si>
    <t xml:space="preserve">A</t>
  </si>
  <si>
    <t xml:space="preserve">Diskon porsi besar</t>
  </si>
  <si>
    <t xml:space="preserve">Dihitung dari subtotal</t>
  </si>
  <si>
    <t xml:space="preserve">KTR-003</t>
  </si>
  <si>
    <t xml:space="preserve">Fajar Permana</t>
  </si>
  <si>
    <t xml:space="preserve">E</t>
  </si>
  <si>
    <t xml:space="preserve">Ongkos kirim</t>
  </si>
  <si>
    <t xml:space="preserve">Per pesanan</t>
  </si>
  <si>
    <t xml:space="preserve">KTR-004</t>
  </si>
  <si>
    <t xml:space="preserve">Agus Hidayat</t>
  </si>
  <si>
    <t xml:space="preserve">DP minimal</t>
  </si>
  <si>
    <t xml:space="preserve">Persen dari total tagihan</t>
  </si>
  <si>
    <t xml:space="preserve">KTR-005</t>
  </si>
  <si>
    <t xml:space="preserve">Tono Wibowo</t>
  </si>
  <si>
    <t xml:space="preserve">KTR-006</t>
  </si>
  <si>
    <t xml:space="preserve">Nurul Maharani</t>
  </si>
  <si>
    <t xml:space="preserve">KTR-007</t>
  </si>
  <si>
    <t xml:space="preserve">Dimas Nugroho</t>
  </si>
  <si>
    <t xml:space="preserve">KTR-008</t>
  </si>
  <si>
    <t xml:space="preserve">Agus Kusuma</t>
  </si>
  <si>
    <t xml:space="preserve">D</t>
  </si>
  <si>
    <t xml:space="preserve">KTR-009</t>
  </si>
  <si>
    <t xml:space="preserve">Citra Rahayu</t>
  </si>
  <si>
    <t xml:space="preserve">KTR-010</t>
  </si>
  <si>
    <t xml:space="preserve">Lina Firmansyah</t>
  </si>
  <si>
    <t xml:space="preserve">KTR-011</t>
  </si>
  <si>
    <t xml:space="preserve">Khoirul Wibowo</t>
  </si>
  <si>
    <t xml:space="preserve">KTR-012</t>
  </si>
  <si>
    <t xml:space="preserve">Galih Pratama</t>
  </si>
  <si>
    <t xml:space="preserve">KTR-013</t>
  </si>
  <si>
    <t xml:space="preserve">Novi Sari</t>
  </si>
  <si>
    <t xml:space="preserve">B</t>
  </si>
  <si>
    <t xml:space="preserve">KTR-014</t>
  </si>
  <si>
    <t xml:space="preserve">Agus Anggraini</t>
  </si>
  <si>
    <t xml:space="preserve">KTR-015</t>
  </si>
  <si>
    <t xml:space="preserve">Fajar Wibowo</t>
  </si>
  <si>
    <t xml:space="preserve">KTR-016</t>
  </si>
  <si>
    <t xml:space="preserve">Umar Hartono</t>
  </si>
  <si>
    <t xml:space="preserve">KTR-017</t>
  </si>
  <si>
    <t xml:space="preserve">Eko Ramadhan</t>
  </si>
  <si>
    <t xml:space="preserve">KTR-018</t>
  </si>
  <si>
    <t xml:space="preserve">Oki Maharani</t>
  </si>
  <si>
    <t xml:space="preserve">KTR-019</t>
  </si>
  <si>
    <t xml:space="preserve">Oki Pangestu</t>
  </si>
  <si>
    <t xml:space="preserve">KTR-020</t>
  </si>
  <si>
    <t xml:space="preserve">Bambang Pangestu</t>
  </si>
  <si>
    <t xml:space="preserve">KTR-021</t>
  </si>
  <si>
    <t xml:space="preserve">Maman Anggraini</t>
  </si>
  <si>
    <t xml:space="preserve">KTR-022</t>
  </si>
  <si>
    <t xml:space="preserve">Eka Ramadhan</t>
  </si>
  <si>
    <t xml:space="preserve">KTR-023</t>
  </si>
  <si>
    <t xml:space="preserve">Andi Putra</t>
  </si>
  <si>
    <t xml:space="preserve">KTR-024</t>
  </si>
  <si>
    <t xml:space="preserve">Eka Kurniawan</t>
  </si>
  <si>
    <t xml:space="preserve">KTR-025</t>
  </si>
  <si>
    <t xml:space="preserve">Ahmad Wibowo</t>
  </si>
  <si>
    <t xml:space="preserve">KTR-026</t>
  </si>
  <si>
    <t xml:space="preserve">Rina Firmansyah</t>
  </si>
  <si>
    <t xml:space="preserve">KTR-027</t>
  </si>
  <si>
    <t xml:space="preserve">Eka Saputra</t>
  </si>
  <si>
    <t xml:space="preserve">KTR-028</t>
  </si>
  <si>
    <t xml:space="preserve">Wahyu Handayani</t>
  </si>
  <si>
    <t xml:space="preserve">KTR-029</t>
  </si>
  <si>
    <t xml:space="preserve">Khoirul Utomo</t>
  </si>
  <si>
    <t xml:space="preserve">KTR-030</t>
  </si>
  <si>
    <t xml:space="preserve">Wawan Hidayat</t>
  </si>
  <si>
    <t xml:space="preserve">Jumlah Pesanan</t>
  </si>
  <si>
    <t xml:space="preserve">Total Porsi</t>
  </si>
  <si>
    <t xml:space="preserve">Nasi Box Hemat</t>
  </si>
  <si>
    <t xml:space="preserve">Nasi Box Premium</t>
  </si>
  <si>
    <t xml:space="preserve">Prasmanan Keluarga</t>
  </si>
  <si>
    <t xml:space="preserve">Tumpeng Syukuran</t>
  </si>
  <si>
    <t xml:space="preserve">Snack Box Rapat</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</si>
  <si>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</si>
  <si>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</si>
  <si>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</si>
  <si>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</si>
  <si>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</si>
  <si>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</si>
  <si>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tagihan seluruh pesanan</t>
  </si>
  <si>
    <t xml:space="preserve">Rupiah, mis. Rp 50.000.000</t>
  </si>
  <si>
    <t xml:space="preserve">11b</t>
  </si>
  <si>
    <t xml:space="preserve">Total diskon</t>
  </si>
  <si>
    <t xml:space="preserve">Rupiah, mis. Rp 1.500.000</t>
  </si>
  <si>
    <t xml:space="preserve">11c</t>
  </si>
  <si>
    <t xml:space="preserve">Total sisa bayar</t>
  </si>
  <si>
    <t xml:space="preserve">Rupiah, mis. Rp 20.000.000</t>
  </si>
  <si>
    <t xml:space="preserve">12a</t>
  </si>
  <si>
    <t xml:space="preserve">Jumlah pesanan Lunas</t>
  </si>
  <si>
    <t xml:space="preserve">Angka bulat, mis. 8</t>
  </si>
  <si>
    <t xml:space="preserve">12b</t>
  </si>
  <si>
    <t xml:space="preserve">Jumlah pesanan DP Cukup</t>
  </si>
  <si>
    <t xml:space="preserve">Angka bulat, mis. 12</t>
  </si>
  <si>
    <t xml:space="preserve">12c</t>
  </si>
  <si>
    <t xml:space="preserve">Jumlah pesanan DP Kurang</t>
  </si>
  <si>
    <t xml:space="preserve">Angka bulat, mis. 10</t>
  </si>
  <si>
    <t xml:space="preserve">13a</t>
  </si>
  <si>
    <t xml:space="preserve">Pemesan dengan total tagihan terbesar</t>
  </si>
  <si>
    <t xml:space="preserve">Teks: nama pemesan</t>
  </si>
  <si>
    <t xml:space="preserve">13b</t>
  </si>
  <si>
    <t xml:space="preserve">Paket dengan total porsi terbanyak</t>
  </si>
  <si>
    <t xml:space="preserve">Teks: nama paket</t>
  </si>
  <si>
    <t xml:space="preserve">14a</t>
  </si>
  <si>
    <t xml:space="preserve">Rata-rata jarak hari pesan ke acara</t>
  </si>
  <si>
    <t xml:space="preserve">Angka desimal, mis. 9,5</t>
  </si>
  <si>
    <t xml:space="preserve">14b</t>
  </si>
  <si>
    <t xml:space="preserve">Jumlah pesanan yang mendapat diskon</t>
  </si>
  <si>
    <t xml:space="preserve">Angka bulat, mis. 7</t>
  </si>
</sst>
</file>

<file path=xl/styles.xml><?xml version="1.0" encoding="utf-8"?>
<styleSheet xmlns="http://schemas.openxmlformats.org/spreadsheetml/2006/main">
  <numFmts count="6">
    <numFmt numFmtId="164" formatCode="General"/>
    <numFmt numFmtId="165" formatCode="dd/mm/yyyy"/>
    <numFmt numFmtId="166" formatCode="0"/>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3"/>
    <col collapsed="false" customWidth="true" hidden="false" outlineLevel="0" max="4" min="4" style="0" width="22"/>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22"/>
    <col collapsed="false" customWidth="true" hidden="false" outlineLevel="0" max="9" min="9" style="0" width="13"/>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3"/>
    <col collapsed="false" customWidth="true" hidden="false" outlineLevel="0" max="14" min="14" style="0" width="12"/>
    <col collapsed="false" customWidth="true" hidden="false" outlineLevel="0" max="15" min="15" style="0" width="10"/>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1" t="s">
        <v>79</v>
      </c>
      <c r="B1" s="11" t="s">
        <v>80</v>
      </c>
      <c r="C1" s="11" t="s">
        <v>81</v>
      </c>
      <c r="D1" s="11" t="s">
        <v>82</v>
      </c>
      <c r="E1" s="11" t="s">
        <v>83</v>
      </c>
      <c r="F1" s="11" t="s">
        <v>84</v>
      </c>
      <c r="G1" s="11" t="s">
        <v>85</v>
      </c>
      <c r="H1" s="15" t="s">
        <v>86</v>
      </c>
      <c r="I1" s="15" t="s">
        <v>87</v>
      </c>
      <c r="J1" s="15" t="s">
        <v>88</v>
      </c>
      <c r="K1" s="15" t="s">
        <v>89</v>
      </c>
      <c r="L1" s="15" t="s">
        <v>90</v>
      </c>
      <c r="M1" s="15" t="s">
        <v>91</v>
      </c>
      <c r="N1" s="15" t="s">
        <v>92</v>
      </c>
      <c r="O1" s="15" t="s">
        <v>93</v>
      </c>
      <c r="Q1" s="16" t="s">
        <v>94</v>
      </c>
      <c r="R1" s="16" t="s">
        <v>95</v>
      </c>
      <c r="S1" s="16" t="s">
        <v>96</v>
      </c>
    </row>
    <row r="2" customFormat="false" ht="15" hidden="false" customHeight="false" outlineLevel="0" collapsed="false">
      <c r="A2" s="17" t="s">
        <v>97</v>
      </c>
      <c r="B2" s="18" t="n">
        <v>46266</v>
      </c>
      <c r="C2" s="18" t="n">
        <v>46269</v>
      </c>
      <c r="D2" s="17" t="s">
        <v>98</v>
      </c>
      <c r="E2" s="17" t="s">
        <v>99</v>
      </c>
      <c r="F2" s="19" t="n">
        <v>250</v>
      </c>
      <c r="G2" s="20" t="n">
        <v>12700000</v>
      </c>
      <c r="H2" s="21" t="str">
        <f aca="false">VLOOKUP(E2,Acuan!$A$2:$C$6,2,FALSE())</f>
        <v>Prasmanan Keluarga</v>
      </c>
      <c r="I2" s="22" t="n">
        <f aca="false">VLOOKUP(E2,Acuan!$A$2:$C$6,3,FALSE())</f>
        <v>55000</v>
      </c>
      <c r="J2" s="22" t="n">
        <f aca="false">F2*I2</f>
        <v>13750000</v>
      </c>
      <c r="K2" s="22" t="n">
        <f aca="false">IF(F2&gt;=$R$2,ROUND(J2*$R$3,0),0)</f>
        <v>1100000</v>
      </c>
      <c r="L2" s="22" t="n">
        <f aca="false">J2-K2+$R$4</f>
        <v>12700000</v>
      </c>
      <c r="M2" s="22" t="n">
        <f aca="false">MAX(L2-G2,0)</f>
        <v>0</v>
      </c>
      <c r="N2" s="21" t="str">
        <f aca="false">IF(G2&gt;=L2,"Lunas",IF(G2&gt;=ROUND(L2*$R$5,0),"DP Cukup","DP Kurang"))</f>
        <v>Lunas</v>
      </c>
      <c r="O2" s="23" t="n">
        <f aca="false">C2-B2</f>
        <v>3</v>
      </c>
      <c r="Q2" s="24" t="s">
        <v>100</v>
      </c>
      <c r="R2" s="25" t="n">
        <v>100</v>
      </c>
      <c r="S2" s="24" t="s">
        <v>101</v>
      </c>
    </row>
    <row r="3" customFormat="false" ht="15" hidden="false" customHeight="false" outlineLevel="0" collapsed="false">
      <c r="A3" s="17" t="s">
        <v>102</v>
      </c>
      <c r="B3" s="18" t="n">
        <v>46267</v>
      </c>
      <c r="C3" s="18" t="n">
        <v>46285</v>
      </c>
      <c r="D3" s="17" t="s">
        <v>103</v>
      </c>
      <c r="E3" s="17" t="s">
        <v>104</v>
      </c>
      <c r="F3" s="19" t="n">
        <v>30</v>
      </c>
      <c r="G3" s="20" t="n">
        <v>160000</v>
      </c>
      <c r="H3" s="21" t="str">
        <f aca="false">VLOOKUP(E3,Acuan!$A$2:$C$6,2,FALSE())</f>
        <v>Nasi Box Hemat</v>
      </c>
      <c r="I3" s="22" t="n">
        <f aca="false">VLOOKUP(E3,Acuan!$A$2:$C$6,3,FALSE())</f>
        <v>25000</v>
      </c>
      <c r="J3" s="22" t="n">
        <f aca="false">F3*I3</f>
        <v>750000</v>
      </c>
      <c r="K3" s="22" t="n">
        <f aca="false">IF(F3&gt;=$R$2,ROUND(J3*$R$3,0),0)</f>
        <v>0</v>
      </c>
      <c r="L3" s="22" t="n">
        <f aca="false">J3-K3+$R$4</f>
        <v>800000</v>
      </c>
      <c r="M3" s="22" t="n">
        <f aca="false">MAX(L3-G3,0)</f>
        <v>640000</v>
      </c>
      <c r="N3" s="21" t="str">
        <f aca="false">IF(G3&gt;=L3,"Lunas",IF(G3&gt;=ROUND(L3*$R$5,0),"DP Cukup","DP Kurang"))</f>
        <v>DP Kurang</v>
      </c>
      <c r="O3" s="23" t="n">
        <f aca="false">C3-B3</f>
        <v>18</v>
      </c>
      <c r="Q3" s="24" t="s">
        <v>105</v>
      </c>
      <c r="R3" s="26" t="n">
        <v>0.08</v>
      </c>
      <c r="S3" s="24" t="s">
        <v>106</v>
      </c>
    </row>
    <row r="4" customFormat="false" ht="15" hidden="false" customHeight="false" outlineLevel="0" collapsed="false">
      <c r="A4" s="17" t="s">
        <v>107</v>
      </c>
      <c r="B4" s="18" t="n">
        <v>46270</v>
      </c>
      <c r="C4" s="18" t="n">
        <v>46288</v>
      </c>
      <c r="D4" s="17" t="s">
        <v>108</v>
      </c>
      <c r="E4" s="17" t="s">
        <v>109</v>
      </c>
      <c r="F4" s="19" t="n">
        <v>250</v>
      </c>
      <c r="G4" s="20" t="n">
        <v>4190000</v>
      </c>
      <c r="H4" s="21" t="str">
        <f aca="false">VLOOKUP(E4,Acuan!$A$2:$C$6,2,FALSE())</f>
        <v>Snack Box Rapat</v>
      </c>
      <c r="I4" s="22" t="n">
        <f aca="false">VLOOKUP(E4,Acuan!$A$2:$C$6,3,FALSE())</f>
        <v>18000</v>
      </c>
      <c r="J4" s="22" t="n">
        <f aca="false">F4*I4</f>
        <v>4500000</v>
      </c>
      <c r="K4" s="22" t="n">
        <f aca="false">IF(F4&gt;=$R$2,ROUND(J4*$R$3,0),0)</f>
        <v>360000</v>
      </c>
      <c r="L4" s="22" t="n">
        <f aca="false">J4-K4+$R$4</f>
        <v>4190000</v>
      </c>
      <c r="M4" s="22" t="n">
        <f aca="false">MAX(L4-G4,0)</f>
        <v>0</v>
      </c>
      <c r="N4" s="21" t="str">
        <f aca="false">IF(G4&gt;=L4,"Lunas",IF(G4&gt;=ROUND(L4*$R$5,0),"DP Cukup","DP Kurang"))</f>
        <v>Lunas</v>
      </c>
      <c r="O4" s="23" t="n">
        <f aca="false">C4-B4</f>
        <v>18</v>
      </c>
      <c r="Q4" s="24" t="s">
        <v>110</v>
      </c>
      <c r="R4" s="27" t="n">
        <v>50000</v>
      </c>
      <c r="S4" s="24" t="s">
        <v>111</v>
      </c>
    </row>
    <row r="5" customFormat="false" ht="15" hidden="false" customHeight="false" outlineLevel="0" collapsed="false">
      <c r="A5" s="17" t="s">
        <v>112</v>
      </c>
      <c r="B5" s="18" t="n">
        <v>46270</v>
      </c>
      <c r="C5" s="18" t="n">
        <v>46278</v>
      </c>
      <c r="D5" s="17" t="s">
        <v>113</v>
      </c>
      <c r="E5" s="17" t="s">
        <v>109</v>
      </c>
      <c r="F5" s="19" t="n">
        <v>50</v>
      </c>
      <c r="G5" s="20" t="n">
        <v>413000</v>
      </c>
      <c r="H5" s="21" t="str">
        <f aca="false">VLOOKUP(E5,Acuan!$A$2:$C$6,2,FALSE())</f>
        <v>Snack Box Rapat</v>
      </c>
      <c r="I5" s="22" t="n">
        <f aca="false">VLOOKUP(E5,Acuan!$A$2:$C$6,3,FALSE())</f>
        <v>18000</v>
      </c>
      <c r="J5" s="22" t="n">
        <f aca="false">F5*I5</f>
        <v>900000</v>
      </c>
      <c r="K5" s="22" t="n">
        <f aca="false">IF(F5&gt;=$R$2,ROUND(J5*$R$3,0),0)</f>
        <v>0</v>
      </c>
      <c r="L5" s="22" t="n">
        <f aca="false">J5-K5+$R$4</f>
        <v>950000</v>
      </c>
      <c r="M5" s="22" t="n">
        <f aca="false">MAX(L5-G5,0)</f>
        <v>537000</v>
      </c>
      <c r="N5" s="21" t="str">
        <f aca="false">IF(G5&gt;=L5,"Lunas",IF(G5&gt;=ROUND(L5*$R$5,0),"DP Cukup","DP Kurang"))</f>
        <v>DP Cukup</v>
      </c>
      <c r="O5" s="23" t="n">
        <f aca="false">C5-B5</f>
        <v>8</v>
      </c>
      <c r="Q5" s="24" t="s">
        <v>114</v>
      </c>
      <c r="R5" s="26" t="n">
        <v>0.3</v>
      </c>
      <c r="S5" s="24" t="s">
        <v>115</v>
      </c>
    </row>
    <row r="6" customFormat="false" ht="15" hidden="false" customHeight="false" outlineLevel="0" collapsed="false">
      <c r="A6" s="17" t="s">
        <v>116</v>
      </c>
      <c r="B6" s="18" t="n">
        <v>46271</v>
      </c>
      <c r="C6" s="18" t="n">
        <v>46276</v>
      </c>
      <c r="D6" s="17" t="s">
        <v>117</v>
      </c>
      <c r="E6" s="17" t="s">
        <v>109</v>
      </c>
      <c r="F6" s="19" t="n">
        <v>250</v>
      </c>
      <c r="G6" s="20" t="n">
        <v>2334000</v>
      </c>
      <c r="H6" s="21" t="str">
        <f aca="false">VLOOKUP(E6,Acuan!$A$2:$C$6,2,FALSE())</f>
        <v>Snack Box Rapat</v>
      </c>
      <c r="I6" s="22" t="n">
        <f aca="false">VLOOKUP(E6,Acuan!$A$2:$C$6,3,FALSE())</f>
        <v>18000</v>
      </c>
      <c r="J6" s="22" t="n">
        <f aca="false">F6*I6</f>
        <v>4500000</v>
      </c>
      <c r="K6" s="22" t="n">
        <f aca="false">IF(F6&gt;=$R$2,ROUND(J6*$R$3,0),0)</f>
        <v>360000</v>
      </c>
      <c r="L6" s="22" t="n">
        <f aca="false">J6-K6+$R$4</f>
        <v>4190000</v>
      </c>
      <c r="M6" s="22" t="n">
        <f aca="false">MAX(L6-G6,0)</f>
        <v>1856000</v>
      </c>
      <c r="N6" s="21" t="str">
        <f aca="false">IF(G6&gt;=L6,"Lunas",IF(G6&gt;=ROUND(L6*$R$5,0),"DP Cukup","DP Kurang"))</f>
        <v>DP Cukup</v>
      </c>
      <c r="O6" s="23" t="n">
        <f aca="false">C6-B6</f>
        <v>5</v>
      </c>
    </row>
    <row r="7" customFormat="false" ht="15" hidden="false" customHeight="false" outlineLevel="0" collapsed="false">
      <c r="A7" s="17" t="s">
        <v>118</v>
      </c>
      <c r="B7" s="18" t="n">
        <v>46274</v>
      </c>
      <c r="C7" s="18" t="n">
        <v>46292</v>
      </c>
      <c r="D7" s="17" t="s">
        <v>119</v>
      </c>
      <c r="E7" s="17" t="s">
        <v>109</v>
      </c>
      <c r="F7" s="19" t="n">
        <v>75</v>
      </c>
      <c r="G7" s="20" t="n">
        <v>705000</v>
      </c>
      <c r="H7" s="21" t="str">
        <f aca="false">VLOOKUP(E7,Acuan!$A$2:$C$6,2,FALSE())</f>
        <v>Snack Box Rapat</v>
      </c>
      <c r="I7" s="22" t="n">
        <f aca="false">VLOOKUP(E7,Acuan!$A$2:$C$6,3,FALSE())</f>
        <v>18000</v>
      </c>
      <c r="J7" s="22" t="n">
        <f aca="false">F7*I7</f>
        <v>1350000</v>
      </c>
      <c r="K7" s="22" t="n">
        <f aca="false">IF(F7&gt;=$R$2,ROUND(J7*$R$3,0),0)</f>
        <v>0</v>
      </c>
      <c r="L7" s="22" t="n">
        <f aca="false">J7-K7+$R$4</f>
        <v>1400000</v>
      </c>
      <c r="M7" s="22" t="n">
        <f aca="false">MAX(L7-G7,0)</f>
        <v>695000</v>
      </c>
      <c r="N7" s="21" t="str">
        <f aca="false">IF(G7&gt;=L7,"Lunas",IF(G7&gt;=ROUND(L7*$R$5,0),"DP Cukup","DP Kurang"))</f>
        <v>DP Cukup</v>
      </c>
      <c r="O7" s="23" t="n">
        <f aca="false">C7-B7</f>
        <v>18</v>
      </c>
    </row>
    <row r="8" customFormat="false" ht="15" hidden="false" customHeight="false" outlineLevel="0" collapsed="false">
      <c r="A8" s="17" t="s">
        <v>120</v>
      </c>
      <c r="B8" s="18" t="n">
        <v>46273</v>
      </c>
      <c r="C8" s="18" t="n">
        <v>46292</v>
      </c>
      <c r="D8" s="17" t="s">
        <v>121</v>
      </c>
      <c r="E8" s="17" t="s">
        <v>99</v>
      </c>
      <c r="F8" s="19" t="n">
        <v>200</v>
      </c>
      <c r="G8" s="20" t="n">
        <v>2069000</v>
      </c>
      <c r="H8" s="21" t="str">
        <f aca="false">VLOOKUP(E8,Acuan!$A$2:$C$6,2,FALSE())</f>
        <v>Prasmanan Keluarga</v>
      </c>
      <c r="I8" s="22" t="n">
        <f aca="false">VLOOKUP(E8,Acuan!$A$2:$C$6,3,FALSE())</f>
        <v>55000</v>
      </c>
      <c r="J8" s="22" t="n">
        <f aca="false">F8*I8</f>
        <v>11000000</v>
      </c>
      <c r="K8" s="22" t="n">
        <f aca="false">IF(F8&gt;=$R$2,ROUND(J8*$R$3,0),0)</f>
        <v>880000</v>
      </c>
      <c r="L8" s="22" t="n">
        <f aca="false">J8-K8+$R$4</f>
        <v>10170000</v>
      </c>
      <c r="M8" s="22" t="n">
        <f aca="false">MAX(L8-G8,0)</f>
        <v>8101000</v>
      </c>
      <c r="N8" s="21" t="str">
        <f aca="false">IF(G8&gt;=L8,"Lunas",IF(G8&gt;=ROUND(L8*$R$5,0),"DP Cukup","DP Kurang"))</f>
        <v>DP Kurang</v>
      </c>
      <c r="O8" s="23" t="n">
        <f aca="false">C8-B8</f>
        <v>19</v>
      </c>
    </row>
    <row r="9" customFormat="false" ht="15" hidden="false" customHeight="false" outlineLevel="0" collapsed="false">
      <c r="A9" s="17" t="s">
        <v>122</v>
      </c>
      <c r="B9" s="18" t="n">
        <v>46278</v>
      </c>
      <c r="C9" s="18" t="n">
        <v>46292</v>
      </c>
      <c r="D9" s="17" t="s">
        <v>123</v>
      </c>
      <c r="E9" s="17" t="s">
        <v>124</v>
      </c>
      <c r="F9" s="19" t="n">
        <v>120</v>
      </c>
      <c r="G9" s="20" t="n">
        <v>4524000</v>
      </c>
      <c r="H9" s="21" t="str">
        <f aca="false">VLOOKUP(E9,Acuan!$A$2:$C$6,2,FALSE())</f>
        <v>Tumpeng Syukuran</v>
      </c>
      <c r="I9" s="22" t="n">
        <f aca="false">VLOOKUP(E9,Acuan!$A$2:$C$6,3,FALSE())</f>
        <v>85000</v>
      </c>
      <c r="J9" s="22" t="n">
        <f aca="false">F9*I9</f>
        <v>10200000</v>
      </c>
      <c r="K9" s="22" t="n">
        <f aca="false">IF(F9&gt;=$R$2,ROUND(J9*$R$3,0),0)</f>
        <v>816000</v>
      </c>
      <c r="L9" s="22" t="n">
        <f aca="false">J9-K9+$R$4</f>
        <v>9434000</v>
      </c>
      <c r="M9" s="22" t="n">
        <f aca="false">MAX(L9-G9,0)</f>
        <v>4910000</v>
      </c>
      <c r="N9" s="21" t="str">
        <f aca="false">IF(G9&gt;=L9,"Lunas",IF(G9&gt;=ROUND(L9*$R$5,0),"DP Cukup","DP Kurang"))</f>
        <v>DP Cukup</v>
      </c>
      <c r="O9" s="23" t="n">
        <f aca="false">C9-B9</f>
        <v>14</v>
      </c>
    </row>
    <row r="10" customFormat="false" ht="15" hidden="false" customHeight="false" outlineLevel="0" collapsed="false">
      <c r="A10" s="17" t="s">
        <v>125</v>
      </c>
      <c r="B10" s="18" t="n">
        <v>46275</v>
      </c>
      <c r="C10" s="18" t="n">
        <v>46292</v>
      </c>
      <c r="D10" s="17" t="s">
        <v>126</v>
      </c>
      <c r="E10" s="17" t="s">
        <v>99</v>
      </c>
      <c r="F10" s="19" t="n">
        <v>50</v>
      </c>
      <c r="G10" s="20" t="n">
        <v>1404000</v>
      </c>
      <c r="H10" s="21" t="str">
        <f aca="false">VLOOKUP(E10,Acuan!$A$2:$C$6,2,FALSE())</f>
        <v>Prasmanan Keluarga</v>
      </c>
      <c r="I10" s="22" t="n">
        <f aca="false">VLOOKUP(E10,Acuan!$A$2:$C$6,3,FALSE())</f>
        <v>55000</v>
      </c>
      <c r="J10" s="22" t="n">
        <f aca="false">F10*I10</f>
        <v>2750000</v>
      </c>
      <c r="K10" s="22" t="n">
        <f aca="false">IF(F10&gt;=$R$2,ROUND(J10*$R$3,0),0)</f>
        <v>0</v>
      </c>
      <c r="L10" s="22" t="n">
        <f aca="false">J10-K10+$R$4</f>
        <v>2800000</v>
      </c>
      <c r="M10" s="22" t="n">
        <f aca="false">MAX(L10-G10,0)</f>
        <v>1396000</v>
      </c>
      <c r="N10" s="21" t="str">
        <f aca="false">IF(G10&gt;=L10,"Lunas",IF(G10&gt;=ROUND(L10*$R$5,0),"DP Cukup","DP Kurang"))</f>
        <v>DP Cukup</v>
      </c>
      <c r="O10" s="23" t="n">
        <f aca="false">C10-B10</f>
        <v>17</v>
      </c>
    </row>
    <row r="11" customFormat="false" ht="15" hidden="false" customHeight="false" outlineLevel="0" collapsed="false">
      <c r="A11" s="17" t="s">
        <v>127</v>
      </c>
      <c r="B11" s="18" t="n">
        <v>46281</v>
      </c>
      <c r="C11" s="18" t="n">
        <v>46294</v>
      </c>
      <c r="D11" s="17" t="s">
        <v>128</v>
      </c>
      <c r="E11" s="17" t="s">
        <v>124</v>
      </c>
      <c r="F11" s="19" t="n">
        <v>60</v>
      </c>
      <c r="G11" s="20" t="n">
        <v>2328000</v>
      </c>
      <c r="H11" s="21" t="str">
        <f aca="false">VLOOKUP(E11,Acuan!$A$2:$C$6,2,FALSE())</f>
        <v>Tumpeng Syukuran</v>
      </c>
      <c r="I11" s="22" t="n">
        <f aca="false">VLOOKUP(E11,Acuan!$A$2:$C$6,3,FALSE())</f>
        <v>85000</v>
      </c>
      <c r="J11" s="22" t="n">
        <f aca="false">F11*I11</f>
        <v>5100000</v>
      </c>
      <c r="K11" s="22" t="n">
        <f aca="false">IF(F11&gt;=$R$2,ROUND(J11*$R$3,0),0)</f>
        <v>0</v>
      </c>
      <c r="L11" s="22" t="n">
        <f aca="false">J11-K11+$R$4</f>
        <v>5150000</v>
      </c>
      <c r="M11" s="22" t="n">
        <f aca="false">MAX(L11-G11,0)</f>
        <v>2822000</v>
      </c>
      <c r="N11" s="21" t="str">
        <f aca="false">IF(G11&gt;=L11,"Lunas",IF(G11&gt;=ROUND(L11*$R$5,0),"DP Cukup","DP Kurang"))</f>
        <v>DP Cukup</v>
      </c>
      <c r="O11" s="23" t="n">
        <f aca="false">C11-B11</f>
        <v>13</v>
      </c>
    </row>
    <row r="12" customFormat="false" ht="15" hidden="false" customHeight="false" outlineLevel="0" collapsed="false">
      <c r="A12" s="17" t="s">
        <v>129</v>
      </c>
      <c r="B12" s="18" t="n">
        <v>46280</v>
      </c>
      <c r="C12" s="18" t="n">
        <v>46286</v>
      </c>
      <c r="D12" s="17" t="s">
        <v>130</v>
      </c>
      <c r="E12" s="17" t="s">
        <v>99</v>
      </c>
      <c r="F12" s="19" t="n">
        <v>80</v>
      </c>
      <c r="G12" s="20" t="n">
        <v>714000</v>
      </c>
      <c r="H12" s="21" t="str">
        <f aca="false">VLOOKUP(E12,Acuan!$A$2:$C$6,2,FALSE())</f>
        <v>Prasmanan Keluarga</v>
      </c>
      <c r="I12" s="22" t="n">
        <f aca="false">VLOOKUP(E12,Acuan!$A$2:$C$6,3,FALSE())</f>
        <v>55000</v>
      </c>
      <c r="J12" s="22" t="n">
        <f aca="false">F12*I12</f>
        <v>4400000</v>
      </c>
      <c r="K12" s="22" t="n">
        <f aca="false">IF(F12&gt;=$R$2,ROUND(J12*$R$3,0),0)</f>
        <v>0</v>
      </c>
      <c r="L12" s="22" t="n">
        <f aca="false">J12-K12+$R$4</f>
        <v>4450000</v>
      </c>
      <c r="M12" s="22" t="n">
        <f aca="false">MAX(L12-G12,0)</f>
        <v>3736000</v>
      </c>
      <c r="N12" s="21" t="str">
        <f aca="false">IF(G12&gt;=L12,"Lunas",IF(G12&gt;=ROUND(L12*$R$5,0),"DP Cukup","DP Kurang"))</f>
        <v>DP Kurang</v>
      </c>
      <c r="O12" s="23" t="n">
        <f aca="false">C12-B12</f>
        <v>6</v>
      </c>
    </row>
    <row r="13" customFormat="false" ht="15" hidden="false" customHeight="false" outlineLevel="0" collapsed="false">
      <c r="A13" s="17" t="s">
        <v>131</v>
      </c>
      <c r="B13" s="18" t="n">
        <v>46279</v>
      </c>
      <c r="C13" s="18" t="n">
        <v>46287</v>
      </c>
      <c r="D13" s="17" t="s">
        <v>132</v>
      </c>
      <c r="E13" s="17" t="s">
        <v>124</v>
      </c>
      <c r="F13" s="19" t="n">
        <v>100</v>
      </c>
      <c r="G13" s="20" t="n">
        <v>3378000</v>
      </c>
      <c r="H13" s="21" t="str">
        <f aca="false">VLOOKUP(E13,Acuan!$A$2:$C$6,2,FALSE())</f>
        <v>Tumpeng Syukuran</v>
      </c>
      <c r="I13" s="22" t="n">
        <f aca="false">VLOOKUP(E13,Acuan!$A$2:$C$6,3,FALSE())</f>
        <v>85000</v>
      </c>
      <c r="J13" s="22" t="n">
        <f aca="false">F13*I13</f>
        <v>8500000</v>
      </c>
      <c r="K13" s="22" t="n">
        <f aca="false">IF(F13&gt;=$R$2,ROUND(J13*$R$3,0),0)</f>
        <v>680000</v>
      </c>
      <c r="L13" s="22" t="n">
        <f aca="false">J13-K13+$R$4</f>
        <v>7870000</v>
      </c>
      <c r="M13" s="22" t="n">
        <f aca="false">MAX(L13-G13,0)</f>
        <v>4492000</v>
      </c>
      <c r="N13" s="21" t="str">
        <f aca="false">IF(G13&gt;=L13,"Lunas",IF(G13&gt;=ROUND(L13*$R$5,0),"DP Cukup","DP Kurang"))</f>
        <v>DP Cukup</v>
      </c>
      <c r="O13" s="23" t="n">
        <f aca="false">C13-B13</f>
        <v>8</v>
      </c>
    </row>
    <row r="14" customFormat="false" ht="15" hidden="false" customHeight="false" outlineLevel="0" collapsed="false">
      <c r="A14" s="17" t="s">
        <v>133</v>
      </c>
      <c r="B14" s="18" t="n">
        <v>46282</v>
      </c>
      <c r="C14" s="18" t="n">
        <v>46296</v>
      </c>
      <c r="D14" s="17" t="s">
        <v>134</v>
      </c>
      <c r="E14" s="17" t="s">
        <v>135</v>
      </c>
      <c r="F14" s="19" t="n">
        <v>30</v>
      </c>
      <c r="G14" s="20" t="n">
        <v>237000</v>
      </c>
      <c r="H14" s="21" t="str">
        <f aca="false">VLOOKUP(E14,Acuan!$A$2:$C$6,2,FALSE())</f>
        <v>Nasi Box Premium</v>
      </c>
      <c r="I14" s="22" t="n">
        <f aca="false">VLOOKUP(E14,Acuan!$A$2:$C$6,3,FALSE())</f>
        <v>38000</v>
      </c>
      <c r="J14" s="22" t="n">
        <f aca="false">F14*I14</f>
        <v>1140000</v>
      </c>
      <c r="K14" s="22" t="n">
        <f aca="false">IF(F14&gt;=$R$2,ROUND(J14*$R$3,0),0)</f>
        <v>0</v>
      </c>
      <c r="L14" s="22" t="n">
        <f aca="false">J14-K14+$R$4</f>
        <v>1190000</v>
      </c>
      <c r="M14" s="22" t="n">
        <f aca="false">MAX(L14-G14,0)</f>
        <v>953000</v>
      </c>
      <c r="N14" s="21" t="str">
        <f aca="false">IF(G14&gt;=L14,"Lunas",IF(G14&gt;=ROUND(L14*$R$5,0),"DP Cukup","DP Kurang"))</f>
        <v>DP Kurang</v>
      </c>
      <c r="O14" s="23" t="n">
        <f aca="false">C14-B14</f>
        <v>14</v>
      </c>
    </row>
    <row r="15" customFormat="false" ht="15" hidden="false" customHeight="false" outlineLevel="0" collapsed="false">
      <c r="A15" s="17" t="s">
        <v>136</v>
      </c>
      <c r="B15" s="18" t="n">
        <v>46286</v>
      </c>
      <c r="C15" s="18" t="n">
        <v>46305</v>
      </c>
      <c r="D15" s="17" t="s">
        <v>137</v>
      </c>
      <c r="E15" s="17" t="s">
        <v>135</v>
      </c>
      <c r="F15" s="19" t="n">
        <v>200</v>
      </c>
      <c r="G15" s="20" t="n">
        <v>7042000</v>
      </c>
      <c r="H15" s="21" t="str">
        <f aca="false">VLOOKUP(E15,Acuan!$A$2:$C$6,2,FALSE())</f>
        <v>Nasi Box Premium</v>
      </c>
      <c r="I15" s="22" t="n">
        <f aca="false">VLOOKUP(E15,Acuan!$A$2:$C$6,3,FALSE())</f>
        <v>38000</v>
      </c>
      <c r="J15" s="22" t="n">
        <f aca="false">F15*I15</f>
        <v>7600000</v>
      </c>
      <c r="K15" s="22" t="n">
        <f aca="false">IF(F15&gt;=$R$2,ROUND(J15*$R$3,0),0)</f>
        <v>608000</v>
      </c>
      <c r="L15" s="22" t="n">
        <f aca="false">J15-K15+$R$4</f>
        <v>7042000</v>
      </c>
      <c r="M15" s="22" t="n">
        <f aca="false">MAX(L15-G15,0)</f>
        <v>0</v>
      </c>
      <c r="N15" s="21" t="str">
        <f aca="false">IF(G15&gt;=L15,"Lunas",IF(G15&gt;=ROUND(L15*$R$5,0),"DP Cukup","DP Kurang"))</f>
        <v>Lunas</v>
      </c>
      <c r="O15" s="23" t="n">
        <f aca="false">C15-B15</f>
        <v>19</v>
      </c>
    </row>
    <row r="16" customFormat="false" ht="15" hidden="false" customHeight="false" outlineLevel="0" collapsed="false">
      <c r="A16" s="17" t="s">
        <v>138</v>
      </c>
      <c r="B16" s="18" t="n">
        <v>46282</v>
      </c>
      <c r="C16" s="18" t="n">
        <v>46285</v>
      </c>
      <c r="D16" s="17" t="s">
        <v>139</v>
      </c>
      <c r="E16" s="17" t="s">
        <v>135</v>
      </c>
      <c r="F16" s="19" t="n">
        <v>20</v>
      </c>
      <c r="G16" s="20" t="n">
        <v>441000</v>
      </c>
      <c r="H16" s="21" t="str">
        <f aca="false">VLOOKUP(E16,Acuan!$A$2:$C$6,2,FALSE())</f>
        <v>Nasi Box Premium</v>
      </c>
      <c r="I16" s="22" t="n">
        <f aca="false">VLOOKUP(E16,Acuan!$A$2:$C$6,3,FALSE())</f>
        <v>38000</v>
      </c>
      <c r="J16" s="22" t="n">
        <f aca="false">F16*I16</f>
        <v>760000</v>
      </c>
      <c r="K16" s="22" t="n">
        <f aca="false">IF(F16&gt;=$R$2,ROUND(J16*$R$3,0),0)</f>
        <v>0</v>
      </c>
      <c r="L16" s="22" t="n">
        <f aca="false">J16-K16+$R$4</f>
        <v>810000</v>
      </c>
      <c r="M16" s="22" t="n">
        <f aca="false">MAX(L16-G16,0)</f>
        <v>369000</v>
      </c>
      <c r="N16" s="21" t="str">
        <f aca="false">IF(G16&gt;=L16,"Lunas",IF(G16&gt;=ROUND(L16*$R$5,0),"DP Cukup","DP Kurang"))</f>
        <v>DP Cukup</v>
      </c>
      <c r="O16" s="23" t="n">
        <f aca="false">C16-B16</f>
        <v>3</v>
      </c>
    </row>
    <row r="17" customFormat="false" ht="15" hidden="false" customHeight="false" outlineLevel="0" collapsed="false">
      <c r="A17" s="17" t="s">
        <v>140</v>
      </c>
      <c r="B17" s="18" t="n">
        <v>46293</v>
      </c>
      <c r="C17" s="18" t="n">
        <v>46305</v>
      </c>
      <c r="D17" s="17" t="s">
        <v>141</v>
      </c>
      <c r="E17" s="17" t="s">
        <v>104</v>
      </c>
      <c r="F17" s="19" t="n">
        <v>100</v>
      </c>
      <c r="G17" s="20" t="n">
        <v>1093000</v>
      </c>
      <c r="H17" s="21" t="str">
        <f aca="false">VLOOKUP(E17,Acuan!$A$2:$C$6,2,FALSE())</f>
        <v>Nasi Box Hemat</v>
      </c>
      <c r="I17" s="22" t="n">
        <f aca="false">VLOOKUP(E17,Acuan!$A$2:$C$6,3,FALSE())</f>
        <v>25000</v>
      </c>
      <c r="J17" s="22" t="n">
        <f aca="false">F17*I17</f>
        <v>2500000</v>
      </c>
      <c r="K17" s="22" t="n">
        <f aca="false">IF(F17&gt;=$R$2,ROUND(J17*$R$3,0),0)</f>
        <v>200000</v>
      </c>
      <c r="L17" s="22" t="n">
        <f aca="false">J17-K17+$R$4</f>
        <v>2350000</v>
      </c>
      <c r="M17" s="22" t="n">
        <f aca="false">MAX(L17-G17,0)</f>
        <v>1257000</v>
      </c>
      <c r="N17" s="21" t="str">
        <f aca="false">IF(G17&gt;=L17,"Lunas",IF(G17&gt;=ROUND(L17*$R$5,0),"DP Cukup","DP Kurang"))</f>
        <v>DP Cukup</v>
      </c>
      <c r="O17" s="23" t="n">
        <f aca="false">C17-B17</f>
        <v>12</v>
      </c>
    </row>
    <row r="18" customFormat="false" ht="15" hidden="false" customHeight="false" outlineLevel="0" collapsed="false">
      <c r="A18" s="17" t="s">
        <v>142</v>
      </c>
      <c r="B18" s="18" t="n">
        <v>46288</v>
      </c>
      <c r="C18" s="18" t="n">
        <v>46292</v>
      </c>
      <c r="D18" s="17" t="s">
        <v>143</v>
      </c>
      <c r="E18" s="17" t="s">
        <v>135</v>
      </c>
      <c r="F18" s="19" t="n">
        <v>150</v>
      </c>
      <c r="G18" s="20" t="n">
        <v>833000</v>
      </c>
      <c r="H18" s="21" t="str">
        <f aca="false">VLOOKUP(E18,Acuan!$A$2:$C$6,2,FALSE())</f>
        <v>Nasi Box Premium</v>
      </c>
      <c r="I18" s="22" t="n">
        <f aca="false">VLOOKUP(E18,Acuan!$A$2:$C$6,3,FALSE())</f>
        <v>38000</v>
      </c>
      <c r="J18" s="22" t="n">
        <f aca="false">F18*I18</f>
        <v>5700000</v>
      </c>
      <c r="K18" s="22" t="n">
        <f aca="false">IF(F18&gt;=$R$2,ROUND(J18*$R$3,0),0)</f>
        <v>456000</v>
      </c>
      <c r="L18" s="22" t="n">
        <f aca="false">J18-K18+$R$4</f>
        <v>5294000</v>
      </c>
      <c r="M18" s="22" t="n">
        <f aca="false">MAX(L18-G18,0)</f>
        <v>4461000</v>
      </c>
      <c r="N18" s="21" t="str">
        <f aca="false">IF(G18&gt;=L18,"Lunas",IF(G18&gt;=ROUND(L18*$R$5,0),"DP Cukup","DP Kurang"))</f>
        <v>DP Kurang</v>
      </c>
      <c r="O18" s="23" t="n">
        <f aca="false">C18-B18</f>
        <v>4</v>
      </c>
    </row>
    <row r="19" customFormat="false" ht="15" hidden="false" customHeight="false" outlineLevel="0" collapsed="false">
      <c r="A19" s="17" t="s">
        <v>144</v>
      </c>
      <c r="B19" s="18" t="n">
        <v>46291</v>
      </c>
      <c r="C19" s="18" t="n">
        <v>46295</v>
      </c>
      <c r="D19" s="17" t="s">
        <v>145</v>
      </c>
      <c r="E19" s="17" t="s">
        <v>109</v>
      </c>
      <c r="F19" s="19" t="n">
        <v>50</v>
      </c>
      <c r="G19" s="20" t="n">
        <v>445000</v>
      </c>
      <c r="H19" s="21" t="str">
        <f aca="false">VLOOKUP(E19,Acuan!$A$2:$C$6,2,FALSE())</f>
        <v>Snack Box Rapat</v>
      </c>
      <c r="I19" s="22" t="n">
        <f aca="false">VLOOKUP(E19,Acuan!$A$2:$C$6,3,FALSE())</f>
        <v>18000</v>
      </c>
      <c r="J19" s="22" t="n">
        <f aca="false">F19*I19</f>
        <v>900000</v>
      </c>
      <c r="K19" s="22" t="n">
        <f aca="false">IF(F19&gt;=$R$2,ROUND(J19*$R$3,0),0)</f>
        <v>0</v>
      </c>
      <c r="L19" s="22" t="n">
        <f aca="false">J19-K19+$R$4</f>
        <v>950000</v>
      </c>
      <c r="M19" s="22" t="n">
        <f aca="false">MAX(L19-G19,0)</f>
        <v>505000</v>
      </c>
      <c r="N19" s="21" t="str">
        <f aca="false">IF(G19&gt;=L19,"Lunas",IF(G19&gt;=ROUND(L19*$R$5,0),"DP Cukup","DP Kurang"))</f>
        <v>DP Cukup</v>
      </c>
      <c r="O19" s="23" t="n">
        <f aca="false">C19-B19</f>
        <v>4</v>
      </c>
    </row>
    <row r="20" customFormat="false" ht="15" hidden="false" customHeight="false" outlineLevel="0" collapsed="false">
      <c r="A20" s="17" t="s">
        <v>146</v>
      </c>
      <c r="B20" s="18" t="n">
        <v>46295</v>
      </c>
      <c r="C20" s="18" t="n">
        <v>46311</v>
      </c>
      <c r="D20" s="17" t="s">
        <v>147</v>
      </c>
      <c r="E20" s="17" t="s">
        <v>104</v>
      </c>
      <c r="F20" s="19" t="n">
        <v>75</v>
      </c>
      <c r="G20" s="20" t="n">
        <v>323000</v>
      </c>
      <c r="H20" s="21" t="str">
        <f aca="false">VLOOKUP(E20,Acuan!$A$2:$C$6,2,FALSE())</f>
        <v>Nasi Box Hemat</v>
      </c>
      <c r="I20" s="22" t="n">
        <f aca="false">VLOOKUP(E20,Acuan!$A$2:$C$6,3,FALSE())</f>
        <v>25000</v>
      </c>
      <c r="J20" s="22" t="n">
        <f aca="false">F20*I20</f>
        <v>1875000</v>
      </c>
      <c r="K20" s="22" t="n">
        <f aca="false">IF(F20&gt;=$R$2,ROUND(J20*$R$3,0),0)</f>
        <v>0</v>
      </c>
      <c r="L20" s="22" t="n">
        <f aca="false">J20-K20+$R$4</f>
        <v>1925000</v>
      </c>
      <c r="M20" s="22" t="n">
        <f aca="false">MAX(L20-G20,0)</f>
        <v>1602000</v>
      </c>
      <c r="N20" s="21" t="str">
        <f aca="false">IF(G20&gt;=L20,"Lunas",IF(G20&gt;=ROUND(L20*$R$5,0),"DP Cukup","DP Kurang"))</f>
        <v>DP Kurang</v>
      </c>
      <c r="O20" s="23" t="n">
        <f aca="false">C20-B20</f>
        <v>16</v>
      </c>
    </row>
    <row r="21" customFormat="false" ht="15" hidden="false" customHeight="false" outlineLevel="0" collapsed="false">
      <c r="A21" s="17" t="s">
        <v>148</v>
      </c>
      <c r="B21" s="18" t="n">
        <v>46293</v>
      </c>
      <c r="C21" s="18" t="n">
        <v>46302</v>
      </c>
      <c r="D21" s="17" t="s">
        <v>149</v>
      </c>
      <c r="E21" s="17" t="s">
        <v>135</v>
      </c>
      <c r="F21" s="19" t="n">
        <v>100</v>
      </c>
      <c r="G21" s="20" t="n">
        <v>1707000</v>
      </c>
      <c r="H21" s="21" t="str">
        <f aca="false">VLOOKUP(E21,Acuan!$A$2:$C$6,2,FALSE())</f>
        <v>Nasi Box Premium</v>
      </c>
      <c r="I21" s="22" t="n">
        <f aca="false">VLOOKUP(E21,Acuan!$A$2:$C$6,3,FALSE())</f>
        <v>38000</v>
      </c>
      <c r="J21" s="22" t="n">
        <f aca="false">F21*I21</f>
        <v>3800000</v>
      </c>
      <c r="K21" s="22" t="n">
        <f aca="false">IF(F21&gt;=$R$2,ROUND(J21*$R$3,0),0)</f>
        <v>304000</v>
      </c>
      <c r="L21" s="22" t="n">
        <f aca="false">J21-K21+$R$4</f>
        <v>3546000</v>
      </c>
      <c r="M21" s="22" t="n">
        <f aca="false">MAX(L21-G21,0)</f>
        <v>1839000</v>
      </c>
      <c r="N21" s="21" t="str">
        <f aca="false">IF(G21&gt;=L21,"Lunas",IF(G21&gt;=ROUND(L21*$R$5,0),"DP Cukup","DP Kurang"))</f>
        <v>DP Cukup</v>
      </c>
      <c r="O21" s="23" t="n">
        <f aca="false">C21-B21</f>
        <v>9</v>
      </c>
    </row>
    <row r="22" customFormat="false" ht="15" hidden="false" customHeight="false" outlineLevel="0" collapsed="false">
      <c r="A22" s="17" t="s">
        <v>150</v>
      </c>
      <c r="B22" s="18" t="n">
        <v>46294</v>
      </c>
      <c r="C22" s="18" t="n">
        <v>46303</v>
      </c>
      <c r="D22" s="17" t="s">
        <v>151</v>
      </c>
      <c r="E22" s="17" t="s">
        <v>124</v>
      </c>
      <c r="F22" s="19" t="n">
        <v>80</v>
      </c>
      <c r="G22" s="20" t="n">
        <v>6850000</v>
      </c>
      <c r="H22" s="21" t="str">
        <f aca="false">VLOOKUP(E22,Acuan!$A$2:$C$6,2,FALSE())</f>
        <v>Tumpeng Syukuran</v>
      </c>
      <c r="I22" s="22" t="n">
        <f aca="false">VLOOKUP(E22,Acuan!$A$2:$C$6,3,FALSE())</f>
        <v>85000</v>
      </c>
      <c r="J22" s="22" t="n">
        <f aca="false">F22*I22</f>
        <v>6800000</v>
      </c>
      <c r="K22" s="22" t="n">
        <f aca="false">IF(F22&gt;=$R$2,ROUND(J22*$R$3,0),0)</f>
        <v>0</v>
      </c>
      <c r="L22" s="22" t="n">
        <f aca="false">J22-K22+$R$4</f>
        <v>6850000</v>
      </c>
      <c r="M22" s="22" t="n">
        <f aca="false">MAX(L22-G22,0)</f>
        <v>0</v>
      </c>
      <c r="N22" s="21" t="str">
        <f aca="false">IF(G22&gt;=L22,"Lunas",IF(G22&gt;=ROUND(L22*$R$5,0),"DP Cukup","DP Kurang"))</f>
        <v>Lunas</v>
      </c>
      <c r="O22" s="23" t="n">
        <f aca="false">C22-B22</f>
        <v>9</v>
      </c>
    </row>
    <row r="23" customFormat="false" ht="15" hidden="false" customHeight="false" outlineLevel="0" collapsed="false">
      <c r="A23" s="17" t="s">
        <v>152</v>
      </c>
      <c r="B23" s="18" t="n">
        <v>46297</v>
      </c>
      <c r="C23" s="18" t="n">
        <v>46312</v>
      </c>
      <c r="D23" s="17" t="s">
        <v>153</v>
      </c>
      <c r="E23" s="17" t="s">
        <v>99</v>
      </c>
      <c r="F23" s="19" t="n">
        <v>80</v>
      </c>
      <c r="G23" s="20" t="n">
        <v>1700000</v>
      </c>
      <c r="H23" s="21" t="str">
        <f aca="false">VLOOKUP(E23,Acuan!$A$2:$C$6,2,FALSE())</f>
        <v>Prasmanan Keluarga</v>
      </c>
      <c r="I23" s="22" t="n">
        <f aca="false">VLOOKUP(E23,Acuan!$A$2:$C$6,3,FALSE())</f>
        <v>55000</v>
      </c>
      <c r="J23" s="22" t="n">
        <f aca="false">F23*I23</f>
        <v>4400000</v>
      </c>
      <c r="K23" s="22" t="n">
        <f aca="false">IF(F23&gt;=$R$2,ROUND(J23*$R$3,0),0)</f>
        <v>0</v>
      </c>
      <c r="L23" s="22" t="n">
        <f aca="false">J23-K23+$R$4</f>
        <v>4450000</v>
      </c>
      <c r="M23" s="22" t="n">
        <f aca="false">MAX(L23-G23,0)</f>
        <v>2750000</v>
      </c>
      <c r="N23" s="21" t="str">
        <f aca="false">IF(G23&gt;=L23,"Lunas",IF(G23&gt;=ROUND(L23*$R$5,0),"DP Cukup","DP Kurang"))</f>
        <v>DP Cukup</v>
      </c>
      <c r="O23" s="23" t="n">
        <f aca="false">C23-B23</f>
        <v>15</v>
      </c>
    </row>
    <row r="24" customFormat="false" ht="15" hidden="false" customHeight="false" outlineLevel="0" collapsed="false">
      <c r="A24" s="17" t="s">
        <v>154</v>
      </c>
      <c r="B24" s="18" t="n">
        <v>46298</v>
      </c>
      <c r="C24" s="18" t="n">
        <v>46319</v>
      </c>
      <c r="D24" s="17" t="s">
        <v>155</v>
      </c>
      <c r="E24" s="17" t="s">
        <v>99</v>
      </c>
      <c r="F24" s="19" t="n">
        <v>75</v>
      </c>
      <c r="G24" s="20" t="n">
        <v>4175000</v>
      </c>
      <c r="H24" s="21" t="str">
        <f aca="false">VLOOKUP(E24,Acuan!$A$2:$C$6,2,FALSE())</f>
        <v>Prasmanan Keluarga</v>
      </c>
      <c r="I24" s="22" t="n">
        <f aca="false">VLOOKUP(E24,Acuan!$A$2:$C$6,3,FALSE())</f>
        <v>55000</v>
      </c>
      <c r="J24" s="22" t="n">
        <f aca="false">F24*I24</f>
        <v>4125000</v>
      </c>
      <c r="K24" s="22" t="n">
        <f aca="false">IF(F24&gt;=$R$2,ROUND(J24*$R$3,0),0)</f>
        <v>0</v>
      </c>
      <c r="L24" s="22" t="n">
        <f aca="false">J24-K24+$R$4</f>
        <v>4175000</v>
      </c>
      <c r="M24" s="22" t="n">
        <f aca="false">MAX(L24-G24,0)</f>
        <v>0</v>
      </c>
      <c r="N24" s="21" t="str">
        <f aca="false">IF(G24&gt;=L24,"Lunas",IF(G24&gt;=ROUND(L24*$R$5,0),"DP Cukup","DP Kurang"))</f>
        <v>Lunas</v>
      </c>
      <c r="O24" s="23" t="n">
        <f aca="false">C24-B24</f>
        <v>21</v>
      </c>
    </row>
    <row r="25" customFormat="false" ht="15" hidden="false" customHeight="false" outlineLevel="0" collapsed="false">
      <c r="A25" s="17" t="s">
        <v>156</v>
      </c>
      <c r="B25" s="18" t="n">
        <v>46299</v>
      </c>
      <c r="C25" s="18" t="n">
        <v>46315</v>
      </c>
      <c r="D25" s="17" t="s">
        <v>157</v>
      </c>
      <c r="E25" s="17" t="s">
        <v>135</v>
      </c>
      <c r="F25" s="19" t="n">
        <v>200</v>
      </c>
      <c r="G25" s="20" t="n">
        <v>7042000</v>
      </c>
      <c r="H25" s="21" t="str">
        <f aca="false">VLOOKUP(E25,Acuan!$A$2:$C$6,2,FALSE())</f>
        <v>Nasi Box Premium</v>
      </c>
      <c r="I25" s="22" t="n">
        <f aca="false">VLOOKUP(E25,Acuan!$A$2:$C$6,3,FALSE())</f>
        <v>38000</v>
      </c>
      <c r="J25" s="22" t="n">
        <f aca="false">F25*I25</f>
        <v>7600000</v>
      </c>
      <c r="K25" s="22" t="n">
        <f aca="false">IF(F25&gt;=$R$2,ROUND(J25*$R$3,0),0)</f>
        <v>608000</v>
      </c>
      <c r="L25" s="22" t="n">
        <f aca="false">J25-K25+$R$4</f>
        <v>7042000</v>
      </c>
      <c r="M25" s="22" t="n">
        <f aca="false">MAX(L25-G25,0)</f>
        <v>0</v>
      </c>
      <c r="N25" s="21" t="str">
        <f aca="false">IF(G25&gt;=L25,"Lunas",IF(G25&gt;=ROUND(L25*$R$5,0),"DP Cukup","DP Kurang"))</f>
        <v>Lunas</v>
      </c>
      <c r="O25" s="23" t="n">
        <f aca="false">C25-B25</f>
        <v>16</v>
      </c>
    </row>
    <row r="26" customFormat="false" ht="15" hidden="false" customHeight="false" outlineLevel="0" collapsed="false">
      <c r="A26" s="17" t="s">
        <v>158</v>
      </c>
      <c r="B26" s="18" t="n">
        <v>46301</v>
      </c>
      <c r="C26" s="18" t="n">
        <v>46313</v>
      </c>
      <c r="D26" s="17" t="s">
        <v>159</v>
      </c>
      <c r="E26" s="17" t="s">
        <v>135</v>
      </c>
      <c r="F26" s="19" t="n">
        <v>80</v>
      </c>
      <c r="G26" s="20" t="n">
        <v>1754000</v>
      </c>
      <c r="H26" s="21" t="str">
        <f aca="false">VLOOKUP(E26,Acuan!$A$2:$C$6,2,FALSE())</f>
        <v>Nasi Box Premium</v>
      </c>
      <c r="I26" s="22" t="n">
        <f aca="false">VLOOKUP(E26,Acuan!$A$2:$C$6,3,FALSE())</f>
        <v>38000</v>
      </c>
      <c r="J26" s="22" t="n">
        <f aca="false">F26*I26</f>
        <v>3040000</v>
      </c>
      <c r="K26" s="22" t="n">
        <f aca="false">IF(F26&gt;=$R$2,ROUND(J26*$R$3,0),0)</f>
        <v>0</v>
      </c>
      <c r="L26" s="22" t="n">
        <f aca="false">J26-K26+$R$4</f>
        <v>3090000</v>
      </c>
      <c r="M26" s="22" t="n">
        <f aca="false">MAX(L26-G26,0)</f>
        <v>1336000</v>
      </c>
      <c r="N26" s="21" t="str">
        <f aca="false">IF(G26&gt;=L26,"Lunas",IF(G26&gt;=ROUND(L26*$R$5,0),"DP Cukup","DP Kurang"))</f>
        <v>DP Cukup</v>
      </c>
      <c r="O26" s="23" t="n">
        <f aca="false">C26-B26</f>
        <v>12</v>
      </c>
    </row>
    <row r="27" customFormat="false" ht="15" hidden="false" customHeight="false" outlineLevel="0" collapsed="false">
      <c r="A27" s="17" t="s">
        <v>160</v>
      </c>
      <c r="B27" s="18" t="n">
        <v>46306</v>
      </c>
      <c r="C27" s="18" t="n">
        <v>46321</v>
      </c>
      <c r="D27" s="17" t="s">
        <v>161</v>
      </c>
      <c r="E27" s="17" t="s">
        <v>109</v>
      </c>
      <c r="F27" s="19" t="n">
        <v>50</v>
      </c>
      <c r="G27" s="20" t="n">
        <v>408000</v>
      </c>
      <c r="H27" s="21" t="str">
        <f aca="false">VLOOKUP(E27,Acuan!$A$2:$C$6,2,FALSE())</f>
        <v>Snack Box Rapat</v>
      </c>
      <c r="I27" s="22" t="n">
        <f aca="false">VLOOKUP(E27,Acuan!$A$2:$C$6,3,FALSE())</f>
        <v>18000</v>
      </c>
      <c r="J27" s="22" t="n">
        <f aca="false">F27*I27</f>
        <v>900000</v>
      </c>
      <c r="K27" s="22" t="n">
        <f aca="false">IF(F27&gt;=$R$2,ROUND(J27*$R$3,0),0)</f>
        <v>0</v>
      </c>
      <c r="L27" s="22" t="n">
        <f aca="false">J27-K27+$R$4</f>
        <v>950000</v>
      </c>
      <c r="M27" s="22" t="n">
        <f aca="false">MAX(L27-G27,0)</f>
        <v>542000</v>
      </c>
      <c r="N27" s="21" t="str">
        <f aca="false">IF(G27&gt;=L27,"Lunas",IF(G27&gt;=ROUND(L27*$R$5,0),"DP Cukup","DP Kurang"))</f>
        <v>DP Cukup</v>
      </c>
      <c r="O27" s="23" t="n">
        <f aca="false">C27-B27</f>
        <v>15</v>
      </c>
    </row>
    <row r="28" customFormat="false" ht="15" hidden="false" customHeight="false" outlineLevel="0" collapsed="false">
      <c r="A28" s="17" t="s">
        <v>162</v>
      </c>
      <c r="B28" s="18" t="n">
        <v>46305</v>
      </c>
      <c r="C28" s="18" t="n">
        <v>46316</v>
      </c>
      <c r="D28" s="17" t="s">
        <v>163</v>
      </c>
      <c r="E28" s="17" t="s">
        <v>104</v>
      </c>
      <c r="F28" s="19" t="n">
        <v>120</v>
      </c>
      <c r="G28" s="20" t="n">
        <v>1204000</v>
      </c>
      <c r="H28" s="21" t="str">
        <f aca="false">VLOOKUP(E28,Acuan!$A$2:$C$6,2,FALSE())</f>
        <v>Nasi Box Hemat</v>
      </c>
      <c r="I28" s="22" t="n">
        <f aca="false">VLOOKUP(E28,Acuan!$A$2:$C$6,3,FALSE())</f>
        <v>25000</v>
      </c>
      <c r="J28" s="22" t="n">
        <f aca="false">F28*I28</f>
        <v>3000000</v>
      </c>
      <c r="K28" s="22" t="n">
        <f aca="false">IF(F28&gt;=$R$2,ROUND(J28*$R$3,0),0)</f>
        <v>240000</v>
      </c>
      <c r="L28" s="22" t="n">
        <f aca="false">J28-K28+$R$4</f>
        <v>2810000</v>
      </c>
      <c r="M28" s="22" t="n">
        <f aca="false">MAX(L28-G28,0)</f>
        <v>1606000</v>
      </c>
      <c r="N28" s="21" t="str">
        <f aca="false">IF(G28&gt;=L28,"Lunas",IF(G28&gt;=ROUND(L28*$R$5,0),"DP Cukup","DP Kurang"))</f>
        <v>DP Cukup</v>
      </c>
      <c r="O28" s="23" t="n">
        <f aca="false">C28-B28</f>
        <v>11</v>
      </c>
    </row>
    <row r="29" customFormat="false" ht="15" hidden="false" customHeight="false" outlineLevel="0" collapsed="false">
      <c r="A29" s="17" t="s">
        <v>164</v>
      </c>
      <c r="B29" s="18" t="n">
        <v>46306</v>
      </c>
      <c r="C29" s="18" t="n">
        <v>46325</v>
      </c>
      <c r="D29" s="17" t="s">
        <v>165</v>
      </c>
      <c r="E29" s="17" t="s">
        <v>99</v>
      </c>
      <c r="F29" s="19" t="n">
        <v>30</v>
      </c>
      <c r="G29" s="20" t="n">
        <v>633000</v>
      </c>
      <c r="H29" s="21" t="str">
        <f aca="false">VLOOKUP(E29,Acuan!$A$2:$C$6,2,FALSE())</f>
        <v>Prasmanan Keluarga</v>
      </c>
      <c r="I29" s="22" t="n">
        <f aca="false">VLOOKUP(E29,Acuan!$A$2:$C$6,3,FALSE())</f>
        <v>55000</v>
      </c>
      <c r="J29" s="22" t="n">
        <f aca="false">F29*I29</f>
        <v>1650000</v>
      </c>
      <c r="K29" s="22" t="n">
        <f aca="false">IF(F29&gt;=$R$2,ROUND(J29*$R$3,0),0)</f>
        <v>0</v>
      </c>
      <c r="L29" s="22" t="n">
        <f aca="false">J29-K29+$R$4</f>
        <v>1700000</v>
      </c>
      <c r="M29" s="22" t="n">
        <f aca="false">MAX(L29-G29,0)</f>
        <v>1067000</v>
      </c>
      <c r="N29" s="21" t="str">
        <f aca="false">IF(G29&gt;=L29,"Lunas",IF(G29&gt;=ROUND(L29*$R$5,0),"DP Cukup","DP Kurang"))</f>
        <v>DP Cukup</v>
      </c>
      <c r="O29" s="23" t="n">
        <f aca="false">C29-B29</f>
        <v>19</v>
      </c>
    </row>
    <row r="30" customFormat="false" ht="15" hidden="false" customHeight="false" outlineLevel="0" collapsed="false">
      <c r="A30" s="17" t="s">
        <v>166</v>
      </c>
      <c r="B30" s="18" t="n">
        <v>46309</v>
      </c>
      <c r="C30" s="18" t="n">
        <v>46313</v>
      </c>
      <c r="D30" s="17" t="s">
        <v>167</v>
      </c>
      <c r="E30" s="17" t="s">
        <v>104</v>
      </c>
      <c r="F30" s="19" t="n">
        <v>40</v>
      </c>
      <c r="G30" s="20" t="n">
        <v>619000</v>
      </c>
      <c r="H30" s="21" t="str">
        <f aca="false">VLOOKUP(E30,Acuan!$A$2:$C$6,2,FALSE())</f>
        <v>Nasi Box Hemat</v>
      </c>
      <c r="I30" s="22" t="n">
        <f aca="false">VLOOKUP(E30,Acuan!$A$2:$C$6,3,FALSE())</f>
        <v>25000</v>
      </c>
      <c r="J30" s="22" t="n">
        <f aca="false">F30*I30</f>
        <v>1000000</v>
      </c>
      <c r="K30" s="22" t="n">
        <f aca="false">IF(F30&gt;=$R$2,ROUND(J30*$R$3,0),0)</f>
        <v>0</v>
      </c>
      <c r="L30" s="22" t="n">
        <f aca="false">J30-K30+$R$4</f>
        <v>1050000</v>
      </c>
      <c r="M30" s="22" t="n">
        <f aca="false">MAX(L30-G30,0)</f>
        <v>431000</v>
      </c>
      <c r="N30" s="21" t="str">
        <f aca="false">IF(G30&gt;=L30,"Lunas",IF(G30&gt;=ROUND(L30*$R$5,0),"DP Cukup","DP Kurang"))</f>
        <v>DP Cukup</v>
      </c>
      <c r="O30" s="23" t="n">
        <f aca="false">C30-B30</f>
        <v>4</v>
      </c>
    </row>
    <row r="31" customFormat="false" ht="15" hidden="false" customHeight="false" outlineLevel="0" collapsed="false">
      <c r="A31" s="17" t="s">
        <v>168</v>
      </c>
      <c r="B31" s="18" t="n">
        <v>46308</v>
      </c>
      <c r="C31" s="18" t="n">
        <v>46327</v>
      </c>
      <c r="D31" s="17" t="s">
        <v>169</v>
      </c>
      <c r="E31" s="17" t="s">
        <v>135</v>
      </c>
      <c r="F31" s="19" t="n">
        <v>120</v>
      </c>
      <c r="G31" s="20" t="n">
        <v>1749000</v>
      </c>
      <c r="H31" s="21" t="str">
        <f aca="false">VLOOKUP(E31,Acuan!$A$2:$C$6,2,FALSE())</f>
        <v>Nasi Box Premium</v>
      </c>
      <c r="I31" s="22" t="n">
        <f aca="false">VLOOKUP(E31,Acuan!$A$2:$C$6,3,FALSE())</f>
        <v>38000</v>
      </c>
      <c r="J31" s="22" t="n">
        <f aca="false">F31*I31</f>
        <v>4560000</v>
      </c>
      <c r="K31" s="22" t="n">
        <f aca="false">IF(F31&gt;=$R$2,ROUND(J31*$R$3,0),0)</f>
        <v>364800</v>
      </c>
      <c r="L31" s="22" t="n">
        <f aca="false">J31-K31+$R$4</f>
        <v>4245200</v>
      </c>
      <c r="M31" s="22" t="n">
        <f aca="false">MAX(L31-G31,0)</f>
        <v>2496200</v>
      </c>
      <c r="N31" s="21" t="str">
        <f aca="false">IF(G31&gt;=L31,"Lunas",IF(G31&gt;=ROUND(L31*$R$5,0),"DP Cukup","DP Kurang"))</f>
        <v>DP Cukup</v>
      </c>
      <c r="O31" s="23" t="n">
        <f aca="false">C31-B31</f>
        <v>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4"/>
    <col collapsed="false" customWidth="true" hidden="false" outlineLevel="0" max="4" min="4" style="0" width="13"/>
    <col collapsed="false" customWidth="true" hidden="false" outlineLevel="0" max="5" min="5" style="0" width="12"/>
  </cols>
  <sheetData>
    <row r="1" customFormat="false" ht="33.75" hidden="false" customHeight="true" outlineLevel="0" collapsed="false">
      <c r="A1" s="11" t="s">
        <v>83</v>
      </c>
      <c r="B1" s="11" t="s">
        <v>86</v>
      </c>
      <c r="C1" s="11" t="s">
        <v>87</v>
      </c>
      <c r="D1" s="15" t="s">
        <v>170</v>
      </c>
      <c r="E1" s="15" t="s">
        <v>171</v>
      </c>
    </row>
    <row r="2" customFormat="false" ht="15" hidden="false" customHeight="false" outlineLevel="0" collapsed="false">
      <c r="A2" s="17" t="s">
        <v>104</v>
      </c>
      <c r="B2" s="17" t="s">
        <v>172</v>
      </c>
      <c r="C2" s="20" t="n">
        <v>25000</v>
      </c>
      <c r="D2" s="23" t="n">
        <f aca="false">COUNTIF(Data!$E$2:$E$31,A2)</f>
        <v>5</v>
      </c>
      <c r="E2" s="23" t="n">
        <f aca="false">SUMIF(Data!$E$2:$E$31,A2,Data!$F$2:$F$31)</f>
        <v>365</v>
      </c>
    </row>
    <row r="3" customFormat="false" ht="15" hidden="false" customHeight="false" outlineLevel="0" collapsed="false">
      <c r="A3" s="17" t="s">
        <v>135</v>
      </c>
      <c r="B3" s="17" t="s">
        <v>173</v>
      </c>
      <c r="C3" s="20" t="n">
        <v>38000</v>
      </c>
      <c r="D3" s="23" t="n">
        <f aca="false">COUNTIF(Data!$E$2:$E$31,A3)</f>
        <v>8</v>
      </c>
      <c r="E3" s="23" t="n">
        <f aca="false">SUMIF(Data!$E$2:$E$31,A3,Data!$F$2:$F$31)</f>
        <v>900</v>
      </c>
    </row>
    <row r="4" customFormat="false" ht="15" hidden="false" customHeight="false" outlineLevel="0" collapsed="false">
      <c r="A4" s="17" t="s">
        <v>99</v>
      </c>
      <c r="B4" s="17" t="s">
        <v>174</v>
      </c>
      <c r="C4" s="20" t="n">
        <v>55000</v>
      </c>
      <c r="D4" s="23" t="n">
        <f aca="false">COUNTIF(Data!$E$2:$E$31,A4)</f>
        <v>7</v>
      </c>
      <c r="E4" s="23" t="n">
        <f aca="false">SUMIF(Data!$E$2:$E$31,A4,Data!$F$2:$F$31)</f>
        <v>765</v>
      </c>
    </row>
    <row r="5" customFormat="false" ht="15" hidden="false" customHeight="false" outlineLevel="0" collapsed="false">
      <c r="A5" s="17" t="s">
        <v>124</v>
      </c>
      <c r="B5" s="17" t="s">
        <v>175</v>
      </c>
      <c r="C5" s="20" t="n">
        <v>85000</v>
      </c>
      <c r="D5" s="23" t="n">
        <f aca="false">COUNTIF(Data!$E$2:$E$31,A5)</f>
        <v>4</v>
      </c>
      <c r="E5" s="23" t="n">
        <f aca="false">SUMIF(Data!$E$2:$E$31,A5,Data!$F$2:$F$31)</f>
        <v>360</v>
      </c>
    </row>
    <row r="6" customFormat="false" ht="15" hidden="false" customHeight="false" outlineLevel="0" collapsed="false">
      <c r="A6" s="17" t="s">
        <v>109</v>
      </c>
      <c r="B6" s="17" t="s">
        <v>176</v>
      </c>
      <c r="C6" s="20" t="n">
        <v>18000</v>
      </c>
      <c r="D6" s="23" t="n">
        <f aca="false">COUNTIF(Data!$E$2:$E$31,A6)</f>
        <v>6</v>
      </c>
      <c r="E6" s="23" t="n">
        <f aca="false">SUMIF(Data!$E$2:$E$31,A6,Data!$F$2:$F$31)</f>
        <v>725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177</v>
      </c>
      <c r="B1" s="28"/>
      <c r="C1" s="28"/>
      <c r="D1" s="28"/>
    </row>
    <row r="2" customFormat="false" ht="15" hidden="false" customHeight="false" outlineLevel="0" collapsed="false">
      <c r="A2" s="29" t="s">
        <v>178</v>
      </c>
      <c r="B2" s="29"/>
      <c r="C2" s="29"/>
      <c r="D2" s="29"/>
    </row>
    <row r="3" customFormat="false" ht="15" hidden="false" customHeight="false" outlineLevel="0" collapsed="false">
      <c r="A3" s="11" t="s">
        <v>19</v>
      </c>
      <c r="B3" s="11" t="s">
        <v>179</v>
      </c>
      <c r="C3" s="11" t="s">
        <v>180</v>
      </c>
      <c r="D3" s="11" t="s">
        <v>181</v>
      </c>
    </row>
    <row r="4" customFormat="false" ht="15" hidden="false" customHeight="false" outlineLevel="0" collapsed="false">
      <c r="A4" s="30" t="s">
        <v>182</v>
      </c>
      <c r="B4" s="31" t="s">
        <v>183</v>
      </c>
      <c r="C4" s="22" t="n">
        <f aca="false">SUM(Data!$L$2:$L$31)</f>
        <v>123573200</v>
      </c>
      <c r="D4" s="32" t="s">
        <v>184</v>
      </c>
    </row>
    <row r="5" customFormat="false" ht="15" hidden="false" customHeight="false" outlineLevel="0" collapsed="false">
      <c r="A5" s="30" t="s">
        <v>185</v>
      </c>
      <c r="B5" s="31" t="s">
        <v>186</v>
      </c>
      <c r="C5" s="22" t="n">
        <f aca="false">SUM(Data!$K$2:$K$31)</f>
        <v>6976800</v>
      </c>
      <c r="D5" s="32" t="s">
        <v>187</v>
      </c>
    </row>
    <row r="6" customFormat="false" ht="15" hidden="false" customHeight="false" outlineLevel="0" collapsed="false">
      <c r="A6" s="30" t="s">
        <v>188</v>
      </c>
      <c r="B6" s="31" t="s">
        <v>189</v>
      </c>
      <c r="C6" s="22" t="n">
        <f aca="false">SUM(Data!$M$2:$M$31)</f>
        <v>50399200</v>
      </c>
      <c r="D6" s="32" t="s">
        <v>190</v>
      </c>
    </row>
    <row r="7" customFormat="false" ht="15" hidden="false" customHeight="false" outlineLevel="0" collapsed="false">
      <c r="A7" s="30" t="s">
        <v>191</v>
      </c>
      <c r="B7" s="31" t="s">
        <v>192</v>
      </c>
      <c r="C7" s="23" t="n">
        <f aca="false">COUNTIF(Data!$N$2:$N$31,"Lunas")</f>
        <v>6</v>
      </c>
      <c r="D7" s="32" t="s">
        <v>193</v>
      </c>
    </row>
    <row r="8" customFormat="false" ht="15" hidden="false" customHeight="false" outlineLevel="0" collapsed="false">
      <c r="A8" s="30" t="s">
        <v>194</v>
      </c>
      <c r="B8" s="31" t="s">
        <v>195</v>
      </c>
      <c r="C8" s="23" t="n">
        <f aca="false">COUNTIF(Data!$N$2:$N$31,"DP Cukup")</f>
        <v>18</v>
      </c>
      <c r="D8" s="32" t="s">
        <v>196</v>
      </c>
    </row>
    <row r="9" customFormat="false" ht="15" hidden="false" customHeight="false" outlineLevel="0" collapsed="false">
      <c r="A9" s="30" t="s">
        <v>197</v>
      </c>
      <c r="B9" s="31" t="s">
        <v>198</v>
      </c>
      <c r="C9" s="23" t="n">
        <f aca="false">COUNTIF(Data!$N$2:$N$31,"DP Kurang")</f>
        <v>6</v>
      </c>
      <c r="D9" s="32" t="s">
        <v>199</v>
      </c>
    </row>
    <row r="10" customFormat="false" ht="15" hidden="false" customHeight="false" outlineLevel="0" collapsed="false">
      <c r="A10" s="30" t="s">
        <v>200</v>
      </c>
      <c r="B10" s="31" t="s">
        <v>201</v>
      </c>
      <c r="C10" s="21" t="str">
        <f aca="false">INDEX(Data!$D$2:$D$31,MATCH(MAX(Data!$L$2:$L$31),Data!$L$2:$L$31,0))</f>
        <v>Andi Amalia</v>
      </c>
      <c r="D10" s="32" t="s">
        <v>202</v>
      </c>
    </row>
    <row r="11" customFormat="false" ht="15" hidden="false" customHeight="false" outlineLevel="0" collapsed="false">
      <c r="A11" s="30" t="s">
        <v>203</v>
      </c>
      <c r="B11" s="31" t="s">
        <v>204</v>
      </c>
      <c r="C11" s="21" t="str">
        <f aca="false">INDEX(Acuan!$B$2:$B$6,MATCH(MAX(Acuan!$E$2:$E$6),Acuan!$E$2:$E$6,0))</f>
        <v>Nasi Box Premium</v>
      </c>
      <c r="D11" s="32" t="s">
        <v>205</v>
      </c>
    </row>
    <row r="12" customFormat="false" ht="15" hidden="false" customHeight="false" outlineLevel="0" collapsed="false">
      <c r="A12" s="30" t="s">
        <v>206</v>
      </c>
      <c r="B12" s="31" t="s">
        <v>207</v>
      </c>
      <c r="C12" s="33" t="n">
        <f aca="false">AVERAGE(Data!$O$2:$O$31)</f>
        <v>12.3</v>
      </c>
      <c r="D12" s="32" t="s">
        <v>208</v>
      </c>
    </row>
    <row r="13" customFormat="false" ht="15" hidden="false" customHeight="false" outlineLevel="0" collapsed="false">
      <c r="A13" s="30" t="s">
        <v>209</v>
      </c>
      <c r="B13" s="31" t="s">
        <v>210</v>
      </c>
      <c r="C13" s="23" t="n">
        <f aca="false">COUNTIF(Data!$K$2:$K$31,"&gt;0")</f>
        <v>13</v>
      </c>
      <c r="D13" s="32" t="s">
        <v>211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2026-10-14T23:33:45Z</dcterms:created>
  <dc:creator>PushExcel</dc:creator>
  <dc:description/>
  <dc:language>en-US</dc:language>
  <cp:lastModifiedBy/>
  <dcterms:modified xsi:type="dcterms:W3CDTF">2026-10-14T23:33:45Z</dcterms:modified>
  <cp:revision>0</cp:revision>
  <dc:subject/>
  <dc:title>Pesanan Katering, DP, dan Sisa Pembayaran - Kunci</dc:title>
</cp:coreProperties>
</file>

<file path=docProps/custom.xml><?xml version="1.0" encoding="utf-8"?>
<Properties xmlns="http://schemas.openxmlformats.org/officeDocument/2006/custom-properties" xmlns:vt="http://schemas.openxmlformats.org/officeDocument/2006/docPropsVTypes"/>
</file>