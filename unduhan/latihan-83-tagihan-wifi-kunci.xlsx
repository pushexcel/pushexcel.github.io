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Petunjuk" sheetId="1" state="visible" r:id="rId3"/>
    <sheet name="Data" sheetId="2" state="visible" r:id="rId4"/>
    <sheet name="Acuan" sheetId="3" state="visible" r:id="rId5"/>
    <sheet name="Ringkasan"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<sst xmlns="http://schemas.openxmlformats.org/spreadsheetml/2006/main" count="230" uniqueCount="198">
  <si>
    <t xml:space="preserve">Kunci Jawaban: Tagihan Pelanggan Internet: Denda dan Status Bayar</t>
  </si>
  <si>
    <t xml:space="preserve">Latihan 83 dari 40  |  Tingkat: Menengah  |  Perkiraan waktu: 50 menit  |  pushexcel.github.io/Pushexcel</t>
  </si>
  <si>
    <t xml:space="preserve">Skenario</t>
  </si>
  <si>
    <t xml:space="preserve">Kamu staf penagihan Wifi Lintas Desa yang merekap pembayaran bulan Oktober 2026 dari 30 pelanggan. Harga bulanan tiap paket ada di tabel sheet Acuan. Pelanggan yang membayar setelah tanggal jatuh tempo dikenai denda Rp 2.500 per hari telat, tetapi denda tidak boleh melebihi 20 persen dari harga paket. Status Tepat Waktu bila tidak telat, Telat Ringan bila telat paling lama 7 hari, dan Telat Berat bila lebih lama (semua angka ada di blok Parameter). Pembayaran sebelum jatuh tempo tidak dihitung telat.</t>
  </si>
  <si>
    <t xml:space="preserve">Cara memakai kunci</t>
  </si>
  <si>
    <t xml:space="preserve">1.</t>
  </si>
  <si>
    <t xml:space="preserve">Sel hijau berisi rumus kunci yang sudah dihitung. Klik sel untuk melihat rumusnya.</t>
  </si>
  <si>
    <t xml:space="preserve">2.</t>
  </si>
  <si>
    <t xml:space="preserve">Kolom Rumus kunci di bawah menampilkan rumus untuk baris pertama atau tiap sel jawaban.</t>
  </si>
  <si>
    <t xml:space="preserve">3.</t>
  </si>
  <si>
    <t xml:space="preserve">Rumus ditulis dengan titik koma (;). Ganti dengan koma (,) bila Excel kamu berbahasa Inggris.</t>
  </si>
  <si>
    <t xml:space="preserve">4.</t>
  </si>
  <si>
    <t xml:space="preserve">Jawaban lain yang benar secara logika juga boleh, selama hasilnya sama.</t>
  </si>
  <si>
    <t xml:space="preserve">Arti warna</t>
  </si>
  <si>
    <t xml:space="preserve">Judul kolom data yang sudah diberikan</t>
  </si>
  <si>
    <t xml:space="preserve">Judul kolom hasil hitung</t>
  </si>
  <si>
    <t xml:space="preserve">Sel berisi rumus kunci</t>
  </si>
  <si>
    <t xml:space="preserve">Angka berwarna biru pada blok Parameter = nilai tetap yang boleh dirujuk</t>
  </si>
  <si>
    <t xml:space="preserve">Daftar soal</t>
  </si>
  <si>
    <t xml:space="preserve">No</t>
  </si>
  <si>
    <t xml:space="preserve">Soal</t>
  </si>
  <si>
    <t xml:space="preserve">Jawab di</t>
  </si>
  <si>
    <t xml:space="preserve">Rumus kunci</t>
  </si>
  <si>
    <t xml:space="preserve">1</t>
  </si>
  <si>
    <t xml:space="preserve">Ambil harga bulanan paket tiap pelanggan dari tabel di sheet Acuan (pencocokan persis).</t>
  </si>
  <si>
    <t xml:space="preserve">Sheet Data, kolom F (Harga Paket), baris 2 sampai 31</t>
  </si>
  <si>
    <t xml:space="preserve">=VLOOKUP(C2;Acuan!$A$2:$B$5;2;FALSE)</t>
  </si>
  <si>
    <t xml:space="preserve">2</t>
  </si>
  <si>
    <t xml:space="preserve">Hitung hari telat: tanggal bayar dikurangi jatuh tempo. Bila bayar lebih awal, hasilnya 0 (tidak negatif).</t>
  </si>
  <si>
    <t xml:space="preserve">Sheet Data, kolom G (Hari Telat), baris 2 sampai 31</t>
  </si>
  <si>
    <t xml:space="preserve">=MAX(0;E2-D2)</t>
  </si>
  <si>
    <t xml:space="preserve">3</t>
  </si>
  <si>
    <t xml:space="preserve">Hitung denda: hari telat dikali denda per hari, tetapi tidak boleh melebihi batas denda dikali harga paket.</t>
  </si>
  <si>
    <t xml:space="preserve">Sheet Data, kolom H (Denda), baris 2 sampai 31</t>
  </si>
  <si>
    <t xml:space="preserve">=MIN(G2*$M$2;F2*$M$3)</t>
  </si>
  <si>
    <t xml:space="preserve">4</t>
  </si>
  <si>
    <t xml:space="preserve">Hitung total bayar: harga paket ditambah denda.</t>
  </si>
  <si>
    <t xml:space="preserve">Sheet Data, kolom I (Total Bayar), baris 2 sampai 31</t>
  </si>
  <si>
    <t xml:space="preserve">=F2+H2</t>
  </si>
  <si>
    <t xml:space="preserve">5</t>
  </si>
  <si>
    <t xml:space="preserve">Beri status: Tepat Waktu bila hari telat 0, Telat Ringan bila tidak lebih dari batas telat ringan, selain itu Telat Berat.</t>
  </si>
  <si>
    <t xml:space="preserve">Sheet Data, kolom J (Status), baris 2 sampai 31</t>
  </si>
  <si>
    <t xml:space="preserve">=IF(G2=0;"Tepat Waktu";IF(G2&lt;=$M$4;"Telat Ringan";"Telat Berat"))</t>
  </si>
  <si>
    <t xml:space="preserve">6</t>
  </si>
  <si>
    <t xml:space="preserve">Pada sheet Acuan, hitung jumlah pelanggan tiap paket.</t>
  </si>
  <si>
    <t xml:space="preserve">Sheet Acuan, kolom D (Jumlah Pelanggan), baris 2 sampai 5</t>
  </si>
  <si>
    <t xml:space="preserve">=COUNTIF(Data!$C$2:$C$31;A2)</t>
  </si>
  <si>
    <t xml:space="preserve">7</t>
  </si>
  <si>
    <t xml:space="preserve">Pada sheet Acuan, hitung total denda yang terkumpul dari tiap paket.</t>
  </si>
  <si>
    <t xml:space="preserve">Sheet Acuan, kolom E (Total Denda Paket), baris 2 sampai 5</t>
  </si>
  <si>
    <t xml:space="preserve">=SUMIF(Data!$C$2:$C$31;A2;Data!$H$2:$H$31)</t>
  </si>
  <si>
    <t xml:space="preserve">8</t>
  </si>
  <si>
    <t xml:space="preserve">Berapa total tagihan pokok (harga paket), total denda, dan total uang yang diterima seluruhnya?</t>
  </si>
  <si>
    <t xml:space="preserve">Sheet Ringkasan, sel C4 sampai C6</t>
  </si>
  <si>
    <t xml:space="preserve">=SUM(Data!$F$2:$F$31)
=SUM(Data!$H$2:$H$31)
=SUM(Data!$I$2:$I$31)</t>
  </si>
  <si>
    <t xml:space="preserve">9</t>
  </si>
  <si>
    <t xml:space="preserve">Berapa pelanggan yang Tepat Waktu, yang Telat Ringan, dan yang Telat Berat?</t>
  </si>
  <si>
    <t xml:space="preserve">Sheet Ringkasan, sel C7 sampai C9</t>
  </si>
  <si>
    <t xml:space="preserve">=COUNTIF(Data!$J$2:$J$31;"Tepat Waktu")
=COUNTIF(Data!$J$2:$J$31;"Telat Ringan")
=COUNTIF(Data!$J$2:$J$31;"Telat Berat")</t>
  </si>
  <si>
    <t xml:space="preserve">10</t>
  </si>
  <si>
    <t xml:space="preserve">Siapa pelanggan dengan hari telat terlama, dan paket apa yang total dendanya terbesar?</t>
  </si>
  <si>
    <t xml:space="preserve">Sheet Ringkasan, sel C10 sampai C11</t>
  </si>
  <si>
    <t xml:space="preserve">=INDEX(Data!$B$2:$B$31;MATCH(MAX(Data!$G$2:$G$31);Data!$G$2:$G$31;0))
=INDEX(Acuan!$A$2:$A$5;MATCH(MAX(Acuan!$E$2:$E$5);Acuan!$E$2:$E$5;0))</t>
  </si>
  <si>
    <t xml:space="preserve">11</t>
  </si>
  <si>
    <t xml:space="preserve">Berapa pelanggan yang telat lebih dari 14 hari, dan berapa rata-rata hari telat pelanggan yang terlambat saja?</t>
  </si>
  <si>
    <t xml:space="preserve">Sheet Ringkasan, sel C12 sampai C13</t>
  </si>
  <si>
    <t xml:space="preserve">=COUNTIF(Data!$G$2:$G$31;"&gt;14")
=AVERAGEIF(Data!$G$2:$G$31;"&gt;0")</t>
  </si>
  <si>
    <t xml:space="preserve">12</t>
  </si>
  <si>
    <t xml:space="preserve">Berapa pelanggan paket Rumah 20 yang Telat Berat, dan berapa total denda pelanggan paket Bisnis 100?</t>
  </si>
  <si>
    <t xml:space="preserve">Sheet Ringkasan, sel C14 sampai C15</t>
  </si>
  <si>
    <t xml:space="preserve">=COUNTIFS(Data!$C$2:$C$31;"Rumah 20";Data!$J$2:$J$31;"Telat Berat")
=SUMIF(Data!$C$2:$C$31;"Bisnis 100";Data!$H$2:$H$31)</t>
  </si>
  <si>
    <t xml:space="preserve">ID Pelanggan</t>
  </si>
  <si>
    <t xml:space="preserve">Nama Pelanggan</t>
  </si>
  <si>
    <t xml:space="preserve">Paket</t>
  </si>
  <si>
    <t xml:space="preserve">Jatuh Tempo</t>
  </si>
  <si>
    <t xml:space="preserve">Tanggal Bayar</t>
  </si>
  <si>
    <t xml:space="preserve">Harga Paket</t>
  </si>
  <si>
    <t xml:space="preserve">Hari Telat</t>
  </si>
  <si>
    <t xml:space="preserve">Denda</t>
  </si>
  <si>
    <t xml:space="preserve">Total Bayar</t>
  </si>
  <si>
    <t xml:space="preserve">Status</t>
  </si>
  <si>
    <t xml:space="preserve">Parameter</t>
  </si>
  <si>
    <t xml:space="preserve">Nilai</t>
  </si>
  <si>
    <t xml:space="preserve">Keterangan</t>
  </si>
  <si>
    <t xml:space="preserve">W-001</t>
  </si>
  <si>
    <t xml:space="preserve">Bayu Lestari</t>
  </si>
  <si>
    <t xml:space="preserve">Rumah 10</t>
  </si>
  <si>
    <t xml:space="preserve">Denda per hari</t>
  </si>
  <si>
    <t xml:space="preserve">W-002</t>
  </si>
  <si>
    <t xml:space="preserve">Zainal Pangestu</t>
  </si>
  <si>
    <t xml:space="preserve">Rumah 20</t>
  </si>
  <si>
    <t xml:space="preserve">Batas denda</t>
  </si>
  <si>
    <t xml:space="preserve">Persen maksimum terhadap harga paket</t>
  </si>
  <si>
    <t xml:space="preserve">W-003</t>
  </si>
  <si>
    <t xml:space="preserve">Irfan Maharani</t>
  </si>
  <si>
    <t xml:space="preserve">Rumah 50</t>
  </si>
  <si>
    <t xml:space="preserve">Batas telat ringan</t>
  </si>
  <si>
    <t xml:space="preserve">Hari telat paling lama untuk Telat Ringan</t>
  </si>
  <si>
    <t xml:space="preserve">W-004</t>
  </si>
  <si>
    <t xml:space="preserve">Fitri Amalia</t>
  </si>
  <si>
    <t xml:space="preserve">Bisnis 100</t>
  </si>
  <si>
    <t xml:space="preserve">W-005</t>
  </si>
  <si>
    <t xml:space="preserve">Lina Syahputra</t>
  </si>
  <si>
    <t xml:space="preserve">W-006</t>
  </si>
  <si>
    <t xml:space="preserve">Citra Fauzi</t>
  </si>
  <si>
    <t xml:space="preserve">W-007</t>
  </si>
  <si>
    <t xml:space="preserve">Umar Amalia</t>
  </si>
  <si>
    <t xml:space="preserve">W-008</t>
  </si>
  <si>
    <t xml:space="preserve">Umar Susanto</t>
  </si>
  <si>
    <t xml:space="preserve">W-009</t>
  </si>
  <si>
    <t xml:space="preserve">Vina Hidayat</t>
  </si>
  <si>
    <t xml:space="preserve">W-010</t>
  </si>
  <si>
    <t xml:space="preserve">Lina Handayani</t>
  </si>
  <si>
    <t xml:space="preserve">W-011</t>
  </si>
  <si>
    <t xml:space="preserve">Edi Permana</t>
  </si>
  <si>
    <t xml:space="preserve">W-012</t>
  </si>
  <si>
    <t xml:space="preserve">Budi Handayani</t>
  </si>
  <si>
    <t xml:space="preserve">W-013</t>
  </si>
  <si>
    <t xml:space="preserve">Lina Hartono</t>
  </si>
  <si>
    <t xml:space="preserve">W-014</t>
  </si>
  <si>
    <t xml:space="preserve">Tono Firmansyah</t>
  </si>
  <si>
    <t xml:space="preserve">W-015</t>
  </si>
  <si>
    <t xml:space="preserve">Agus Ramadhan</t>
  </si>
  <si>
    <t xml:space="preserve">W-016</t>
  </si>
  <si>
    <t xml:space="preserve">Dimas Purnomo</t>
  </si>
  <si>
    <t xml:space="preserve">W-017</t>
  </si>
  <si>
    <t xml:space="preserve">Fitri Ramadhan</t>
  </si>
  <si>
    <t xml:space="preserve">W-018</t>
  </si>
  <si>
    <t xml:space="preserve">Yuni Ramadhan</t>
  </si>
  <si>
    <t xml:space="preserve">W-019</t>
  </si>
  <si>
    <t xml:space="preserve">Agus Handayani</t>
  </si>
  <si>
    <t xml:space="preserve">W-020</t>
  </si>
  <si>
    <t xml:space="preserve">Andi Firmansyah</t>
  </si>
  <si>
    <t xml:space="preserve">W-021</t>
  </si>
  <si>
    <t xml:space="preserve">Rahmat Wibowo</t>
  </si>
  <si>
    <t xml:space="preserve">W-022</t>
  </si>
  <si>
    <t xml:space="preserve">Vina Sari</t>
  </si>
  <si>
    <t xml:space="preserve">W-023</t>
  </si>
  <si>
    <t xml:space="preserve">Dimas Pratama</t>
  </si>
  <si>
    <t xml:space="preserve">W-024</t>
  </si>
  <si>
    <t xml:space="preserve">Rahmat Maharani</t>
  </si>
  <si>
    <t xml:space="preserve">W-025</t>
  </si>
  <si>
    <t xml:space="preserve">Agus Suryani</t>
  </si>
  <si>
    <t xml:space="preserve">W-026</t>
  </si>
  <si>
    <t xml:space="preserve">Yoga Hidayat</t>
  </si>
  <si>
    <t xml:space="preserve">W-027</t>
  </si>
  <si>
    <t xml:space="preserve">Joko Suryani</t>
  </si>
  <si>
    <t xml:space="preserve">W-028</t>
  </si>
  <si>
    <t xml:space="preserve">Eko Kusuma</t>
  </si>
  <si>
    <t xml:space="preserve">W-029</t>
  </si>
  <si>
    <t xml:space="preserve">Dian Saputra</t>
  </si>
  <si>
    <t xml:space="preserve">W-030</t>
  </si>
  <si>
    <t xml:space="preserve">Edi Pangestu</t>
  </si>
  <si>
    <t xml:space="preserve">Harga Bulanan</t>
  </si>
  <si>
    <t xml:space="preserve">Kecepatan (Mbps)</t>
  </si>
  <si>
    <t xml:space="preserve">Jumlah Pelanggan</t>
  </si>
  <si>
    <t xml:space="preserve">Total Denda Paket</t>
  </si>
  <si>
    <t xml:space="preserve">Ringkasan: lembar jawaban soal berjenis ringkasan</t>
  </si>
  <si>
    <t xml:space="preserve">Sel hijau berisi rumus kunci.</t>
  </si>
  <si>
    <t xml:space="preserve">Pertanyaan</t>
  </si>
  <si>
    <t xml:space="preserve">Jawaban</t>
  </si>
  <si>
    <t xml:space="preserve">Contoh format hasil</t>
  </si>
  <si>
    <t xml:space="preserve">8a</t>
  </si>
  <si>
    <t xml:space="preserve">Total harga paket</t>
  </si>
  <si>
    <t xml:space="preserve">Rupiah, mis. Rp 8.000.000</t>
  </si>
  <si>
    <t xml:space="preserve">8b</t>
  </si>
  <si>
    <t xml:space="preserve">Total denda</t>
  </si>
  <si>
    <t xml:space="preserve">Rupiah, mis. Rp 300.000</t>
  </si>
  <si>
    <t xml:space="preserve">8c</t>
  </si>
  <si>
    <t xml:space="preserve">Total uang diterima</t>
  </si>
  <si>
    <t xml:space="preserve">Rupiah, mis. Rp 8.300.000</t>
  </si>
  <si>
    <t xml:space="preserve">9a</t>
  </si>
  <si>
    <t xml:space="preserve">Pelanggan Tepat Waktu</t>
  </si>
  <si>
    <t xml:space="preserve">Angka bulat, mis. 12</t>
  </si>
  <si>
    <t xml:space="preserve">9b</t>
  </si>
  <si>
    <t xml:space="preserve">Pelanggan Telat Ringan</t>
  </si>
  <si>
    <t xml:space="preserve">Angka bulat, mis. 8</t>
  </si>
  <si>
    <t xml:space="preserve">9c</t>
  </si>
  <si>
    <t xml:space="preserve">Pelanggan Telat Berat</t>
  </si>
  <si>
    <t xml:space="preserve">Angka bulat, mis. 6</t>
  </si>
  <si>
    <t xml:space="preserve">10a</t>
  </si>
  <si>
    <t xml:space="preserve">Pelanggan dengan telat terlama</t>
  </si>
  <si>
    <t xml:space="preserve">Teks: nama pelanggan</t>
  </si>
  <si>
    <t xml:space="preserve">10b</t>
  </si>
  <si>
    <t xml:space="preserve">Paket dengan denda terbesar</t>
  </si>
  <si>
    <t xml:space="preserve">Teks: nama paket</t>
  </si>
  <si>
    <t xml:space="preserve">11a</t>
  </si>
  <si>
    <t xml:space="preserve">Pelanggan telat lebih dari 14 hari</t>
  </si>
  <si>
    <t xml:space="preserve">Angka bulat, mis. 4</t>
  </si>
  <si>
    <t xml:space="preserve">11b</t>
  </si>
  <si>
    <t xml:space="preserve">Rata-rata hari telat pelanggan yang terlambat</t>
  </si>
  <si>
    <t xml:space="preserve">Angka desimal, mis. 9,5</t>
  </si>
  <si>
    <t xml:space="preserve">12a</t>
  </si>
  <si>
    <t xml:space="preserve">Paket Rumah 20 yang Telat Berat</t>
  </si>
  <si>
    <t xml:space="preserve">Angka bulat, mis. 2</t>
  </si>
  <si>
    <t xml:space="preserve">12b</t>
  </si>
  <si>
    <t xml:space="preserve">Total denda paket Bisnis 100</t>
  </si>
  <si>
    <t xml:space="preserve">Rupiah, mis. Rp 90.000</t>
  </si>
</sst>
</file>

<file path=xl/styles.xml><?xml version="1.0" encoding="utf-8"?>
<styleSheet xmlns="http://schemas.openxmlformats.org/spreadsheetml/2006/main">
  <numFmts count="6">
    <numFmt numFmtId="164" formatCode="General"/>
    <numFmt numFmtId="165" formatCode="dd/mm/yyyy"/>
    <numFmt numFmtId="166" formatCode="&quot;Rp &quot;#,##0"/>
    <numFmt numFmtId="167" formatCode="0"/>
    <numFmt numFmtId="168" formatCode="0%"/>
    <numFmt numFmtId="169"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3D"/>
      <name val="Arial"/>
      <family val="0"/>
      <charset val="1"/>
    </font>
    <font>
      <sz val="9"/>
      <color rgb="FF595959"/>
      <name val="Arial"/>
      <family val="0"/>
      <charset val="1"/>
    </font>
    <font>
      <b val="true"/>
      <sz val="11"/>
      <name val="Arial"/>
      <family val="0"/>
      <charset val="1"/>
    </font>
    <font>
      <sz val="10"/>
      <name val="Arial"/>
      <family val="0"/>
      <charset val="1"/>
    </font>
    <font>
      <b val="true"/>
      <sz val="10"/>
      <color rgb="FFFFFFFF"/>
      <name val="Arial"/>
      <family val="0"/>
      <charset val="1"/>
    </font>
    <font>
      <sz val="9"/>
      <name val="Consolas"/>
      <family val="0"/>
      <charset val="1"/>
    </font>
    <font>
      <sz val="10"/>
      <color rgb="FF0000FF"/>
      <name val="Arial"/>
      <family val="0"/>
      <charset val="1"/>
    </font>
    <font>
      <b val="true"/>
      <sz val="13"/>
      <color rgb="FF1F4E3D"/>
      <name val="Arial"/>
      <family val="0"/>
      <charset val="1"/>
    </font>
    <font>
      <i val="true"/>
      <sz val="9"/>
      <color rgb="FF595959"/>
      <name val="Arial"/>
      <family val="0"/>
      <charset val="1"/>
    </font>
  </fonts>
  <fills count="7">
    <fill>
      <patternFill patternType="none"/>
    </fill>
    <fill>
      <patternFill patternType="gray125"/>
    </fill>
    <fill>
      <patternFill patternType="solid">
        <fgColor rgb="FF1F4E3D"/>
        <bgColor rgb="FF44546A"/>
      </patternFill>
    </fill>
    <fill>
      <patternFill patternType="solid">
        <fgColor rgb="FFB45F06"/>
        <bgColor rgb="FF808000"/>
      </patternFill>
    </fill>
    <fill>
      <patternFill patternType="solid">
        <fgColor rgb="FFE2EFDA"/>
        <bgColor rgb="FFFFFFCC"/>
      </patternFill>
    </fill>
    <fill>
      <patternFill patternType="solid">
        <fgColor rgb="FFFFFFFF"/>
        <bgColor rgb="FFFFFFCC"/>
      </patternFill>
    </fill>
    <fill>
      <patternFill patternType="solid">
        <fgColor rgb="FF44546A"/>
        <bgColor rgb="FF59595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right" vertical="top"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6" fontId="7" fillId="4" borderId="1" xfId="0" applyFont="true" applyBorder="true" applyAlignment="true" applyProtection="false">
      <alignment horizontal="right" vertical="center" textRotation="0" wrapText="false" indent="0" shrinkToFit="false"/>
      <protection locked="true" hidden="false"/>
    </xf>
    <xf numFmtId="167" fontId="7" fillId="4" borderId="1" xfId="0" applyFont="true" applyBorder="true" applyAlignment="true" applyProtection="false">
      <alignment horizontal="right" vertical="center" textRotation="0" wrapText="false" indent="0" shrinkToFit="false"/>
      <protection locked="true" hidden="false"/>
    </xf>
    <xf numFmtId="164" fontId="7" fillId="4" borderId="1"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true" applyProtection="false">
      <alignment horizontal="right" vertical="center" textRotation="0" wrapText="false" indent="0" shrinkToFit="false"/>
      <protection locked="true" hidden="false"/>
    </xf>
    <xf numFmtId="168" fontId="10" fillId="0" borderId="1" xfId="0" applyFont="true" applyBorder="true" applyAlignment="true" applyProtection="false">
      <alignment horizontal="right" vertical="center" textRotation="0" wrapText="false" indent="0" shrinkToFit="false"/>
      <protection locked="true" hidden="false"/>
    </xf>
    <xf numFmtId="167" fontId="10" fillId="0" borderId="1" xfId="0" applyFont="true" applyBorder="true" applyAlignment="true" applyProtection="false">
      <alignment horizontal="right" vertical="center" textRotation="0" wrapText="false" indent="0" shrinkToFit="false"/>
      <protection locked="true" hidden="false"/>
    </xf>
    <xf numFmtId="166" fontId="7" fillId="0" borderId="1" xfId="0" applyFont="true" applyBorder="true" applyAlignment="true" applyProtection="false">
      <alignment horizontal="right" vertical="center" textRotation="0" wrapText="false" indent="0" shrinkToFit="false"/>
      <protection locked="true" hidden="false"/>
    </xf>
    <xf numFmtId="167" fontId="7" fillId="0" borderId="1" xfId="0" applyFont="true" applyBorder="true" applyAlignment="true" applyProtection="false">
      <alignment horizontal="right" vertical="center"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12" fillId="0" borderId="1" xfId="0" applyFont="true" applyBorder="true" applyAlignment="true" applyProtection="false">
      <alignment horizontal="general" vertical="center" textRotation="0" wrapText="true" indent="0" shrinkToFit="false"/>
      <protection locked="true" hidden="false"/>
    </xf>
    <xf numFmtId="169" fontId="7" fillId="4"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B45F06"/>
      <rgbColor rgb="FF993366"/>
      <rgbColor rgb="FF44546A"/>
      <rgbColor rgb="FF1F4E3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62"/>
    <col collapsed="false" customWidth="true" hidden="false" outlineLevel="0" max="3" min="3" style="0" width="40"/>
    <col collapsed="false" customWidth="true" hidden="false" outlineLevel="0" max="4" min="4" style="0" width="70"/>
    <col collapsed="false" customWidth="true" hidden="false" outlineLevel="0" max="5" min="5" style="0" width="30"/>
  </cols>
  <sheetData>
    <row r="1" customFormat="false" ht="19.7" hidden="false" customHeight="false" outlineLevel="0" collapsed="false">
      <c r="A1" s="1" t="s">
        <v>0</v>
      </c>
      <c r="B1" s="1"/>
      <c r="C1" s="1"/>
      <c r="D1" s="1"/>
      <c r="E1" s="1"/>
    </row>
    <row r="2" customFormat="false" ht="15" hidden="false" customHeight="false" outlineLevel="0" collapsed="false">
      <c r="A2" s="2" t="s">
        <v>1</v>
      </c>
      <c r="B2" s="2"/>
      <c r="C2" s="2"/>
      <c r="D2" s="2"/>
      <c r="E2" s="2"/>
    </row>
    <row r="4" customFormat="false" ht="15" hidden="false" customHeight="false" outlineLevel="0" collapsed="false">
      <c r="A4" s="3" t="s">
        <v>2</v>
      </c>
    </row>
    <row r="5" customFormat="false" ht="66" hidden="false" customHeight="true" outlineLevel="0" collapsed="false">
      <c r="A5" s="4" t="s">
        <v>3</v>
      </c>
      <c r="B5" s="4"/>
      <c r="C5" s="4"/>
      <c r="D5" s="4"/>
      <c r="E5" s="4"/>
    </row>
    <row r="7" customFormat="false" ht="15" hidden="false" customHeight="false" outlineLevel="0" collapsed="false">
      <c r="A7" s="3" t="s">
        <v>4</v>
      </c>
    </row>
    <row r="8" customFormat="false" ht="15" hidden="false" customHeight="true" outlineLevel="0" collapsed="false">
      <c r="A8" s="5" t="s">
        <v>5</v>
      </c>
      <c r="B8" s="4" t="s">
        <v>6</v>
      </c>
      <c r="C8" s="4"/>
      <c r="D8" s="4"/>
      <c r="E8" s="4"/>
    </row>
    <row r="9" customFormat="false" ht="15" hidden="false" customHeight="true" outlineLevel="0" collapsed="false">
      <c r="A9" s="5" t="s">
        <v>7</v>
      </c>
      <c r="B9" s="4" t="s">
        <v>8</v>
      </c>
      <c r="C9" s="4"/>
      <c r="D9" s="4"/>
      <c r="E9" s="4"/>
    </row>
    <row r="10" customFormat="false" ht="15" hidden="false" customHeight="true" outlineLevel="0" collapsed="false">
      <c r="A10" s="5" t="s">
        <v>9</v>
      </c>
      <c r="B10" s="4" t="s">
        <v>10</v>
      </c>
      <c r="C10" s="4"/>
      <c r="D10" s="4"/>
      <c r="E10" s="4"/>
    </row>
    <row r="11" customFormat="false" ht="15" hidden="false" customHeight="true" outlineLevel="0" collapsed="false">
      <c r="A11" s="5" t="s">
        <v>11</v>
      </c>
      <c r="B11" s="4" t="s">
        <v>12</v>
      </c>
      <c r="C11" s="4"/>
      <c r="D11" s="4"/>
      <c r="E11" s="4"/>
    </row>
    <row r="13" customFormat="false" ht="15" hidden="false" customHeight="false" outlineLevel="0" collapsed="false">
      <c r="A13" s="3" t="s">
        <v>13</v>
      </c>
    </row>
    <row r="14" customFormat="false" ht="15" hidden="false" customHeight="false" outlineLevel="0" collapsed="false">
      <c r="A14" s="6"/>
      <c r="B14" s="7" t="s">
        <v>14</v>
      </c>
    </row>
    <row r="15" customFormat="false" ht="15" hidden="false" customHeight="false" outlineLevel="0" collapsed="false">
      <c r="A15" s="8"/>
      <c r="B15" s="7" t="s">
        <v>15</v>
      </c>
    </row>
    <row r="16" customFormat="false" ht="15" hidden="false" customHeight="false" outlineLevel="0" collapsed="false">
      <c r="A16" s="9"/>
      <c r="B16" s="7" t="s">
        <v>16</v>
      </c>
    </row>
    <row r="17" customFormat="false" ht="15" hidden="false" customHeight="false" outlineLevel="0" collapsed="false">
      <c r="A17" s="10"/>
      <c r="B17" s="7" t="s">
        <v>17</v>
      </c>
    </row>
    <row r="19" customFormat="false" ht="15" hidden="false" customHeight="false" outlineLevel="0" collapsed="false">
      <c r="A19" s="3" t="s">
        <v>18</v>
      </c>
    </row>
    <row r="20" customFormat="false" ht="15" hidden="false" customHeight="false" outlineLevel="0" collapsed="false">
      <c r="A20" s="11" t="s">
        <v>19</v>
      </c>
      <c r="B20" s="11" t="s">
        <v>20</v>
      </c>
      <c r="C20" s="11" t="s">
        <v>21</v>
      </c>
      <c r="D20" s="11" t="s">
        <v>22</v>
      </c>
    </row>
    <row r="21" customFormat="false" ht="30" hidden="false" customHeight="true" outlineLevel="0" collapsed="false">
      <c r="A21" s="12" t="s">
        <v>23</v>
      </c>
      <c r="B21" s="13" t="s">
        <v>24</v>
      </c>
      <c r="C21" s="13" t="s">
        <v>25</v>
      </c>
      <c r="D21" s="14" t="s">
        <v>26</v>
      </c>
    </row>
    <row r="22" customFormat="false" ht="30" hidden="false" customHeight="true" outlineLevel="0" collapsed="false">
      <c r="A22" s="12" t="s">
        <v>27</v>
      </c>
      <c r="B22" s="13" t="s">
        <v>28</v>
      </c>
      <c r="C22" s="13" t="s">
        <v>29</v>
      </c>
      <c r="D22" s="14" t="s">
        <v>30</v>
      </c>
    </row>
    <row r="23" customFormat="false" ht="30" hidden="false" customHeight="true" outlineLevel="0" collapsed="false">
      <c r="A23" s="12" t="s">
        <v>31</v>
      </c>
      <c r="B23" s="13" t="s">
        <v>32</v>
      </c>
      <c r="C23" s="13" t="s">
        <v>33</v>
      </c>
      <c r="D23" s="14" t="s">
        <v>34</v>
      </c>
    </row>
    <row r="24" customFormat="false" ht="30" hidden="false" customHeight="true" outlineLevel="0" collapsed="false">
      <c r="A24" s="12" t="s">
        <v>35</v>
      </c>
      <c r="B24" s="13" t="s">
        <v>36</v>
      </c>
      <c r="C24" s="13" t="s">
        <v>37</v>
      </c>
      <c r="D24" s="14" t="s">
        <v>38</v>
      </c>
    </row>
    <row r="25" customFormat="false" ht="42" hidden="false" customHeight="true" outlineLevel="0" collapsed="false">
      <c r="A25" s="12" t="s">
        <v>39</v>
      </c>
      <c r="B25" s="13" t="s">
        <v>40</v>
      </c>
      <c r="C25" s="13" t="s">
        <v>41</v>
      </c>
      <c r="D25" s="14" t="s">
        <v>42</v>
      </c>
    </row>
    <row r="26" customFormat="false" ht="30" hidden="false" customHeight="true" outlineLevel="0" collapsed="false">
      <c r="A26" s="12" t="s">
        <v>43</v>
      </c>
      <c r="B26" s="13" t="s">
        <v>44</v>
      </c>
      <c r="C26" s="13" t="s">
        <v>45</v>
      </c>
      <c r="D26" s="14" t="s">
        <v>46</v>
      </c>
    </row>
    <row r="27" customFormat="false" ht="30" hidden="false" customHeight="true" outlineLevel="0" collapsed="false">
      <c r="A27" s="12" t="s">
        <v>47</v>
      </c>
      <c r="B27" s="13" t="s">
        <v>48</v>
      </c>
      <c r="C27" s="13" t="s">
        <v>49</v>
      </c>
      <c r="D27" s="14" t="s">
        <v>50</v>
      </c>
    </row>
    <row r="28" customFormat="false" ht="57.75" hidden="false" customHeight="true" outlineLevel="0" collapsed="false">
      <c r="A28" s="12" t="s">
        <v>51</v>
      </c>
      <c r="B28" s="13" t="s">
        <v>52</v>
      </c>
      <c r="C28" s="13" t="s">
        <v>53</v>
      </c>
      <c r="D28" s="14" t="s">
        <v>54</v>
      </c>
    </row>
    <row r="29" customFormat="false" ht="57.75" hidden="false" customHeight="true" outlineLevel="0" collapsed="false">
      <c r="A29" s="12" t="s">
        <v>55</v>
      </c>
      <c r="B29" s="13" t="s">
        <v>56</v>
      </c>
      <c r="C29" s="13" t="s">
        <v>57</v>
      </c>
      <c r="D29" s="14" t="s">
        <v>58</v>
      </c>
    </row>
    <row r="30" customFormat="false" ht="55.5" hidden="false" customHeight="true" outlineLevel="0" collapsed="false">
      <c r="A30" s="12" t="s">
        <v>59</v>
      </c>
      <c r="B30" s="13" t="s">
        <v>60</v>
      </c>
      <c r="C30" s="13" t="s">
        <v>61</v>
      </c>
      <c r="D30" s="14" t="s">
        <v>62</v>
      </c>
    </row>
    <row r="31" customFormat="false" ht="43.5" hidden="false" customHeight="true" outlineLevel="0" collapsed="false">
      <c r="A31" s="12" t="s">
        <v>63</v>
      </c>
      <c r="B31" s="13" t="s">
        <v>64</v>
      </c>
      <c r="C31" s="13" t="s">
        <v>65</v>
      </c>
      <c r="D31" s="14" t="s">
        <v>66</v>
      </c>
    </row>
    <row r="32" customFormat="false" ht="43.5" hidden="false" customHeight="true" outlineLevel="0" collapsed="false">
      <c r="A32" s="12" t="s">
        <v>67</v>
      </c>
      <c r="B32" s="13" t="s">
        <v>68</v>
      </c>
      <c r="C32" s="13" t="s">
        <v>69</v>
      </c>
      <c r="D32" s="14" t="s">
        <v>70</v>
      </c>
    </row>
  </sheetData>
  <mergeCells count="7">
    <mergeCell ref="A1:E1"/>
    <mergeCell ref="A2:E2"/>
    <mergeCell ref="A5:E5"/>
    <mergeCell ref="B8:E8"/>
    <mergeCell ref="B9:E9"/>
    <mergeCell ref="B10:E10"/>
    <mergeCell ref="B11:E11"/>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2"/>
    <col collapsed="false" customWidth="true" hidden="false" outlineLevel="0" max="4" min="3" style="0" width="13"/>
    <col collapsed="false" customWidth="true" hidden="false" outlineLevel="0" max="5" min="5" style="0" width="14"/>
    <col collapsed="false" customWidth="true" hidden="false" outlineLevel="0" max="6" min="6" style="0" width="13"/>
    <col collapsed="false" customWidth="true" hidden="false" outlineLevel="0" max="7" min="7" style="0" width="11"/>
    <col collapsed="false" customWidth="true" hidden="false" outlineLevel="0" max="8" min="8" style="0" width="12"/>
    <col collapsed="false" customWidth="true" hidden="false" outlineLevel="0" max="10" min="9" style="0" width="13"/>
    <col collapsed="false" customWidth="true" hidden="false" outlineLevel="0" max="11" min="11" style="0" width="3"/>
    <col collapsed="false" customWidth="true" hidden="false" outlineLevel="0" max="12" min="12" style="0" width="30"/>
    <col collapsed="false" customWidth="true" hidden="false" outlineLevel="0" max="13" min="13" style="0" width="16"/>
    <col collapsed="false" customWidth="true" hidden="false" outlineLevel="0" max="14" min="14" style="0" width="42"/>
  </cols>
  <sheetData>
    <row r="1" customFormat="false" ht="33.75" hidden="false" customHeight="true" outlineLevel="0" collapsed="false">
      <c r="A1" s="11" t="s">
        <v>71</v>
      </c>
      <c r="B1" s="11" t="s">
        <v>72</v>
      </c>
      <c r="C1" s="11" t="s">
        <v>73</v>
      </c>
      <c r="D1" s="11" t="s">
        <v>74</v>
      </c>
      <c r="E1" s="11" t="s">
        <v>75</v>
      </c>
      <c r="F1" s="15" t="s">
        <v>76</v>
      </c>
      <c r="G1" s="15" t="s">
        <v>77</v>
      </c>
      <c r="H1" s="15" t="s">
        <v>78</v>
      </c>
      <c r="I1" s="15" t="s">
        <v>79</v>
      </c>
      <c r="J1" s="15" t="s">
        <v>80</v>
      </c>
      <c r="L1" s="16" t="s">
        <v>81</v>
      </c>
      <c r="M1" s="16" t="s">
        <v>82</v>
      </c>
      <c r="N1" s="16" t="s">
        <v>83</v>
      </c>
    </row>
    <row r="2" customFormat="false" ht="15" hidden="false" customHeight="false" outlineLevel="0" collapsed="false">
      <c r="A2" s="17" t="s">
        <v>84</v>
      </c>
      <c r="B2" s="17" t="s">
        <v>85</v>
      </c>
      <c r="C2" s="17" t="s">
        <v>86</v>
      </c>
      <c r="D2" s="18" t="n">
        <v>46320</v>
      </c>
      <c r="E2" s="18" t="n">
        <v>46320</v>
      </c>
      <c r="F2" s="19" t="n">
        <f aca="false">VLOOKUP(C2,Acuan!$A$2:$B$5,2,FALSE())</f>
        <v>175000</v>
      </c>
      <c r="G2" s="20" t="n">
        <f aca="false">MAX(0,E2-D2)</f>
        <v>0</v>
      </c>
      <c r="H2" s="19" t="n">
        <f aca="false">MIN(G2*$M$2,F2*$M$3)</f>
        <v>0</v>
      </c>
      <c r="I2" s="19" t="n">
        <f aca="false">F2+H2</f>
        <v>175000</v>
      </c>
      <c r="J2" s="21" t="str">
        <f aca="false">IF(G2=0,"Tepat Waktu",IF(G2&lt;=$M$4,"Telat Ringan","Telat Berat"))</f>
        <v>Tepat Waktu</v>
      </c>
      <c r="L2" s="22" t="s">
        <v>87</v>
      </c>
      <c r="M2" s="23" t="n">
        <v>2500</v>
      </c>
      <c r="N2" s="22"/>
    </row>
    <row r="3" customFormat="false" ht="15" hidden="false" customHeight="false" outlineLevel="0" collapsed="false">
      <c r="A3" s="17" t="s">
        <v>88</v>
      </c>
      <c r="B3" s="17" t="s">
        <v>89</v>
      </c>
      <c r="C3" s="17" t="s">
        <v>90</v>
      </c>
      <c r="D3" s="18" t="n">
        <v>46315</v>
      </c>
      <c r="E3" s="18" t="n">
        <v>46317</v>
      </c>
      <c r="F3" s="19" t="n">
        <f aca="false">VLOOKUP(C3,Acuan!$A$2:$B$5,2,FALSE())</f>
        <v>235000</v>
      </c>
      <c r="G3" s="20" t="n">
        <f aca="false">MAX(0,E3-D3)</f>
        <v>2</v>
      </c>
      <c r="H3" s="19" t="n">
        <f aca="false">MIN(G3*$M$2,F3*$M$3)</f>
        <v>5000</v>
      </c>
      <c r="I3" s="19" t="n">
        <f aca="false">F3+H3</f>
        <v>240000</v>
      </c>
      <c r="J3" s="21" t="str">
        <f aca="false">IF(G3=0,"Tepat Waktu",IF(G3&lt;=$M$4,"Telat Ringan","Telat Berat"))</f>
        <v>Telat Ringan</v>
      </c>
      <c r="L3" s="22" t="s">
        <v>91</v>
      </c>
      <c r="M3" s="24" t="n">
        <v>0.2</v>
      </c>
      <c r="N3" s="22" t="s">
        <v>92</v>
      </c>
    </row>
    <row r="4" customFormat="false" ht="15" hidden="false" customHeight="false" outlineLevel="0" collapsed="false">
      <c r="A4" s="17" t="s">
        <v>93</v>
      </c>
      <c r="B4" s="17" t="s">
        <v>94</v>
      </c>
      <c r="C4" s="17" t="s">
        <v>95</v>
      </c>
      <c r="D4" s="18" t="n">
        <v>46305</v>
      </c>
      <c r="E4" s="18" t="n">
        <v>46305</v>
      </c>
      <c r="F4" s="19" t="n">
        <f aca="false">VLOOKUP(C4,Acuan!$A$2:$B$5,2,FALSE())</f>
        <v>335000</v>
      </c>
      <c r="G4" s="20" t="n">
        <f aca="false">MAX(0,E4-D4)</f>
        <v>0</v>
      </c>
      <c r="H4" s="19" t="n">
        <f aca="false">MIN(G4*$M$2,F4*$M$3)</f>
        <v>0</v>
      </c>
      <c r="I4" s="19" t="n">
        <f aca="false">F4+H4</f>
        <v>335000</v>
      </c>
      <c r="J4" s="21" t="str">
        <f aca="false">IF(G4=0,"Tepat Waktu",IF(G4&lt;=$M$4,"Telat Ringan","Telat Berat"))</f>
        <v>Tepat Waktu</v>
      </c>
      <c r="L4" s="22" t="s">
        <v>96</v>
      </c>
      <c r="M4" s="25" t="n">
        <v>7</v>
      </c>
      <c r="N4" s="22" t="s">
        <v>97</v>
      </c>
    </row>
    <row r="5" customFormat="false" ht="15" hidden="false" customHeight="false" outlineLevel="0" collapsed="false">
      <c r="A5" s="17" t="s">
        <v>98</v>
      </c>
      <c r="B5" s="17" t="s">
        <v>99</v>
      </c>
      <c r="C5" s="17" t="s">
        <v>100</v>
      </c>
      <c r="D5" s="18" t="n">
        <v>46315</v>
      </c>
      <c r="E5" s="18" t="n">
        <v>46322</v>
      </c>
      <c r="F5" s="19" t="n">
        <f aca="false">VLOOKUP(C5,Acuan!$A$2:$B$5,2,FALSE())</f>
        <v>550000</v>
      </c>
      <c r="G5" s="20" t="n">
        <f aca="false">MAX(0,E5-D5)</f>
        <v>7</v>
      </c>
      <c r="H5" s="19" t="n">
        <f aca="false">MIN(G5*$M$2,F5*$M$3)</f>
        <v>17500</v>
      </c>
      <c r="I5" s="19" t="n">
        <f aca="false">F5+H5</f>
        <v>567500</v>
      </c>
      <c r="J5" s="21" t="str">
        <f aca="false">IF(G5=0,"Tepat Waktu",IF(G5&lt;=$M$4,"Telat Ringan","Telat Berat"))</f>
        <v>Telat Ringan</v>
      </c>
    </row>
    <row r="6" customFormat="false" ht="15" hidden="false" customHeight="false" outlineLevel="0" collapsed="false">
      <c r="A6" s="17" t="s">
        <v>101</v>
      </c>
      <c r="B6" s="17" t="s">
        <v>102</v>
      </c>
      <c r="C6" s="17" t="s">
        <v>86</v>
      </c>
      <c r="D6" s="18" t="n">
        <v>46310</v>
      </c>
      <c r="E6" s="18" t="n">
        <v>46325</v>
      </c>
      <c r="F6" s="19" t="n">
        <f aca="false">VLOOKUP(C6,Acuan!$A$2:$B$5,2,FALSE())</f>
        <v>175000</v>
      </c>
      <c r="G6" s="20" t="n">
        <f aca="false">MAX(0,E6-D6)</f>
        <v>15</v>
      </c>
      <c r="H6" s="19" t="n">
        <f aca="false">MIN(G6*$M$2,F6*$M$3)</f>
        <v>35000</v>
      </c>
      <c r="I6" s="19" t="n">
        <f aca="false">F6+H6</f>
        <v>210000</v>
      </c>
      <c r="J6" s="21" t="str">
        <f aca="false">IF(G6=0,"Tepat Waktu",IF(G6&lt;=$M$4,"Telat Ringan","Telat Berat"))</f>
        <v>Telat Berat</v>
      </c>
    </row>
    <row r="7" customFormat="false" ht="15" hidden="false" customHeight="false" outlineLevel="0" collapsed="false">
      <c r="A7" s="17" t="s">
        <v>103</v>
      </c>
      <c r="B7" s="17" t="s">
        <v>104</v>
      </c>
      <c r="C7" s="17" t="s">
        <v>90</v>
      </c>
      <c r="D7" s="18" t="n">
        <v>46305</v>
      </c>
      <c r="E7" s="18" t="n">
        <v>46314</v>
      </c>
      <c r="F7" s="19" t="n">
        <f aca="false">VLOOKUP(C7,Acuan!$A$2:$B$5,2,FALSE())</f>
        <v>235000</v>
      </c>
      <c r="G7" s="20" t="n">
        <f aca="false">MAX(0,E7-D7)</f>
        <v>9</v>
      </c>
      <c r="H7" s="19" t="n">
        <f aca="false">MIN(G7*$M$2,F7*$M$3)</f>
        <v>22500</v>
      </c>
      <c r="I7" s="19" t="n">
        <f aca="false">F7+H7</f>
        <v>257500</v>
      </c>
      <c r="J7" s="21" t="str">
        <f aca="false">IF(G7=0,"Tepat Waktu",IF(G7&lt;=$M$4,"Telat Ringan","Telat Berat"))</f>
        <v>Telat Berat</v>
      </c>
    </row>
    <row r="8" customFormat="false" ht="15" hidden="false" customHeight="false" outlineLevel="0" collapsed="false">
      <c r="A8" s="17" t="s">
        <v>105</v>
      </c>
      <c r="B8" s="17" t="s">
        <v>106</v>
      </c>
      <c r="C8" s="17" t="s">
        <v>95</v>
      </c>
      <c r="D8" s="18" t="n">
        <v>46300</v>
      </c>
      <c r="E8" s="18" t="n">
        <v>46320</v>
      </c>
      <c r="F8" s="19" t="n">
        <f aca="false">VLOOKUP(C8,Acuan!$A$2:$B$5,2,FALSE())</f>
        <v>335000</v>
      </c>
      <c r="G8" s="20" t="n">
        <f aca="false">MAX(0,E8-D8)</f>
        <v>20</v>
      </c>
      <c r="H8" s="19" t="n">
        <f aca="false">MIN(G8*$M$2,F8*$M$3)</f>
        <v>50000</v>
      </c>
      <c r="I8" s="19" t="n">
        <f aca="false">F8+H8</f>
        <v>385000</v>
      </c>
      <c r="J8" s="21" t="str">
        <f aca="false">IF(G8=0,"Tepat Waktu",IF(G8&lt;=$M$4,"Telat Ringan","Telat Berat"))</f>
        <v>Telat Berat</v>
      </c>
    </row>
    <row r="9" customFormat="false" ht="15" hidden="false" customHeight="false" outlineLevel="0" collapsed="false">
      <c r="A9" s="17" t="s">
        <v>107</v>
      </c>
      <c r="B9" s="17" t="s">
        <v>108</v>
      </c>
      <c r="C9" s="17" t="s">
        <v>100</v>
      </c>
      <c r="D9" s="18" t="n">
        <v>46320</v>
      </c>
      <c r="E9" s="18" t="n">
        <v>46322</v>
      </c>
      <c r="F9" s="19" t="n">
        <f aca="false">VLOOKUP(C9,Acuan!$A$2:$B$5,2,FALSE())</f>
        <v>550000</v>
      </c>
      <c r="G9" s="20" t="n">
        <f aca="false">MAX(0,E9-D9)</f>
        <v>2</v>
      </c>
      <c r="H9" s="19" t="n">
        <f aca="false">MIN(G9*$M$2,F9*$M$3)</f>
        <v>5000</v>
      </c>
      <c r="I9" s="19" t="n">
        <f aca="false">F9+H9</f>
        <v>555000</v>
      </c>
      <c r="J9" s="21" t="str">
        <f aca="false">IF(G9=0,"Tepat Waktu",IF(G9&lt;=$M$4,"Telat Ringan","Telat Berat"))</f>
        <v>Telat Ringan</v>
      </c>
    </row>
    <row r="10" customFormat="false" ht="15" hidden="false" customHeight="false" outlineLevel="0" collapsed="false">
      <c r="A10" s="17" t="s">
        <v>109</v>
      </c>
      <c r="B10" s="17" t="s">
        <v>110</v>
      </c>
      <c r="C10" s="17" t="s">
        <v>86</v>
      </c>
      <c r="D10" s="18" t="n">
        <v>46310</v>
      </c>
      <c r="E10" s="18" t="n">
        <v>46345</v>
      </c>
      <c r="F10" s="19" t="n">
        <f aca="false">VLOOKUP(C10,Acuan!$A$2:$B$5,2,FALSE())</f>
        <v>175000</v>
      </c>
      <c r="G10" s="20" t="n">
        <f aca="false">MAX(0,E10-D10)</f>
        <v>35</v>
      </c>
      <c r="H10" s="19" t="n">
        <f aca="false">MIN(G10*$M$2,F10*$M$3)</f>
        <v>35000</v>
      </c>
      <c r="I10" s="19" t="n">
        <f aca="false">F10+H10</f>
        <v>210000</v>
      </c>
      <c r="J10" s="21" t="str">
        <f aca="false">IF(G10=0,"Tepat Waktu",IF(G10&lt;=$M$4,"Telat Ringan","Telat Berat"))</f>
        <v>Telat Berat</v>
      </c>
    </row>
    <row r="11" customFormat="false" ht="15" hidden="false" customHeight="false" outlineLevel="0" collapsed="false">
      <c r="A11" s="17" t="s">
        <v>111</v>
      </c>
      <c r="B11" s="17" t="s">
        <v>112</v>
      </c>
      <c r="C11" s="17" t="s">
        <v>90</v>
      </c>
      <c r="D11" s="18" t="n">
        <v>46320</v>
      </c>
      <c r="E11" s="18" t="n">
        <v>46317</v>
      </c>
      <c r="F11" s="19" t="n">
        <f aca="false">VLOOKUP(C11,Acuan!$A$2:$B$5,2,FALSE())</f>
        <v>235000</v>
      </c>
      <c r="G11" s="20" t="n">
        <f aca="false">MAX(0,E11-D11)</f>
        <v>0</v>
      </c>
      <c r="H11" s="19" t="n">
        <f aca="false">MIN(G11*$M$2,F11*$M$3)</f>
        <v>0</v>
      </c>
      <c r="I11" s="19" t="n">
        <f aca="false">F11+H11</f>
        <v>235000</v>
      </c>
      <c r="J11" s="21" t="str">
        <f aca="false">IF(G11=0,"Tepat Waktu",IF(G11&lt;=$M$4,"Telat Ringan","Telat Berat"))</f>
        <v>Tepat Waktu</v>
      </c>
    </row>
    <row r="12" customFormat="false" ht="15" hidden="false" customHeight="false" outlineLevel="0" collapsed="false">
      <c r="A12" s="17" t="s">
        <v>113</v>
      </c>
      <c r="B12" s="17" t="s">
        <v>114</v>
      </c>
      <c r="C12" s="17" t="s">
        <v>95</v>
      </c>
      <c r="D12" s="18" t="n">
        <v>46315</v>
      </c>
      <c r="E12" s="18" t="n">
        <v>46327</v>
      </c>
      <c r="F12" s="19" t="n">
        <f aca="false">VLOOKUP(C12,Acuan!$A$2:$B$5,2,FALSE())</f>
        <v>335000</v>
      </c>
      <c r="G12" s="20" t="n">
        <f aca="false">MAX(0,E12-D12)</f>
        <v>12</v>
      </c>
      <c r="H12" s="19" t="n">
        <f aca="false">MIN(G12*$M$2,F12*$M$3)</f>
        <v>30000</v>
      </c>
      <c r="I12" s="19" t="n">
        <f aca="false">F12+H12</f>
        <v>365000</v>
      </c>
      <c r="J12" s="21" t="str">
        <f aca="false">IF(G12=0,"Tepat Waktu",IF(G12&lt;=$M$4,"Telat Ringan","Telat Berat"))</f>
        <v>Telat Berat</v>
      </c>
    </row>
    <row r="13" customFormat="false" ht="15" hidden="false" customHeight="false" outlineLevel="0" collapsed="false">
      <c r="A13" s="17" t="s">
        <v>115</v>
      </c>
      <c r="B13" s="17" t="s">
        <v>116</v>
      </c>
      <c r="C13" s="17" t="s">
        <v>100</v>
      </c>
      <c r="D13" s="18" t="n">
        <v>46310</v>
      </c>
      <c r="E13" s="18" t="n">
        <v>46310</v>
      </c>
      <c r="F13" s="19" t="n">
        <f aca="false">VLOOKUP(C13,Acuan!$A$2:$B$5,2,FALSE())</f>
        <v>550000</v>
      </c>
      <c r="G13" s="20" t="n">
        <f aca="false">MAX(0,E13-D13)</f>
        <v>0</v>
      </c>
      <c r="H13" s="19" t="n">
        <f aca="false">MIN(G13*$M$2,F13*$M$3)</f>
        <v>0</v>
      </c>
      <c r="I13" s="19" t="n">
        <f aca="false">F13+H13</f>
        <v>550000</v>
      </c>
      <c r="J13" s="21" t="str">
        <f aca="false">IF(G13=0,"Tepat Waktu",IF(G13&lt;=$M$4,"Telat Ringan","Telat Berat"))</f>
        <v>Tepat Waktu</v>
      </c>
    </row>
    <row r="14" customFormat="false" ht="15" hidden="false" customHeight="false" outlineLevel="0" collapsed="false">
      <c r="A14" s="17" t="s">
        <v>117</v>
      </c>
      <c r="B14" s="17" t="s">
        <v>118</v>
      </c>
      <c r="C14" s="17" t="s">
        <v>86</v>
      </c>
      <c r="D14" s="18" t="n">
        <v>46315</v>
      </c>
      <c r="E14" s="18" t="n">
        <v>46314</v>
      </c>
      <c r="F14" s="19" t="n">
        <f aca="false">VLOOKUP(C14,Acuan!$A$2:$B$5,2,FALSE())</f>
        <v>175000</v>
      </c>
      <c r="G14" s="20" t="n">
        <f aca="false">MAX(0,E14-D14)</f>
        <v>0</v>
      </c>
      <c r="H14" s="19" t="n">
        <f aca="false">MIN(G14*$M$2,F14*$M$3)</f>
        <v>0</v>
      </c>
      <c r="I14" s="19" t="n">
        <f aca="false">F14+H14</f>
        <v>175000</v>
      </c>
      <c r="J14" s="21" t="str">
        <f aca="false">IF(G14=0,"Tepat Waktu",IF(G14&lt;=$M$4,"Telat Ringan","Telat Berat"))</f>
        <v>Tepat Waktu</v>
      </c>
    </row>
    <row r="15" customFormat="false" ht="15" hidden="false" customHeight="false" outlineLevel="0" collapsed="false">
      <c r="A15" s="17" t="s">
        <v>119</v>
      </c>
      <c r="B15" s="17" t="s">
        <v>120</v>
      </c>
      <c r="C15" s="17" t="s">
        <v>90</v>
      </c>
      <c r="D15" s="18" t="n">
        <v>46315</v>
      </c>
      <c r="E15" s="18" t="n">
        <v>46312</v>
      </c>
      <c r="F15" s="19" t="n">
        <f aca="false">VLOOKUP(C15,Acuan!$A$2:$B$5,2,FALSE())</f>
        <v>235000</v>
      </c>
      <c r="G15" s="20" t="n">
        <f aca="false">MAX(0,E15-D15)</f>
        <v>0</v>
      </c>
      <c r="H15" s="19" t="n">
        <f aca="false">MIN(G15*$M$2,F15*$M$3)</f>
        <v>0</v>
      </c>
      <c r="I15" s="19" t="n">
        <f aca="false">F15+H15</f>
        <v>235000</v>
      </c>
      <c r="J15" s="21" t="str">
        <f aca="false">IF(G15=0,"Tepat Waktu",IF(G15&lt;=$M$4,"Telat Ringan","Telat Berat"))</f>
        <v>Tepat Waktu</v>
      </c>
    </row>
    <row r="16" customFormat="false" ht="15" hidden="false" customHeight="false" outlineLevel="0" collapsed="false">
      <c r="A16" s="17" t="s">
        <v>121</v>
      </c>
      <c r="B16" s="17" t="s">
        <v>122</v>
      </c>
      <c r="C16" s="17" t="s">
        <v>95</v>
      </c>
      <c r="D16" s="18" t="n">
        <v>46315</v>
      </c>
      <c r="E16" s="18" t="n">
        <v>46315</v>
      </c>
      <c r="F16" s="19" t="n">
        <f aca="false">VLOOKUP(C16,Acuan!$A$2:$B$5,2,FALSE())</f>
        <v>335000</v>
      </c>
      <c r="G16" s="20" t="n">
        <f aca="false">MAX(0,E16-D16)</f>
        <v>0</v>
      </c>
      <c r="H16" s="19" t="n">
        <f aca="false">MIN(G16*$M$2,F16*$M$3)</f>
        <v>0</v>
      </c>
      <c r="I16" s="19" t="n">
        <f aca="false">F16+H16</f>
        <v>335000</v>
      </c>
      <c r="J16" s="21" t="str">
        <f aca="false">IF(G16=0,"Tepat Waktu",IF(G16&lt;=$M$4,"Telat Ringan","Telat Berat"))</f>
        <v>Tepat Waktu</v>
      </c>
    </row>
    <row r="17" customFormat="false" ht="15" hidden="false" customHeight="false" outlineLevel="0" collapsed="false">
      <c r="A17" s="17" t="s">
        <v>123</v>
      </c>
      <c r="B17" s="17" t="s">
        <v>124</v>
      </c>
      <c r="C17" s="17" t="s">
        <v>100</v>
      </c>
      <c r="D17" s="18" t="n">
        <v>46300</v>
      </c>
      <c r="E17" s="18" t="n">
        <v>46320</v>
      </c>
      <c r="F17" s="19" t="n">
        <f aca="false">VLOOKUP(C17,Acuan!$A$2:$B$5,2,FALSE())</f>
        <v>550000</v>
      </c>
      <c r="G17" s="20" t="n">
        <f aca="false">MAX(0,E17-D17)</f>
        <v>20</v>
      </c>
      <c r="H17" s="19" t="n">
        <f aca="false">MIN(G17*$M$2,F17*$M$3)</f>
        <v>50000</v>
      </c>
      <c r="I17" s="19" t="n">
        <f aca="false">F17+H17</f>
        <v>600000</v>
      </c>
      <c r="J17" s="21" t="str">
        <f aca="false">IF(G17=0,"Tepat Waktu",IF(G17&lt;=$M$4,"Telat Ringan","Telat Berat"))</f>
        <v>Telat Berat</v>
      </c>
    </row>
    <row r="18" customFormat="false" ht="15" hidden="false" customHeight="false" outlineLevel="0" collapsed="false">
      <c r="A18" s="17" t="s">
        <v>125</v>
      </c>
      <c r="B18" s="17" t="s">
        <v>126</v>
      </c>
      <c r="C18" s="17" t="s">
        <v>86</v>
      </c>
      <c r="D18" s="18" t="n">
        <v>46300</v>
      </c>
      <c r="E18" s="18" t="n">
        <v>46299</v>
      </c>
      <c r="F18" s="19" t="n">
        <f aca="false">VLOOKUP(C18,Acuan!$A$2:$B$5,2,FALSE())</f>
        <v>175000</v>
      </c>
      <c r="G18" s="20" t="n">
        <f aca="false">MAX(0,E18-D18)</f>
        <v>0</v>
      </c>
      <c r="H18" s="19" t="n">
        <f aca="false">MIN(G18*$M$2,F18*$M$3)</f>
        <v>0</v>
      </c>
      <c r="I18" s="19" t="n">
        <f aca="false">F18+H18</f>
        <v>175000</v>
      </c>
      <c r="J18" s="21" t="str">
        <f aca="false">IF(G18=0,"Tepat Waktu",IF(G18&lt;=$M$4,"Telat Ringan","Telat Berat"))</f>
        <v>Tepat Waktu</v>
      </c>
    </row>
    <row r="19" customFormat="false" ht="15" hidden="false" customHeight="false" outlineLevel="0" collapsed="false">
      <c r="A19" s="17" t="s">
        <v>127</v>
      </c>
      <c r="B19" s="17" t="s">
        <v>128</v>
      </c>
      <c r="C19" s="17" t="s">
        <v>90</v>
      </c>
      <c r="D19" s="18" t="n">
        <v>46300</v>
      </c>
      <c r="E19" s="18" t="n">
        <v>46320</v>
      </c>
      <c r="F19" s="19" t="n">
        <f aca="false">VLOOKUP(C19,Acuan!$A$2:$B$5,2,FALSE())</f>
        <v>235000</v>
      </c>
      <c r="G19" s="20" t="n">
        <f aca="false">MAX(0,E19-D19)</f>
        <v>20</v>
      </c>
      <c r="H19" s="19" t="n">
        <f aca="false">MIN(G19*$M$2,F19*$M$3)</f>
        <v>47000</v>
      </c>
      <c r="I19" s="19" t="n">
        <f aca="false">F19+H19</f>
        <v>282000</v>
      </c>
      <c r="J19" s="21" t="str">
        <f aca="false">IF(G19=0,"Tepat Waktu",IF(G19&lt;=$M$4,"Telat Ringan","Telat Berat"))</f>
        <v>Telat Berat</v>
      </c>
    </row>
    <row r="20" customFormat="false" ht="15" hidden="false" customHeight="false" outlineLevel="0" collapsed="false">
      <c r="A20" s="17" t="s">
        <v>129</v>
      </c>
      <c r="B20" s="17" t="s">
        <v>130</v>
      </c>
      <c r="C20" s="17" t="s">
        <v>95</v>
      </c>
      <c r="D20" s="18" t="n">
        <v>46310</v>
      </c>
      <c r="E20" s="18" t="n">
        <v>46319</v>
      </c>
      <c r="F20" s="19" t="n">
        <f aca="false">VLOOKUP(C20,Acuan!$A$2:$B$5,2,FALSE())</f>
        <v>335000</v>
      </c>
      <c r="G20" s="20" t="n">
        <f aca="false">MAX(0,E20-D20)</f>
        <v>9</v>
      </c>
      <c r="H20" s="19" t="n">
        <f aca="false">MIN(G20*$M$2,F20*$M$3)</f>
        <v>22500</v>
      </c>
      <c r="I20" s="19" t="n">
        <f aca="false">F20+H20</f>
        <v>357500</v>
      </c>
      <c r="J20" s="21" t="str">
        <f aca="false">IF(G20=0,"Tepat Waktu",IF(G20&lt;=$M$4,"Telat Ringan","Telat Berat"))</f>
        <v>Telat Berat</v>
      </c>
    </row>
    <row r="21" customFormat="false" ht="15" hidden="false" customHeight="false" outlineLevel="0" collapsed="false">
      <c r="A21" s="17" t="s">
        <v>131</v>
      </c>
      <c r="B21" s="17" t="s">
        <v>132</v>
      </c>
      <c r="C21" s="17" t="s">
        <v>100</v>
      </c>
      <c r="D21" s="18" t="n">
        <v>46320</v>
      </c>
      <c r="E21" s="18" t="n">
        <v>46324</v>
      </c>
      <c r="F21" s="19" t="n">
        <f aca="false">VLOOKUP(C21,Acuan!$A$2:$B$5,2,FALSE())</f>
        <v>550000</v>
      </c>
      <c r="G21" s="20" t="n">
        <f aca="false">MAX(0,E21-D21)</f>
        <v>4</v>
      </c>
      <c r="H21" s="19" t="n">
        <f aca="false">MIN(G21*$M$2,F21*$M$3)</f>
        <v>10000</v>
      </c>
      <c r="I21" s="19" t="n">
        <f aca="false">F21+H21</f>
        <v>560000</v>
      </c>
      <c r="J21" s="21" t="str">
        <f aca="false">IF(G21=0,"Tepat Waktu",IF(G21&lt;=$M$4,"Telat Ringan","Telat Berat"))</f>
        <v>Telat Ringan</v>
      </c>
    </row>
    <row r="22" customFormat="false" ht="15" hidden="false" customHeight="false" outlineLevel="0" collapsed="false">
      <c r="A22" s="17" t="s">
        <v>133</v>
      </c>
      <c r="B22" s="17" t="s">
        <v>134</v>
      </c>
      <c r="C22" s="17" t="s">
        <v>86</v>
      </c>
      <c r="D22" s="18" t="n">
        <v>46315</v>
      </c>
      <c r="E22" s="18" t="n">
        <v>46335</v>
      </c>
      <c r="F22" s="19" t="n">
        <f aca="false">VLOOKUP(C22,Acuan!$A$2:$B$5,2,FALSE())</f>
        <v>175000</v>
      </c>
      <c r="G22" s="20" t="n">
        <f aca="false">MAX(0,E22-D22)</f>
        <v>20</v>
      </c>
      <c r="H22" s="19" t="n">
        <f aca="false">MIN(G22*$M$2,F22*$M$3)</f>
        <v>35000</v>
      </c>
      <c r="I22" s="19" t="n">
        <f aca="false">F22+H22</f>
        <v>210000</v>
      </c>
      <c r="J22" s="21" t="str">
        <f aca="false">IF(G22=0,"Tepat Waktu",IF(G22&lt;=$M$4,"Telat Ringan","Telat Berat"))</f>
        <v>Telat Berat</v>
      </c>
    </row>
    <row r="23" customFormat="false" ht="15" hidden="false" customHeight="false" outlineLevel="0" collapsed="false">
      <c r="A23" s="17" t="s">
        <v>135</v>
      </c>
      <c r="B23" s="17" t="s">
        <v>136</v>
      </c>
      <c r="C23" s="17" t="s">
        <v>90</v>
      </c>
      <c r="D23" s="18" t="n">
        <v>46310</v>
      </c>
      <c r="E23" s="18" t="n">
        <v>46325</v>
      </c>
      <c r="F23" s="19" t="n">
        <f aca="false">VLOOKUP(C23,Acuan!$A$2:$B$5,2,FALSE())</f>
        <v>235000</v>
      </c>
      <c r="G23" s="20" t="n">
        <f aca="false">MAX(0,E23-D23)</f>
        <v>15</v>
      </c>
      <c r="H23" s="19" t="n">
        <f aca="false">MIN(G23*$M$2,F23*$M$3)</f>
        <v>37500</v>
      </c>
      <c r="I23" s="19" t="n">
        <f aca="false">F23+H23</f>
        <v>272500</v>
      </c>
      <c r="J23" s="21" t="str">
        <f aca="false">IF(G23=0,"Tepat Waktu",IF(G23&lt;=$M$4,"Telat Ringan","Telat Berat"))</f>
        <v>Telat Berat</v>
      </c>
    </row>
    <row r="24" customFormat="false" ht="15" hidden="false" customHeight="false" outlineLevel="0" collapsed="false">
      <c r="A24" s="17" t="s">
        <v>137</v>
      </c>
      <c r="B24" s="17" t="s">
        <v>138</v>
      </c>
      <c r="C24" s="17" t="s">
        <v>95</v>
      </c>
      <c r="D24" s="18" t="n">
        <v>46320</v>
      </c>
      <c r="E24" s="18" t="n">
        <v>46320</v>
      </c>
      <c r="F24" s="19" t="n">
        <f aca="false">VLOOKUP(C24,Acuan!$A$2:$B$5,2,FALSE())</f>
        <v>335000</v>
      </c>
      <c r="G24" s="20" t="n">
        <f aca="false">MAX(0,E24-D24)</f>
        <v>0</v>
      </c>
      <c r="H24" s="19" t="n">
        <f aca="false">MIN(G24*$M$2,F24*$M$3)</f>
        <v>0</v>
      </c>
      <c r="I24" s="19" t="n">
        <f aca="false">F24+H24</f>
        <v>335000</v>
      </c>
      <c r="J24" s="21" t="str">
        <f aca="false">IF(G24=0,"Tepat Waktu",IF(G24&lt;=$M$4,"Telat Ringan","Telat Berat"))</f>
        <v>Tepat Waktu</v>
      </c>
    </row>
    <row r="25" customFormat="false" ht="15" hidden="false" customHeight="false" outlineLevel="0" collapsed="false">
      <c r="A25" s="17" t="s">
        <v>139</v>
      </c>
      <c r="B25" s="17" t="s">
        <v>140</v>
      </c>
      <c r="C25" s="17" t="s">
        <v>100</v>
      </c>
      <c r="D25" s="18" t="n">
        <v>46320</v>
      </c>
      <c r="E25" s="18" t="n">
        <v>46329</v>
      </c>
      <c r="F25" s="19" t="n">
        <f aca="false">VLOOKUP(C25,Acuan!$A$2:$B$5,2,FALSE())</f>
        <v>550000</v>
      </c>
      <c r="G25" s="20" t="n">
        <f aca="false">MAX(0,E25-D25)</f>
        <v>9</v>
      </c>
      <c r="H25" s="19" t="n">
        <f aca="false">MIN(G25*$M$2,F25*$M$3)</f>
        <v>22500</v>
      </c>
      <c r="I25" s="19" t="n">
        <f aca="false">F25+H25</f>
        <v>572500</v>
      </c>
      <c r="J25" s="21" t="str">
        <f aca="false">IF(G25=0,"Tepat Waktu",IF(G25&lt;=$M$4,"Telat Ringan","Telat Berat"))</f>
        <v>Telat Berat</v>
      </c>
    </row>
    <row r="26" customFormat="false" ht="15" hidden="false" customHeight="false" outlineLevel="0" collapsed="false">
      <c r="A26" s="17" t="s">
        <v>141</v>
      </c>
      <c r="B26" s="17" t="s">
        <v>142</v>
      </c>
      <c r="C26" s="17" t="s">
        <v>86</v>
      </c>
      <c r="D26" s="18" t="n">
        <v>46305</v>
      </c>
      <c r="E26" s="18" t="n">
        <v>46305</v>
      </c>
      <c r="F26" s="19" t="n">
        <f aca="false">VLOOKUP(C26,Acuan!$A$2:$B$5,2,FALSE())</f>
        <v>175000</v>
      </c>
      <c r="G26" s="20" t="n">
        <f aca="false">MAX(0,E26-D26)</f>
        <v>0</v>
      </c>
      <c r="H26" s="19" t="n">
        <f aca="false">MIN(G26*$M$2,F26*$M$3)</f>
        <v>0</v>
      </c>
      <c r="I26" s="19" t="n">
        <f aca="false">F26+H26</f>
        <v>175000</v>
      </c>
      <c r="J26" s="21" t="str">
        <f aca="false">IF(G26=0,"Tepat Waktu",IF(G26&lt;=$M$4,"Telat Ringan","Telat Berat"))</f>
        <v>Tepat Waktu</v>
      </c>
    </row>
    <row r="27" customFormat="false" ht="15" hidden="false" customHeight="false" outlineLevel="0" collapsed="false">
      <c r="A27" s="17" t="s">
        <v>143</v>
      </c>
      <c r="B27" s="17" t="s">
        <v>144</v>
      </c>
      <c r="C27" s="17" t="s">
        <v>90</v>
      </c>
      <c r="D27" s="18" t="n">
        <v>46310</v>
      </c>
      <c r="E27" s="18" t="n">
        <v>46319</v>
      </c>
      <c r="F27" s="19" t="n">
        <f aca="false">VLOOKUP(C27,Acuan!$A$2:$B$5,2,FALSE())</f>
        <v>235000</v>
      </c>
      <c r="G27" s="20" t="n">
        <f aca="false">MAX(0,E27-D27)</f>
        <v>9</v>
      </c>
      <c r="H27" s="19" t="n">
        <f aca="false">MIN(G27*$M$2,F27*$M$3)</f>
        <v>22500</v>
      </c>
      <c r="I27" s="19" t="n">
        <f aca="false">F27+H27</f>
        <v>257500</v>
      </c>
      <c r="J27" s="21" t="str">
        <f aca="false">IF(G27=0,"Tepat Waktu",IF(G27&lt;=$M$4,"Telat Ringan","Telat Berat"))</f>
        <v>Telat Berat</v>
      </c>
    </row>
    <row r="28" customFormat="false" ht="15" hidden="false" customHeight="false" outlineLevel="0" collapsed="false">
      <c r="A28" s="17" t="s">
        <v>145</v>
      </c>
      <c r="B28" s="17" t="s">
        <v>146</v>
      </c>
      <c r="C28" s="17" t="s">
        <v>95</v>
      </c>
      <c r="D28" s="18" t="n">
        <v>46310</v>
      </c>
      <c r="E28" s="18" t="n">
        <v>46319</v>
      </c>
      <c r="F28" s="19" t="n">
        <f aca="false">VLOOKUP(C28,Acuan!$A$2:$B$5,2,FALSE())</f>
        <v>335000</v>
      </c>
      <c r="G28" s="20" t="n">
        <f aca="false">MAX(0,E28-D28)</f>
        <v>9</v>
      </c>
      <c r="H28" s="19" t="n">
        <f aca="false">MIN(G28*$M$2,F28*$M$3)</f>
        <v>22500</v>
      </c>
      <c r="I28" s="19" t="n">
        <f aca="false">F28+H28</f>
        <v>357500</v>
      </c>
      <c r="J28" s="21" t="str">
        <f aca="false">IF(G28=0,"Tepat Waktu",IF(G28&lt;=$M$4,"Telat Ringan","Telat Berat"))</f>
        <v>Telat Berat</v>
      </c>
    </row>
    <row r="29" customFormat="false" ht="15" hidden="false" customHeight="false" outlineLevel="0" collapsed="false">
      <c r="A29" s="17" t="s">
        <v>147</v>
      </c>
      <c r="B29" s="17" t="s">
        <v>148</v>
      </c>
      <c r="C29" s="17" t="s">
        <v>100</v>
      </c>
      <c r="D29" s="18" t="n">
        <v>46300</v>
      </c>
      <c r="E29" s="18" t="n">
        <v>46302</v>
      </c>
      <c r="F29" s="19" t="n">
        <f aca="false">VLOOKUP(C29,Acuan!$A$2:$B$5,2,FALSE())</f>
        <v>550000</v>
      </c>
      <c r="G29" s="20" t="n">
        <f aca="false">MAX(0,E29-D29)</f>
        <v>2</v>
      </c>
      <c r="H29" s="19" t="n">
        <f aca="false">MIN(G29*$M$2,F29*$M$3)</f>
        <v>5000</v>
      </c>
      <c r="I29" s="19" t="n">
        <f aca="false">F29+H29</f>
        <v>555000</v>
      </c>
      <c r="J29" s="21" t="str">
        <f aca="false">IF(G29=0,"Tepat Waktu",IF(G29&lt;=$M$4,"Telat Ringan","Telat Berat"))</f>
        <v>Telat Ringan</v>
      </c>
    </row>
    <row r="30" customFormat="false" ht="15" hidden="false" customHeight="false" outlineLevel="0" collapsed="false">
      <c r="A30" s="17" t="s">
        <v>149</v>
      </c>
      <c r="B30" s="17" t="s">
        <v>150</v>
      </c>
      <c r="C30" s="17" t="s">
        <v>90</v>
      </c>
      <c r="D30" s="18" t="n">
        <v>46310</v>
      </c>
      <c r="E30" s="18" t="n">
        <v>46304</v>
      </c>
      <c r="F30" s="19" t="n">
        <f aca="false">VLOOKUP(C30,Acuan!$A$2:$B$5,2,FALSE())</f>
        <v>235000</v>
      </c>
      <c r="G30" s="20" t="n">
        <f aca="false">MAX(0,E30-D30)</f>
        <v>0</v>
      </c>
      <c r="H30" s="19" t="n">
        <f aca="false">MIN(G30*$M$2,F30*$M$3)</f>
        <v>0</v>
      </c>
      <c r="I30" s="19" t="n">
        <f aca="false">F30+H30</f>
        <v>235000</v>
      </c>
      <c r="J30" s="21" t="str">
        <f aca="false">IF(G30=0,"Tepat Waktu",IF(G30&lt;=$M$4,"Telat Ringan","Telat Berat"))</f>
        <v>Tepat Waktu</v>
      </c>
    </row>
    <row r="31" customFormat="false" ht="15" hidden="false" customHeight="false" outlineLevel="0" collapsed="false">
      <c r="A31" s="17" t="s">
        <v>151</v>
      </c>
      <c r="B31" s="17" t="s">
        <v>152</v>
      </c>
      <c r="C31" s="17" t="s">
        <v>90</v>
      </c>
      <c r="D31" s="18" t="n">
        <v>46315</v>
      </c>
      <c r="E31" s="18" t="n">
        <v>46317</v>
      </c>
      <c r="F31" s="19" t="n">
        <f aca="false">VLOOKUP(C31,Acuan!$A$2:$B$5,2,FALSE())</f>
        <v>235000</v>
      </c>
      <c r="G31" s="20" t="n">
        <f aca="false">MAX(0,E31-D31)</f>
        <v>2</v>
      </c>
      <c r="H31" s="19" t="n">
        <f aca="false">MIN(G31*$M$2,F31*$M$3)</f>
        <v>5000</v>
      </c>
      <c r="I31" s="19" t="n">
        <f aca="false">F31+H31</f>
        <v>240000</v>
      </c>
      <c r="J31" s="21" t="str">
        <f aca="false">IF(G31=0,"Tepat Waktu",IF(G31&lt;=$M$4,"Telat Ringan","Telat Berat"))</f>
        <v>Telat Ringan</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4" min="3" style="0" width="17"/>
    <col collapsed="false" customWidth="true" hidden="false" outlineLevel="0" max="5" min="5" style="0" width="18"/>
  </cols>
  <sheetData>
    <row r="1" customFormat="false" ht="33.75" hidden="false" customHeight="true" outlineLevel="0" collapsed="false">
      <c r="A1" s="11" t="s">
        <v>73</v>
      </c>
      <c r="B1" s="11" t="s">
        <v>153</v>
      </c>
      <c r="C1" s="11" t="s">
        <v>154</v>
      </c>
      <c r="D1" s="15" t="s">
        <v>155</v>
      </c>
      <c r="E1" s="15" t="s">
        <v>156</v>
      </c>
    </row>
    <row r="2" customFormat="false" ht="15" hidden="false" customHeight="false" outlineLevel="0" collapsed="false">
      <c r="A2" s="17" t="s">
        <v>86</v>
      </c>
      <c r="B2" s="26" t="n">
        <v>175000</v>
      </c>
      <c r="C2" s="27" t="n">
        <v>10</v>
      </c>
      <c r="D2" s="20" t="n">
        <f aca="false">COUNTIF(Data!$C$2:$C$31,A2)</f>
        <v>7</v>
      </c>
      <c r="E2" s="19" t="n">
        <f aca="false">SUMIF(Data!$C$2:$C$31,A2,Data!$H$2:$H$31)</f>
        <v>105000</v>
      </c>
    </row>
    <row r="3" customFormat="false" ht="15" hidden="false" customHeight="false" outlineLevel="0" collapsed="false">
      <c r="A3" s="17" t="s">
        <v>90</v>
      </c>
      <c r="B3" s="26" t="n">
        <v>235000</v>
      </c>
      <c r="C3" s="27" t="n">
        <v>20</v>
      </c>
      <c r="D3" s="20" t="n">
        <f aca="false">COUNTIF(Data!$C$2:$C$31,A3)</f>
        <v>9</v>
      </c>
      <c r="E3" s="19" t="n">
        <f aca="false">SUMIF(Data!$C$2:$C$31,A3,Data!$H$2:$H$31)</f>
        <v>139500</v>
      </c>
    </row>
    <row r="4" customFormat="false" ht="15" hidden="false" customHeight="false" outlineLevel="0" collapsed="false">
      <c r="A4" s="17" t="s">
        <v>95</v>
      </c>
      <c r="B4" s="26" t="n">
        <v>335000</v>
      </c>
      <c r="C4" s="27" t="n">
        <v>50</v>
      </c>
      <c r="D4" s="20" t="n">
        <f aca="false">COUNTIF(Data!$C$2:$C$31,A4)</f>
        <v>7</v>
      </c>
      <c r="E4" s="19" t="n">
        <f aca="false">SUMIF(Data!$C$2:$C$31,A4,Data!$H$2:$H$31)</f>
        <v>125000</v>
      </c>
    </row>
    <row r="5" customFormat="false" ht="15" hidden="false" customHeight="false" outlineLevel="0" collapsed="false">
      <c r="A5" s="17" t="s">
        <v>100</v>
      </c>
      <c r="B5" s="26" t="n">
        <v>550000</v>
      </c>
      <c r="C5" s="27" t="n">
        <v>100</v>
      </c>
      <c r="D5" s="20" t="n">
        <f aca="false">COUNTIF(Data!$C$2:$C$31,A5)</f>
        <v>7</v>
      </c>
      <c r="E5" s="19" t="n">
        <f aca="false">SUMIF(Data!$C$2:$C$31,A5,Data!$H$2:$H$31)</f>
        <v>110000</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78"/>
    <col collapsed="false" customWidth="true" hidden="false" outlineLevel="0" max="3" min="3" style="0" width="26"/>
    <col collapsed="false" customWidth="true" hidden="false" outlineLevel="0" max="4" min="4" style="0" width="32"/>
  </cols>
  <sheetData>
    <row r="1" customFormat="false" ht="16.15" hidden="false" customHeight="false" outlineLevel="0" collapsed="false">
      <c r="A1" s="28" t="s">
        <v>157</v>
      </c>
      <c r="B1" s="28"/>
      <c r="C1" s="28"/>
      <c r="D1" s="28"/>
    </row>
    <row r="2" customFormat="false" ht="15" hidden="false" customHeight="false" outlineLevel="0" collapsed="false">
      <c r="A2" s="29" t="s">
        <v>158</v>
      </c>
      <c r="B2" s="29"/>
      <c r="C2" s="29"/>
      <c r="D2" s="29"/>
    </row>
    <row r="3" customFormat="false" ht="15" hidden="false" customHeight="false" outlineLevel="0" collapsed="false">
      <c r="A3" s="11" t="s">
        <v>19</v>
      </c>
      <c r="B3" s="11" t="s">
        <v>159</v>
      </c>
      <c r="C3" s="11" t="s">
        <v>160</v>
      </c>
      <c r="D3" s="11" t="s">
        <v>161</v>
      </c>
    </row>
    <row r="4" customFormat="false" ht="15" hidden="false" customHeight="false" outlineLevel="0" collapsed="false">
      <c r="A4" s="30" t="s">
        <v>162</v>
      </c>
      <c r="B4" s="31" t="s">
        <v>163</v>
      </c>
      <c r="C4" s="19" t="n">
        <f aca="false">SUM(Data!$F$2:$F$31)</f>
        <v>9535000</v>
      </c>
      <c r="D4" s="32" t="s">
        <v>164</v>
      </c>
    </row>
    <row r="5" customFormat="false" ht="15" hidden="false" customHeight="false" outlineLevel="0" collapsed="false">
      <c r="A5" s="30" t="s">
        <v>165</v>
      </c>
      <c r="B5" s="31" t="s">
        <v>166</v>
      </c>
      <c r="C5" s="19" t="n">
        <f aca="false">SUM(Data!$H$2:$H$31)</f>
        <v>479500</v>
      </c>
      <c r="D5" s="32" t="s">
        <v>167</v>
      </c>
    </row>
    <row r="6" customFormat="false" ht="15" hidden="false" customHeight="false" outlineLevel="0" collapsed="false">
      <c r="A6" s="30" t="s">
        <v>168</v>
      </c>
      <c r="B6" s="31" t="s">
        <v>169</v>
      </c>
      <c r="C6" s="19" t="n">
        <f aca="false">SUM(Data!$I$2:$I$31)</f>
        <v>10014500</v>
      </c>
      <c r="D6" s="32" t="s">
        <v>170</v>
      </c>
    </row>
    <row r="7" customFormat="false" ht="15" hidden="false" customHeight="false" outlineLevel="0" collapsed="false">
      <c r="A7" s="30" t="s">
        <v>171</v>
      </c>
      <c r="B7" s="31" t="s">
        <v>172</v>
      </c>
      <c r="C7" s="20" t="n">
        <f aca="false">COUNTIF(Data!$J$2:$J$31,"Tepat Waktu")</f>
        <v>11</v>
      </c>
      <c r="D7" s="32" t="s">
        <v>173</v>
      </c>
    </row>
    <row r="8" customFormat="false" ht="15" hidden="false" customHeight="false" outlineLevel="0" collapsed="false">
      <c r="A8" s="30" t="s">
        <v>174</v>
      </c>
      <c r="B8" s="31" t="s">
        <v>175</v>
      </c>
      <c r="C8" s="20" t="n">
        <f aca="false">COUNTIF(Data!$J$2:$J$31,"Telat Ringan")</f>
        <v>6</v>
      </c>
      <c r="D8" s="32" t="s">
        <v>176</v>
      </c>
    </row>
    <row r="9" customFormat="false" ht="15" hidden="false" customHeight="false" outlineLevel="0" collapsed="false">
      <c r="A9" s="30" t="s">
        <v>177</v>
      </c>
      <c r="B9" s="31" t="s">
        <v>178</v>
      </c>
      <c r="C9" s="20" t="n">
        <f aca="false">COUNTIF(Data!$J$2:$J$31,"Telat Berat")</f>
        <v>13</v>
      </c>
      <c r="D9" s="32" t="s">
        <v>179</v>
      </c>
    </row>
    <row r="10" customFormat="false" ht="15" hidden="false" customHeight="false" outlineLevel="0" collapsed="false">
      <c r="A10" s="30" t="s">
        <v>180</v>
      </c>
      <c r="B10" s="31" t="s">
        <v>181</v>
      </c>
      <c r="C10" s="21" t="str">
        <f aca="false">INDEX(Data!$B$2:$B$31,MATCH(MAX(Data!$G$2:$G$31),Data!$G$2:$G$31,0))</f>
        <v>Vina Hidayat</v>
      </c>
      <c r="D10" s="32" t="s">
        <v>182</v>
      </c>
    </row>
    <row r="11" customFormat="false" ht="15" hidden="false" customHeight="false" outlineLevel="0" collapsed="false">
      <c r="A11" s="30" t="s">
        <v>183</v>
      </c>
      <c r="B11" s="31" t="s">
        <v>184</v>
      </c>
      <c r="C11" s="21" t="str">
        <f aca="false">INDEX(Acuan!$A$2:$A$5,MATCH(MAX(Acuan!$E$2:$E$5),Acuan!$E$2:$E$5,0))</f>
        <v>Rumah 20</v>
      </c>
      <c r="D11" s="32" t="s">
        <v>185</v>
      </c>
    </row>
    <row r="12" customFormat="false" ht="15" hidden="false" customHeight="false" outlineLevel="0" collapsed="false">
      <c r="A12" s="30" t="s">
        <v>186</v>
      </c>
      <c r="B12" s="31" t="s">
        <v>187</v>
      </c>
      <c r="C12" s="20" t="n">
        <f aca="false">COUNTIF(Data!$G$2:$G$31,"&gt;14")</f>
        <v>7</v>
      </c>
      <c r="D12" s="32" t="s">
        <v>188</v>
      </c>
    </row>
    <row r="13" customFormat="false" ht="15" hidden="false" customHeight="false" outlineLevel="0" collapsed="false">
      <c r="A13" s="30" t="s">
        <v>189</v>
      </c>
      <c r="B13" s="31" t="s">
        <v>190</v>
      </c>
      <c r="C13" s="33" t="n">
        <f aca="false">AVERAGEIF(Data!$G$2:$G$31,"&gt;0")</f>
        <v>11.6315789473684</v>
      </c>
      <c r="D13" s="32" t="s">
        <v>191</v>
      </c>
    </row>
    <row r="14" customFormat="false" ht="15" hidden="false" customHeight="false" outlineLevel="0" collapsed="false">
      <c r="A14" s="30" t="s">
        <v>192</v>
      </c>
      <c r="B14" s="31" t="s">
        <v>193</v>
      </c>
      <c r="C14" s="20" t="n">
        <f aca="false">COUNTIFS(Data!$C$2:$C$31,"Rumah 20",Data!$J$2:$J$31,"Telat Berat")</f>
        <v>4</v>
      </c>
      <c r="D14" s="32" t="s">
        <v>194</v>
      </c>
    </row>
    <row r="15" customFormat="false" ht="15" hidden="false" customHeight="false" outlineLevel="0" collapsed="false">
      <c r="A15" s="30" t="s">
        <v>195</v>
      </c>
      <c r="B15" s="31" t="s">
        <v>196</v>
      </c>
      <c r="C15" s="19" t="n">
        <f aca="false">SUMIF(Data!$C$2:$C$31,"Bisnis 100",Data!$H$2:$H$31)</f>
        <v>110000</v>
      </c>
      <c r="D15" s="32" t="s">
        <v>197</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2026-10-16T23:46:30Z</dcterms:created>
  <dc:creator>PushExcel</dc:creator>
  <dc:description/>
  <dc:language>en-US</dc:language>
  <cp:lastModifiedBy/>
  <dcterms:modified xsi:type="dcterms:W3CDTF">2026-10-16T23:46:30Z</dcterms:modified>
  <cp:revision>0</cp:revision>
  <dc:subject/>
  <dc:title>Tagihan Pelanggan Internet: Denda dan Status Bayar - Kunci</dc:title>
</cp:coreProperties>
</file>

<file path=docProps/custom.xml><?xml version="1.0" encoding="utf-8"?>
<Properties xmlns="http://schemas.openxmlformats.org/officeDocument/2006/custom-properties" xmlns:vt="http://schemas.openxmlformats.org/officeDocument/2006/docPropsVTypes"/>
</file>