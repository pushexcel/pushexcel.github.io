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<sst xmlns="http://schemas.openxmlformats.org/spreadsheetml/2006/main" count="202" uniqueCount="175">
  <si>
    <t xml:space="preserve">Kunci Jawaban: Pajak Penghasilan Berlapis (Tarif Fiktif)</t>
  </si>
  <si>
    <t xml:space="preserve">Latihan 94 dari 40  |  Tingkat: Lanjutan  |  Perkiraan waktu: 70 menit  |  pushexcel.github.io/Pushexcel</t>
  </si>
  <si>
    <t xml:space="preserve">Skenario</t>
  </si>
  <si>
    <t xml:space="preserve">Kamu staf payroll PT Garda Konsultan yang menghitung pajak tahunan 30 pegawai dengan aturan fiktif yang disederhanakan (bukan aturan pajak sebenarnya). Penghasilan bruto setahun adalah gaji bulanan dikali 12 ditambah bonus tahunan. Biaya jabatan 5 persen dari bruto, paling banyak Rp 6.000.000. PTKP adalah Rp 54.000.000 ditambah Rp 4.500.000 per tanggungan (semua angka ini ada di blok Parameter). Penghasilan kena pajak (PKP) adalah bruto dikurangi biaya jabatan dan PTKP, paling kecil 0. Pajak dihitung per lapis memakai tabel di sheet Acuan: lapis 1 dari 0 sampai 50 juta tarif 5 persen, lapis 2 sampai 200 juta tarif 15 persen, lapis 3 sampai 400 juta tarif 25 persen, dan lapis 4 di atas 400 juta tarif 30 persen. Tiap lapis hanya mengenai bagian PKP yang masuk ke lapis itu.</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</si>
  <si>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</si>
  <si>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</si>
  <si>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</si>
  <si>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</si>
  <si>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</si>
  <si>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</si>
  <si>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</si>
  <si>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</si>
  <si>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</si>
  <si>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</si>
  <si>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</si>
  <si>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</si>
  <si>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</si>
  <si>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</si>
  <si>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</si>
  <si>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</si>
  <si>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</si>
  <si>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</si>
  <si>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</si>
  <si>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</si>
  <si>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penghasilan bruto setahun: gaji bulanan dikali 12, ditambah bonus tahunan.</t>
  </si>
  <si>
    <t xml:space="preserve">Sheet Data, kolom F (Bruto Setahun), baris 2 sampai 31</t>
  </si>
  <si>
    <t xml:space="preserve">=C2*12+D2</t>
  </si>
  <si>
    <t xml:space="preserve">2</t>
  </si>
  <si>
    <t xml:space="preserve">Hitung biaya jabatan: persen biaya jabatan dari bruto, tetapi tidak boleh melebihi batas maksimum di sel Parameter.</t>
  </si>
  <si>
    <t xml:space="preserve">Sheet Data, kolom G (Biaya Jabatan), baris 2 sampai 31</t>
  </si>
  <si>
    <t xml:space="preserve">=MIN(F2*$R$2;$R$3)</t>
  </si>
  <si>
    <t xml:space="preserve">3</t>
  </si>
  <si>
    <t xml:space="preserve">Hitung PTKP: PTKP dasar ditambah PTKP per tanggungan dikali jumlah tanggungan.</t>
  </si>
  <si>
    <t xml:space="preserve">Sheet Data, kolom H (PTKP), baris 2 sampai 31</t>
  </si>
  <si>
    <t xml:space="preserve">=$R$4+E2*$R$5</t>
  </si>
  <si>
    <t xml:space="preserve">4</t>
  </si>
  <si>
    <t xml:space="preserve">Hitung PKP: bruto dikurangi biaya jabatan dan PTKP. Bila hasilnya negatif, isi 0.</t>
  </si>
  <si>
    <t xml:space="preserve">Sheet Data, kolom I (PKP), baris 2 sampai 31</t>
  </si>
  <si>
    <t xml:space="preserve">=MAX(0;F2-G2-H2)</t>
  </si>
  <si>
    <t xml:space="preserve">5</t>
  </si>
  <si>
    <t xml:space="preserve">Hitung pajak lapis 1: bagian PKP yang masuk lapis 1 (dari batas bawah lapis 1 sampai batas bawah lapis 2) dikali tarif lapis 1. Ambil angka dari sheet Acuan.</t>
  </si>
  <si>
    <t xml:space="preserve">Sheet Data, kolom J (Pajak Lapis 1), baris 2 sampai 31</t>
  </si>
  <si>
    <t xml:space="preserve">=MAX(0;MIN(I2;Acuan!$B$3)-Acuan!$B$2)*Acuan!$C$2</t>
  </si>
  <si>
    <t xml:space="preserve">6</t>
  </si>
  <si>
    <t xml:space="preserve">Hitung pajak lapis 2 dengan cara yang sama: bagian PKP antara batas bawah lapis 2 dan lapis 3, dikali tarif lapis 2.</t>
  </si>
  <si>
    <t xml:space="preserve">Sheet Data, kolom K (Pajak Lapis 2), baris 2 sampai 31</t>
  </si>
  <si>
    <t xml:space="preserve">=MAX(0;MIN(I2;Acuan!$B$4)-Acuan!$B$3)*Acuan!$C$3</t>
  </si>
  <si>
    <t xml:space="preserve">7</t>
  </si>
  <si>
    <t xml:space="preserve">Hitung pajak lapis 3: bagian PKP antara batas bawah lapis 3 dan lapis 4, dikali tarif lapis 3.</t>
  </si>
  <si>
    <t xml:space="preserve">Sheet Data, kolom L (Pajak Lapis 3), baris 2 sampai 31</t>
  </si>
  <si>
    <t xml:space="preserve">=MAX(0;MIN(I2;Acuan!$B$5)-Acuan!$B$4)*Acuan!$C$4</t>
  </si>
  <si>
    <t xml:space="preserve">8</t>
  </si>
  <si>
    <t xml:space="preserve">Hitung pajak lapis 4: bagian PKP di atas batas bawah lapis 4, dikali tarif lapis 4. Lapis ini tidak punya batas atas.</t>
  </si>
  <si>
    <t xml:space="preserve">Sheet Data, kolom M (Pajak Lapis 4), baris 2 sampai 31</t>
  </si>
  <si>
    <t xml:space="preserve">=MAX(0;I2-Acuan!$B$5)*Acuan!$C$5</t>
  </si>
  <si>
    <t xml:space="preserve">9</t>
  </si>
  <si>
    <t xml:space="preserve">Hitung total pajak setahun: jumlah pajak keempat lapis.</t>
  </si>
  <si>
    <t xml:space="preserve">Sheet Data, kolom N (Total Pajak), baris 2 sampai 31</t>
  </si>
  <si>
    <t xml:space="preserve">=J2+K2+L2+M2</t>
  </si>
  <si>
    <t xml:space="preserve">10</t>
  </si>
  <si>
    <t xml:space="preserve">Hitung tarif efektif: total pajak dibagi PKP. Bila PKP sama dengan 0, isi 0.</t>
  </si>
  <si>
    <t xml:space="preserve">Sheet Data, kolom O (Tarif Efektif), baris 2 sampai 31</t>
  </si>
  <si>
    <t xml:space="preserve">=IF(I2=0;0;N2/I2)</t>
  </si>
  <si>
    <t xml:space="preserve">11</t>
  </si>
  <si>
    <t xml:space="preserve">Pada sheet Acuan, hitung jumlah pegawai yang PKP-nya melewati batas bawah tiap lapis (artinya sudah membayar pajak di lapis itu).</t>
  </si>
  <si>
    <t xml:space="preserve">Sheet Acuan, kolom D (Jumlah Pegawai), baris 2 sampai 5</t>
  </si>
  <si>
    <t xml:space="preserve">=COUNTIF(Data!$I$2:$I$31;"&gt;"&amp;B2)</t>
  </si>
  <si>
    <t xml:space="preserve">12</t>
  </si>
  <si>
    <t xml:space="preserve">Berapa total bruto setahun seluruh pegawai, total pajak, dan persen total pajak terhadap total bruto?</t>
  </si>
  <si>
    <t xml:space="preserve">Sheet Ringkasan, sel C4 sampai C6</t>
  </si>
  <si>
    <t xml:space="preserve">=SUM(Data!$F$2:$F$31)
=SUM(Data!$N$2:$N$31)
=C5/C4</t>
  </si>
  <si>
    <t xml:space="preserve">13</t>
  </si>
  <si>
    <t xml:space="preserve">Siapa pegawai dengan total pajak terbesar, dan berapa rata-rata total pajak per pegawai?</t>
  </si>
  <si>
    <t xml:space="preserve">Sheet Ringkasan, sel C7 sampai C8</t>
  </si>
  <si>
    <t xml:space="preserve">=INDEX(Data!$A$2:$A$31;MATCH(MAX(Data!$N$2:$N$31);Data!$N$2:$N$31;0))
=AVERAGE(Data!$N$2:$N$31)</t>
  </si>
  <si>
    <t xml:space="preserve">14</t>
  </si>
  <si>
    <t xml:space="preserve">Berapa pegawai yang tidak membayar pajak (total pajak 0), dan berapa pegawai yang sampai ke lapis 4?</t>
  </si>
  <si>
    <t xml:space="preserve">Sheet Ringkasan, sel C9 sampai C10</t>
  </si>
  <si>
    <t xml:space="preserve">=COUNTIF(Data!$N$2:$N$31;0)
=INDEX(Acuan!$D$2:$D$5;MATCH(4;Acuan!$A$2:$A$5;0))</t>
  </si>
  <si>
    <t xml:space="preserve">15</t>
  </si>
  <si>
    <t xml:space="preserve">Berapa total pajak seluruh Manajer, dan berapa rata-rata tarif efektif para Direktur?</t>
  </si>
  <si>
    <t xml:space="preserve">Sheet Ringkasan, sel C11 sampai C12</t>
  </si>
  <si>
    <t xml:space="preserve">=SUMIF(Data!$B$2:$B$31;"Manajer";Data!$N$2:$N$31)
=AVERAGEIF(Data!$B$2:$B$31;"Direktur";Data!$O$2:$O$31)</t>
  </si>
  <si>
    <t xml:space="preserve">Nama</t>
  </si>
  <si>
    <t xml:space="preserve">Jabatan</t>
  </si>
  <si>
    <t xml:space="preserve">Gaji Bulanan</t>
  </si>
  <si>
    <t xml:space="preserve">Bonus Tahunan</t>
  </si>
  <si>
    <t xml:space="preserve">Tanggungan</t>
  </si>
  <si>
    <t xml:space="preserve">Bruto Setahun</t>
  </si>
  <si>
    <t xml:space="preserve">Biaya Jabatan</t>
  </si>
  <si>
    <t xml:space="preserve">PTKP</t>
  </si>
  <si>
    <t xml:space="preserve">PKP</t>
  </si>
  <si>
    <t xml:space="preserve">Pajak Lapis 1</t>
  </si>
  <si>
    <t xml:space="preserve">Pajak Lapis 2</t>
  </si>
  <si>
    <t xml:space="preserve">Pajak Lapis 3</t>
  </si>
  <si>
    <t xml:space="preserve">Pajak Lapis 4</t>
  </si>
  <si>
    <t xml:space="preserve">Total Pajak</t>
  </si>
  <si>
    <t xml:space="preserve">Tarif Efektif</t>
  </si>
  <si>
    <t xml:space="preserve">Parameter</t>
  </si>
  <si>
    <t xml:space="preserve">Nilai</t>
  </si>
  <si>
    <t xml:space="preserve">Keterangan</t>
  </si>
  <si>
    <t xml:space="preserve">Irfan Santoso</t>
  </si>
  <si>
    <t xml:space="preserve">Manajer</t>
  </si>
  <si>
    <t xml:space="preserve">Persen biaya jabatan</t>
  </si>
  <si>
    <t xml:space="preserve">Lina Lestari</t>
  </si>
  <si>
    <t xml:space="preserve">Biaya jabatan maksimum</t>
  </si>
  <si>
    <t xml:space="preserve">Siti Wijaya</t>
  </si>
  <si>
    <t xml:space="preserve">PTKP dasar</t>
  </si>
  <si>
    <t xml:space="preserve">Joko Santoso</t>
  </si>
  <si>
    <t xml:space="preserve">Staf</t>
  </si>
  <si>
    <t xml:space="preserve">PTKP per tanggungan</t>
  </si>
  <si>
    <t xml:space="preserve">Eko Anggraini</t>
  </si>
  <si>
    <t xml:space="preserve">Direktur</t>
  </si>
  <si>
    <t xml:space="preserve">Putri Saputra</t>
  </si>
  <si>
    <t xml:space="preserve">Vina Nugroho</t>
  </si>
  <si>
    <t xml:space="preserve">Vina Kurniawan</t>
  </si>
  <si>
    <t xml:space="preserve">Supervisor</t>
  </si>
  <si>
    <t xml:space="preserve">Joko Syahputra</t>
  </si>
  <si>
    <t xml:space="preserve">Prasetyo Kurniawan</t>
  </si>
  <si>
    <t xml:space="preserve">Joko Pratama</t>
  </si>
  <si>
    <t xml:space="preserve">Gita Maharani</t>
  </si>
  <si>
    <t xml:space="preserve">Indah Anggraini</t>
  </si>
  <si>
    <t xml:space="preserve">Lestari Setiawan</t>
  </si>
  <si>
    <t xml:space="preserve">Yoga Susanto</t>
  </si>
  <si>
    <t xml:space="preserve">Fitri Lestari</t>
  </si>
  <si>
    <t xml:space="preserve">Zainal Yulianto</t>
  </si>
  <si>
    <t xml:space="preserve">Farida Setiawan</t>
  </si>
  <si>
    <t xml:space="preserve">Irfan Anggraini</t>
  </si>
  <si>
    <t xml:space="preserve">Nurul Hartono</t>
  </si>
  <si>
    <t xml:space="preserve">Citra Handayani</t>
  </si>
  <si>
    <t xml:space="preserve">Dewi Syahputra</t>
  </si>
  <si>
    <t xml:space="preserve">Indah Lestari</t>
  </si>
  <si>
    <t xml:space="preserve">Tono Pratama</t>
  </si>
  <si>
    <t xml:space="preserve">Umar Lestari</t>
  </si>
  <si>
    <t xml:space="preserve">Wahyu Santoso</t>
  </si>
  <si>
    <t xml:space="preserve">Hadi Yulianto</t>
  </si>
  <si>
    <t xml:space="preserve">Kartika Yulianto</t>
  </si>
  <si>
    <t xml:space="preserve">Utami Firmansyah</t>
  </si>
  <si>
    <t xml:space="preserve">Oki Pangestu</t>
  </si>
  <si>
    <t xml:space="preserve">Lapis</t>
  </si>
  <si>
    <t xml:space="preserve">Batas Bawah</t>
  </si>
  <si>
    <t xml:space="preserve">Tarif</t>
  </si>
  <si>
    <t xml:space="preserve">Jumlah Pegawai</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</si>
  <si>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</si>
  <si>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</si>
  <si>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</si>
  <si>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</si>
  <si>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</si>
  <si>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</si>
  <si>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bruto setahun</t>
  </si>
  <si>
    <t xml:space="preserve">Rupiah, mis. Rp 4.000.000.000</t>
  </si>
  <si>
    <t xml:space="preserve">12b</t>
  </si>
  <si>
    <t xml:space="preserve">Total pajak</t>
  </si>
  <si>
    <t xml:space="preserve">Rupiah, mis. Rp 500.000.000</t>
  </si>
  <si>
    <t xml:space="preserve">12c</t>
  </si>
  <si>
    <t xml:space="preserve">Persen pajak terhadap bruto</t>
  </si>
  <si>
    <t xml:space="preserve">Persen, mis. 12,5%</t>
  </si>
  <si>
    <t xml:space="preserve">13a</t>
  </si>
  <si>
    <t xml:space="preserve">Pegawai dengan total pajak terbesar</t>
  </si>
  <si>
    <t xml:space="preserve">Teks: nama pegawai</t>
  </si>
  <si>
    <t xml:space="preserve">13b</t>
  </si>
  <si>
    <t xml:space="preserve">Rata-rata total pajak per pegawai</t>
  </si>
  <si>
    <t xml:space="preserve">Rupiah, mis. Rp 18.000.000</t>
  </si>
  <si>
    <t xml:space="preserve">14a</t>
  </si>
  <si>
    <t xml:space="preserve">Pegawai tanpa pajak</t>
  </si>
  <si>
    <t xml:space="preserve">Angka bulat, mis. 6</t>
  </si>
  <si>
    <t xml:space="preserve">14b</t>
  </si>
  <si>
    <t xml:space="preserve">Pegawai sampai lapis 4</t>
  </si>
  <si>
    <t xml:space="preserve">Angka bulat, mis. 5</t>
  </si>
  <si>
    <t xml:space="preserve">15a</t>
  </si>
  <si>
    <t xml:space="preserve">Total pajak Manajer</t>
  </si>
  <si>
    <t xml:space="preserve">Rupiah, mis. Rp 120.000.000</t>
  </si>
  <si>
    <t xml:space="preserve">15b</t>
  </si>
  <si>
    <t xml:space="preserve">Rata-rata tarif efektif Direktur</t>
  </si>
  <si>
    <t xml:space="preserve">Persen, mis. 22,5%</t>
  </si>
</sst>
</file>

<file path=xl/styles.xml><?xml version="1.0" encoding="utf-8"?>
<styleSheet xmlns="http://schemas.openxmlformats.org/spreadsheetml/2006/main">
  <numFmts count="5">
    <numFmt numFmtId="164" formatCode="General"/>
    <numFmt numFmtId="165" formatCode="&quot;Rp &quot;#,##0"/>
    <numFmt numFmtId="166" formatCode="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9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42"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43.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4" min="3" style="0" width="15"/>
    <col collapsed="false" customWidth="true" hidden="false" outlineLevel="0" max="5" min="5" style="0" width="12"/>
    <col collapsed="false" customWidth="true" hidden="false" outlineLevel="0" max="6" min="6" style="0" width="17"/>
    <col collapsed="false" customWidth="true" hidden="false" outlineLevel="0" max="7" min="7" style="0" width="14"/>
    <col collapsed="false" customWidth="true" hidden="false" outlineLevel="0" max="8" min="8" style="0" width="15"/>
    <col collapsed="false" customWidth="true" hidden="false" outlineLevel="0" max="9" min="9" style="0" width="16"/>
    <col collapsed="false" customWidth="true" hidden="false" outlineLevel="0" max="14" min="10" style="0" width="15"/>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83</v>
      </c>
      <c r="B1" s="11" t="s">
        <v>84</v>
      </c>
      <c r="C1" s="11" t="s">
        <v>85</v>
      </c>
      <c r="D1" s="11" t="s">
        <v>86</v>
      </c>
      <c r="E1" s="11" t="s">
        <v>87</v>
      </c>
      <c r="F1" s="15" t="s">
        <v>88</v>
      </c>
      <c r="G1" s="15" t="s">
        <v>89</v>
      </c>
      <c r="H1" s="15" t="s">
        <v>90</v>
      </c>
      <c r="I1" s="15" t="s">
        <v>91</v>
      </c>
      <c r="J1" s="15" t="s">
        <v>92</v>
      </c>
      <c r="K1" s="15" t="s">
        <v>93</v>
      </c>
      <c r="L1" s="15" t="s">
        <v>94</v>
      </c>
      <c r="M1" s="15" t="s">
        <v>95</v>
      </c>
      <c r="N1" s="15" t="s">
        <v>96</v>
      </c>
      <c r="O1" s="15" t="s">
        <v>97</v>
      </c>
      <c r="Q1" s="16" t="s">
        <v>98</v>
      </c>
      <c r="R1" s="16" t="s">
        <v>99</v>
      </c>
      <c r="S1" s="16" t="s">
        <v>100</v>
      </c>
    </row>
    <row r="2" customFormat="false" ht="15" hidden="false" customHeight="false" outlineLevel="0" collapsed="false">
      <c r="A2" s="17" t="s">
        <v>101</v>
      </c>
      <c r="B2" s="17" t="s">
        <v>102</v>
      </c>
      <c r="C2" s="18" t="n">
        <v>20300000</v>
      </c>
      <c r="D2" s="18" t="n">
        <v>20000000</v>
      </c>
      <c r="E2" s="19" t="n">
        <v>3</v>
      </c>
      <c r="F2" s="20" t="n">
        <f aca="false">C2*12+D2</f>
        <v>263600000</v>
      </c>
      <c r="G2" s="20" t="n">
        <f aca="false">MIN(F2*$R$2,$R$3)</f>
        <v>6000000</v>
      </c>
      <c r="H2" s="20" t="n">
        <f aca="false">$R$4+E2*$R$5</f>
        <v>67500000</v>
      </c>
      <c r="I2" s="20" t="n">
        <f aca="false">MAX(0,F2-G2-H2)</f>
        <v>190100000</v>
      </c>
      <c r="J2" s="20" t="n">
        <f aca="false">MAX(0,MIN(I2,Acuan!$B$3)-Acuan!$B$2)*Acuan!$C$2</f>
        <v>2500000</v>
      </c>
      <c r="K2" s="20" t="n">
        <f aca="false">MAX(0,MIN(I2,Acuan!$B$4)-Acuan!$B$3)*Acuan!$C$3</f>
        <v>21015000</v>
      </c>
      <c r="L2" s="20" t="n">
        <f aca="false">MAX(0,MIN(I2,Acuan!$B$5)-Acuan!$B$4)*Acuan!$C$4</f>
        <v>0</v>
      </c>
      <c r="M2" s="20" t="n">
        <f aca="false">MAX(0,I2-Acuan!$B$5)*Acuan!$C$5</f>
        <v>0</v>
      </c>
      <c r="N2" s="20" t="n">
        <f aca="false">J2+K2+L2+M2</f>
        <v>23515000</v>
      </c>
      <c r="O2" s="21" t="n">
        <f aca="false">IF(I2=0,0,N2/I2)</f>
        <v>0.123698053655971</v>
      </c>
      <c r="Q2" s="22" t="s">
        <v>103</v>
      </c>
      <c r="R2" s="23" t="n">
        <v>0.05</v>
      </c>
      <c r="S2" s="22"/>
    </row>
    <row r="3" customFormat="false" ht="15" hidden="false" customHeight="false" outlineLevel="0" collapsed="false">
      <c r="A3" s="17" t="s">
        <v>104</v>
      </c>
      <c r="B3" s="17" t="s">
        <v>102</v>
      </c>
      <c r="C3" s="18" t="n">
        <v>21300000</v>
      </c>
      <c r="D3" s="18" t="n">
        <v>18000000</v>
      </c>
      <c r="E3" s="19" t="n">
        <v>3</v>
      </c>
      <c r="F3" s="20" t="n">
        <f aca="false">C3*12+D3</f>
        <v>273600000</v>
      </c>
      <c r="G3" s="20" t="n">
        <f aca="false">MIN(F3*$R$2,$R$3)</f>
        <v>6000000</v>
      </c>
      <c r="H3" s="20" t="n">
        <f aca="false">$R$4+E3*$R$5</f>
        <v>67500000</v>
      </c>
      <c r="I3" s="20" t="n">
        <f aca="false">MAX(0,F3-G3-H3)</f>
        <v>200100000</v>
      </c>
      <c r="J3" s="20" t="n">
        <f aca="false">MAX(0,MIN(I3,Acuan!$B$3)-Acuan!$B$2)*Acuan!$C$2</f>
        <v>2500000</v>
      </c>
      <c r="K3" s="20" t="n">
        <f aca="false">MAX(0,MIN(I3,Acuan!$B$4)-Acuan!$B$3)*Acuan!$C$3</f>
        <v>22500000</v>
      </c>
      <c r="L3" s="20" t="n">
        <f aca="false">MAX(0,MIN(I3,Acuan!$B$5)-Acuan!$B$4)*Acuan!$C$4</f>
        <v>25000</v>
      </c>
      <c r="M3" s="20" t="n">
        <f aca="false">MAX(0,I3-Acuan!$B$5)*Acuan!$C$5</f>
        <v>0</v>
      </c>
      <c r="N3" s="20" t="n">
        <f aca="false">J3+K3+L3+M3</f>
        <v>25025000</v>
      </c>
      <c r="O3" s="21" t="n">
        <f aca="false">IF(I3=0,0,N3/I3)</f>
        <v>0.125062468765617</v>
      </c>
      <c r="Q3" s="22" t="s">
        <v>105</v>
      </c>
      <c r="R3" s="24" t="n">
        <v>6000000</v>
      </c>
      <c r="S3" s="22"/>
    </row>
    <row r="4" customFormat="false" ht="15" hidden="false" customHeight="false" outlineLevel="0" collapsed="false">
      <c r="A4" s="17" t="s">
        <v>106</v>
      </c>
      <c r="B4" s="17" t="s">
        <v>102</v>
      </c>
      <c r="C4" s="18" t="n">
        <v>31900000</v>
      </c>
      <c r="D4" s="18" t="n">
        <v>28000000</v>
      </c>
      <c r="E4" s="19" t="n">
        <v>0</v>
      </c>
      <c r="F4" s="20" t="n">
        <f aca="false">C4*12+D4</f>
        <v>410800000</v>
      </c>
      <c r="G4" s="20" t="n">
        <f aca="false">MIN(F4*$R$2,$R$3)</f>
        <v>6000000</v>
      </c>
      <c r="H4" s="20" t="n">
        <f aca="false">$R$4+E4*$R$5</f>
        <v>54000000</v>
      </c>
      <c r="I4" s="20" t="n">
        <f aca="false">MAX(0,F4-G4-H4)</f>
        <v>350800000</v>
      </c>
      <c r="J4" s="20" t="n">
        <f aca="false">MAX(0,MIN(I4,Acuan!$B$3)-Acuan!$B$2)*Acuan!$C$2</f>
        <v>2500000</v>
      </c>
      <c r="K4" s="20" t="n">
        <f aca="false">MAX(0,MIN(I4,Acuan!$B$4)-Acuan!$B$3)*Acuan!$C$3</f>
        <v>22500000</v>
      </c>
      <c r="L4" s="20" t="n">
        <f aca="false">MAX(0,MIN(I4,Acuan!$B$5)-Acuan!$B$4)*Acuan!$C$4</f>
        <v>37700000</v>
      </c>
      <c r="M4" s="20" t="n">
        <f aca="false">MAX(0,I4-Acuan!$B$5)*Acuan!$C$5</f>
        <v>0</v>
      </c>
      <c r="N4" s="20" t="n">
        <f aca="false">J4+K4+L4+M4</f>
        <v>62700000</v>
      </c>
      <c r="O4" s="21" t="n">
        <f aca="false">IF(I4=0,0,N4/I4)</f>
        <v>0.178734321550741</v>
      </c>
      <c r="Q4" s="22" t="s">
        <v>107</v>
      </c>
      <c r="R4" s="24" t="n">
        <v>54000000</v>
      </c>
      <c r="S4" s="22"/>
    </row>
    <row r="5" customFormat="false" ht="15" hidden="false" customHeight="false" outlineLevel="0" collapsed="false">
      <c r="A5" s="17" t="s">
        <v>108</v>
      </c>
      <c r="B5" s="17" t="s">
        <v>109</v>
      </c>
      <c r="C5" s="18" t="n">
        <v>4400000</v>
      </c>
      <c r="D5" s="18" t="n">
        <v>1500000</v>
      </c>
      <c r="E5" s="19" t="n">
        <v>0</v>
      </c>
      <c r="F5" s="20" t="n">
        <f aca="false">C5*12+D5</f>
        <v>54300000</v>
      </c>
      <c r="G5" s="20" t="n">
        <f aca="false">MIN(F5*$R$2,$R$3)</f>
        <v>2715000</v>
      </c>
      <c r="H5" s="20" t="n">
        <f aca="false">$R$4+E5*$R$5</f>
        <v>54000000</v>
      </c>
      <c r="I5" s="20" t="n">
        <f aca="false">MAX(0,F5-G5-H5)</f>
        <v>0</v>
      </c>
      <c r="J5" s="20" t="n">
        <f aca="false">MAX(0,MIN(I5,Acuan!$B$3)-Acuan!$B$2)*Acuan!$C$2</f>
        <v>0</v>
      </c>
      <c r="K5" s="20" t="n">
        <f aca="false">MAX(0,MIN(I5,Acuan!$B$4)-Acuan!$B$3)*Acuan!$C$3</f>
        <v>0</v>
      </c>
      <c r="L5" s="20" t="n">
        <f aca="false">MAX(0,MIN(I5,Acuan!$B$5)-Acuan!$B$4)*Acuan!$C$4</f>
        <v>0</v>
      </c>
      <c r="M5" s="20" t="n">
        <f aca="false">MAX(0,I5-Acuan!$B$5)*Acuan!$C$5</f>
        <v>0</v>
      </c>
      <c r="N5" s="20" t="n">
        <f aca="false">J5+K5+L5+M5</f>
        <v>0</v>
      </c>
      <c r="O5" s="21" t="n">
        <f aca="false">IF(I5=0,0,N5/I5)</f>
        <v>0</v>
      </c>
      <c r="Q5" s="22" t="s">
        <v>110</v>
      </c>
      <c r="R5" s="24" t="n">
        <v>4500000</v>
      </c>
      <c r="S5" s="22"/>
    </row>
    <row r="6" customFormat="false" ht="15" hidden="false" customHeight="false" outlineLevel="0" collapsed="false">
      <c r="A6" s="17" t="s">
        <v>111</v>
      </c>
      <c r="B6" s="17" t="s">
        <v>112</v>
      </c>
      <c r="C6" s="18" t="n">
        <v>48700000</v>
      </c>
      <c r="D6" s="18" t="n">
        <v>29500000</v>
      </c>
      <c r="E6" s="19" t="n">
        <v>2</v>
      </c>
      <c r="F6" s="20" t="n">
        <f aca="false">C6*12+D6</f>
        <v>613900000</v>
      </c>
      <c r="G6" s="20" t="n">
        <f aca="false">MIN(F6*$R$2,$R$3)</f>
        <v>6000000</v>
      </c>
      <c r="H6" s="20" t="n">
        <f aca="false">$R$4+E6*$R$5</f>
        <v>63000000</v>
      </c>
      <c r="I6" s="20" t="n">
        <f aca="false">MAX(0,F6-G6-H6)</f>
        <v>544900000</v>
      </c>
      <c r="J6" s="20" t="n">
        <f aca="false">MAX(0,MIN(I6,Acuan!$B$3)-Acuan!$B$2)*Acuan!$C$2</f>
        <v>2500000</v>
      </c>
      <c r="K6" s="20" t="n">
        <f aca="false">MAX(0,MIN(I6,Acuan!$B$4)-Acuan!$B$3)*Acuan!$C$3</f>
        <v>22500000</v>
      </c>
      <c r="L6" s="20" t="n">
        <f aca="false">MAX(0,MIN(I6,Acuan!$B$5)-Acuan!$B$4)*Acuan!$C$4</f>
        <v>50000000</v>
      </c>
      <c r="M6" s="20" t="n">
        <f aca="false">MAX(0,I6-Acuan!$B$5)*Acuan!$C$5</f>
        <v>43470000</v>
      </c>
      <c r="N6" s="20" t="n">
        <f aca="false">J6+K6+L6+M6</f>
        <v>118470000</v>
      </c>
      <c r="O6" s="21" t="n">
        <f aca="false">IF(I6=0,0,N6/I6)</f>
        <v>0.217416039640301</v>
      </c>
    </row>
    <row r="7" customFormat="false" ht="15" hidden="false" customHeight="false" outlineLevel="0" collapsed="false">
      <c r="A7" s="17" t="s">
        <v>113</v>
      </c>
      <c r="B7" s="17" t="s">
        <v>109</v>
      </c>
      <c r="C7" s="18" t="n">
        <v>7600000</v>
      </c>
      <c r="D7" s="18" t="n">
        <v>7000000</v>
      </c>
      <c r="E7" s="19" t="n">
        <v>2</v>
      </c>
      <c r="F7" s="20" t="n">
        <f aca="false">C7*12+D7</f>
        <v>98200000</v>
      </c>
      <c r="G7" s="20" t="n">
        <f aca="false">MIN(F7*$R$2,$R$3)</f>
        <v>4910000</v>
      </c>
      <c r="H7" s="20" t="n">
        <f aca="false">$R$4+E7*$R$5</f>
        <v>63000000</v>
      </c>
      <c r="I7" s="20" t="n">
        <f aca="false">MAX(0,F7-G7-H7)</f>
        <v>30290000</v>
      </c>
      <c r="J7" s="20" t="n">
        <f aca="false">MAX(0,MIN(I7,Acuan!$B$3)-Acuan!$B$2)*Acuan!$C$2</f>
        <v>1514500</v>
      </c>
      <c r="K7" s="20" t="n">
        <f aca="false">MAX(0,MIN(I7,Acuan!$B$4)-Acuan!$B$3)*Acuan!$C$3</f>
        <v>0</v>
      </c>
      <c r="L7" s="20" t="n">
        <f aca="false">MAX(0,MIN(I7,Acuan!$B$5)-Acuan!$B$4)*Acuan!$C$4</f>
        <v>0</v>
      </c>
      <c r="M7" s="20" t="n">
        <f aca="false">MAX(0,I7-Acuan!$B$5)*Acuan!$C$5</f>
        <v>0</v>
      </c>
      <c r="N7" s="20" t="n">
        <f aca="false">J7+K7+L7+M7</f>
        <v>1514500</v>
      </c>
      <c r="O7" s="21" t="n">
        <f aca="false">IF(I7=0,0,N7/I7)</f>
        <v>0.05</v>
      </c>
    </row>
    <row r="8" customFormat="false" ht="15" hidden="false" customHeight="false" outlineLevel="0" collapsed="false">
      <c r="A8" s="17" t="s">
        <v>114</v>
      </c>
      <c r="B8" s="17" t="s">
        <v>109</v>
      </c>
      <c r="C8" s="18" t="n">
        <v>8000000</v>
      </c>
      <c r="D8" s="18" t="n">
        <v>500000</v>
      </c>
      <c r="E8" s="19" t="n">
        <v>0</v>
      </c>
      <c r="F8" s="20" t="n">
        <f aca="false">C8*12+D8</f>
        <v>96500000</v>
      </c>
      <c r="G8" s="20" t="n">
        <f aca="false">MIN(F8*$R$2,$R$3)</f>
        <v>4825000</v>
      </c>
      <c r="H8" s="20" t="n">
        <f aca="false">$R$4+E8*$R$5</f>
        <v>54000000</v>
      </c>
      <c r="I8" s="20" t="n">
        <f aca="false">MAX(0,F8-G8-H8)</f>
        <v>37675000</v>
      </c>
      <c r="J8" s="20" t="n">
        <f aca="false">MAX(0,MIN(I8,Acuan!$B$3)-Acuan!$B$2)*Acuan!$C$2</f>
        <v>1883750</v>
      </c>
      <c r="K8" s="20" t="n">
        <f aca="false">MAX(0,MIN(I8,Acuan!$B$4)-Acuan!$B$3)*Acuan!$C$3</f>
        <v>0</v>
      </c>
      <c r="L8" s="20" t="n">
        <f aca="false">MAX(0,MIN(I8,Acuan!$B$5)-Acuan!$B$4)*Acuan!$C$4</f>
        <v>0</v>
      </c>
      <c r="M8" s="20" t="n">
        <f aca="false">MAX(0,I8-Acuan!$B$5)*Acuan!$C$5</f>
        <v>0</v>
      </c>
      <c r="N8" s="20" t="n">
        <f aca="false">J8+K8+L8+M8</f>
        <v>1883750</v>
      </c>
      <c r="O8" s="21" t="n">
        <f aca="false">IF(I8=0,0,N8/I8)</f>
        <v>0.05</v>
      </c>
    </row>
    <row r="9" customFormat="false" ht="15" hidden="false" customHeight="false" outlineLevel="0" collapsed="false">
      <c r="A9" s="17" t="s">
        <v>115</v>
      </c>
      <c r="B9" s="17" t="s">
        <v>116</v>
      </c>
      <c r="C9" s="18" t="n">
        <v>11700000</v>
      </c>
      <c r="D9" s="18" t="n">
        <v>6000000</v>
      </c>
      <c r="E9" s="19" t="n">
        <v>3</v>
      </c>
      <c r="F9" s="20" t="n">
        <f aca="false">C9*12+D9</f>
        <v>146400000</v>
      </c>
      <c r="G9" s="20" t="n">
        <f aca="false">MIN(F9*$R$2,$R$3)</f>
        <v>6000000</v>
      </c>
      <c r="H9" s="20" t="n">
        <f aca="false">$R$4+E9*$R$5</f>
        <v>67500000</v>
      </c>
      <c r="I9" s="20" t="n">
        <f aca="false">MAX(0,F9-G9-H9)</f>
        <v>72900000</v>
      </c>
      <c r="J9" s="20" t="n">
        <f aca="false">MAX(0,MIN(I9,Acuan!$B$3)-Acuan!$B$2)*Acuan!$C$2</f>
        <v>2500000</v>
      </c>
      <c r="K9" s="20" t="n">
        <f aca="false">MAX(0,MIN(I9,Acuan!$B$4)-Acuan!$B$3)*Acuan!$C$3</f>
        <v>3435000</v>
      </c>
      <c r="L9" s="20" t="n">
        <f aca="false">MAX(0,MIN(I9,Acuan!$B$5)-Acuan!$B$4)*Acuan!$C$4</f>
        <v>0</v>
      </c>
      <c r="M9" s="20" t="n">
        <f aca="false">MAX(0,I9-Acuan!$B$5)*Acuan!$C$5</f>
        <v>0</v>
      </c>
      <c r="N9" s="20" t="n">
        <f aca="false">J9+K9+L9+M9</f>
        <v>5935000</v>
      </c>
      <c r="O9" s="21" t="n">
        <f aca="false">IF(I9=0,0,N9/I9)</f>
        <v>0.0814128943758573</v>
      </c>
    </row>
    <row r="10" customFormat="false" ht="15" hidden="false" customHeight="false" outlineLevel="0" collapsed="false">
      <c r="A10" s="17" t="s">
        <v>117</v>
      </c>
      <c r="B10" s="17" t="s">
        <v>112</v>
      </c>
      <c r="C10" s="18" t="n">
        <v>59300000</v>
      </c>
      <c r="D10" s="18" t="n">
        <v>40000000</v>
      </c>
      <c r="E10" s="19" t="n">
        <v>3</v>
      </c>
      <c r="F10" s="20" t="n">
        <f aca="false">C10*12+D10</f>
        <v>751600000</v>
      </c>
      <c r="G10" s="20" t="n">
        <f aca="false">MIN(F10*$R$2,$R$3)</f>
        <v>6000000</v>
      </c>
      <c r="H10" s="20" t="n">
        <f aca="false">$R$4+E10*$R$5</f>
        <v>67500000</v>
      </c>
      <c r="I10" s="20" t="n">
        <f aca="false">MAX(0,F10-G10-H10)</f>
        <v>678100000</v>
      </c>
      <c r="J10" s="20" t="n">
        <f aca="false">MAX(0,MIN(I10,Acuan!$B$3)-Acuan!$B$2)*Acuan!$C$2</f>
        <v>2500000</v>
      </c>
      <c r="K10" s="20" t="n">
        <f aca="false">MAX(0,MIN(I10,Acuan!$B$4)-Acuan!$B$3)*Acuan!$C$3</f>
        <v>22500000</v>
      </c>
      <c r="L10" s="20" t="n">
        <f aca="false">MAX(0,MIN(I10,Acuan!$B$5)-Acuan!$B$4)*Acuan!$C$4</f>
        <v>50000000</v>
      </c>
      <c r="M10" s="20" t="n">
        <f aca="false">MAX(0,I10-Acuan!$B$5)*Acuan!$C$5</f>
        <v>83430000</v>
      </c>
      <c r="N10" s="20" t="n">
        <f aca="false">J10+K10+L10+M10</f>
        <v>158430000</v>
      </c>
      <c r="O10" s="21" t="n">
        <f aca="false">IF(I10=0,0,N10/I10)</f>
        <v>0.233638106473971</v>
      </c>
    </row>
    <row r="11" customFormat="false" ht="15" hidden="false" customHeight="false" outlineLevel="0" collapsed="false">
      <c r="A11" s="17" t="s">
        <v>118</v>
      </c>
      <c r="B11" s="17" t="s">
        <v>109</v>
      </c>
      <c r="C11" s="18" t="n">
        <v>5000000</v>
      </c>
      <c r="D11" s="18" t="n">
        <v>4000000</v>
      </c>
      <c r="E11" s="19" t="n">
        <v>2</v>
      </c>
      <c r="F11" s="20" t="n">
        <f aca="false">C11*12+D11</f>
        <v>64000000</v>
      </c>
      <c r="G11" s="20" t="n">
        <f aca="false">MIN(F11*$R$2,$R$3)</f>
        <v>3200000</v>
      </c>
      <c r="H11" s="20" t="n">
        <f aca="false">$R$4+E11*$R$5</f>
        <v>63000000</v>
      </c>
      <c r="I11" s="20" t="n">
        <f aca="false">MAX(0,F11-G11-H11)</f>
        <v>0</v>
      </c>
      <c r="J11" s="20" t="n">
        <f aca="false">MAX(0,MIN(I11,Acuan!$B$3)-Acuan!$B$2)*Acuan!$C$2</f>
        <v>0</v>
      </c>
      <c r="K11" s="20" t="n">
        <f aca="false">MAX(0,MIN(I11,Acuan!$B$4)-Acuan!$B$3)*Acuan!$C$3</f>
        <v>0</v>
      </c>
      <c r="L11" s="20" t="n">
        <f aca="false">MAX(0,MIN(I11,Acuan!$B$5)-Acuan!$B$4)*Acuan!$C$4</f>
        <v>0</v>
      </c>
      <c r="M11" s="20" t="n">
        <f aca="false">MAX(0,I11-Acuan!$B$5)*Acuan!$C$5</f>
        <v>0</v>
      </c>
      <c r="N11" s="20" t="n">
        <f aca="false">J11+K11+L11+M11</f>
        <v>0</v>
      </c>
      <c r="O11" s="21" t="n">
        <f aca="false">IF(I11=0,0,N11/I11)</f>
        <v>0</v>
      </c>
    </row>
    <row r="12" customFormat="false" ht="15" hidden="false" customHeight="false" outlineLevel="0" collapsed="false">
      <c r="A12" s="17" t="s">
        <v>119</v>
      </c>
      <c r="B12" s="17" t="s">
        <v>116</v>
      </c>
      <c r="C12" s="18" t="n">
        <v>13000000</v>
      </c>
      <c r="D12" s="18" t="n">
        <v>15000000</v>
      </c>
      <c r="E12" s="19" t="n">
        <v>2</v>
      </c>
      <c r="F12" s="20" t="n">
        <f aca="false">C12*12+D12</f>
        <v>171000000</v>
      </c>
      <c r="G12" s="20" t="n">
        <f aca="false">MIN(F12*$R$2,$R$3)</f>
        <v>6000000</v>
      </c>
      <c r="H12" s="20" t="n">
        <f aca="false">$R$4+E12*$R$5</f>
        <v>63000000</v>
      </c>
      <c r="I12" s="20" t="n">
        <f aca="false">MAX(0,F12-G12-H12)</f>
        <v>102000000</v>
      </c>
      <c r="J12" s="20" t="n">
        <f aca="false">MAX(0,MIN(I12,Acuan!$B$3)-Acuan!$B$2)*Acuan!$C$2</f>
        <v>2500000</v>
      </c>
      <c r="K12" s="20" t="n">
        <f aca="false">MAX(0,MIN(I12,Acuan!$B$4)-Acuan!$B$3)*Acuan!$C$3</f>
        <v>7800000</v>
      </c>
      <c r="L12" s="20" t="n">
        <f aca="false">MAX(0,MIN(I12,Acuan!$B$5)-Acuan!$B$4)*Acuan!$C$4</f>
        <v>0</v>
      </c>
      <c r="M12" s="20" t="n">
        <f aca="false">MAX(0,I12-Acuan!$B$5)*Acuan!$C$5</f>
        <v>0</v>
      </c>
      <c r="N12" s="20" t="n">
        <f aca="false">J12+K12+L12+M12</f>
        <v>10300000</v>
      </c>
      <c r="O12" s="21" t="n">
        <f aca="false">IF(I12=0,0,N12/I12)</f>
        <v>0.100980392156863</v>
      </c>
    </row>
    <row r="13" customFormat="false" ht="15" hidden="false" customHeight="false" outlineLevel="0" collapsed="false">
      <c r="A13" s="17" t="s">
        <v>120</v>
      </c>
      <c r="B13" s="17" t="s">
        <v>116</v>
      </c>
      <c r="C13" s="18" t="n">
        <v>12200000</v>
      </c>
      <c r="D13" s="18" t="n">
        <v>14500000</v>
      </c>
      <c r="E13" s="19" t="n">
        <v>0</v>
      </c>
      <c r="F13" s="20" t="n">
        <f aca="false">C13*12+D13</f>
        <v>160900000</v>
      </c>
      <c r="G13" s="20" t="n">
        <f aca="false">MIN(F13*$R$2,$R$3)</f>
        <v>6000000</v>
      </c>
      <c r="H13" s="20" t="n">
        <f aca="false">$R$4+E13*$R$5</f>
        <v>54000000</v>
      </c>
      <c r="I13" s="20" t="n">
        <f aca="false">MAX(0,F13-G13-H13)</f>
        <v>100900000</v>
      </c>
      <c r="J13" s="20" t="n">
        <f aca="false">MAX(0,MIN(I13,Acuan!$B$3)-Acuan!$B$2)*Acuan!$C$2</f>
        <v>2500000</v>
      </c>
      <c r="K13" s="20" t="n">
        <f aca="false">MAX(0,MIN(I13,Acuan!$B$4)-Acuan!$B$3)*Acuan!$C$3</f>
        <v>7635000</v>
      </c>
      <c r="L13" s="20" t="n">
        <f aca="false">MAX(0,MIN(I13,Acuan!$B$5)-Acuan!$B$4)*Acuan!$C$4</f>
        <v>0</v>
      </c>
      <c r="M13" s="20" t="n">
        <f aca="false">MAX(0,I13-Acuan!$B$5)*Acuan!$C$5</f>
        <v>0</v>
      </c>
      <c r="N13" s="20" t="n">
        <f aca="false">J13+K13+L13+M13</f>
        <v>10135000</v>
      </c>
      <c r="O13" s="21" t="n">
        <f aca="false">IF(I13=0,0,N13/I13)</f>
        <v>0.100445986124876</v>
      </c>
    </row>
    <row r="14" customFormat="false" ht="15" hidden="false" customHeight="false" outlineLevel="0" collapsed="false">
      <c r="A14" s="17" t="s">
        <v>121</v>
      </c>
      <c r="B14" s="17" t="s">
        <v>116</v>
      </c>
      <c r="C14" s="18" t="n">
        <v>8600000</v>
      </c>
      <c r="D14" s="18" t="n">
        <v>13000000</v>
      </c>
      <c r="E14" s="19" t="n">
        <v>0</v>
      </c>
      <c r="F14" s="20" t="n">
        <f aca="false">C14*12+D14</f>
        <v>116200000</v>
      </c>
      <c r="G14" s="20" t="n">
        <f aca="false">MIN(F14*$R$2,$R$3)</f>
        <v>5810000</v>
      </c>
      <c r="H14" s="20" t="n">
        <f aca="false">$R$4+E14*$R$5</f>
        <v>54000000</v>
      </c>
      <c r="I14" s="20" t="n">
        <f aca="false">MAX(0,F14-G14-H14)</f>
        <v>56390000</v>
      </c>
      <c r="J14" s="20" t="n">
        <f aca="false">MAX(0,MIN(I14,Acuan!$B$3)-Acuan!$B$2)*Acuan!$C$2</f>
        <v>2500000</v>
      </c>
      <c r="K14" s="20" t="n">
        <f aca="false">MAX(0,MIN(I14,Acuan!$B$4)-Acuan!$B$3)*Acuan!$C$3</f>
        <v>958500</v>
      </c>
      <c r="L14" s="20" t="n">
        <f aca="false">MAX(0,MIN(I14,Acuan!$B$5)-Acuan!$B$4)*Acuan!$C$4</f>
        <v>0</v>
      </c>
      <c r="M14" s="20" t="n">
        <f aca="false">MAX(0,I14-Acuan!$B$5)*Acuan!$C$5</f>
        <v>0</v>
      </c>
      <c r="N14" s="20" t="n">
        <f aca="false">J14+K14+L14+M14</f>
        <v>3458500</v>
      </c>
      <c r="O14" s="21" t="n">
        <f aca="false">IF(I14=0,0,N14/I14)</f>
        <v>0.0613317964178046</v>
      </c>
    </row>
    <row r="15" customFormat="false" ht="15" hidden="false" customHeight="false" outlineLevel="0" collapsed="false">
      <c r="A15" s="17" t="s">
        <v>122</v>
      </c>
      <c r="B15" s="17" t="s">
        <v>109</v>
      </c>
      <c r="C15" s="18" t="n">
        <v>6300000</v>
      </c>
      <c r="D15" s="18" t="n">
        <v>2500000</v>
      </c>
      <c r="E15" s="19" t="n">
        <v>2</v>
      </c>
      <c r="F15" s="20" t="n">
        <f aca="false">C15*12+D15</f>
        <v>78100000</v>
      </c>
      <c r="G15" s="20" t="n">
        <f aca="false">MIN(F15*$R$2,$R$3)</f>
        <v>3905000</v>
      </c>
      <c r="H15" s="20" t="n">
        <f aca="false">$R$4+E15*$R$5</f>
        <v>63000000</v>
      </c>
      <c r="I15" s="20" t="n">
        <f aca="false">MAX(0,F15-G15-H15)</f>
        <v>11195000</v>
      </c>
      <c r="J15" s="20" t="n">
        <f aca="false">MAX(0,MIN(I15,Acuan!$B$3)-Acuan!$B$2)*Acuan!$C$2</f>
        <v>559750</v>
      </c>
      <c r="K15" s="20" t="n">
        <f aca="false">MAX(0,MIN(I15,Acuan!$B$4)-Acuan!$B$3)*Acuan!$C$3</f>
        <v>0</v>
      </c>
      <c r="L15" s="20" t="n">
        <f aca="false">MAX(0,MIN(I15,Acuan!$B$5)-Acuan!$B$4)*Acuan!$C$4</f>
        <v>0</v>
      </c>
      <c r="M15" s="20" t="n">
        <f aca="false">MAX(0,I15-Acuan!$B$5)*Acuan!$C$5</f>
        <v>0</v>
      </c>
      <c r="N15" s="20" t="n">
        <f aca="false">J15+K15+L15+M15</f>
        <v>559750</v>
      </c>
      <c r="O15" s="21" t="n">
        <f aca="false">IF(I15=0,0,N15/I15)</f>
        <v>0.05</v>
      </c>
    </row>
    <row r="16" customFormat="false" ht="15" hidden="false" customHeight="false" outlineLevel="0" collapsed="false">
      <c r="A16" s="17" t="s">
        <v>123</v>
      </c>
      <c r="B16" s="17" t="s">
        <v>109</v>
      </c>
      <c r="C16" s="18" t="n">
        <v>4600000</v>
      </c>
      <c r="D16" s="18" t="n">
        <v>7000000</v>
      </c>
      <c r="E16" s="19" t="n">
        <v>0</v>
      </c>
      <c r="F16" s="20" t="n">
        <f aca="false">C16*12+D16</f>
        <v>62200000</v>
      </c>
      <c r="G16" s="20" t="n">
        <f aca="false">MIN(F16*$R$2,$R$3)</f>
        <v>3110000</v>
      </c>
      <c r="H16" s="20" t="n">
        <f aca="false">$R$4+E16*$R$5</f>
        <v>54000000</v>
      </c>
      <c r="I16" s="20" t="n">
        <f aca="false">MAX(0,F16-G16-H16)</f>
        <v>5090000</v>
      </c>
      <c r="J16" s="20" t="n">
        <f aca="false">MAX(0,MIN(I16,Acuan!$B$3)-Acuan!$B$2)*Acuan!$C$2</f>
        <v>254500</v>
      </c>
      <c r="K16" s="20" t="n">
        <f aca="false">MAX(0,MIN(I16,Acuan!$B$4)-Acuan!$B$3)*Acuan!$C$3</f>
        <v>0</v>
      </c>
      <c r="L16" s="20" t="n">
        <f aca="false">MAX(0,MIN(I16,Acuan!$B$5)-Acuan!$B$4)*Acuan!$C$4</f>
        <v>0</v>
      </c>
      <c r="M16" s="20" t="n">
        <f aca="false">MAX(0,I16-Acuan!$B$5)*Acuan!$C$5</f>
        <v>0</v>
      </c>
      <c r="N16" s="20" t="n">
        <f aca="false">J16+K16+L16+M16</f>
        <v>254500</v>
      </c>
      <c r="O16" s="21" t="n">
        <f aca="false">IF(I16=0,0,N16/I16)</f>
        <v>0.05</v>
      </c>
    </row>
    <row r="17" customFormat="false" ht="15" hidden="false" customHeight="false" outlineLevel="0" collapsed="false">
      <c r="A17" s="17" t="s">
        <v>124</v>
      </c>
      <c r="B17" s="17" t="s">
        <v>109</v>
      </c>
      <c r="C17" s="18" t="n">
        <v>6900000</v>
      </c>
      <c r="D17" s="18" t="n">
        <v>7000000</v>
      </c>
      <c r="E17" s="19" t="n">
        <v>1</v>
      </c>
      <c r="F17" s="20" t="n">
        <f aca="false">C17*12+D17</f>
        <v>89800000</v>
      </c>
      <c r="G17" s="20" t="n">
        <f aca="false">MIN(F17*$R$2,$R$3)</f>
        <v>4490000</v>
      </c>
      <c r="H17" s="20" t="n">
        <f aca="false">$R$4+E17*$R$5</f>
        <v>58500000</v>
      </c>
      <c r="I17" s="20" t="n">
        <f aca="false">MAX(0,F17-G17-H17)</f>
        <v>26810000</v>
      </c>
      <c r="J17" s="20" t="n">
        <f aca="false">MAX(0,MIN(I17,Acuan!$B$3)-Acuan!$B$2)*Acuan!$C$2</f>
        <v>1340500</v>
      </c>
      <c r="K17" s="20" t="n">
        <f aca="false">MAX(0,MIN(I17,Acuan!$B$4)-Acuan!$B$3)*Acuan!$C$3</f>
        <v>0</v>
      </c>
      <c r="L17" s="20" t="n">
        <f aca="false">MAX(0,MIN(I17,Acuan!$B$5)-Acuan!$B$4)*Acuan!$C$4</f>
        <v>0</v>
      </c>
      <c r="M17" s="20" t="n">
        <f aca="false">MAX(0,I17-Acuan!$B$5)*Acuan!$C$5</f>
        <v>0</v>
      </c>
      <c r="N17" s="20" t="n">
        <f aca="false">J17+K17+L17+M17</f>
        <v>1340500</v>
      </c>
      <c r="O17" s="21" t="n">
        <f aca="false">IF(I17=0,0,N17/I17)</f>
        <v>0.05</v>
      </c>
    </row>
    <row r="18" customFormat="false" ht="15" hidden="false" customHeight="false" outlineLevel="0" collapsed="false">
      <c r="A18" s="17" t="s">
        <v>125</v>
      </c>
      <c r="B18" s="17" t="s">
        <v>109</v>
      </c>
      <c r="C18" s="18" t="n">
        <v>5600000</v>
      </c>
      <c r="D18" s="18" t="n">
        <v>6500000</v>
      </c>
      <c r="E18" s="19" t="n">
        <v>2</v>
      </c>
      <c r="F18" s="20" t="n">
        <f aca="false">C18*12+D18</f>
        <v>73700000</v>
      </c>
      <c r="G18" s="20" t="n">
        <f aca="false">MIN(F18*$R$2,$R$3)</f>
        <v>3685000</v>
      </c>
      <c r="H18" s="20" t="n">
        <f aca="false">$R$4+E18*$R$5</f>
        <v>63000000</v>
      </c>
      <c r="I18" s="20" t="n">
        <f aca="false">MAX(0,F18-G18-H18)</f>
        <v>7015000</v>
      </c>
      <c r="J18" s="20" t="n">
        <f aca="false">MAX(0,MIN(I18,Acuan!$B$3)-Acuan!$B$2)*Acuan!$C$2</f>
        <v>350750</v>
      </c>
      <c r="K18" s="20" t="n">
        <f aca="false">MAX(0,MIN(I18,Acuan!$B$4)-Acuan!$B$3)*Acuan!$C$3</f>
        <v>0</v>
      </c>
      <c r="L18" s="20" t="n">
        <f aca="false">MAX(0,MIN(I18,Acuan!$B$5)-Acuan!$B$4)*Acuan!$C$4</f>
        <v>0</v>
      </c>
      <c r="M18" s="20" t="n">
        <f aca="false">MAX(0,I18-Acuan!$B$5)*Acuan!$C$5</f>
        <v>0</v>
      </c>
      <c r="N18" s="20" t="n">
        <f aca="false">J18+K18+L18+M18</f>
        <v>350750</v>
      </c>
      <c r="O18" s="21" t="n">
        <f aca="false">IF(I18=0,0,N18/I18)</f>
        <v>0.05</v>
      </c>
    </row>
    <row r="19" customFormat="false" ht="15" hidden="false" customHeight="false" outlineLevel="0" collapsed="false">
      <c r="A19" s="17" t="s">
        <v>126</v>
      </c>
      <c r="B19" s="17" t="s">
        <v>109</v>
      </c>
      <c r="C19" s="18" t="n">
        <v>5100000</v>
      </c>
      <c r="D19" s="18" t="n">
        <v>5000000</v>
      </c>
      <c r="E19" s="19" t="n">
        <v>0</v>
      </c>
      <c r="F19" s="20" t="n">
        <f aca="false">C19*12+D19</f>
        <v>66200000</v>
      </c>
      <c r="G19" s="20" t="n">
        <f aca="false">MIN(F19*$R$2,$R$3)</f>
        <v>3310000</v>
      </c>
      <c r="H19" s="20" t="n">
        <f aca="false">$R$4+E19*$R$5</f>
        <v>54000000</v>
      </c>
      <c r="I19" s="20" t="n">
        <f aca="false">MAX(0,F19-G19-H19)</f>
        <v>8890000</v>
      </c>
      <c r="J19" s="20" t="n">
        <f aca="false">MAX(0,MIN(I19,Acuan!$B$3)-Acuan!$B$2)*Acuan!$C$2</f>
        <v>444500</v>
      </c>
      <c r="K19" s="20" t="n">
        <f aca="false">MAX(0,MIN(I19,Acuan!$B$4)-Acuan!$B$3)*Acuan!$C$3</f>
        <v>0</v>
      </c>
      <c r="L19" s="20" t="n">
        <f aca="false">MAX(0,MIN(I19,Acuan!$B$5)-Acuan!$B$4)*Acuan!$C$4</f>
        <v>0</v>
      </c>
      <c r="M19" s="20" t="n">
        <f aca="false">MAX(0,I19-Acuan!$B$5)*Acuan!$C$5</f>
        <v>0</v>
      </c>
      <c r="N19" s="20" t="n">
        <f aca="false">J19+K19+L19+M19</f>
        <v>444500</v>
      </c>
      <c r="O19" s="21" t="n">
        <f aca="false">IF(I19=0,0,N19/I19)</f>
        <v>0.05</v>
      </c>
    </row>
    <row r="20" customFormat="false" ht="15" hidden="false" customHeight="false" outlineLevel="0" collapsed="false">
      <c r="A20" s="17" t="s">
        <v>127</v>
      </c>
      <c r="B20" s="17" t="s">
        <v>102</v>
      </c>
      <c r="C20" s="18" t="n">
        <v>27700000</v>
      </c>
      <c r="D20" s="18" t="n">
        <v>38000000</v>
      </c>
      <c r="E20" s="19" t="n">
        <v>0</v>
      </c>
      <c r="F20" s="20" t="n">
        <f aca="false">C20*12+D20</f>
        <v>370400000</v>
      </c>
      <c r="G20" s="20" t="n">
        <f aca="false">MIN(F20*$R$2,$R$3)</f>
        <v>6000000</v>
      </c>
      <c r="H20" s="20" t="n">
        <f aca="false">$R$4+E20*$R$5</f>
        <v>54000000</v>
      </c>
      <c r="I20" s="20" t="n">
        <f aca="false">MAX(0,F20-G20-H20)</f>
        <v>310400000</v>
      </c>
      <c r="J20" s="20" t="n">
        <f aca="false">MAX(0,MIN(I20,Acuan!$B$3)-Acuan!$B$2)*Acuan!$C$2</f>
        <v>2500000</v>
      </c>
      <c r="K20" s="20" t="n">
        <f aca="false">MAX(0,MIN(I20,Acuan!$B$4)-Acuan!$B$3)*Acuan!$C$3</f>
        <v>22500000</v>
      </c>
      <c r="L20" s="20" t="n">
        <f aca="false">MAX(0,MIN(I20,Acuan!$B$5)-Acuan!$B$4)*Acuan!$C$4</f>
        <v>27600000</v>
      </c>
      <c r="M20" s="20" t="n">
        <f aca="false">MAX(0,I20-Acuan!$B$5)*Acuan!$C$5</f>
        <v>0</v>
      </c>
      <c r="N20" s="20" t="n">
        <f aca="false">J20+K20+L20+M20</f>
        <v>52600000</v>
      </c>
      <c r="O20" s="21" t="n">
        <f aca="false">IF(I20=0,0,N20/I20)</f>
        <v>0.169458762886598</v>
      </c>
    </row>
    <row r="21" customFormat="false" ht="15" hidden="false" customHeight="false" outlineLevel="0" collapsed="false">
      <c r="A21" s="17" t="s">
        <v>128</v>
      </c>
      <c r="B21" s="17" t="s">
        <v>109</v>
      </c>
      <c r="C21" s="18" t="n">
        <v>7000000</v>
      </c>
      <c r="D21" s="18" t="n">
        <v>1000000</v>
      </c>
      <c r="E21" s="19" t="n">
        <v>0</v>
      </c>
      <c r="F21" s="20" t="n">
        <f aca="false">C21*12+D21</f>
        <v>85000000</v>
      </c>
      <c r="G21" s="20" t="n">
        <f aca="false">MIN(F21*$R$2,$R$3)</f>
        <v>4250000</v>
      </c>
      <c r="H21" s="20" t="n">
        <f aca="false">$R$4+E21*$R$5</f>
        <v>54000000</v>
      </c>
      <c r="I21" s="20" t="n">
        <f aca="false">MAX(0,F21-G21-H21)</f>
        <v>26750000</v>
      </c>
      <c r="J21" s="20" t="n">
        <f aca="false">MAX(0,MIN(I21,Acuan!$B$3)-Acuan!$B$2)*Acuan!$C$2</f>
        <v>1337500</v>
      </c>
      <c r="K21" s="20" t="n">
        <f aca="false">MAX(0,MIN(I21,Acuan!$B$4)-Acuan!$B$3)*Acuan!$C$3</f>
        <v>0</v>
      </c>
      <c r="L21" s="20" t="n">
        <f aca="false">MAX(0,MIN(I21,Acuan!$B$5)-Acuan!$B$4)*Acuan!$C$4</f>
        <v>0</v>
      </c>
      <c r="M21" s="20" t="n">
        <f aca="false">MAX(0,I21-Acuan!$B$5)*Acuan!$C$5</f>
        <v>0</v>
      </c>
      <c r="N21" s="20" t="n">
        <f aca="false">J21+K21+L21+M21</f>
        <v>1337500</v>
      </c>
      <c r="O21" s="21" t="n">
        <f aca="false">IF(I21=0,0,N21/I21)</f>
        <v>0.05</v>
      </c>
    </row>
    <row r="22" customFormat="false" ht="15" hidden="false" customHeight="false" outlineLevel="0" collapsed="false">
      <c r="A22" s="17" t="s">
        <v>129</v>
      </c>
      <c r="B22" s="17" t="s">
        <v>102</v>
      </c>
      <c r="C22" s="18" t="n">
        <v>24800000</v>
      </c>
      <c r="D22" s="18" t="n">
        <v>37500000</v>
      </c>
      <c r="E22" s="19" t="n">
        <v>1</v>
      </c>
      <c r="F22" s="20" t="n">
        <f aca="false">C22*12+D22</f>
        <v>335100000</v>
      </c>
      <c r="G22" s="20" t="n">
        <f aca="false">MIN(F22*$R$2,$R$3)</f>
        <v>6000000</v>
      </c>
      <c r="H22" s="20" t="n">
        <f aca="false">$R$4+E22*$R$5</f>
        <v>58500000</v>
      </c>
      <c r="I22" s="20" t="n">
        <f aca="false">MAX(0,F22-G22-H22)</f>
        <v>270600000</v>
      </c>
      <c r="J22" s="20" t="n">
        <f aca="false">MAX(0,MIN(I22,Acuan!$B$3)-Acuan!$B$2)*Acuan!$C$2</f>
        <v>2500000</v>
      </c>
      <c r="K22" s="20" t="n">
        <f aca="false">MAX(0,MIN(I22,Acuan!$B$4)-Acuan!$B$3)*Acuan!$C$3</f>
        <v>22500000</v>
      </c>
      <c r="L22" s="20" t="n">
        <f aca="false">MAX(0,MIN(I22,Acuan!$B$5)-Acuan!$B$4)*Acuan!$C$4</f>
        <v>17650000</v>
      </c>
      <c r="M22" s="20" t="n">
        <f aca="false">MAX(0,I22-Acuan!$B$5)*Acuan!$C$5</f>
        <v>0</v>
      </c>
      <c r="N22" s="20" t="n">
        <f aca="false">J22+K22+L22+M22</f>
        <v>42650000</v>
      </c>
      <c r="O22" s="21" t="n">
        <f aca="false">IF(I22=0,0,N22/I22)</f>
        <v>0.157612712490761</v>
      </c>
    </row>
    <row r="23" customFormat="false" ht="15" hidden="false" customHeight="false" outlineLevel="0" collapsed="false">
      <c r="A23" s="17" t="s">
        <v>130</v>
      </c>
      <c r="B23" s="17" t="s">
        <v>116</v>
      </c>
      <c r="C23" s="18" t="n">
        <v>13100000</v>
      </c>
      <c r="D23" s="18" t="n">
        <v>12500000</v>
      </c>
      <c r="E23" s="19" t="n">
        <v>1</v>
      </c>
      <c r="F23" s="20" t="n">
        <f aca="false">C23*12+D23</f>
        <v>169700000</v>
      </c>
      <c r="G23" s="20" t="n">
        <f aca="false">MIN(F23*$R$2,$R$3)</f>
        <v>6000000</v>
      </c>
      <c r="H23" s="20" t="n">
        <f aca="false">$R$4+E23*$R$5</f>
        <v>58500000</v>
      </c>
      <c r="I23" s="20" t="n">
        <f aca="false">MAX(0,F23-G23-H23)</f>
        <v>105200000</v>
      </c>
      <c r="J23" s="20" t="n">
        <f aca="false">MAX(0,MIN(I23,Acuan!$B$3)-Acuan!$B$2)*Acuan!$C$2</f>
        <v>2500000</v>
      </c>
      <c r="K23" s="20" t="n">
        <f aca="false">MAX(0,MIN(I23,Acuan!$B$4)-Acuan!$B$3)*Acuan!$C$3</f>
        <v>8280000</v>
      </c>
      <c r="L23" s="20" t="n">
        <f aca="false">MAX(0,MIN(I23,Acuan!$B$5)-Acuan!$B$4)*Acuan!$C$4</f>
        <v>0</v>
      </c>
      <c r="M23" s="20" t="n">
        <f aca="false">MAX(0,I23-Acuan!$B$5)*Acuan!$C$5</f>
        <v>0</v>
      </c>
      <c r="N23" s="20" t="n">
        <f aca="false">J23+K23+L23+M23</f>
        <v>10780000</v>
      </c>
      <c r="O23" s="21" t="n">
        <f aca="false">IF(I23=0,0,N23/I23)</f>
        <v>0.102471482889734</v>
      </c>
    </row>
    <row r="24" customFormat="false" ht="15" hidden="false" customHeight="false" outlineLevel="0" collapsed="false">
      <c r="A24" s="17" t="s">
        <v>131</v>
      </c>
      <c r="B24" s="17" t="s">
        <v>112</v>
      </c>
      <c r="C24" s="18" t="n">
        <v>48300000</v>
      </c>
      <c r="D24" s="18" t="n">
        <v>27500000</v>
      </c>
      <c r="E24" s="19" t="n">
        <v>3</v>
      </c>
      <c r="F24" s="20" t="n">
        <f aca="false">C24*12+D24</f>
        <v>607100000</v>
      </c>
      <c r="G24" s="20" t="n">
        <f aca="false">MIN(F24*$R$2,$R$3)</f>
        <v>6000000</v>
      </c>
      <c r="H24" s="20" t="n">
        <f aca="false">$R$4+E24*$R$5</f>
        <v>67500000</v>
      </c>
      <c r="I24" s="20" t="n">
        <f aca="false">MAX(0,F24-G24-H24)</f>
        <v>533600000</v>
      </c>
      <c r="J24" s="20" t="n">
        <f aca="false">MAX(0,MIN(I24,Acuan!$B$3)-Acuan!$B$2)*Acuan!$C$2</f>
        <v>2500000</v>
      </c>
      <c r="K24" s="20" t="n">
        <f aca="false">MAX(0,MIN(I24,Acuan!$B$4)-Acuan!$B$3)*Acuan!$C$3</f>
        <v>22500000</v>
      </c>
      <c r="L24" s="20" t="n">
        <f aca="false">MAX(0,MIN(I24,Acuan!$B$5)-Acuan!$B$4)*Acuan!$C$4</f>
        <v>50000000</v>
      </c>
      <c r="M24" s="20" t="n">
        <f aca="false">MAX(0,I24-Acuan!$B$5)*Acuan!$C$5</f>
        <v>40080000</v>
      </c>
      <c r="N24" s="20" t="n">
        <f aca="false">J24+K24+L24+M24</f>
        <v>115080000</v>
      </c>
      <c r="O24" s="21" t="n">
        <f aca="false">IF(I24=0,0,N24/I24)</f>
        <v>0.215667166416792</v>
      </c>
    </row>
    <row r="25" customFormat="false" ht="15" hidden="false" customHeight="false" outlineLevel="0" collapsed="false">
      <c r="A25" s="17" t="s">
        <v>132</v>
      </c>
      <c r="B25" s="17" t="s">
        <v>116</v>
      </c>
      <c r="C25" s="18" t="n">
        <v>13300000</v>
      </c>
      <c r="D25" s="18" t="n">
        <v>11500000</v>
      </c>
      <c r="E25" s="19" t="n">
        <v>1</v>
      </c>
      <c r="F25" s="20" t="n">
        <f aca="false">C25*12+D25</f>
        <v>171100000</v>
      </c>
      <c r="G25" s="20" t="n">
        <f aca="false">MIN(F25*$R$2,$R$3)</f>
        <v>6000000</v>
      </c>
      <c r="H25" s="20" t="n">
        <f aca="false">$R$4+E25*$R$5</f>
        <v>58500000</v>
      </c>
      <c r="I25" s="20" t="n">
        <f aca="false">MAX(0,F25-G25-H25)</f>
        <v>106600000</v>
      </c>
      <c r="J25" s="20" t="n">
        <f aca="false">MAX(0,MIN(I25,Acuan!$B$3)-Acuan!$B$2)*Acuan!$C$2</f>
        <v>2500000</v>
      </c>
      <c r="K25" s="20" t="n">
        <f aca="false">MAX(0,MIN(I25,Acuan!$B$4)-Acuan!$B$3)*Acuan!$C$3</f>
        <v>8490000</v>
      </c>
      <c r="L25" s="20" t="n">
        <f aca="false">MAX(0,MIN(I25,Acuan!$B$5)-Acuan!$B$4)*Acuan!$C$4</f>
        <v>0</v>
      </c>
      <c r="M25" s="20" t="n">
        <f aca="false">MAX(0,I25-Acuan!$B$5)*Acuan!$C$5</f>
        <v>0</v>
      </c>
      <c r="N25" s="20" t="n">
        <f aca="false">J25+K25+L25+M25</f>
        <v>10990000</v>
      </c>
      <c r="O25" s="21" t="n">
        <f aca="false">IF(I25=0,0,N25/I25)</f>
        <v>0.103095684803002</v>
      </c>
    </row>
    <row r="26" customFormat="false" ht="15" hidden="false" customHeight="false" outlineLevel="0" collapsed="false">
      <c r="A26" s="17" t="s">
        <v>133</v>
      </c>
      <c r="B26" s="17" t="s">
        <v>109</v>
      </c>
      <c r="C26" s="18" t="n">
        <v>5800000</v>
      </c>
      <c r="D26" s="18" t="n">
        <v>4500000</v>
      </c>
      <c r="E26" s="19" t="n">
        <v>3</v>
      </c>
      <c r="F26" s="20" t="n">
        <f aca="false">C26*12+D26</f>
        <v>74100000</v>
      </c>
      <c r="G26" s="20" t="n">
        <f aca="false">MIN(F26*$R$2,$R$3)</f>
        <v>3705000</v>
      </c>
      <c r="H26" s="20" t="n">
        <f aca="false">$R$4+E26*$R$5</f>
        <v>67500000</v>
      </c>
      <c r="I26" s="20" t="n">
        <f aca="false">MAX(0,F26-G26-H26)</f>
        <v>2895000</v>
      </c>
      <c r="J26" s="20" t="n">
        <f aca="false">MAX(0,MIN(I26,Acuan!$B$3)-Acuan!$B$2)*Acuan!$C$2</f>
        <v>144750</v>
      </c>
      <c r="K26" s="20" t="n">
        <f aca="false">MAX(0,MIN(I26,Acuan!$B$4)-Acuan!$B$3)*Acuan!$C$3</f>
        <v>0</v>
      </c>
      <c r="L26" s="20" t="n">
        <f aca="false">MAX(0,MIN(I26,Acuan!$B$5)-Acuan!$B$4)*Acuan!$C$4</f>
        <v>0</v>
      </c>
      <c r="M26" s="20" t="n">
        <f aca="false">MAX(0,I26-Acuan!$B$5)*Acuan!$C$5</f>
        <v>0</v>
      </c>
      <c r="N26" s="20" t="n">
        <f aca="false">J26+K26+L26+M26</f>
        <v>144750</v>
      </c>
      <c r="O26" s="21" t="n">
        <f aca="false">IF(I26=0,0,N26/I26)</f>
        <v>0.05</v>
      </c>
    </row>
    <row r="27" customFormat="false" ht="15" hidden="false" customHeight="false" outlineLevel="0" collapsed="false">
      <c r="A27" s="17" t="s">
        <v>134</v>
      </c>
      <c r="B27" s="17" t="s">
        <v>116</v>
      </c>
      <c r="C27" s="18" t="n">
        <v>9100000</v>
      </c>
      <c r="D27" s="18" t="n">
        <v>2500000</v>
      </c>
      <c r="E27" s="19" t="n">
        <v>0</v>
      </c>
      <c r="F27" s="20" t="n">
        <f aca="false">C27*12+D27</f>
        <v>111700000</v>
      </c>
      <c r="G27" s="20" t="n">
        <f aca="false">MIN(F27*$R$2,$R$3)</f>
        <v>5585000</v>
      </c>
      <c r="H27" s="20" t="n">
        <f aca="false">$R$4+E27*$R$5</f>
        <v>54000000</v>
      </c>
      <c r="I27" s="20" t="n">
        <f aca="false">MAX(0,F27-G27-H27)</f>
        <v>52115000</v>
      </c>
      <c r="J27" s="20" t="n">
        <f aca="false">MAX(0,MIN(I27,Acuan!$B$3)-Acuan!$B$2)*Acuan!$C$2</f>
        <v>2500000</v>
      </c>
      <c r="K27" s="20" t="n">
        <f aca="false">MAX(0,MIN(I27,Acuan!$B$4)-Acuan!$B$3)*Acuan!$C$3</f>
        <v>317250</v>
      </c>
      <c r="L27" s="20" t="n">
        <f aca="false">MAX(0,MIN(I27,Acuan!$B$5)-Acuan!$B$4)*Acuan!$C$4</f>
        <v>0</v>
      </c>
      <c r="M27" s="20" t="n">
        <f aca="false">MAX(0,I27-Acuan!$B$5)*Acuan!$C$5</f>
        <v>0</v>
      </c>
      <c r="N27" s="20" t="n">
        <f aca="false">J27+K27+L27+M27</f>
        <v>2817250</v>
      </c>
      <c r="O27" s="21" t="n">
        <f aca="false">IF(I27=0,0,N27/I27)</f>
        <v>0.0540583325338194</v>
      </c>
    </row>
    <row r="28" customFormat="false" ht="15" hidden="false" customHeight="false" outlineLevel="0" collapsed="false">
      <c r="A28" s="17" t="s">
        <v>135</v>
      </c>
      <c r="B28" s="17" t="s">
        <v>109</v>
      </c>
      <c r="C28" s="18" t="n">
        <v>4800000</v>
      </c>
      <c r="D28" s="18" t="n">
        <v>4000000</v>
      </c>
      <c r="E28" s="19" t="n">
        <v>2</v>
      </c>
      <c r="F28" s="20" t="n">
        <f aca="false">C28*12+D28</f>
        <v>61600000</v>
      </c>
      <c r="G28" s="20" t="n">
        <f aca="false">MIN(F28*$R$2,$R$3)</f>
        <v>3080000</v>
      </c>
      <c r="H28" s="20" t="n">
        <f aca="false">$R$4+E28*$R$5</f>
        <v>63000000</v>
      </c>
      <c r="I28" s="20" t="n">
        <f aca="false">MAX(0,F28-G28-H28)</f>
        <v>0</v>
      </c>
      <c r="J28" s="20" t="n">
        <f aca="false">MAX(0,MIN(I28,Acuan!$B$3)-Acuan!$B$2)*Acuan!$C$2</f>
        <v>0</v>
      </c>
      <c r="K28" s="20" t="n">
        <f aca="false">MAX(0,MIN(I28,Acuan!$B$4)-Acuan!$B$3)*Acuan!$C$3</f>
        <v>0</v>
      </c>
      <c r="L28" s="20" t="n">
        <f aca="false">MAX(0,MIN(I28,Acuan!$B$5)-Acuan!$B$4)*Acuan!$C$4</f>
        <v>0</v>
      </c>
      <c r="M28" s="20" t="n">
        <f aca="false">MAX(0,I28-Acuan!$B$5)*Acuan!$C$5</f>
        <v>0</v>
      </c>
      <c r="N28" s="20" t="n">
        <f aca="false">J28+K28+L28+M28</f>
        <v>0</v>
      </c>
      <c r="O28" s="21" t="n">
        <f aca="false">IF(I28=0,0,N28/I28)</f>
        <v>0</v>
      </c>
    </row>
    <row r="29" customFormat="false" ht="15" hidden="false" customHeight="false" outlineLevel="0" collapsed="false">
      <c r="A29" s="17" t="s">
        <v>136</v>
      </c>
      <c r="B29" s="17" t="s">
        <v>102</v>
      </c>
      <c r="C29" s="18" t="n">
        <v>24700000</v>
      </c>
      <c r="D29" s="18" t="n">
        <v>20000000</v>
      </c>
      <c r="E29" s="19" t="n">
        <v>2</v>
      </c>
      <c r="F29" s="20" t="n">
        <f aca="false">C29*12+D29</f>
        <v>316400000</v>
      </c>
      <c r="G29" s="20" t="n">
        <f aca="false">MIN(F29*$R$2,$R$3)</f>
        <v>6000000</v>
      </c>
      <c r="H29" s="20" t="n">
        <f aca="false">$R$4+E29*$R$5</f>
        <v>63000000</v>
      </c>
      <c r="I29" s="20" t="n">
        <f aca="false">MAX(0,F29-G29-H29)</f>
        <v>247400000</v>
      </c>
      <c r="J29" s="20" t="n">
        <f aca="false">MAX(0,MIN(I29,Acuan!$B$3)-Acuan!$B$2)*Acuan!$C$2</f>
        <v>2500000</v>
      </c>
      <c r="K29" s="20" t="n">
        <f aca="false">MAX(0,MIN(I29,Acuan!$B$4)-Acuan!$B$3)*Acuan!$C$3</f>
        <v>22500000</v>
      </c>
      <c r="L29" s="20" t="n">
        <f aca="false">MAX(0,MIN(I29,Acuan!$B$5)-Acuan!$B$4)*Acuan!$C$4</f>
        <v>11850000</v>
      </c>
      <c r="M29" s="20" t="n">
        <f aca="false">MAX(0,I29-Acuan!$B$5)*Acuan!$C$5</f>
        <v>0</v>
      </c>
      <c r="N29" s="20" t="n">
        <f aca="false">J29+K29+L29+M29</f>
        <v>36850000</v>
      </c>
      <c r="O29" s="21" t="n">
        <f aca="false">IF(I29=0,0,N29/I29)</f>
        <v>0.148949070331447</v>
      </c>
    </row>
    <row r="30" customFormat="false" ht="15" hidden="false" customHeight="false" outlineLevel="0" collapsed="false">
      <c r="A30" s="17" t="s">
        <v>137</v>
      </c>
      <c r="B30" s="17" t="s">
        <v>116</v>
      </c>
      <c r="C30" s="18" t="n">
        <v>13800000</v>
      </c>
      <c r="D30" s="18" t="n">
        <v>5000000</v>
      </c>
      <c r="E30" s="19" t="n">
        <v>2</v>
      </c>
      <c r="F30" s="20" t="n">
        <f aca="false">C30*12+D30</f>
        <v>170600000</v>
      </c>
      <c r="G30" s="20" t="n">
        <f aca="false">MIN(F30*$R$2,$R$3)</f>
        <v>6000000</v>
      </c>
      <c r="H30" s="20" t="n">
        <f aca="false">$R$4+E30*$R$5</f>
        <v>63000000</v>
      </c>
      <c r="I30" s="20" t="n">
        <f aca="false">MAX(0,F30-G30-H30)</f>
        <v>101600000</v>
      </c>
      <c r="J30" s="20" t="n">
        <f aca="false">MAX(0,MIN(I30,Acuan!$B$3)-Acuan!$B$2)*Acuan!$C$2</f>
        <v>2500000</v>
      </c>
      <c r="K30" s="20" t="n">
        <f aca="false">MAX(0,MIN(I30,Acuan!$B$4)-Acuan!$B$3)*Acuan!$C$3</f>
        <v>7740000</v>
      </c>
      <c r="L30" s="20" t="n">
        <f aca="false">MAX(0,MIN(I30,Acuan!$B$5)-Acuan!$B$4)*Acuan!$C$4</f>
        <v>0</v>
      </c>
      <c r="M30" s="20" t="n">
        <f aca="false">MAX(0,I30-Acuan!$B$5)*Acuan!$C$5</f>
        <v>0</v>
      </c>
      <c r="N30" s="20" t="n">
        <f aca="false">J30+K30+L30+M30</f>
        <v>10240000</v>
      </c>
      <c r="O30" s="21" t="n">
        <f aca="false">IF(I30=0,0,N30/I30)</f>
        <v>0.100787401574803</v>
      </c>
    </row>
    <row r="31" customFormat="false" ht="15" hidden="false" customHeight="false" outlineLevel="0" collapsed="false">
      <c r="A31" s="17" t="s">
        <v>138</v>
      </c>
      <c r="B31" s="17" t="s">
        <v>102</v>
      </c>
      <c r="C31" s="18" t="n">
        <v>31400000</v>
      </c>
      <c r="D31" s="18" t="n">
        <v>32000000</v>
      </c>
      <c r="E31" s="19" t="n">
        <v>1</v>
      </c>
      <c r="F31" s="20" t="n">
        <f aca="false">C31*12+D31</f>
        <v>408800000</v>
      </c>
      <c r="G31" s="20" t="n">
        <f aca="false">MIN(F31*$R$2,$R$3)</f>
        <v>6000000</v>
      </c>
      <c r="H31" s="20" t="n">
        <f aca="false">$R$4+E31*$R$5</f>
        <v>58500000</v>
      </c>
      <c r="I31" s="20" t="n">
        <f aca="false">MAX(0,F31-G31-H31)</f>
        <v>344300000</v>
      </c>
      <c r="J31" s="20" t="n">
        <f aca="false">MAX(0,MIN(I31,Acuan!$B$3)-Acuan!$B$2)*Acuan!$C$2</f>
        <v>2500000</v>
      </c>
      <c r="K31" s="20" t="n">
        <f aca="false">MAX(0,MIN(I31,Acuan!$B$4)-Acuan!$B$3)*Acuan!$C$3</f>
        <v>22500000</v>
      </c>
      <c r="L31" s="20" t="n">
        <f aca="false">MAX(0,MIN(I31,Acuan!$B$5)-Acuan!$B$4)*Acuan!$C$4</f>
        <v>36075000</v>
      </c>
      <c r="M31" s="20" t="n">
        <f aca="false">MAX(0,I31-Acuan!$B$5)*Acuan!$C$5</f>
        <v>0</v>
      </c>
      <c r="N31" s="20" t="n">
        <f aca="false">J31+K31+L31+M31</f>
        <v>61075000</v>
      </c>
      <c r="O31" s="21" t="n">
        <f aca="false">IF(I31=0,0,N31/I31)</f>
        <v>0.177388905024688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9"/>
    <col collapsed="false" customWidth="true" hidden="false" outlineLevel="0" max="4" min="4" style="0" width="16"/>
  </cols>
  <sheetData>
    <row r="1" customFormat="false" ht="33.75" hidden="false" customHeight="true" outlineLevel="0" collapsed="false">
      <c r="A1" s="11" t="s">
        <v>139</v>
      </c>
      <c r="B1" s="11" t="s">
        <v>140</v>
      </c>
      <c r="C1" s="11" t="s">
        <v>141</v>
      </c>
      <c r="D1" s="15" t="s">
        <v>142</v>
      </c>
    </row>
    <row r="2" customFormat="false" ht="15" hidden="false" customHeight="false" outlineLevel="0" collapsed="false">
      <c r="A2" s="19" t="n">
        <v>1</v>
      </c>
      <c r="B2" s="18" t="n">
        <v>0</v>
      </c>
      <c r="C2" s="25" t="n">
        <v>0.05</v>
      </c>
      <c r="D2" s="26" t="n">
        <f aca="false">COUNTIF(Data!$I$2:$I$31,"&gt;"&amp;B2)</f>
        <v>27</v>
      </c>
    </row>
    <row r="3" customFormat="false" ht="15" hidden="false" customHeight="false" outlineLevel="0" collapsed="false">
      <c r="A3" s="19" t="n">
        <v>2</v>
      </c>
      <c r="B3" s="18" t="n">
        <v>50000000</v>
      </c>
      <c r="C3" s="25" t="n">
        <v>0.15</v>
      </c>
      <c r="D3" s="26" t="n">
        <f aca="false">COUNTIF(Data!$I$2:$I$31,"&gt;"&amp;B3)</f>
        <v>18</v>
      </c>
    </row>
    <row r="4" customFormat="false" ht="15" hidden="false" customHeight="false" outlineLevel="0" collapsed="false">
      <c r="A4" s="19" t="n">
        <v>3</v>
      </c>
      <c r="B4" s="18" t="n">
        <v>200000000</v>
      </c>
      <c r="C4" s="25" t="n">
        <v>0.25</v>
      </c>
      <c r="D4" s="26" t="n">
        <f aca="false">COUNTIF(Data!$I$2:$I$31,"&gt;"&amp;B4)</f>
        <v>9</v>
      </c>
    </row>
    <row r="5" customFormat="false" ht="15" hidden="false" customHeight="false" outlineLevel="0" collapsed="false">
      <c r="A5" s="19" t="n">
        <v>4</v>
      </c>
      <c r="B5" s="18" t="n">
        <v>400000000</v>
      </c>
      <c r="C5" s="25" t="n">
        <v>0.3</v>
      </c>
      <c r="D5" s="26" t="n">
        <f aca="false">COUNTIF(Data!$I$2:$I$31,"&gt;"&amp;B5)</f>
        <v>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143</v>
      </c>
      <c r="B1" s="27"/>
      <c r="C1" s="27"/>
      <c r="D1" s="27"/>
    </row>
    <row r="2" customFormat="false" ht="15" hidden="false" customHeight="false" outlineLevel="0" collapsed="false">
      <c r="A2" s="28" t="s">
        <v>144</v>
      </c>
      <c r="B2" s="28"/>
      <c r="C2" s="28"/>
      <c r="D2" s="28"/>
    </row>
    <row r="3" customFormat="false" ht="15" hidden="false" customHeight="false" outlineLevel="0" collapsed="false">
      <c r="A3" s="11" t="s">
        <v>19</v>
      </c>
      <c r="B3" s="11" t="s">
        <v>145</v>
      </c>
      <c r="C3" s="11" t="s">
        <v>146</v>
      </c>
      <c r="D3" s="11" t="s">
        <v>147</v>
      </c>
    </row>
    <row r="4" customFormat="false" ht="15" hidden="false" customHeight="false" outlineLevel="0" collapsed="false">
      <c r="A4" s="29" t="s">
        <v>148</v>
      </c>
      <c r="B4" s="30" t="s">
        <v>149</v>
      </c>
      <c r="C4" s="20" t="n">
        <f aca="false">SUM(Data!$F$2:$F$31)</f>
        <v>6472600000</v>
      </c>
      <c r="D4" s="31" t="s">
        <v>150</v>
      </c>
    </row>
    <row r="5" customFormat="false" ht="15" hidden="false" customHeight="false" outlineLevel="0" collapsed="false">
      <c r="A5" s="29" t="s">
        <v>151</v>
      </c>
      <c r="B5" s="30" t="s">
        <v>152</v>
      </c>
      <c r="C5" s="20" t="n">
        <f aca="false">SUM(Data!$N$2:$N$31)</f>
        <v>768881250</v>
      </c>
      <c r="D5" s="31" t="s">
        <v>153</v>
      </c>
    </row>
    <row r="6" customFormat="false" ht="15" hidden="false" customHeight="false" outlineLevel="0" collapsed="false">
      <c r="A6" s="29" t="s">
        <v>154</v>
      </c>
      <c r="B6" s="30" t="s">
        <v>155</v>
      </c>
      <c r="C6" s="21" t="n">
        <f aca="false">C5/C4</f>
        <v>0.118790169329172</v>
      </c>
      <c r="D6" s="31" t="s">
        <v>156</v>
      </c>
    </row>
    <row r="7" customFormat="false" ht="15" hidden="false" customHeight="false" outlineLevel="0" collapsed="false">
      <c r="A7" s="29" t="s">
        <v>157</v>
      </c>
      <c r="B7" s="30" t="s">
        <v>158</v>
      </c>
      <c r="C7" s="32" t="str">
        <f aca="false">INDEX(Data!$A$2:$A$31,MATCH(MAX(Data!$N$2:$N$31),Data!$N$2:$N$31,0))</f>
        <v>Joko Syahputra</v>
      </c>
      <c r="D7" s="31" t="s">
        <v>159</v>
      </c>
    </row>
    <row r="8" customFormat="false" ht="15" hidden="false" customHeight="false" outlineLevel="0" collapsed="false">
      <c r="A8" s="29" t="s">
        <v>160</v>
      </c>
      <c r="B8" s="30" t="s">
        <v>161</v>
      </c>
      <c r="C8" s="20" t="n">
        <f aca="false">AVERAGE(Data!$N$2:$N$31)</f>
        <v>25629375</v>
      </c>
      <c r="D8" s="31" t="s">
        <v>162</v>
      </c>
    </row>
    <row r="9" customFormat="false" ht="15" hidden="false" customHeight="false" outlineLevel="0" collapsed="false">
      <c r="A9" s="29" t="s">
        <v>163</v>
      </c>
      <c r="B9" s="30" t="s">
        <v>164</v>
      </c>
      <c r="C9" s="26" t="n">
        <f aca="false">COUNTIF(Data!$N$2:$N$31,0)</f>
        <v>3</v>
      </c>
      <c r="D9" s="31" t="s">
        <v>165</v>
      </c>
    </row>
    <row r="10" customFormat="false" ht="15" hidden="false" customHeight="false" outlineLevel="0" collapsed="false">
      <c r="A10" s="29" t="s">
        <v>166</v>
      </c>
      <c r="B10" s="30" t="s">
        <v>167</v>
      </c>
      <c r="C10" s="26" t="n">
        <f aca="false">INDEX(Acuan!$D$2:$D$5,MATCH(4,Acuan!$A$2:$A$5,0))</f>
        <v>3</v>
      </c>
      <c r="D10" s="31" t="s">
        <v>168</v>
      </c>
    </row>
    <row r="11" customFormat="false" ht="15" hidden="false" customHeight="false" outlineLevel="0" collapsed="false">
      <c r="A11" s="29" t="s">
        <v>169</v>
      </c>
      <c r="B11" s="30" t="s">
        <v>170</v>
      </c>
      <c r="C11" s="20" t="n">
        <f aca="false">SUMIF(Data!$B$2:$B$31,"Manajer",Data!$N$2:$N$31)</f>
        <v>304415000</v>
      </c>
      <c r="D11" s="31" t="s">
        <v>171</v>
      </c>
    </row>
    <row r="12" customFormat="false" ht="15" hidden="false" customHeight="false" outlineLevel="0" collapsed="false">
      <c r="A12" s="29" t="s">
        <v>172</v>
      </c>
      <c r="B12" s="30" t="s">
        <v>173</v>
      </c>
      <c r="C12" s="21" t="n">
        <f aca="false">AVERAGEIF(Data!$B$2:$B$31,"Direktur",Data!$O$2:$O$31)</f>
        <v>0.222240437510355</v>
      </c>
      <c r="D12" s="31" t="s">
        <v>174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2026-10-17T07:49:38Z</dcterms:created>
  <dc:creator>PushExcel</dc:creator>
  <dc:description/>
  <dc:language>en-US</dc:language>
  <cp:lastModifiedBy/>
  <dcterms:modified xsi:type="dcterms:W3CDTF">2026-10-17T07:49:38Z</dcterms:modified>
  <cp:revision>0</cp:revision>
  <dc:subject/>
  <dc:title>Pajak Penghasilan Berlapis (Tarif Fiktif) - Kunci</dc:title>
</cp:coreProperties>
</file>

<file path=docProps/custom.xml><?xml version="1.0" encoding="utf-8"?>
<Properties xmlns="http://schemas.openxmlformats.org/officeDocument/2006/custom-properties" xmlns:vt="http://schemas.openxmlformats.org/officeDocument/2006/docPropsVTypes"/>
</file>