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<sst xmlns="http://schemas.openxmlformats.org/spreadsheetml/2006/main" count="207" uniqueCount="180">
  <si>
    <t xml:space="preserve">Kunci Jawaban: THR dan Bonus Tahunan Karyawan</t>
  </si>
  <si>
    <t xml:space="preserve">Latihan 38 dari 56  |  Tingkat: Lanjutan  |  Perkiraan waktu: 65 menit  |  pushexcel.github.io/Pushexcel</t>
  </si>
  <si>
    <t xml:space="preserve">Skenario</t>
  </si>
  <si>
    <t xml:space="preserve">Kamu staf HRD PT Sinar Bahari yang menyiapkan pembayaran THR dan bonus akhir tahun untuk 28 karyawan. Masa kerja dihitung dalam bulan penuh sampai tanggal acuan 30 November 2026. Karyawan dengan masa kerja 12 bulan atau lebih menerima THR sebesar satu kali gaji pokok, yang kurang dari itu menerima THR proporsional: gaji pokok x masa kerja / 12, dibulatkan ke rupiah. Persen bonus ditentukan dari nilai kinerja memakai tabel di sheet Acuan. Pajak pada latihan ini disederhanakan dan bersifat fiktif: bagian THR + bonus di atas Rp 10.000.000 sampai Rp 25.000.000 dikenai 5 persen, bagian di atas Rp 25.000.000 dikenai 10 persen.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</si>
  <si>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</si>
  <si>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</si>
  <si>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</si>
  <si>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</si>
  <si>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</si>
  <si>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</si>
  <si>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</si>
  <si>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</si>
  <si>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</si>
  <si>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</si>
  <si>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</si>
  <si>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</si>
  <si>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</si>
  <si>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</si>
  <si>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</si>
  <si>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</si>
  <si>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</si>
  <si>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</si>
  <si>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</si>
  <si>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</si>
  <si>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masa kerja dalam bulan penuh dari tanggal masuk sampai tanggal acuan.</t>
  </si>
  <si>
    <t xml:space="preserve">Sheet Data, kolom G (Masa Kerja (bulan)), baris 2 sampai 29</t>
  </si>
  <si>
    <t xml:space="preserve">=DATEDIF(D2;$P$2;"m")</t>
  </si>
  <si>
    <t xml:space="preserve">2</t>
  </si>
  <si>
    <t xml:space="preserve">Hitung THR: masa kerja 12 bulan atau lebih menerima satu kali gaji pokok, selain itu gaji pokok x masa kerja / 12 dibulatkan ke rupiah.</t>
  </si>
  <si>
    <t xml:space="preserve">Sheet Data, kolom H (THR), baris 2 sampai 29</t>
  </si>
  <si>
    <t xml:space="preserve">=IF(G2&gt;=12;E2;ROUND(E2*G2/12;0))</t>
  </si>
  <si>
    <t xml:space="preserve">3</t>
  </si>
  <si>
    <t xml:space="preserve">Cari persen bonus dari tabel di sheet Acuan berdasarkan nilai kinerja. Pakai pencocokan perkiraan (nilai minimal terdekat di bawahnya).</t>
  </si>
  <si>
    <t xml:space="preserve">Sheet Data, kolom I (Persen Bonus), baris 2 sampai 29</t>
  </si>
  <si>
    <t xml:space="preserve">=VLOOKUP(F2;Acuan!$A$2:$D$6;4;TRUE)</t>
  </si>
  <si>
    <t xml:space="preserve">4</t>
  </si>
  <si>
    <t xml:space="preserve">Hitung bonus: gaji pokok dikali persen bonus, dibulatkan ke rupiah.</t>
  </si>
  <si>
    <t xml:space="preserve">Sheet Data, kolom J (Bonus), baris 2 sampai 29</t>
  </si>
  <si>
    <t xml:space="preserve">=ROUND(E2*I2;0)</t>
  </si>
  <si>
    <t xml:space="preserve">5</t>
  </si>
  <si>
    <t xml:space="preserve">Hitung pajak (sederhana) atas THR + bonus: 0 bila tidak melebihi batas tarif 1, tarif 1 untuk bagian di atas batas 1 sampai batas 2, dan tarif 2 untuk bagian di atas batas 2 (ditambah pajak penuh bagian tarif 1). Bulatkan ke rupiah.</t>
  </si>
  <si>
    <t xml:space="preserve">Sheet Data, kolom K (Pajak), baris 2 sampai 29</t>
  </si>
  <si>
    <t xml:space="preserve">=IF(H2+J2&gt;$P$5;ROUND((H2+J2-$P$5)*$P$6+($P$5-$P$3)*$P$4;0);IF(H2+J2&gt;$P$3;ROUND((H2+J2-$P$3)*$P$4;0);0))</t>
  </si>
  <si>
    <t xml:space="preserve">6</t>
  </si>
  <si>
    <t xml:space="preserve">Hitung total diterima: THR ditambah bonus dikurangi pajak.</t>
  </si>
  <si>
    <t xml:space="preserve">Sheet Data, kolom L (Total Diterima), baris 2 sampai 29</t>
  </si>
  <si>
    <t xml:space="preserve">=H2+J2-K2</t>
  </si>
  <si>
    <t xml:space="preserve">7</t>
  </si>
  <si>
    <t xml:space="preserve">Beri peringkat total diterima, peringkat 1 untuk yang terbesar.</t>
  </si>
  <si>
    <t xml:space="preserve">Sheet Data, kolom M (Peringkat), baris 2 sampai 29</t>
  </si>
  <si>
    <t xml:space="preserve">=RANK(L2;$L$2:$L$29;0)</t>
  </si>
  <si>
    <t xml:space="preserve">8</t>
  </si>
  <si>
    <t xml:space="preserve">Pada sheet Acuan, hitung jumlah karyawan pada tiap rentang nilai kinerja (nilai minimal sampai nilai maksimal).</t>
  </si>
  <si>
    <t xml:space="preserve">Sheet Acuan, kolom E (Jumlah Karyawan), baris 2 sampai 6</t>
  </si>
  <si>
    <t xml:space="preserve">=COUNTIFS(Data!$F$2:$F$29;"&gt;="&amp;A2;Data!$F$2:$F$29;"&lt;="&amp;B2)</t>
  </si>
  <si>
    <t xml:space="preserve">9</t>
  </si>
  <si>
    <t xml:space="preserve">Berapa total THR, total bonus, total pajak, dan total yang diterima seluruh karyawan?</t>
  </si>
  <si>
    <t xml:space="preserve">Sheet Ringkasan, sel C4 sampai C7</t>
  </si>
  <si>
    <t xml:space="preserve">=SUM(Data!$H$2:$H$29)
=SUM(Data!$J$2:$J$29)
=SUM(Data!$K$2:$K$29)
=SUM(Data!$L$2:$L$29)</t>
  </si>
  <si>
    <t xml:space="preserve">10</t>
  </si>
  <si>
    <t xml:space="preserve">Berapa karyawan yang masa kerjanya kurang dari 12 bulan, dan berapa karyawan yang tidak dikenai pajak sama sekali?</t>
  </si>
  <si>
    <t xml:space="preserve">Sheet Ringkasan, sel C8 sampai C9</t>
  </si>
  <si>
    <t xml:space="preserve">=COUNTIF(Data!$G$2:$G$29;"&lt;12")
=COUNTIF(Data!$K$2:$K$29;0)</t>
  </si>
  <si>
    <t xml:space="preserve">11</t>
  </si>
  <si>
    <t xml:space="preserve">Berapa total diterima karyawan departemen Produksi, dan berapa rata-rata bonus karyawan departemen Pemasaran?</t>
  </si>
  <si>
    <t xml:space="preserve">Sheet Ringkasan, sel C10 sampai C11</t>
  </si>
  <si>
    <t xml:space="preserve">=SUMIF(Data!$C$2:$C$29;"Produksi";Data!$L$2:$L$29)
=AVERAGEIF(Data!$C$2:$C$29;"Pemasaran";Data!$J$2:$J$29)</t>
  </si>
  <si>
    <t xml:space="preserve">12</t>
  </si>
  <si>
    <t xml:space="preserve">Siapa karyawan yang menerima total terbesar, dan predikat apa yang paling banyak karyawannya?</t>
  </si>
  <si>
    <t xml:space="preserve">Sheet Ringkasan, sel C12 sampai C13</t>
  </si>
  <si>
    <t xml:space="preserve">=INDEX(Data!$B$2:$B$29;MATCH(MAX(Data!$L$2:$L$29);Data!$L$2:$L$29;0))
=INDEX(Acuan!$C$2:$C$6;MATCH(MAX(Acuan!$E$2:$E$6);Acuan!$E$2:$E$6;0))</t>
  </si>
  <si>
    <t xml:space="preserve">13</t>
  </si>
  <si>
    <t xml:space="preserve">Berapa karyawan Produksi yang bernilai kinerja 80 ke atas, dan berapa persen total bonus terhadap total THR?</t>
  </si>
  <si>
    <t xml:space="preserve">Sheet Ringkasan, sel C14 sampai C15</t>
  </si>
  <si>
    <t xml:space="preserve">=COUNTIFS(Data!$C$2:$C$29;"Produksi";Data!$F$2:$F$29;"&gt;=80")
=SUM(Data!$J$2:$J$29)/SUM(Data!$H$2:$H$29)</t>
  </si>
  <si>
    <t xml:space="preserve">Nama Karyawan</t>
  </si>
  <si>
    <t xml:space="preserve">Departemen</t>
  </si>
  <si>
    <t xml:space="preserve">Tanggal Masuk</t>
  </si>
  <si>
    <t xml:space="preserve">Gaji Pokok</t>
  </si>
  <si>
    <t xml:space="preserve">Nilai Kinerja</t>
  </si>
  <si>
    <t xml:space="preserve">Masa Kerja (bulan)</t>
  </si>
  <si>
    <t xml:space="preserve">THR</t>
  </si>
  <si>
    <t xml:space="preserve">Persen Bonus</t>
  </si>
  <si>
    <t xml:space="preserve">Bonus</t>
  </si>
  <si>
    <t xml:space="preserve">Pajak</t>
  </si>
  <si>
    <t xml:space="preserve">Total Diterima</t>
  </si>
  <si>
    <t xml:space="preserve">Peringkat</t>
  </si>
  <si>
    <t xml:space="preserve">Parameter</t>
  </si>
  <si>
    <t xml:space="preserve">Nilai</t>
  </si>
  <si>
    <t xml:space="preserve">Keterangan</t>
  </si>
  <si>
    <t xml:space="preserve">Dimas Amalia</t>
  </si>
  <si>
    <t xml:space="preserve">Keuangan</t>
  </si>
  <si>
    <t xml:space="preserve">Tanggal acuan</t>
  </si>
  <si>
    <t xml:space="preserve">Masa kerja dihitung sampai tanggal ini</t>
  </si>
  <si>
    <t xml:space="preserve">Bambang Wijaya</t>
  </si>
  <si>
    <t xml:space="preserve">Umum</t>
  </si>
  <si>
    <t xml:space="preserve">Batas tarif 1</t>
  </si>
  <si>
    <t xml:space="preserve">Bagian di atas ini dikenai tarif 1</t>
  </si>
  <si>
    <t xml:space="preserve">Citra Permana</t>
  </si>
  <si>
    <t xml:space="preserve">Tarif 1</t>
  </si>
  <si>
    <t xml:space="preserve">Tika Sari</t>
  </si>
  <si>
    <t xml:space="preserve">Pemasaran</t>
  </si>
  <si>
    <t xml:space="preserve">Batas tarif 2</t>
  </si>
  <si>
    <t xml:space="preserve">Bagian di atas ini dikenai tarif 2</t>
  </si>
  <si>
    <t xml:space="preserve">Intan Suryani</t>
  </si>
  <si>
    <t xml:space="preserve">Tarif 2</t>
  </si>
  <si>
    <t xml:space="preserve">Vina Ramadhan</t>
  </si>
  <si>
    <t xml:space="preserve">Vivi Santoso</t>
  </si>
  <si>
    <t xml:space="preserve">Rahmat Permana</t>
  </si>
  <si>
    <t xml:space="preserve">Produksi</t>
  </si>
  <si>
    <t xml:space="preserve">Budi Putra</t>
  </si>
  <si>
    <t xml:space="preserve">Rizki Saputra</t>
  </si>
  <si>
    <t xml:space="preserve">Sari Fauzi</t>
  </si>
  <si>
    <t xml:space="preserve">Rina Pratama</t>
  </si>
  <si>
    <t xml:space="preserve">Vivi Sari</t>
  </si>
  <si>
    <t xml:space="preserve">Andi Rahayu</t>
  </si>
  <si>
    <t xml:space="preserve">Vina Pangestu</t>
  </si>
  <si>
    <t xml:space="preserve">Dewi Saputra</t>
  </si>
  <si>
    <t xml:space="preserve">Dewi Anggraini</t>
  </si>
  <si>
    <t xml:space="preserve">Nurul Purnomo</t>
  </si>
  <si>
    <t xml:space="preserve">Dewi Pratama</t>
  </si>
  <si>
    <t xml:space="preserve">Rina Handayani</t>
  </si>
  <si>
    <t xml:space="preserve">Vivi Hartono</t>
  </si>
  <si>
    <t xml:space="preserve">Eko Utomo</t>
  </si>
  <si>
    <t xml:space="preserve">Rahmat Wibowo</t>
  </si>
  <si>
    <t xml:space="preserve">Putri Wijaya</t>
  </si>
  <si>
    <t xml:space="preserve">Gita Fauzi</t>
  </si>
  <si>
    <t xml:space="preserve">Dewi Kurniawan</t>
  </si>
  <si>
    <t xml:space="preserve">Ahmad Santoso</t>
  </si>
  <si>
    <t xml:space="preserve">Eka Kurniawan</t>
  </si>
  <si>
    <t xml:space="preserve">Nilai Minimal</t>
  </si>
  <si>
    <t xml:space="preserve">Nilai Maksimal</t>
  </si>
  <si>
    <t xml:space="preserve">Predikat</t>
  </si>
  <si>
    <t xml:space="preserve">Jumlah Karyawan</t>
  </si>
  <si>
    <t xml:space="preserve">Kurang</t>
  </si>
  <si>
    <t xml:space="preserve">Cukup</t>
  </si>
  <si>
    <t xml:space="preserve">Baik</t>
  </si>
  <si>
    <t xml:space="preserve">Sangat Baik</t>
  </si>
  <si>
    <t xml:space="preserve">Istimewa</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</si>
  <si>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</si>
  <si>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</si>
  <si>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</si>
  <si>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</si>
  <si>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</si>
  <si>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</si>
  <si>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THR</t>
  </si>
  <si>
    <t xml:space="preserve">Rupiah, mis. Rp 200.000.000</t>
  </si>
  <si>
    <t xml:space="preserve">9b</t>
  </si>
  <si>
    <t xml:space="preserve">Total bonus</t>
  </si>
  <si>
    <t xml:space="preserve">Rupiah, mis. Rp 150.000.000</t>
  </si>
  <si>
    <t xml:space="preserve">9c</t>
  </si>
  <si>
    <t xml:space="preserve">Total pajak</t>
  </si>
  <si>
    <t xml:space="preserve">Rupiah, mis. Rp 20.000.000</t>
  </si>
  <si>
    <t xml:space="preserve">9d</t>
  </si>
  <si>
    <t xml:space="preserve">Total diterima seluruh karyawan</t>
  </si>
  <si>
    <t xml:space="preserve">Rupiah, mis. Rp 330.000.000</t>
  </si>
  <si>
    <t xml:space="preserve">10a</t>
  </si>
  <si>
    <t xml:space="preserve">Karyawan dengan masa kerja kurang dari 12 bulan</t>
  </si>
  <si>
    <t xml:space="preserve">Angka bulat, mis. 3</t>
  </si>
  <si>
    <t xml:space="preserve">10b</t>
  </si>
  <si>
    <t xml:space="preserve">Karyawan tanpa pajak</t>
  </si>
  <si>
    <t xml:space="preserve">Angka bulat, mis. 10</t>
  </si>
  <si>
    <t xml:space="preserve">11a</t>
  </si>
  <si>
    <t xml:space="preserve">Total diterima departemen Produksi</t>
  </si>
  <si>
    <t xml:space="preserve">Rupiah, mis. Rp 90.000.000</t>
  </si>
  <si>
    <t xml:space="preserve">11b</t>
  </si>
  <si>
    <t xml:space="preserve">Rata-rata bonus departemen Pemasaran</t>
  </si>
  <si>
    <t xml:space="preserve">Rupiah, mis. Rp 4.500.000</t>
  </si>
  <si>
    <t xml:space="preserve">12a</t>
  </si>
  <si>
    <t xml:space="preserve">Karyawan dengan total diterima terbesar</t>
  </si>
  <si>
    <t xml:space="preserve">Teks: nama karyawan</t>
  </si>
  <si>
    <t xml:space="preserve">12b</t>
  </si>
  <si>
    <t xml:space="preserve">Predikat dengan karyawan terbanyak</t>
  </si>
  <si>
    <t xml:space="preserve">Teks: nama predikat</t>
  </si>
  <si>
    <t xml:space="preserve">13a</t>
  </si>
  <si>
    <t xml:space="preserve">Karyawan Produksi dengan nilai kinerja 80 ke atas</t>
  </si>
  <si>
    <t xml:space="preserve">Angka bulat, mis. 4</t>
  </si>
  <si>
    <t xml:space="preserve">13b</t>
  </si>
  <si>
    <t xml:space="preserve">Persentase total bonus terhadap total THR</t>
  </si>
  <si>
    <t xml:space="preserve">Persen, mis. 55,5%</t>
  </si>
</sst>
</file>

<file path=xl/styles.xml><?xml version="1.0" encoding="utf-8"?>
<styleSheet xmlns="http://schemas.openxmlformats.org/spreadsheetml/2006/main">
  <numFmts count="6">
    <numFmt numFmtId="164" formatCode="General"/>
    <numFmt numFmtId="165" formatCode="0"/>
    <numFmt numFmtId="166" formatCode="dd/mm/yyyy"/>
    <numFmt numFmtId="167" formatCode="&quot;Rp &quot;#,##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42" hidden="false" customHeight="true" outlineLevel="0" collapsed="false">
      <c r="A22" s="12" t="s">
        <v>27</v>
      </c>
      <c r="B22" s="13" t="s">
        <v>28</v>
      </c>
      <c r="C22" s="13" t="s">
        <v>29</v>
      </c>
      <c r="D22" s="14" t="s">
        <v>30</v>
      </c>
    </row>
    <row r="23" customFormat="false" ht="42"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55.5"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72"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4" min="3" style="0" width="13"/>
    <col collapsed="false" customWidth="true" hidden="false" outlineLevel="0" max="5" min="5" style="0" width="14"/>
    <col collapsed="false" customWidth="true" hidden="false" outlineLevel="0" max="6" min="6" style="0" width="9"/>
    <col collapsed="false" customWidth="true" hidden="false" outlineLevel="0" max="7" min="7" style="0" width="11"/>
    <col collapsed="false" customWidth="true" hidden="false" outlineLevel="0" max="8" min="8" style="0" width="14"/>
    <col collapsed="false" customWidth="true" hidden="false" outlineLevel="0" max="9" min="9" style="0" width="10"/>
    <col collapsed="false" customWidth="true" hidden="false" outlineLevel="0" max="10" min="10" style="0" width="14"/>
    <col collapsed="false" customWidth="true" hidden="false" outlineLevel="0" max="11" min="11" style="0" width="13"/>
    <col collapsed="false" customWidth="true" hidden="false" outlineLevel="0" max="12" min="12" style="0" width="15"/>
    <col collapsed="false" customWidth="true" hidden="false" outlineLevel="0" max="13" min="13" style="0" width="10"/>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19</v>
      </c>
      <c r="B1" s="11" t="s">
        <v>75</v>
      </c>
      <c r="C1" s="11" t="s">
        <v>76</v>
      </c>
      <c r="D1" s="11" t="s">
        <v>77</v>
      </c>
      <c r="E1" s="11" t="s">
        <v>78</v>
      </c>
      <c r="F1" s="11" t="s">
        <v>79</v>
      </c>
      <c r="G1" s="15" t="s">
        <v>80</v>
      </c>
      <c r="H1" s="15" t="s">
        <v>81</v>
      </c>
      <c r="I1" s="15" t="s">
        <v>82</v>
      </c>
      <c r="J1" s="15" t="s">
        <v>83</v>
      </c>
      <c r="K1" s="15" t="s">
        <v>84</v>
      </c>
      <c r="L1" s="15" t="s">
        <v>85</v>
      </c>
      <c r="M1" s="15" t="s">
        <v>86</v>
      </c>
      <c r="O1" s="16" t="s">
        <v>87</v>
      </c>
      <c r="P1" s="16" t="s">
        <v>88</v>
      </c>
      <c r="Q1" s="16" t="s">
        <v>89</v>
      </c>
    </row>
    <row r="2" customFormat="false" ht="15" hidden="false" customHeight="false" outlineLevel="0" collapsed="false">
      <c r="A2" s="17" t="n">
        <v>1</v>
      </c>
      <c r="B2" s="18" t="s">
        <v>90</v>
      </c>
      <c r="C2" s="18" t="s">
        <v>91</v>
      </c>
      <c r="D2" s="19" t="n">
        <v>46258</v>
      </c>
      <c r="E2" s="20" t="n">
        <v>8500000</v>
      </c>
      <c r="F2" s="17" t="n">
        <v>95</v>
      </c>
      <c r="G2" s="21" t="n">
        <f aca="false">DATEDIF(D2,$P$2,"m")</f>
        <v>3</v>
      </c>
      <c r="H2" s="22" t="n">
        <f aca="false">IF(G2&gt;=12,E2,ROUND(E2*G2/12,0))</f>
        <v>2125000</v>
      </c>
      <c r="I2" s="23" t="n">
        <f aca="false">VLOOKUP(F2,Acuan!$A$2:$D$6,4,TRUE())</f>
        <v>1.5</v>
      </c>
      <c r="J2" s="22" t="n">
        <f aca="false">ROUND(E2*I2,0)</f>
        <v>12750000</v>
      </c>
      <c r="K2" s="22" t="n">
        <f aca="false">IF(H2+J2&gt;$P$5,ROUND((H2+J2-$P$5)*$P$6+($P$5-$P$3)*$P$4,0),IF(H2+J2&gt;$P$3,ROUND((H2+J2-$P$3)*$P$4,0),0))</f>
        <v>243750</v>
      </c>
      <c r="L2" s="22" t="n">
        <f aca="false">H2+J2-K2</f>
        <v>14631250</v>
      </c>
      <c r="M2" s="21" t="n">
        <f aca="false">RANK(L2,$L$2:$L$29,0)</f>
        <v>9</v>
      </c>
      <c r="O2" s="24" t="s">
        <v>92</v>
      </c>
      <c r="P2" s="25" t="n">
        <v>46356</v>
      </c>
      <c r="Q2" s="24" t="s">
        <v>93</v>
      </c>
    </row>
    <row r="3" customFormat="false" ht="15" hidden="false" customHeight="false" outlineLevel="0" collapsed="false">
      <c r="A3" s="17" t="n">
        <v>2</v>
      </c>
      <c r="B3" s="18" t="s">
        <v>94</v>
      </c>
      <c r="C3" s="18" t="s">
        <v>95</v>
      </c>
      <c r="D3" s="19" t="n">
        <v>46281</v>
      </c>
      <c r="E3" s="20" t="n">
        <v>8500000</v>
      </c>
      <c r="F3" s="17" t="n">
        <v>82</v>
      </c>
      <c r="G3" s="21" t="n">
        <f aca="false">DATEDIF(D3,$P$2,"m")</f>
        <v>2</v>
      </c>
      <c r="H3" s="22" t="n">
        <f aca="false">IF(G3&gt;=12,E3,ROUND(E3*G3/12,0))</f>
        <v>1416667</v>
      </c>
      <c r="I3" s="23" t="n">
        <f aca="false">VLOOKUP(F3,Acuan!$A$2:$D$6,4,TRUE())</f>
        <v>1</v>
      </c>
      <c r="J3" s="22" t="n">
        <f aca="false">ROUND(E3*I3,0)</f>
        <v>8500000</v>
      </c>
      <c r="K3" s="22" t="n">
        <f aca="false">IF(H3+J3&gt;$P$5,ROUND((H3+J3-$P$5)*$P$6+($P$5-$P$3)*$P$4,0),IF(H3+J3&gt;$P$3,ROUND((H3+J3-$P$3)*$P$4,0),0))</f>
        <v>0</v>
      </c>
      <c r="L3" s="22" t="n">
        <f aca="false">H3+J3-K3</f>
        <v>9916667</v>
      </c>
      <c r="M3" s="21" t="n">
        <f aca="false">RANK(L3,$L$2:$L$29,0)</f>
        <v>17</v>
      </c>
      <c r="O3" s="24" t="s">
        <v>96</v>
      </c>
      <c r="P3" s="26" t="n">
        <v>10000000</v>
      </c>
      <c r="Q3" s="24" t="s">
        <v>97</v>
      </c>
    </row>
    <row r="4" customFormat="false" ht="15" hidden="false" customHeight="false" outlineLevel="0" collapsed="false">
      <c r="A4" s="17" t="n">
        <v>3</v>
      </c>
      <c r="B4" s="18" t="s">
        <v>98</v>
      </c>
      <c r="C4" s="18" t="s">
        <v>91</v>
      </c>
      <c r="D4" s="19" t="n">
        <v>46146</v>
      </c>
      <c r="E4" s="20" t="n">
        <v>7500000</v>
      </c>
      <c r="F4" s="17" t="n">
        <v>88</v>
      </c>
      <c r="G4" s="21" t="n">
        <f aca="false">DATEDIF(D4,$P$2,"m")</f>
        <v>6</v>
      </c>
      <c r="H4" s="22" t="n">
        <f aca="false">IF(G4&gt;=12,E4,ROUND(E4*G4/12,0))</f>
        <v>3750000</v>
      </c>
      <c r="I4" s="23" t="n">
        <f aca="false">VLOOKUP(F4,Acuan!$A$2:$D$6,4,TRUE())</f>
        <v>1</v>
      </c>
      <c r="J4" s="22" t="n">
        <f aca="false">ROUND(E4*I4,0)</f>
        <v>7500000</v>
      </c>
      <c r="K4" s="22" t="n">
        <f aca="false">IF(H4+J4&gt;$P$5,ROUND((H4+J4-$P$5)*$P$6+($P$5-$P$3)*$P$4,0),IF(H4+J4&gt;$P$3,ROUND((H4+J4-$P$3)*$P$4,0),0))</f>
        <v>62500</v>
      </c>
      <c r="L4" s="22" t="n">
        <f aca="false">H4+J4-K4</f>
        <v>11187500</v>
      </c>
      <c r="M4" s="21" t="n">
        <f aca="false">RANK(L4,$L$2:$L$29,0)</f>
        <v>13</v>
      </c>
      <c r="O4" s="24" t="s">
        <v>99</v>
      </c>
      <c r="P4" s="27" t="n">
        <v>0.05</v>
      </c>
      <c r="Q4" s="24"/>
    </row>
    <row r="5" customFormat="false" ht="15" hidden="false" customHeight="false" outlineLevel="0" collapsed="false">
      <c r="A5" s="17" t="n">
        <v>4</v>
      </c>
      <c r="B5" s="18" t="s">
        <v>100</v>
      </c>
      <c r="C5" s="18" t="s">
        <v>101</v>
      </c>
      <c r="D5" s="19" t="n">
        <v>46093</v>
      </c>
      <c r="E5" s="20" t="n">
        <v>11000000</v>
      </c>
      <c r="F5" s="17" t="n">
        <v>63</v>
      </c>
      <c r="G5" s="21" t="n">
        <f aca="false">DATEDIF(D5,$P$2,"m")</f>
        <v>8</v>
      </c>
      <c r="H5" s="22" t="n">
        <f aca="false">IF(G5&gt;=12,E5,ROUND(E5*G5/12,0))</f>
        <v>7333333</v>
      </c>
      <c r="I5" s="23" t="n">
        <f aca="false">VLOOKUP(F5,Acuan!$A$2:$D$6,4,TRUE())</f>
        <v>0.25</v>
      </c>
      <c r="J5" s="22" t="n">
        <f aca="false">ROUND(E5*I5,0)</f>
        <v>2750000</v>
      </c>
      <c r="K5" s="22" t="n">
        <f aca="false">IF(H5+J5&gt;$P$5,ROUND((H5+J5-$P$5)*$P$6+($P$5-$P$3)*$P$4,0),IF(H5+J5&gt;$P$3,ROUND((H5+J5-$P$3)*$P$4,0),0))</f>
        <v>4167</v>
      </c>
      <c r="L5" s="22" t="n">
        <f aca="false">H5+J5-K5</f>
        <v>10079166</v>
      </c>
      <c r="M5" s="21" t="n">
        <f aca="false">RANK(L5,$L$2:$L$29,0)</f>
        <v>16</v>
      </c>
      <c r="O5" s="24" t="s">
        <v>102</v>
      </c>
      <c r="P5" s="26" t="n">
        <v>25000000</v>
      </c>
      <c r="Q5" s="24" t="s">
        <v>103</v>
      </c>
    </row>
    <row r="6" customFormat="false" ht="15" hidden="false" customHeight="false" outlineLevel="0" collapsed="false">
      <c r="A6" s="17" t="n">
        <v>5</v>
      </c>
      <c r="B6" s="18" t="s">
        <v>104</v>
      </c>
      <c r="C6" s="18" t="s">
        <v>101</v>
      </c>
      <c r="D6" s="19" t="n">
        <v>46092</v>
      </c>
      <c r="E6" s="20" t="n">
        <v>5500000</v>
      </c>
      <c r="F6" s="17" t="n">
        <v>53</v>
      </c>
      <c r="G6" s="21" t="n">
        <f aca="false">DATEDIF(D6,$P$2,"m")</f>
        <v>8</v>
      </c>
      <c r="H6" s="22" t="n">
        <f aca="false">IF(G6&gt;=12,E6,ROUND(E6*G6/12,0))</f>
        <v>3666667</v>
      </c>
      <c r="I6" s="23" t="n">
        <f aca="false">VLOOKUP(F6,Acuan!$A$2:$D$6,4,TRUE())</f>
        <v>0</v>
      </c>
      <c r="J6" s="22" t="n">
        <f aca="false">ROUND(E6*I6,0)</f>
        <v>0</v>
      </c>
      <c r="K6" s="22" t="n">
        <f aca="false">IF(H6+J6&gt;$P$5,ROUND((H6+J6-$P$5)*$P$6+($P$5-$P$3)*$P$4,0),IF(H6+J6&gt;$P$3,ROUND((H6+J6-$P$3)*$P$4,0),0))</f>
        <v>0</v>
      </c>
      <c r="L6" s="22" t="n">
        <f aca="false">H6+J6-K6</f>
        <v>3666667</v>
      </c>
      <c r="M6" s="21" t="n">
        <f aca="false">RANK(L6,$L$2:$L$29,0)</f>
        <v>28</v>
      </c>
      <c r="O6" s="24" t="s">
        <v>105</v>
      </c>
      <c r="P6" s="27" t="n">
        <v>0.1</v>
      </c>
      <c r="Q6" s="24"/>
    </row>
    <row r="7" customFormat="false" ht="15" hidden="false" customHeight="false" outlineLevel="0" collapsed="false">
      <c r="A7" s="17" t="n">
        <v>6</v>
      </c>
      <c r="B7" s="18" t="s">
        <v>106</v>
      </c>
      <c r="C7" s="18" t="s">
        <v>95</v>
      </c>
      <c r="D7" s="19" t="n">
        <v>44464</v>
      </c>
      <c r="E7" s="20" t="n">
        <v>8500000</v>
      </c>
      <c r="F7" s="17" t="n">
        <v>57</v>
      </c>
      <c r="G7" s="21" t="n">
        <f aca="false">DATEDIF(D7,$P$2,"m")</f>
        <v>62</v>
      </c>
      <c r="H7" s="22" t="n">
        <f aca="false">IF(G7&gt;=12,E7,ROUND(E7*G7/12,0))</f>
        <v>8500000</v>
      </c>
      <c r="I7" s="23" t="n">
        <f aca="false">VLOOKUP(F7,Acuan!$A$2:$D$6,4,TRUE())</f>
        <v>0</v>
      </c>
      <c r="J7" s="22" t="n">
        <f aca="false">ROUND(E7*I7,0)</f>
        <v>0</v>
      </c>
      <c r="K7" s="22" t="n">
        <f aca="false">IF(H7+J7&gt;$P$5,ROUND((H7+J7-$P$5)*$P$6+($P$5-$P$3)*$P$4,0),IF(H7+J7&gt;$P$3,ROUND((H7+J7-$P$3)*$P$4,0),0))</f>
        <v>0</v>
      </c>
      <c r="L7" s="22" t="n">
        <f aca="false">H7+J7-K7</f>
        <v>8500000</v>
      </c>
      <c r="M7" s="21" t="n">
        <f aca="false">RANK(L7,$L$2:$L$29,0)</f>
        <v>20</v>
      </c>
    </row>
    <row r="8" customFormat="false" ht="15" hidden="false" customHeight="false" outlineLevel="0" collapsed="false">
      <c r="A8" s="17" t="n">
        <v>7</v>
      </c>
      <c r="B8" s="18" t="s">
        <v>107</v>
      </c>
      <c r="C8" s="18" t="s">
        <v>101</v>
      </c>
      <c r="D8" s="19" t="n">
        <v>43254</v>
      </c>
      <c r="E8" s="20" t="n">
        <v>14000000</v>
      </c>
      <c r="F8" s="17" t="n">
        <v>54</v>
      </c>
      <c r="G8" s="21" t="n">
        <f aca="false">DATEDIF(D8,$P$2,"m")</f>
        <v>101</v>
      </c>
      <c r="H8" s="22" t="n">
        <f aca="false">IF(G8&gt;=12,E8,ROUND(E8*G8/12,0))</f>
        <v>14000000</v>
      </c>
      <c r="I8" s="23" t="n">
        <f aca="false">VLOOKUP(F8,Acuan!$A$2:$D$6,4,TRUE())</f>
        <v>0</v>
      </c>
      <c r="J8" s="22" t="n">
        <f aca="false">ROUND(E8*I8,0)</f>
        <v>0</v>
      </c>
      <c r="K8" s="22" t="n">
        <f aca="false">IF(H8+J8&gt;$P$5,ROUND((H8+J8-$P$5)*$P$6+($P$5-$P$3)*$P$4,0),IF(H8+J8&gt;$P$3,ROUND((H8+J8-$P$3)*$P$4,0),0))</f>
        <v>200000</v>
      </c>
      <c r="L8" s="22" t="n">
        <f aca="false">H8+J8-K8</f>
        <v>13800000</v>
      </c>
      <c r="M8" s="21" t="n">
        <f aca="false">RANK(L8,$L$2:$L$29,0)</f>
        <v>11</v>
      </c>
    </row>
    <row r="9" customFormat="false" ht="15" hidden="false" customHeight="false" outlineLevel="0" collapsed="false">
      <c r="A9" s="17" t="n">
        <v>8</v>
      </c>
      <c r="B9" s="18" t="s">
        <v>108</v>
      </c>
      <c r="C9" s="18" t="s">
        <v>109</v>
      </c>
      <c r="D9" s="19" t="n">
        <v>45248</v>
      </c>
      <c r="E9" s="20" t="n">
        <v>11000000</v>
      </c>
      <c r="F9" s="17" t="n">
        <v>91</v>
      </c>
      <c r="G9" s="21" t="n">
        <f aca="false">DATEDIF(D9,$P$2,"m")</f>
        <v>36</v>
      </c>
      <c r="H9" s="22" t="n">
        <f aca="false">IF(G9&gt;=12,E9,ROUND(E9*G9/12,0))</f>
        <v>11000000</v>
      </c>
      <c r="I9" s="23" t="n">
        <f aca="false">VLOOKUP(F9,Acuan!$A$2:$D$6,4,TRUE())</f>
        <v>1.5</v>
      </c>
      <c r="J9" s="22" t="n">
        <f aca="false">ROUND(E9*I9,0)</f>
        <v>16500000</v>
      </c>
      <c r="K9" s="22" t="n">
        <f aca="false">IF(H9+J9&gt;$P$5,ROUND((H9+J9-$P$5)*$P$6+($P$5-$P$3)*$P$4,0),IF(H9+J9&gt;$P$3,ROUND((H9+J9-$P$3)*$P$4,0),0))</f>
        <v>1000000</v>
      </c>
      <c r="L9" s="22" t="n">
        <f aca="false">H9+J9-K9</f>
        <v>26500000</v>
      </c>
      <c r="M9" s="21" t="n">
        <f aca="false">RANK(L9,$L$2:$L$29,0)</f>
        <v>2</v>
      </c>
    </row>
    <row r="10" customFormat="false" ht="15" hidden="false" customHeight="false" outlineLevel="0" collapsed="false">
      <c r="A10" s="17" t="n">
        <v>9</v>
      </c>
      <c r="B10" s="18" t="s">
        <v>110</v>
      </c>
      <c r="C10" s="18" t="s">
        <v>95</v>
      </c>
      <c r="D10" s="19" t="n">
        <v>44223</v>
      </c>
      <c r="E10" s="20" t="n">
        <v>14000000</v>
      </c>
      <c r="F10" s="17" t="n">
        <v>87</v>
      </c>
      <c r="G10" s="21" t="n">
        <f aca="false">DATEDIF(D10,$P$2,"m")</f>
        <v>70</v>
      </c>
      <c r="H10" s="22" t="n">
        <f aca="false">IF(G10&gt;=12,E10,ROUND(E10*G10/12,0))</f>
        <v>14000000</v>
      </c>
      <c r="I10" s="23" t="n">
        <f aca="false">VLOOKUP(F10,Acuan!$A$2:$D$6,4,TRUE())</f>
        <v>1</v>
      </c>
      <c r="J10" s="22" t="n">
        <f aca="false">ROUND(E10*I10,0)</f>
        <v>14000000</v>
      </c>
      <c r="K10" s="22" t="n">
        <f aca="false">IF(H10+J10&gt;$P$5,ROUND((H10+J10-$P$5)*$P$6+($P$5-$P$3)*$P$4,0),IF(H10+J10&gt;$P$3,ROUND((H10+J10-$P$3)*$P$4,0),0))</f>
        <v>1050000</v>
      </c>
      <c r="L10" s="22" t="n">
        <f aca="false">H10+J10-K10</f>
        <v>26950000</v>
      </c>
      <c r="M10" s="21" t="n">
        <f aca="false">RANK(L10,$L$2:$L$29,0)</f>
        <v>1</v>
      </c>
    </row>
    <row r="11" customFormat="false" ht="15" hidden="false" customHeight="false" outlineLevel="0" collapsed="false">
      <c r="A11" s="17" t="n">
        <v>10</v>
      </c>
      <c r="B11" s="18" t="s">
        <v>111</v>
      </c>
      <c r="C11" s="18" t="s">
        <v>101</v>
      </c>
      <c r="D11" s="19" t="n">
        <v>43591</v>
      </c>
      <c r="E11" s="20" t="n">
        <v>7500000</v>
      </c>
      <c r="F11" s="17" t="n">
        <v>85</v>
      </c>
      <c r="G11" s="21" t="n">
        <f aca="false">DATEDIF(D11,$P$2,"m")</f>
        <v>90</v>
      </c>
      <c r="H11" s="22" t="n">
        <f aca="false">IF(G11&gt;=12,E11,ROUND(E11*G11/12,0))</f>
        <v>7500000</v>
      </c>
      <c r="I11" s="23" t="n">
        <f aca="false">VLOOKUP(F11,Acuan!$A$2:$D$6,4,TRUE())</f>
        <v>1</v>
      </c>
      <c r="J11" s="22" t="n">
        <f aca="false">ROUND(E11*I11,0)</f>
        <v>7500000</v>
      </c>
      <c r="K11" s="22" t="n">
        <f aca="false">IF(H11+J11&gt;$P$5,ROUND((H11+J11-$P$5)*$P$6+($P$5-$P$3)*$P$4,0),IF(H11+J11&gt;$P$3,ROUND((H11+J11-$P$3)*$P$4,0),0))</f>
        <v>250000</v>
      </c>
      <c r="L11" s="22" t="n">
        <f aca="false">H11+J11-K11</f>
        <v>14750000</v>
      </c>
      <c r="M11" s="21" t="n">
        <f aca="false">RANK(L11,$L$2:$L$29,0)</f>
        <v>8</v>
      </c>
    </row>
    <row r="12" customFormat="false" ht="15" hidden="false" customHeight="false" outlineLevel="0" collapsed="false">
      <c r="A12" s="17" t="n">
        <v>11</v>
      </c>
      <c r="B12" s="18" t="s">
        <v>112</v>
      </c>
      <c r="C12" s="18" t="s">
        <v>91</v>
      </c>
      <c r="D12" s="19" t="n">
        <v>44821</v>
      </c>
      <c r="E12" s="20" t="n">
        <v>8500000</v>
      </c>
      <c r="F12" s="17" t="n">
        <v>86</v>
      </c>
      <c r="G12" s="21" t="n">
        <f aca="false">DATEDIF(D12,$P$2,"m")</f>
        <v>50</v>
      </c>
      <c r="H12" s="22" t="n">
        <f aca="false">IF(G12&gt;=12,E12,ROUND(E12*G12/12,0))</f>
        <v>8500000</v>
      </c>
      <c r="I12" s="23" t="n">
        <f aca="false">VLOOKUP(F12,Acuan!$A$2:$D$6,4,TRUE())</f>
        <v>1</v>
      </c>
      <c r="J12" s="22" t="n">
        <f aca="false">ROUND(E12*I12,0)</f>
        <v>8500000</v>
      </c>
      <c r="K12" s="22" t="n">
        <f aca="false">IF(H12+J12&gt;$P$5,ROUND((H12+J12-$P$5)*$P$6+($P$5-$P$3)*$P$4,0),IF(H12+J12&gt;$P$3,ROUND((H12+J12-$P$3)*$P$4,0),0))</f>
        <v>350000</v>
      </c>
      <c r="L12" s="22" t="n">
        <f aca="false">H12+J12-K12</f>
        <v>16650000</v>
      </c>
      <c r="M12" s="21" t="n">
        <f aca="false">RANK(L12,$L$2:$L$29,0)</f>
        <v>7</v>
      </c>
    </row>
    <row r="13" customFormat="false" ht="15" hidden="false" customHeight="false" outlineLevel="0" collapsed="false">
      <c r="A13" s="17" t="n">
        <v>12</v>
      </c>
      <c r="B13" s="18" t="s">
        <v>113</v>
      </c>
      <c r="C13" s="18" t="s">
        <v>101</v>
      </c>
      <c r="D13" s="19" t="n">
        <v>45944</v>
      </c>
      <c r="E13" s="20" t="n">
        <v>5000000</v>
      </c>
      <c r="F13" s="17" t="n">
        <v>79</v>
      </c>
      <c r="G13" s="21" t="n">
        <f aca="false">DATEDIF(D13,$P$2,"m")</f>
        <v>13</v>
      </c>
      <c r="H13" s="22" t="n">
        <f aca="false">IF(G13&gt;=12,E13,ROUND(E13*G13/12,0))</f>
        <v>5000000</v>
      </c>
      <c r="I13" s="23" t="n">
        <f aca="false">VLOOKUP(F13,Acuan!$A$2:$D$6,4,TRUE())</f>
        <v>0.5</v>
      </c>
      <c r="J13" s="22" t="n">
        <f aca="false">ROUND(E13*I13,0)</f>
        <v>2500000</v>
      </c>
      <c r="K13" s="22" t="n">
        <f aca="false">IF(H13+J13&gt;$P$5,ROUND((H13+J13-$P$5)*$P$6+($P$5-$P$3)*$P$4,0),IF(H13+J13&gt;$P$3,ROUND((H13+J13-$P$3)*$P$4,0),0))</f>
        <v>0</v>
      </c>
      <c r="L13" s="22" t="n">
        <f aca="false">H13+J13-K13</f>
        <v>7500000</v>
      </c>
      <c r="M13" s="21" t="n">
        <f aca="false">RANK(L13,$L$2:$L$29,0)</f>
        <v>23</v>
      </c>
    </row>
    <row r="14" customFormat="false" ht="15" hidden="false" customHeight="false" outlineLevel="0" collapsed="false">
      <c r="A14" s="17" t="n">
        <v>13</v>
      </c>
      <c r="B14" s="18" t="s">
        <v>114</v>
      </c>
      <c r="C14" s="18" t="s">
        <v>101</v>
      </c>
      <c r="D14" s="19" t="n">
        <v>44417</v>
      </c>
      <c r="E14" s="20" t="n">
        <v>9500000</v>
      </c>
      <c r="F14" s="17" t="n">
        <v>92</v>
      </c>
      <c r="G14" s="21" t="n">
        <f aca="false">DATEDIF(D14,$P$2,"m")</f>
        <v>63</v>
      </c>
      <c r="H14" s="22" t="n">
        <f aca="false">IF(G14&gt;=12,E14,ROUND(E14*G14/12,0))</f>
        <v>9500000</v>
      </c>
      <c r="I14" s="23" t="n">
        <f aca="false">VLOOKUP(F14,Acuan!$A$2:$D$6,4,TRUE())</f>
        <v>1.5</v>
      </c>
      <c r="J14" s="22" t="n">
        <f aca="false">ROUND(E14*I14,0)</f>
        <v>14250000</v>
      </c>
      <c r="K14" s="22" t="n">
        <f aca="false">IF(H14+J14&gt;$P$5,ROUND((H14+J14-$P$5)*$P$6+($P$5-$P$3)*$P$4,0),IF(H14+J14&gt;$P$3,ROUND((H14+J14-$P$3)*$P$4,0),0))</f>
        <v>687500</v>
      </c>
      <c r="L14" s="22" t="n">
        <f aca="false">H14+J14-K14</f>
        <v>23062500</v>
      </c>
      <c r="M14" s="21" t="n">
        <f aca="false">RANK(L14,$L$2:$L$29,0)</f>
        <v>3</v>
      </c>
    </row>
    <row r="15" customFormat="false" ht="15" hidden="false" customHeight="false" outlineLevel="0" collapsed="false">
      <c r="A15" s="17" t="n">
        <v>14</v>
      </c>
      <c r="B15" s="18" t="s">
        <v>115</v>
      </c>
      <c r="C15" s="18" t="s">
        <v>91</v>
      </c>
      <c r="D15" s="19" t="n">
        <v>44273</v>
      </c>
      <c r="E15" s="20" t="n">
        <v>6500000</v>
      </c>
      <c r="F15" s="17" t="n">
        <v>57</v>
      </c>
      <c r="G15" s="21" t="n">
        <f aca="false">DATEDIF(D15,$P$2,"m")</f>
        <v>68</v>
      </c>
      <c r="H15" s="22" t="n">
        <f aca="false">IF(G15&gt;=12,E15,ROUND(E15*G15/12,0))</f>
        <v>6500000</v>
      </c>
      <c r="I15" s="23" t="n">
        <f aca="false">VLOOKUP(F15,Acuan!$A$2:$D$6,4,TRUE())</f>
        <v>0</v>
      </c>
      <c r="J15" s="22" t="n">
        <f aca="false">ROUND(E15*I15,0)</f>
        <v>0</v>
      </c>
      <c r="K15" s="22" t="n">
        <f aca="false">IF(H15+J15&gt;$P$5,ROUND((H15+J15-$P$5)*$P$6+($P$5-$P$3)*$P$4,0),IF(H15+J15&gt;$P$3,ROUND((H15+J15-$P$3)*$P$4,0),0))</f>
        <v>0</v>
      </c>
      <c r="L15" s="22" t="n">
        <f aca="false">H15+J15-K15</f>
        <v>6500000</v>
      </c>
      <c r="M15" s="21" t="n">
        <f aca="false">RANK(L15,$L$2:$L$29,0)</f>
        <v>25</v>
      </c>
    </row>
    <row r="16" customFormat="false" ht="15" hidden="false" customHeight="false" outlineLevel="0" collapsed="false">
      <c r="A16" s="17" t="n">
        <v>15</v>
      </c>
      <c r="B16" s="18" t="s">
        <v>116</v>
      </c>
      <c r="C16" s="18" t="s">
        <v>91</v>
      </c>
      <c r="D16" s="19" t="n">
        <v>44694</v>
      </c>
      <c r="E16" s="20" t="n">
        <v>8500000</v>
      </c>
      <c r="F16" s="17" t="n">
        <v>70</v>
      </c>
      <c r="G16" s="21" t="n">
        <f aca="false">DATEDIF(D16,$P$2,"m")</f>
        <v>54</v>
      </c>
      <c r="H16" s="22" t="n">
        <f aca="false">IF(G16&gt;=12,E16,ROUND(E16*G16/12,0))</f>
        <v>8500000</v>
      </c>
      <c r="I16" s="23" t="n">
        <f aca="false">VLOOKUP(F16,Acuan!$A$2:$D$6,4,TRUE())</f>
        <v>0.5</v>
      </c>
      <c r="J16" s="22" t="n">
        <f aca="false">ROUND(E16*I16,0)</f>
        <v>4250000</v>
      </c>
      <c r="K16" s="22" t="n">
        <f aca="false">IF(H16+J16&gt;$P$5,ROUND((H16+J16-$P$5)*$P$6+($P$5-$P$3)*$P$4,0),IF(H16+J16&gt;$P$3,ROUND((H16+J16-$P$3)*$P$4,0),0))</f>
        <v>137500</v>
      </c>
      <c r="L16" s="22" t="n">
        <f aca="false">H16+J16-K16</f>
        <v>12612500</v>
      </c>
      <c r="M16" s="21" t="n">
        <f aca="false">RANK(L16,$L$2:$L$29,0)</f>
        <v>12</v>
      </c>
    </row>
    <row r="17" customFormat="false" ht="15" hidden="false" customHeight="false" outlineLevel="0" collapsed="false">
      <c r="A17" s="17" t="n">
        <v>16</v>
      </c>
      <c r="B17" s="18" t="s">
        <v>117</v>
      </c>
      <c r="C17" s="18" t="s">
        <v>109</v>
      </c>
      <c r="D17" s="19" t="n">
        <v>45363</v>
      </c>
      <c r="E17" s="20" t="n">
        <v>6500000</v>
      </c>
      <c r="F17" s="17" t="n">
        <v>68</v>
      </c>
      <c r="G17" s="21" t="n">
        <f aca="false">DATEDIF(D17,$P$2,"m")</f>
        <v>32</v>
      </c>
      <c r="H17" s="22" t="n">
        <f aca="false">IF(G17&gt;=12,E17,ROUND(E17*G17/12,0))</f>
        <v>6500000</v>
      </c>
      <c r="I17" s="23" t="n">
        <f aca="false">VLOOKUP(F17,Acuan!$A$2:$D$6,4,TRUE())</f>
        <v>0.25</v>
      </c>
      <c r="J17" s="22" t="n">
        <f aca="false">ROUND(E17*I17,0)</f>
        <v>1625000</v>
      </c>
      <c r="K17" s="22" t="n">
        <f aca="false">IF(H17+J17&gt;$P$5,ROUND((H17+J17-$P$5)*$P$6+($P$5-$P$3)*$P$4,0),IF(H17+J17&gt;$P$3,ROUND((H17+J17-$P$3)*$P$4,0),0))</f>
        <v>0</v>
      </c>
      <c r="L17" s="22" t="n">
        <f aca="false">H17+J17-K17</f>
        <v>8125000</v>
      </c>
      <c r="M17" s="21" t="n">
        <f aca="false">RANK(L17,$L$2:$L$29,0)</f>
        <v>22</v>
      </c>
    </row>
    <row r="18" customFormat="false" ht="15" hidden="false" customHeight="false" outlineLevel="0" collapsed="false">
      <c r="A18" s="17" t="n">
        <v>17</v>
      </c>
      <c r="B18" s="18" t="s">
        <v>118</v>
      </c>
      <c r="C18" s="18" t="s">
        <v>101</v>
      </c>
      <c r="D18" s="19" t="n">
        <v>43361</v>
      </c>
      <c r="E18" s="20" t="n">
        <v>7500000</v>
      </c>
      <c r="F18" s="17" t="n">
        <v>96</v>
      </c>
      <c r="G18" s="21" t="n">
        <f aca="false">DATEDIF(D18,$P$2,"m")</f>
        <v>98</v>
      </c>
      <c r="H18" s="22" t="n">
        <f aca="false">IF(G18&gt;=12,E18,ROUND(E18*G18/12,0))</f>
        <v>7500000</v>
      </c>
      <c r="I18" s="23" t="n">
        <f aca="false">VLOOKUP(F18,Acuan!$A$2:$D$6,4,TRUE())</f>
        <v>1.5</v>
      </c>
      <c r="J18" s="22" t="n">
        <f aca="false">ROUND(E18*I18,0)</f>
        <v>11250000</v>
      </c>
      <c r="K18" s="22" t="n">
        <f aca="false">IF(H18+J18&gt;$P$5,ROUND((H18+J18-$P$5)*$P$6+($P$5-$P$3)*$P$4,0),IF(H18+J18&gt;$P$3,ROUND((H18+J18-$P$3)*$P$4,0),0))</f>
        <v>437500</v>
      </c>
      <c r="L18" s="22" t="n">
        <f aca="false">H18+J18-K18</f>
        <v>18312500</v>
      </c>
      <c r="M18" s="21" t="n">
        <f aca="false">RANK(L18,$L$2:$L$29,0)</f>
        <v>5</v>
      </c>
    </row>
    <row r="19" customFormat="false" ht="15" hidden="false" customHeight="false" outlineLevel="0" collapsed="false">
      <c r="A19" s="17" t="n">
        <v>18</v>
      </c>
      <c r="B19" s="18" t="s">
        <v>119</v>
      </c>
      <c r="C19" s="18" t="s">
        <v>95</v>
      </c>
      <c r="D19" s="19" t="n">
        <v>45083</v>
      </c>
      <c r="E19" s="20" t="n">
        <v>9500000</v>
      </c>
      <c r="F19" s="17" t="n">
        <v>86</v>
      </c>
      <c r="G19" s="21" t="n">
        <f aca="false">DATEDIF(D19,$P$2,"m")</f>
        <v>41</v>
      </c>
      <c r="H19" s="22" t="n">
        <f aca="false">IF(G19&gt;=12,E19,ROUND(E19*G19/12,0))</f>
        <v>9500000</v>
      </c>
      <c r="I19" s="23" t="n">
        <f aca="false">VLOOKUP(F19,Acuan!$A$2:$D$6,4,TRUE())</f>
        <v>1</v>
      </c>
      <c r="J19" s="22" t="n">
        <f aca="false">ROUND(E19*I19,0)</f>
        <v>9500000</v>
      </c>
      <c r="K19" s="22" t="n">
        <f aca="false">IF(H19+J19&gt;$P$5,ROUND((H19+J19-$P$5)*$P$6+($P$5-$P$3)*$P$4,0),IF(H19+J19&gt;$P$3,ROUND((H19+J19-$P$3)*$P$4,0),0))</f>
        <v>450000</v>
      </c>
      <c r="L19" s="22" t="n">
        <f aca="false">H19+J19-K19</f>
        <v>18550000</v>
      </c>
      <c r="M19" s="21" t="n">
        <f aca="false">RANK(L19,$L$2:$L$29,0)</f>
        <v>4</v>
      </c>
    </row>
    <row r="20" customFormat="false" ht="15" hidden="false" customHeight="false" outlineLevel="0" collapsed="false">
      <c r="A20" s="17" t="n">
        <v>19</v>
      </c>
      <c r="B20" s="18" t="s">
        <v>120</v>
      </c>
      <c r="C20" s="18" t="s">
        <v>91</v>
      </c>
      <c r="D20" s="19" t="n">
        <v>45697</v>
      </c>
      <c r="E20" s="20" t="n">
        <v>4500000</v>
      </c>
      <c r="F20" s="17" t="n">
        <v>81</v>
      </c>
      <c r="G20" s="21" t="n">
        <f aca="false">DATEDIF(D20,$P$2,"m")</f>
        <v>21</v>
      </c>
      <c r="H20" s="22" t="n">
        <f aca="false">IF(G20&gt;=12,E20,ROUND(E20*G20/12,0))</f>
        <v>4500000</v>
      </c>
      <c r="I20" s="23" t="n">
        <f aca="false">VLOOKUP(F20,Acuan!$A$2:$D$6,4,TRUE())</f>
        <v>1</v>
      </c>
      <c r="J20" s="22" t="n">
        <f aca="false">ROUND(E20*I20,0)</f>
        <v>4500000</v>
      </c>
      <c r="K20" s="22" t="n">
        <f aca="false">IF(H20+J20&gt;$P$5,ROUND((H20+J20-$P$5)*$P$6+($P$5-$P$3)*$P$4,0),IF(H20+J20&gt;$P$3,ROUND((H20+J20-$P$3)*$P$4,0),0))</f>
        <v>0</v>
      </c>
      <c r="L20" s="22" t="n">
        <f aca="false">H20+J20-K20</f>
        <v>9000000</v>
      </c>
      <c r="M20" s="21" t="n">
        <f aca="false">RANK(L20,$L$2:$L$29,0)</f>
        <v>19</v>
      </c>
    </row>
    <row r="21" customFormat="false" ht="15" hidden="false" customHeight="false" outlineLevel="0" collapsed="false">
      <c r="A21" s="17" t="n">
        <v>20</v>
      </c>
      <c r="B21" s="18" t="s">
        <v>121</v>
      </c>
      <c r="C21" s="18" t="s">
        <v>101</v>
      </c>
      <c r="D21" s="19" t="n">
        <v>44070</v>
      </c>
      <c r="E21" s="20" t="n">
        <v>14000000</v>
      </c>
      <c r="F21" s="17" t="n">
        <v>65</v>
      </c>
      <c r="G21" s="21" t="n">
        <f aca="false">DATEDIF(D21,$P$2,"m")</f>
        <v>75</v>
      </c>
      <c r="H21" s="22" t="n">
        <f aca="false">IF(G21&gt;=12,E21,ROUND(E21*G21/12,0))</f>
        <v>14000000</v>
      </c>
      <c r="I21" s="23" t="n">
        <f aca="false">VLOOKUP(F21,Acuan!$A$2:$D$6,4,TRUE())</f>
        <v>0.25</v>
      </c>
      <c r="J21" s="22" t="n">
        <f aca="false">ROUND(E21*I21,0)</f>
        <v>3500000</v>
      </c>
      <c r="K21" s="22" t="n">
        <f aca="false">IF(H21+J21&gt;$P$5,ROUND((H21+J21-$P$5)*$P$6+($P$5-$P$3)*$P$4,0),IF(H21+J21&gt;$P$3,ROUND((H21+J21-$P$3)*$P$4,0),0))</f>
        <v>375000</v>
      </c>
      <c r="L21" s="22" t="n">
        <f aca="false">H21+J21-K21</f>
        <v>17125000</v>
      </c>
      <c r="M21" s="21" t="n">
        <f aca="false">RANK(L21,$L$2:$L$29,0)</f>
        <v>6</v>
      </c>
    </row>
    <row r="22" customFormat="false" ht="15" hidden="false" customHeight="false" outlineLevel="0" collapsed="false">
      <c r="A22" s="17" t="n">
        <v>21</v>
      </c>
      <c r="B22" s="18" t="s">
        <v>122</v>
      </c>
      <c r="C22" s="18" t="s">
        <v>91</v>
      </c>
      <c r="D22" s="19" t="n">
        <v>45396</v>
      </c>
      <c r="E22" s="20" t="n">
        <v>8500000</v>
      </c>
      <c r="F22" s="17" t="n">
        <v>62</v>
      </c>
      <c r="G22" s="21" t="n">
        <f aca="false">DATEDIF(D22,$P$2,"m")</f>
        <v>31</v>
      </c>
      <c r="H22" s="22" t="n">
        <f aca="false">IF(G22&gt;=12,E22,ROUND(E22*G22/12,0))</f>
        <v>8500000</v>
      </c>
      <c r="I22" s="23" t="n">
        <f aca="false">VLOOKUP(F22,Acuan!$A$2:$D$6,4,TRUE())</f>
        <v>0.25</v>
      </c>
      <c r="J22" s="22" t="n">
        <f aca="false">ROUND(E22*I22,0)</f>
        <v>2125000</v>
      </c>
      <c r="K22" s="22" t="n">
        <f aca="false">IF(H22+J22&gt;$P$5,ROUND((H22+J22-$P$5)*$P$6+($P$5-$P$3)*$P$4,0),IF(H22+J22&gt;$P$3,ROUND((H22+J22-$P$3)*$P$4,0),0))</f>
        <v>31250</v>
      </c>
      <c r="L22" s="22" t="n">
        <f aca="false">H22+J22-K22</f>
        <v>10593750</v>
      </c>
      <c r="M22" s="21" t="n">
        <f aca="false">RANK(L22,$L$2:$L$29,0)</f>
        <v>15</v>
      </c>
    </row>
    <row r="23" customFormat="false" ht="15" hidden="false" customHeight="false" outlineLevel="0" collapsed="false">
      <c r="A23" s="17" t="n">
        <v>22</v>
      </c>
      <c r="B23" s="18" t="s">
        <v>123</v>
      </c>
      <c r="C23" s="18" t="s">
        <v>95</v>
      </c>
      <c r="D23" s="19" t="n">
        <v>45973</v>
      </c>
      <c r="E23" s="20" t="n">
        <v>4500000</v>
      </c>
      <c r="F23" s="17" t="n">
        <v>59</v>
      </c>
      <c r="G23" s="21" t="n">
        <f aca="false">DATEDIF(D23,$P$2,"m")</f>
        <v>12</v>
      </c>
      <c r="H23" s="22" t="n">
        <f aca="false">IF(G23&gt;=12,E23,ROUND(E23*G23/12,0))</f>
        <v>4500000</v>
      </c>
      <c r="I23" s="23" t="n">
        <f aca="false">VLOOKUP(F23,Acuan!$A$2:$D$6,4,TRUE())</f>
        <v>0</v>
      </c>
      <c r="J23" s="22" t="n">
        <f aca="false">ROUND(E23*I23,0)</f>
        <v>0</v>
      </c>
      <c r="K23" s="22" t="n">
        <f aca="false">IF(H23+J23&gt;$P$5,ROUND((H23+J23-$P$5)*$P$6+($P$5-$P$3)*$P$4,0),IF(H23+J23&gt;$P$3,ROUND((H23+J23-$P$3)*$P$4,0),0))</f>
        <v>0</v>
      </c>
      <c r="L23" s="22" t="n">
        <f aca="false">H23+J23-K23</f>
        <v>4500000</v>
      </c>
      <c r="M23" s="21" t="n">
        <f aca="false">RANK(L23,$L$2:$L$29,0)</f>
        <v>27</v>
      </c>
    </row>
    <row r="24" customFormat="false" ht="15" hidden="false" customHeight="false" outlineLevel="0" collapsed="false">
      <c r="A24" s="17" t="n">
        <v>23</v>
      </c>
      <c r="B24" s="18" t="s">
        <v>124</v>
      </c>
      <c r="C24" s="18" t="s">
        <v>109</v>
      </c>
      <c r="D24" s="19" t="n">
        <v>43277</v>
      </c>
      <c r="E24" s="20" t="n">
        <v>5500000</v>
      </c>
      <c r="F24" s="17" t="n">
        <v>78</v>
      </c>
      <c r="G24" s="21" t="n">
        <f aca="false">DATEDIF(D24,$P$2,"m")</f>
        <v>101</v>
      </c>
      <c r="H24" s="22" t="n">
        <f aca="false">IF(G24&gt;=12,E24,ROUND(E24*G24/12,0))</f>
        <v>5500000</v>
      </c>
      <c r="I24" s="23" t="n">
        <f aca="false">VLOOKUP(F24,Acuan!$A$2:$D$6,4,TRUE())</f>
        <v>0.5</v>
      </c>
      <c r="J24" s="22" t="n">
        <f aca="false">ROUND(E24*I24,0)</f>
        <v>2750000</v>
      </c>
      <c r="K24" s="22" t="n">
        <f aca="false">IF(H24+J24&gt;$P$5,ROUND((H24+J24-$P$5)*$P$6+($P$5-$P$3)*$P$4,0),IF(H24+J24&gt;$P$3,ROUND((H24+J24-$P$3)*$P$4,0),0))</f>
        <v>0</v>
      </c>
      <c r="L24" s="22" t="n">
        <f aca="false">H24+J24-K24</f>
        <v>8250000</v>
      </c>
      <c r="M24" s="21" t="n">
        <f aca="false">RANK(L24,$L$2:$L$29,0)</f>
        <v>21</v>
      </c>
    </row>
    <row r="25" customFormat="false" ht="15" hidden="false" customHeight="false" outlineLevel="0" collapsed="false">
      <c r="A25" s="17" t="n">
        <v>24</v>
      </c>
      <c r="B25" s="18" t="s">
        <v>125</v>
      </c>
      <c r="C25" s="18" t="s">
        <v>109</v>
      </c>
      <c r="D25" s="19" t="n">
        <v>43874</v>
      </c>
      <c r="E25" s="20" t="n">
        <v>4500000</v>
      </c>
      <c r="F25" s="17" t="n">
        <v>62</v>
      </c>
      <c r="G25" s="21" t="n">
        <f aca="false">DATEDIF(D25,$P$2,"m")</f>
        <v>81</v>
      </c>
      <c r="H25" s="22" t="n">
        <f aca="false">IF(G25&gt;=12,E25,ROUND(E25*G25/12,0))</f>
        <v>4500000</v>
      </c>
      <c r="I25" s="23" t="n">
        <f aca="false">VLOOKUP(F25,Acuan!$A$2:$D$6,4,TRUE())</f>
        <v>0.25</v>
      </c>
      <c r="J25" s="22" t="n">
        <f aca="false">ROUND(E25*I25,0)</f>
        <v>1125000</v>
      </c>
      <c r="K25" s="22" t="n">
        <f aca="false">IF(H25+J25&gt;$P$5,ROUND((H25+J25-$P$5)*$P$6+($P$5-$P$3)*$P$4,0),IF(H25+J25&gt;$P$3,ROUND((H25+J25-$P$3)*$P$4,0),0))</f>
        <v>0</v>
      </c>
      <c r="L25" s="22" t="n">
        <f aca="false">H25+J25-K25</f>
        <v>5625000</v>
      </c>
      <c r="M25" s="21" t="n">
        <f aca="false">RANK(L25,$L$2:$L$29,0)</f>
        <v>26</v>
      </c>
    </row>
    <row r="26" customFormat="false" ht="15" hidden="false" customHeight="false" outlineLevel="0" collapsed="false">
      <c r="A26" s="17" t="n">
        <v>25</v>
      </c>
      <c r="B26" s="18" t="s">
        <v>126</v>
      </c>
      <c r="C26" s="18" t="s">
        <v>95</v>
      </c>
      <c r="D26" s="19" t="n">
        <v>43741</v>
      </c>
      <c r="E26" s="20" t="n">
        <v>11000000</v>
      </c>
      <c r="F26" s="17" t="n">
        <v>57</v>
      </c>
      <c r="G26" s="21" t="n">
        <f aca="false">DATEDIF(D26,$P$2,"m")</f>
        <v>85</v>
      </c>
      <c r="H26" s="22" t="n">
        <f aca="false">IF(G26&gt;=12,E26,ROUND(E26*G26/12,0))</f>
        <v>11000000</v>
      </c>
      <c r="I26" s="23" t="n">
        <f aca="false">VLOOKUP(F26,Acuan!$A$2:$D$6,4,TRUE())</f>
        <v>0</v>
      </c>
      <c r="J26" s="22" t="n">
        <f aca="false">ROUND(E26*I26,0)</f>
        <v>0</v>
      </c>
      <c r="K26" s="22" t="n">
        <f aca="false">IF(H26+J26&gt;$P$5,ROUND((H26+J26-$P$5)*$P$6+($P$5-$P$3)*$P$4,0),IF(H26+J26&gt;$P$3,ROUND((H26+J26-$P$3)*$P$4,0),0))</f>
        <v>50000</v>
      </c>
      <c r="L26" s="22" t="n">
        <f aca="false">H26+J26-K26</f>
        <v>10950000</v>
      </c>
      <c r="M26" s="21" t="n">
        <f aca="false">RANK(L26,$L$2:$L$29,0)</f>
        <v>14</v>
      </c>
    </row>
    <row r="27" customFormat="false" ht="15" hidden="false" customHeight="false" outlineLevel="0" collapsed="false">
      <c r="A27" s="17" t="n">
        <v>26</v>
      </c>
      <c r="B27" s="18" t="s">
        <v>127</v>
      </c>
      <c r="C27" s="18" t="s">
        <v>109</v>
      </c>
      <c r="D27" s="19" t="n">
        <v>45602</v>
      </c>
      <c r="E27" s="20" t="n">
        <v>7500000</v>
      </c>
      <c r="F27" s="17" t="n">
        <v>61</v>
      </c>
      <c r="G27" s="21" t="n">
        <f aca="false">DATEDIF(D27,$P$2,"m")</f>
        <v>24</v>
      </c>
      <c r="H27" s="22" t="n">
        <f aca="false">IF(G27&gt;=12,E27,ROUND(E27*G27/12,0))</f>
        <v>7500000</v>
      </c>
      <c r="I27" s="23" t="n">
        <f aca="false">VLOOKUP(F27,Acuan!$A$2:$D$6,4,TRUE())</f>
        <v>0.25</v>
      </c>
      <c r="J27" s="22" t="n">
        <f aca="false">ROUND(E27*I27,0)</f>
        <v>1875000</v>
      </c>
      <c r="K27" s="22" t="n">
        <f aca="false">IF(H27+J27&gt;$P$5,ROUND((H27+J27-$P$5)*$P$6+($P$5-$P$3)*$P$4,0),IF(H27+J27&gt;$P$3,ROUND((H27+J27-$P$3)*$P$4,0),0))</f>
        <v>0</v>
      </c>
      <c r="L27" s="22" t="n">
        <f aca="false">H27+J27-K27</f>
        <v>9375000</v>
      </c>
      <c r="M27" s="21" t="n">
        <f aca="false">RANK(L27,$L$2:$L$29,0)</f>
        <v>18</v>
      </c>
    </row>
    <row r="28" customFormat="false" ht="15" hidden="false" customHeight="false" outlineLevel="0" collapsed="false">
      <c r="A28" s="17" t="n">
        <v>27</v>
      </c>
      <c r="B28" s="18" t="s">
        <v>128</v>
      </c>
      <c r="C28" s="18" t="s">
        <v>91</v>
      </c>
      <c r="D28" s="19" t="n">
        <v>44845</v>
      </c>
      <c r="E28" s="20" t="n">
        <v>9500000</v>
      </c>
      <c r="F28" s="17" t="n">
        <v>76</v>
      </c>
      <c r="G28" s="21" t="n">
        <f aca="false">DATEDIF(D28,$P$2,"m")</f>
        <v>49</v>
      </c>
      <c r="H28" s="22" t="n">
        <f aca="false">IF(G28&gt;=12,E28,ROUND(E28*G28/12,0))</f>
        <v>9500000</v>
      </c>
      <c r="I28" s="23" t="n">
        <f aca="false">VLOOKUP(F28,Acuan!$A$2:$D$6,4,TRUE())</f>
        <v>0.5</v>
      </c>
      <c r="J28" s="22" t="n">
        <f aca="false">ROUND(E28*I28,0)</f>
        <v>4750000</v>
      </c>
      <c r="K28" s="22" t="n">
        <f aca="false">IF(H28+J28&gt;$P$5,ROUND((H28+J28-$P$5)*$P$6+($P$5-$P$3)*$P$4,0),IF(H28+J28&gt;$P$3,ROUND((H28+J28-$P$3)*$P$4,0),0))</f>
        <v>212500</v>
      </c>
      <c r="L28" s="22" t="n">
        <f aca="false">H28+J28-K28</f>
        <v>14037500</v>
      </c>
      <c r="M28" s="21" t="n">
        <f aca="false">RANK(L28,$L$2:$L$29,0)</f>
        <v>10</v>
      </c>
    </row>
    <row r="29" customFormat="false" ht="15" hidden="false" customHeight="false" outlineLevel="0" collapsed="false">
      <c r="A29" s="17" t="n">
        <v>28</v>
      </c>
      <c r="B29" s="18" t="s">
        <v>129</v>
      </c>
      <c r="C29" s="18" t="s">
        <v>101</v>
      </c>
      <c r="D29" s="19" t="n">
        <v>43566</v>
      </c>
      <c r="E29" s="20" t="n">
        <v>4500000</v>
      </c>
      <c r="F29" s="17" t="n">
        <v>77</v>
      </c>
      <c r="G29" s="21" t="n">
        <f aca="false">DATEDIF(D29,$P$2,"m")</f>
        <v>91</v>
      </c>
      <c r="H29" s="22" t="n">
        <f aca="false">IF(G29&gt;=12,E29,ROUND(E29*G29/12,0))</f>
        <v>4500000</v>
      </c>
      <c r="I29" s="23" t="n">
        <f aca="false">VLOOKUP(F29,Acuan!$A$2:$D$6,4,TRUE())</f>
        <v>0.5</v>
      </c>
      <c r="J29" s="22" t="n">
        <f aca="false">ROUND(E29*I29,0)</f>
        <v>2250000</v>
      </c>
      <c r="K29" s="22" t="n">
        <f aca="false">IF(H29+J29&gt;$P$5,ROUND((H29+J29-$P$5)*$P$6+($P$5-$P$3)*$P$4,0),IF(H29+J29&gt;$P$3,ROUND((H29+J29-$P$3)*$P$4,0),0))</f>
        <v>0</v>
      </c>
      <c r="L29" s="22" t="n">
        <f aca="false">H29+J29-K29</f>
        <v>6750000</v>
      </c>
      <c r="M29" s="21" t="n">
        <f aca="false">RANK(L29,$L$2:$L$29,0)</f>
        <v>24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4"/>
    <col collapsed="false" customWidth="true" hidden="false" outlineLevel="0" max="4" min="4" style="0" width="12"/>
    <col collapsed="false" customWidth="true" hidden="false" outlineLevel="0" max="5" min="5" style="0" width="14"/>
  </cols>
  <sheetData>
    <row r="1" customFormat="false" ht="33.75" hidden="false" customHeight="true" outlineLevel="0" collapsed="false">
      <c r="A1" s="11" t="s">
        <v>130</v>
      </c>
      <c r="B1" s="11" t="s">
        <v>131</v>
      </c>
      <c r="C1" s="11" t="s">
        <v>132</v>
      </c>
      <c r="D1" s="11" t="s">
        <v>82</v>
      </c>
      <c r="E1" s="15" t="s">
        <v>133</v>
      </c>
    </row>
    <row r="2" customFormat="false" ht="15" hidden="false" customHeight="false" outlineLevel="0" collapsed="false">
      <c r="A2" s="17" t="n">
        <v>0</v>
      </c>
      <c r="B2" s="17" t="n">
        <v>59</v>
      </c>
      <c r="C2" s="18" t="s">
        <v>134</v>
      </c>
      <c r="D2" s="28" t="n">
        <v>0</v>
      </c>
      <c r="E2" s="21" t="n">
        <f aca="false">COUNTIFS(Data!$F$2:$F$29,"&gt;="&amp;A2,Data!$F$2:$F$29,"&lt;="&amp;B2)</f>
        <v>6</v>
      </c>
    </row>
    <row r="3" customFormat="false" ht="15" hidden="false" customHeight="false" outlineLevel="0" collapsed="false">
      <c r="A3" s="17" t="n">
        <v>60</v>
      </c>
      <c r="B3" s="17" t="n">
        <v>69</v>
      </c>
      <c r="C3" s="18" t="s">
        <v>135</v>
      </c>
      <c r="D3" s="28" t="n">
        <v>0.25</v>
      </c>
      <c r="E3" s="21" t="n">
        <f aca="false">COUNTIFS(Data!$F$2:$F$29,"&gt;="&amp;A3,Data!$F$2:$F$29,"&lt;="&amp;B3)</f>
        <v>6</v>
      </c>
    </row>
    <row r="4" customFormat="false" ht="15" hidden="false" customHeight="false" outlineLevel="0" collapsed="false">
      <c r="A4" s="17" t="n">
        <v>70</v>
      </c>
      <c r="B4" s="17" t="n">
        <v>79</v>
      </c>
      <c r="C4" s="18" t="s">
        <v>136</v>
      </c>
      <c r="D4" s="28" t="n">
        <v>0.5</v>
      </c>
      <c r="E4" s="21" t="n">
        <f aca="false">COUNTIFS(Data!$F$2:$F$29,"&gt;="&amp;A4,Data!$F$2:$F$29,"&lt;="&amp;B4)</f>
        <v>5</v>
      </c>
    </row>
    <row r="5" customFormat="false" ht="15" hidden="false" customHeight="false" outlineLevel="0" collapsed="false">
      <c r="A5" s="17" t="n">
        <v>80</v>
      </c>
      <c r="B5" s="17" t="n">
        <v>89</v>
      </c>
      <c r="C5" s="18" t="s">
        <v>137</v>
      </c>
      <c r="D5" s="28" t="n">
        <v>1</v>
      </c>
      <c r="E5" s="21" t="n">
        <f aca="false">COUNTIFS(Data!$F$2:$F$29,"&gt;="&amp;A5,Data!$F$2:$F$29,"&lt;="&amp;B5)</f>
        <v>7</v>
      </c>
    </row>
    <row r="6" customFormat="false" ht="15" hidden="false" customHeight="false" outlineLevel="0" collapsed="false">
      <c r="A6" s="17" t="n">
        <v>90</v>
      </c>
      <c r="B6" s="17" t="n">
        <v>100</v>
      </c>
      <c r="C6" s="18" t="s">
        <v>138</v>
      </c>
      <c r="D6" s="28" t="n">
        <v>1.5</v>
      </c>
      <c r="E6" s="21" t="n">
        <f aca="false">COUNTIFS(Data!$F$2:$F$29,"&gt;="&amp;A6,Data!$F$2:$F$29,"&lt;="&amp;B6)</f>
        <v>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139</v>
      </c>
      <c r="B1" s="29"/>
      <c r="C1" s="29"/>
      <c r="D1" s="29"/>
    </row>
    <row r="2" customFormat="false" ht="15" hidden="false" customHeight="false" outlineLevel="0" collapsed="false">
      <c r="A2" s="30" t="s">
        <v>140</v>
      </c>
      <c r="B2" s="30"/>
      <c r="C2" s="30"/>
      <c r="D2" s="30"/>
    </row>
    <row r="3" customFormat="false" ht="15" hidden="false" customHeight="false" outlineLevel="0" collapsed="false">
      <c r="A3" s="11" t="s">
        <v>19</v>
      </c>
      <c r="B3" s="11" t="s">
        <v>141</v>
      </c>
      <c r="C3" s="11" t="s">
        <v>142</v>
      </c>
      <c r="D3" s="11" t="s">
        <v>143</v>
      </c>
    </row>
    <row r="4" customFormat="false" ht="15" hidden="false" customHeight="false" outlineLevel="0" collapsed="false">
      <c r="A4" s="31" t="s">
        <v>144</v>
      </c>
      <c r="B4" s="32" t="s">
        <v>145</v>
      </c>
      <c r="C4" s="22" t="n">
        <f aca="false">SUM(Data!$H$2:$H$29)</f>
        <v>208791667</v>
      </c>
      <c r="D4" s="33" t="s">
        <v>146</v>
      </c>
    </row>
    <row r="5" customFormat="false" ht="15" hidden="false" customHeight="false" outlineLevel="0" collapsed="false">
      <c r="A5" s="31" t="s">
        <v>147</v>
      </c>
      <c r="B5" s="32" t="s">
        <v>148</v>
      </c>
      <c r="C5" s="22" t="n">
        <f aca="false">SUM(Data!$J$2:$J$29)</f>
        <v>144250000</v>
      </c>
      <c r="D5" s="33" t="s">
        <v>149</v>
      </c>
    </row>
    <row r="6" customFormat="false" ht="15" hidden="false" customHeight="false" outlineLevel="0" collapsed="false">
      <c r="A6" s="31" t="s">
        <v>150</v>
      </c>
      <c r="B6" s="32" t="s">
        <v>151</v>
      </c>
      <c r="C6" s="22" t="n">
        <f aca="false">SUM(Data!$K$2:$K$29)</f>
        <v>5541667</v>
      </c>
      <c r="D6" s="33" t="s">
        <v>152</v>
      </c>
    </row>
    <row r="7" customFormat="false" ht="15" hidden="false" customHeight="false" outlineLevel="0" collapsed="false">
      <c r="A7" s="31" t="s">
        <v>153</v>
      </c>
      <c r="B7" s="32" t="s">
        <v>154</v>
      </c>
      <c r="C7" s="22" t="n">
        <f aca="false">SUM(Data!$L$2:$L$29)</f>
        <v>347500000</v>
      </c>
      <c r="D7" s="33" t="s">
        <v>155</v>
      </c>
    </row>
    <row r="8" customFormat="false" ht="15" hidden="false" customHeight="false" outlineLevel="0" collapsed="false">
      <c r="A8" s="31" t="s">
        <v>156</v>
      </c>
      <c r="B8" s="32" t="s">
        <v>157</v>
      </c>
      <c r="C8" s="21" t="n">
        <f aca="false">COUNTIF(Data!$G$2:$G$29,"&lt;12")</f>
        <v>5</v>
      </c>
      <c r="D8" s="33" t="s">
        <v>158</v>
      </c>
    </row>
    <row r="9" customFormat="false" ht="15" hidden="false" customHeight="false" outlineLevel="0" collapsed="false">
      <c r="A9" s="31" t="s">
        <v>159</v>
      </c>
      <c r="B9" s="32" t="s">
        <v>160</v>
      </c>
      <c r="C9" s="21" t="n">
        <f aca="false">COUNTIF(Data!$K$2:$K$29,0)</f>
        <v>12</v>
      </c>
      <c r="D9" s="33" t="s">
        <v>161</v>
      </c>
    </row>
    <row r="10" customFormat="false" ht="15" hidden="false" customHeight="false" outlineLevel="0" collapsed="false">
      <c r="A10" s="31" t="s">
        <v>162</v>
      </c>
      <c r="B10" s="32" t="s">
        <v>163</v>
      </c>
      <c r="C10" s="22" t="n">
        <f aca="false">SUMIF(Data!$C$2:$C$29,"Produksi",Data!$L$2:$L$29)</f>
        <v>57875000</v>
      </c>
      <c r="D10" s="33" t="s">
        <v>164</v>
      </c>
    </row>
    <row r="11" customFormat="false" ht="15" hidden="false" customHeight="false" outlineLevel="0" collapsed="false">
      <c r="A11" s="31" t="s">
        <v>165</v>
      </c>
      <c r="B11" s="32" t="s">
        <v>166</v>
      </c>
      <c r="C11" s="22" t="n">
        <f aca="false">AVERAGEIF(Data!$C$2:$C$29,"Pemasaran",Data!$J$2:$J$29)</f>
        <v>4888888.88888889</v>
      </c>
      <c r="D11" s="33" t="s">
        <v>167</v>
      </c>
    </row>
    <row r="12" customFormat="false" ht="15" hidden="false" customHeight="false" outlineLevel="0" collapsed="false">
      <c r="A12" s="31" t="s">
        <v>168</v>
      </c>
      <c r="B12" s="32" t="s">
        <v>169</v>
      </c>
      <c r="C12" s="34" t="str">
        <f aca="false">INDEX(Data!$B$2:$B$29,MATCH(MAX(Data!$L$2:$L$29),Data!$L$2:$L$29,0))</f>
        <v>Budi Putra</v>
      </c>
      <c r="D12" s="33" t="s">
        <v>170</v>
      </c>
    </row>
    <row r="13" customFormat="false" ht="15" hidden="false" customHeight="false" outlineLevel="0" collapsed="false">
      <c r="A13" s="31" t="s">
        <v>171</v>
      </c>
      <c r="B13" s="32" t="s">
        <v>172</v>
      </c>
      <c r="C13" s="34" t="str">
        <f aca="false">INDEX(Acuan!$C$2:$C$6,MATCH(MAX(Acuan!$E$2:$E$6),Acuan!$E$2:$E$6,0))</f>
        <v>Sangat Baik</v>
      </c>
      <c r="D13" s="33" t="s">
        <v>173</v>
      </c>
    </row>
    <row r="14" customFormat="false" ht="15" hidden="false" customHeight="false" outlineLevel="0" collapsed="false">
      <c r="A14" s="31" t="s">
        <v>174</v>
      </c>
      <c r="B14" s="32" t="s">
        <v>175</v>
      </c>
      <c r="C14" s="21" t="n">
        <f aca="false">COUNTIFS(Data!$C$2:$C$29,"Produksi",Data!$F$2:$F$29,"&gt;=80")</f>
        <v>1</v>
      </c>
      <c r="D14" s="33" t="s">
        <v>176</v>
      </c>
    </row>
    <row r="15" customFormat="false" ht="15" hidden="false" customHeight="false" outlineLevel="0" collapsed="false">
      <c r="A15" s="31" t="s">
        <v>177</v>
      </c>
      <c r="B15" s="32" t="s">
        <v>178</v>
      </c>
      <c r="C15" s="35" t="n">
        <f aca="false">SUM(Data!$J$2:$J$29)/SUM(Data!$H$2:$H$29)</f>
        <v>0.690880062756528</v>
      </c>
      <c r="D15" s="33" t="s">
        <v>179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2026-10-14T23:33:55Z</dcterms:created>
  <dc:creator>PushExcel</dc:creator>
  <dc:description/>
  <dc:language>en-US</dc:language>
  <cp:lastModifiedBy/>
  <dcterms:modified xsi:type="dcterms:W3CDTF">2026-10-14T23:33:55Z</dcterms:modified>
  <cp:revision>0</cp:revision>
  <dc:subject/>
  <dc:title>THR dan Bonus Tahunan Karyawan - Kunci</dc:title>
</cp:coreProperties>
</file>

<file path=docProps/custom.xml><?xml version="1.0" encoding="utf-8"?>
<Properties xmlns="http://schemas.openxmlformats.org/officeDocument/2006/custom-properties" xmlns:vt="http://schemas.openxmlformats.org/officeDocument/2006/docPropsVTypes"/>
</file>