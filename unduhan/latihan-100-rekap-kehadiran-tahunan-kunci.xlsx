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<sst xmlns="http://schemas.openxmlformats.org/spreadsheetml/2006/main" count="226" uniqueCount="198">
  <si>
    <t xml:space="preserve">Kunci Jawaban: Rekap Kehadiran Pegawai Setahun</t>
  </si>
  <si>
    <t xml:space="preserve">Latihan 100 dari 40  |  Tingkat: Lanjutan  |  Perkiraan waktu: 65 menit  |  pushexcel.github.io/Pushexcel</t>
  </si>
  <si>
    <t xml:space="preserve">Skenario</t>
  </si>
  <si>
    <t xml:space="preserve">Kamu staf SDM CV Mitra Karya Abadi yang merekap kehadiran 25 pegawai selama 12 bulan (Januari sampai Desember). Setiap bulan ada 22 hari kerja, dan data berisi jumlah hari hadir tiap pegawai. Persen kehadiran adalah total hari hadir dibagi total hari kerja setahun (22 hari kali 12 bulan). Status kuartal Baik bila total hadir pada tiga bulan kuartal itu minimal 90 persen dari hari kerjanya, selain itu Kurang. Kategori tahunan: Teladan bila persen kehadiran minimal 95 persen, Baik bila minimal 85 persen, selain itu Perlu Pembinaan (semua batas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</si>
  <si>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</si>
  <si>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</si>
  <si>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</si>
  <si>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</si>
  <si>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</si>
  <si>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</si>
  <si>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</si>
  <si>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</si>
  <si>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</si>
  <si>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</si>
  <si>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</si>
  <si>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</si>
  <si>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</si>
  <si>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</si>
  <si>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</si>
  <si>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</si>
  <si>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</si>
  <si>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</si>
  <si>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</si>
  <si>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</si>
  <si>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total hari hadir setahun tiap pegawai (Januari sampai Desember).</t>
  </si>
  <si>
    <t xml:space="preserve">Sheet Data, kolom O (Total Hadir), baris 2 sampai 26</t>
  </si>
  <si>
    <t xml:space="preserve">=SUM(C2:N2)</t>
  </si>
  <si>
    <t xml:space="preserve">2</t>
  </si>
  <si>
    <t xml:space="preserve">Hitung rata-rata hari hadir per bulan tiap pegawai.</t>
  </si>
  <si>
    <t xml:space="preserve">Sheet Data, kolom P (Rata-rata Bulanan), baris 2 sampai 26</t>
  </si>
  <si>
    <t xml:space="preserve">=AVERAGE(C2:N2)</t>
  </si>
  <si>
    <t xml:space="preserve">3</t>
  </si>
  <si>
    <t xml:space="preserve">Cari nomor bulan (1 sampai 12) saat tiap pegawai paling sedikit hadir. Tidak ada pegawai yang punya dua bulan terendah sama.</t>
  </si>
  <si>
    <t xml:space="preserve">Sheet Data, kolom Q (Bulan Terendah), baris 2 sampai 26</t>
  </si>
  <si>
    <t xml:space="preserve">=MATCH(MIN(C2:N2);C2:N2;0)</t>
  </si>
  <si>
    <t xml:space="preserve">4</t>
  </si>
  <si>
    <t xml:space="preserve">Hitung persen kehadiran: total hadir dibagi hari kerja setahun (hari kerja per bulan kali 12).</t>
  </si>
  <si>
    <t xml:space="preserve">Sheet Data, kolom R (Persen Kehadiran), baris 2 sampai 26</t>
  </si>
  <si>
    <t xml:space="preserve">=O2/($Z$2*12)</t>
  </si>
  <si>
    <t xml:space="preserve">5</t>
  </si>
  <si>
    <t xml:space="preserve">Beri status kuartal 1 (Januari sampai Maret): Baik bila total hadir dibagi hari kerja tiga bulan minimal batas hadir kuartal, selain itu Kurang.</t>
  </si>
  <si>
    <t xml:space="preserve">Sheet Data, kolom S (Status K1), baris 2 sampai 26</t>
  </si>
  <si>
    <t xml:space="preserve">=IF(SUM(C2:E2)/(3*$Z$2)&gt;=$Z$3;"Baik";"Kurang")</t>
  </si>
  <si>
    <t xml:space="preserve">6</t>
  </si>
  <si>
    <t xml:space="preserve">Beri status kuartal 2 (April sampai Juni) dengan aturan yang sama.</t>
  </si>
  <si>
    <t xml:space="preserve">Sheet Data, kolom T (Status K2), baris 2 sampai 26</t>
  </si>
  <si>
    <t xml:space="preserve">=IF(SUM(F2:H2)/(3*$Z$2)&gt;=$Z$3;"Baik";"Kurang")</t>
  </si>
  <si>
    <t xml:space="preserve">7</t>
  </si>
  <si>
    <t xml:space="preserve">Beri status kuartal 3 (Juli sampai September) dengan aturan yang sama.</t>
  </si>
  <si>
    <t xml:space="preserve">Sheet Data, kolom U (Status K3), baris 2 sampai 26</t>
  </si>
  <si>
    <t xml:space="preserve">=IF(SUM(I2:K2)/(3*$Z$2)&gt;=$Z$3;"Baik";"Kurang")</t>
  </si>
  <si>
    <t xml:space="preserve">8</t>
  </si>
  <si>
    <t xml:space="preserve">Beri status kuartal 4 (Oktober sampai Desember) dengan aturan yang sama.</t>
  </si>
  <si>
    <t xml:space="preserve">Sheet Data, kolom V (Status K4), baris 2 sampai 26</t>
  </si>
  <si>
    <t xml:space="preserve">=IF(SUM(L2:N2)/(3*$Z$2)&gt;=$Z$3;"Baik";"Kurang")</t>
  </si>
  <si>
    <t xml:space="preserve">9</t>
  </si>
  <si>
    <t xml:space="preserve">Tentukan kategori: Teladan bila persen kehadiran minimal batas teladan, Baik bila minimal batas baik, selain itu Perlu Pembinaan.</t>
  </si>
  <si>
    <t xml:space="preserve">Sheet Data, kolom W (Kategori Tahunan), baris 2 sampai 26</t>
  </si>
  <si>
    <t xml:space="preserve">=IF(R2&gt;=$Z$4;"Teladan";IF(R2&gt;=$Z$5;"Baik";"Perlu Pembinaan"))</t>
  </si>
  <si>
    <t xml:space="preserve">10</t>
  </si>
  <si>
    <t xml:space="preserve">Pada sheet Acuan, hitung jumlah pegawai tiap divisi.</t>
  </si>
  <si>
    <t xml:space="preserve">Sheet Acuan, kolom B (Jumlah Pegawai), baris 2 sampai 5</t>
  </si>
  <si>
    <t xml:space="preserve">=COUNTIF(Data!$B$2:$B$26;A2)</t>
  </si>
  <si>
    <t xml:space="preserve">11</t>
  </si>
  <si>
    <t xml:space="preserve">Pada sheet Acuan, hitung rata-rata persen kehadiran pegawai tiap divisi.</t>
  </si>
  <si>
    <t xml:space="preserve">Sheet Acuan, kolom C (Rata-rata Persen Kehadiran), baris 2 sampai 5</t>
  </si>
  <si>
    <t xml:space="preserve">=AVERAGEIF(Data!$B$2:$B$26;A2;Data!$R$2:$R$26)</t>
  </si>
  <si>
    <t xml:space="preserve">12</t>
  </si>
  <si>
    <t xml:space="preserve">Berapa total hari hadir seluruh pegawai, berapa rata-rata total hadir per pegawai, dan berapa persen kehadiran seluruh pegawai?</t>
  </si>
  <si>
    <t xml:space="preserve">Sheet Ringkasan, sel C4 sampai C6</t>
  </si>
  <si>
    <t xml:space="preserve">=SUM(Data!$O$2:$O$26)
=AVERAGE(Data!$O$2:$O$26)
=C4/(COUNTA(Data!$A$2:$A$26)*Data!$Z$2*12)</t>
  </si>
  <si>
    <t xml:space="preserve">13</t>
  </si>
  <si>
    <t xml:space="preserve">Siapa pegawai dengan persen kehadiran tertinggi, dan siapa yang terendah?</t>
  </si>
  <si>
    <t xml:space="preserve">Sheet Ringkasan, sel C7 sampai C8</t>
  </si>
  <si>
    <t xml:space="preserve">=INDEX(Data!$A$2:$A$26;MATCH(MAX(Data!$R$2:$R$26);Data!$R$2:$R$26;0))
=INDEX(Data!$A$2:$A$26;MATCH(MIN(Data!$R$2:$R$26);Data!$R$2:$R$26;0))</t>
  </si>
  <si>
    <t xml:space="preserve">14</t>
  </si>
  <si>
    <t xml:space="preserve">Berapa pegawai yang berstatus Baik pada kuartal 1, 2, 3, dan 4?</t>
  </si>
  <si>
    <t xml:space="preserve">Sheet Ringkasan, sel C9 sampai C12</t>
  </si>
  <si>
    <t xml:space="preserve">=COUNTIF(Data!$S$2:$S$26;"Baik")
=COUNTIF(Data!$T$2:$T$26;"Baik")
=COUNTIF(Data!$U$2:$U$26;"Baik")
=COUNTIF(Data!$V$2:$V$26;"Baik")</t>
  </si>
  <si>
    <t xml:space="preserve">15</t>
  </si>
  <si>
    <t xml:space="preserve">Berapa pegawai berkategori Teladan, Baik, dan Perlu Pembinaan?</t>
  </si>
  <si>
    <t xml:space="preserve">Sheet Ringkasan, sel C13 sampai C15</t>
  </si>
  <si>
    <t xml:space="preserve">=COUNTIF(Data!$W$2:$W$26;"Teladan")
=COUNTIF(Data!$W$2:$W$26;"Baik")
=COUNTIF(Data!$W$2:$W$26;"Perlu Pembinaan")</t>
  </si>
  <si>
    <t xml:space="preserve">16</t>
  </si>
  <si>
    <t xml:space="preserve">Divisi apa yang rata-rata persen kehadirannya tertinggi, berapa total hari hadir pegawai Gudang, dan berapa pegawai yang bulan terendahnya Desember (bulan ke-12)?</t>
  </si>
  <si>
    <t xml:space="preserve">Sheet Ringkasan, sel C16 sampai C18</t>
  </si>
  <si>
    <t xml:space="preserve">=INDEX(Acuan!$A$2:$A$5;MATCH(MAX(Acuan!$C$2:$C$5);Acuan!$C$2:$C$5;0))
=SUMIF(Data!$B$2:$B$26;"Gudang";Data!$O$2:$O$26)
=COUNTIF(Data!$Q$2:$Q$26;12)</t>
  </si>
  <si>
    <t xml:space="preserve">Nama</t>
  </si>
  <si>
    <t xml:space="preserve">Divisi</t>
  </si>
  <si>
    <t xml:space="preserve">Jan</t>
  </si>
  <si>
    <t xml:space="preserve">Feb</t>
  </si>
  <si>
    <t xml:space="preserve">Mar</t>
  </si>
  <si>
    <t xml:space="preserve">Apr</t>
  </si>
  <si>
    <t xml:space="preserve">Mei</t>
  </si>
  <si>
    <t xml:space="preserve">Jun</t>
  </si>
  <si>
    <t xml:space="preserve">Jul</t>
  </si>
  <si>
    <t xml:space="preserve">Agu</t>
  </si>
  <si>
    <t xml:space="preserve">Sep</t>
  </si>
  <si>
    <t xml:space="preserve">Okt</t>
  </si>
  <si>
    <t xml:space="preserve">Nov</t>
  </si>
  <si>
    <t xml:space="preserve">Des</t>
  </si>
  <si>
    <t xml:space="preserve">Total Hadir</t>
  </si>
  <si>
    <t xml:space="preserve">Rata-rata Bulanan</t>
  </si>
  <si>
    <t xml:space="preserve">Bulan Terendah</t>
  </si>
  <si>
    <t xml:space="preserve">Persen Kehadiran</t>
  </si>
  <si>
    <t xml:space="preserve">Status K1</t>
  </si>
  <si>
    <t xml:space="preserve">Status K2</t>
  </si>
  <si>
    <t xml:space="preserve">Status K3</t>
  </si>
  <si>
    <t xml:space="preserve">Status K4</t>
  </si>
  <si>
    <t xml:space="preserve">Kategori Tahunan</t>
  </si>
  <si>
    <t xml:space="preserve">Parameter</t>
  </si>
  <si>
    <t xml:space="preserve">Nilai</t>
  </si>
  <si>
    <t xml:space="preserve">Keterangan</t>
  </si>
  <si>
    <t xml:space="preserve">Edi Putra</t>
  </si>
  <si>
    <t xml:space="preserve">Gudang</t>
  </si>
  <si>
    <t xml:space="preserve">Hari kerja per bulan</t>
  </si>
  <si>
    <t xml:space="preserve">Sari Maharani</t>
  </si>
  <si>
    <t xml:space="preserve">Produksi</t>
  </si>
  <si>
    <t xml:space="preserve">Batas hadir kuartal</t>
  </si>
  <si>
    <t xml:space="preserve">Minimal persen hadir per kuartal untuk status Baik</t>
  </si>
  <si>
    <t xml:space="preserve">Mulyadi Setiawan</t>
  </si>
  <si>
    <t xml:space="preserve">Pemasaran</t>
  </si>
  <si>
    <t xml:space="preserve">Batas teladan</t>
  </si>
  <si>
    <t xml:space="preserve">Lina Fauzi</t>
  </si>
  <si>
    <t xml:space="preserve">Administrasi</t>
  </si>
  <si>
    <t xml:space="preserve">Batas baik</t>
  </si>
  <si>
    <t xml:space="preserve">Citra Fauzi</t>
  </si>
  <si>
    <t xml:space="preserve">Tono Yulianto</t>
  </si>
  <si>
    <t xml:space="preserve">Joko Fauzi</t>
  </si>
  <si>
    <t xml:space="preserve">Tika Kurniawan</t>
  </si>
  <si>
    <t xml:space="preserve">Umar Suryani</t>
  </si>
  <si>
    <t xml:space="preserve">Rizki Syahputra</t>
  </si>
  <si>
    <t xml:space="preserve">Lina Hartono</t>
  </si>
  <si>
    <t xml:space="preserve">Zainal Yulianto</t>
  </si>
  <si>
    <t xml:space="preserve">Nurul Anggraini</t>
  </si>
  <si>
    <t xml:space="preserve">Dimas Syahputra</t>
  </si>
  <si>
    <t xml:space="preserve">Oki Putra</t>
  </si>
  <si>
    <t xml:space="preserve">Bambang Ramadhan</t>
  </si>
  <si>
    <t xml:space="preserve">Dian Handayani</t>
  </si>
  <si>
    <t xml:space="preserve">Mulyadi Amalia</t>
  </si>
  <si>
    <t xml:space="preserve">Fitri Anggraini</t>
  </si>
  <si>
    <t xml:space="preserve">Wahyu Pratama</t>
  </si>
  <si>
    <t xml:space="preserve">Dewi Sari</t>
  </si>
  <si>
    <t xml:space="preserve">Prasetyo Wibowo</t>
  </si>
  <si>
    <t xml:space="preserve">Nurul Purnomo</t>
  </si>
  <si>
    <t xml:space="preserve">Eka Kusuma</t>
  </si>
  <si>
    <t xml:space="preserve">Rina Hidayat</t>
  </si>
  <si>
    <t xml:space="preserve">Jumlah Pegawai</t>
  </si>
  <si>
    <t xml:space="preserve">Rata-rata Persen Kehadiran</t>
  </si>
  <si>
    <t xml:space="preserve">Ringkasan: lembar jawaban soal berjenis ringkasan</t>
  </si>
  <si>
    <t xml:space="preserve">Sel hijau berisi rumus kunci.</t>
  </si>
  <si>
    <t xml:space="preserve">Pertanyaan</t>
  </si>
  <si>
    <t xml:space="preserve">Jawaban</t>
  </si>
  <si>
    <t xml:space="preserve">Contoh format hasil</t>
  </si>
  <si>
    <t xml:space="preserve">12a</t>
  </si>
  <si>
    <t xml:space="preserve">Total hari hadir seluruh pegawai</t>
  </si>
  <si>
    <t xml:space="preserve">Angka bulat, mis. 5.000</t>
  </si>
  <si>
    <t xml:space="preserve">12b</t>
  </si>
  <si>
    <t xml:space="preserve">Rata-rata total hadir per pegawai</t>
  </si>
  <si>
    <t xml:space="preserve">Angka desimal, mis. 240,5</t>
  </si>
  <si>
    <t xml:space="preserve">12c</t>
  </si>
  <si>
    <t xml:space="preserve">Persen kehadiran seluruh pegawai</t>
  </si>
  <si>
    <t xml:space="preserve">Persen, mis. 90,5%</t>
  </si>
  <si>
    <t xml:space="preserve">13a</t>
  </si>
  <si>
    <t xml:space="preserve">Pegawai dengan kehadiran tertinggi</t>
  </si>
  <si>
    <t xml:space="preserve">Teks: nama pegawai</t>
  </si>
  <si>
    <t xml:space="preserve">13b</t>
  </si>
  <si>
    <t xml:space="preserve">Pegawai dengan kehadiran terendah</t>
  </si>
  <si>
    <t xml:space="preserve">14a</t>
  </si>
  <si>
    <t xml:space="preserve">Baik pada K1</t>
  </si>
  <si>
    <t xml:space="preserve">Angka bulat, mis. 15</t>
  </si>
  <si>
    <t xml:space="preserve">14b</t>
  </si>
  <si>
    <t xml:space="preserve">Baik pada K2</t>
  </si>
  <si>
    <t xml:space="preserve">Angka bulat, mis. 14</t>
  </si>
  <si>
    <t xml:space="preserve">14c</t>
  </si>
  <si>
    <t xml:space="preserve">Baik pada K3</t>
  </si>
  <si>
    <t xml:space="preserve">Angka bulat, mis. 13</t>
  </si>
  <si>
    <t xml:space="preserve">14d</t>
  </si>
  <si>
    <t xml:space="preserve">Baik pada K4</t>
  </si>
  <si>
    <t xml:space="preserve">Angka bulat, mis. 12</t>
  </si>
  <si>
    <t xml:space="preserve">15a</t>
  </si>
  <si>
    <t xml:space="preserve">Pegawai Teladan</t>
  </si>
  <si>
    <t xml:space="preserve">Angka bulat, mis. 8</t>
  </si>
  <si>
    <t xml:space="preserve">15b</t>
  </si>
  <si>
    <t xml:space="preserve">Pegawai Baik</t>
  </si>
  <si>
    <t xml:space="preserve">Angka bulat, mis. 10</t>
  </si>
  <si>
    <t xml:space="preserve">15c</t>
  </si>
  <si>
    <t xml:space="preserve">Pegawai Perlu Pembinaan</t>
  </si>
  <si>
    <t xml:space="preserve">Angka bulat, mis. 9</t>
  </si>
  <si>
    <t xml:space="preserve">16a</t>
  </si>
  <si>
    <t xml:space="preserve">Divisi dengan kehadiran tertinggi</t>
  </si>
  <si>
    <t xml:space="preserve">Teks: nama divisi</t>
  </si>
  <si>
    <t xml:space="preserve">16b</t>
  </si>
  <si>
    <t xml:space="preserve">Total hari hadir divisi Gudang</t>
  </si>
  <si>
    <t xml:space="preserve">Angka bulat, mis. 1.500</t>
  </si>
  <si>
    <t xml:space="preserve">16c</t>
  </si>
  <si>
    <t xml:space="preserve">Pegawai dengan bulan terendah Desember</t>
  </si>
  <si>
    <t xml:space="preserve">Angka bulat, mis. 5</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</si>
</sst>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2"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30" hidden="false" customHeight="true" outlineLevel="0" collapsed="false">
      <c r="A31" s="12" t="s">
        <v>63</v>
      </c>
      <c r="B31" s="13" t="s">
        <v>64</v>
      </c>
      <c r="C31" s="13" t="s">
        <v>65</v>
      </c>
      <c r="D31" s="14" t="s">
        <v>66</v>
      </c>
    </row>
    <row r="32" customFormat="false" ht="69.7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row r="34" customFormat="false" ht="72" hidden="false" customHeight="true" outlineLevel="0" collapsed="false">
      <c r="A34" s="12" t="s">
        <v>75</v>
      </c>
      <c r="B34" s="13" t="s">
        <v>76</v>
      </c>
      <c r="C34" s="13" t="s">
        <v>77</v>
      </c>
      <c r="D34" s="14" t="s">
        <v>78</v>
      </c>
    </row>
    <row r="35" customFormat="false" ht="57.75" hidden="false" customHeight="true" outlineLevel="0" collapsed="false">
      <c r="A35" s="12" t="s">
        <v>79</v>
      </c>
      <c r="B35" s="13" t="s">
        <v>80</v>
      </c>
      <c r="C35" s="13" t="s">
        <v>81</v>
      </c>
      <c r="D35" s="14" t="s">
        <v>82</v>
      </c>
    </row>
    <row r="36" customFormat="false" ht="69.75" hidden="false" customHeight="true" outlineLevel="0" collapsed="false">
      <c r="A36" s="12" t="s">
        <v>83</v>
      </c>
      <c r="B36" s="13" t="s">
        <v>84</v>
      </c>
      <c r="C36" s="13" t="s">
        <v>85</v>
      </c>
      <c r="D36" s="14" t="s">
        <v>86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14" min="3" style="0" width="6"/>
    <col collapsed="false" customWidth="true" hidden="false" outlineLevel="0" max="15" min="15" style="0" width="10"/>
    <col collapsed="false" customWidth="true" hidden="false" outlineLevel="0" max="16" min="16" style="0" width="11"/>
    <col collapsed="false" customWidth="true" hidden="false" outlineLevel="0" max="17" min="17" style="0" width="10"/>
    <col collapsed="false" customWidth="true" hidden="false" outlineLevel="0" max="18" min="18" style="0" width="11"/>
    <col collapsed="false" customWidth="true" hidden="false" outlineLevel="0" max="22" min="19" style="0" width="9"/>
    <col collapsed="false" customWidth="true" hidden="false" outlineLevel="0" max="23" min="23" style="0" width="17"/>
    <col collapsed="false" customWidth="true" hidden="false" outlineLevel="0" max="24" min="24" style="0" width="3"/>
    <col collapsed="false" customWidth="true" hidden="false" outlineLevel="0" max="25" min="25" style="0" width="30"/>
    <col collapsed="false" customWidth="true" hidden="false" outlineLevel="0" max="26" min="26" style="0" width="16"/>
    <col collapsed="false" customWidth="true" hidden="false" outlineLevel="0" max="27" min="27" style="0" width="42"/>
  </cols>
  <sheetData>
    <row r="1" customFormat="false" ht="33.75" hidden="false" customHeight="true" outlineLevel="0" collapsed="false">
      <c r="A1" s="11" t="s">
        <v>87</v>
      </c>
      <c r="B1" s="11" t="s">
        <v>88</v>
      </c>
      <c r="C1" s="11" t="s">
        <v>89</v>
      </c>
      <c r="D1" s="11" t="s">
        <v>90</v>
      </c>
      <c r="E1" s="11" t="s">
        <v>91</v>
      </c>
      <c r="F1" s="11" t="s">
        <v>92</v>
      </c>
      <c r="G1" s="11" t="s">
        <v>93</v>
      </c>
      <c r="H1" s="11" t="s">
        <v>94</v>
      </c>
      <c r="I1" s="11" t="s">
        <v>95</v>
      </c>
      <c r="J1" s="11" t="s">
        <v>96</v>
      </c>
      <c r="K1" s="11" t="s">
        <v>97</v>
      </c>
      <c r="L1" s="11" t="s">
        <v>98</v>
      </c>
      <c r="M1" s="11" t="s">
        <v>99</v>
      </c>
      <c r="N1" s="11" t="s">
        <v>100</v>
      </c>
      <c r="O1" s="15" t="s">
        <v>101</v>
      </c>
      <c r="P1" s="15" t="s">
        <v>102</v>
      </c>
      <c r="Q1" s="15" t="s">
        <v>103</v>
      </c>
      <c r="R1" s="15" t="s">
        <v>104</v>
      </c>
      <c r="S1" s="15" t="s">
        <v>105</v>
      </c>
      <c r="T1" s="15" t="s">
        <v>106</v>
      </c>
      <c r="U1" s="15" t="s">
        <v>107</v>
      </c>
      <c r="V1" s="15" t="s">
        <v>108</v>
      </c>
      <c r="W1" s="15" t="s">
        <v>109</v>
      </c>
      <c r="Y1" s="16" t="s">
        <v>110</v>
      </c>
      <c r="Z1" s="16" t="s">
        <v>111</v>
      </c>
      <c r="AA1" s="16" t="s">
        <v>112</v>
      </c>
    </row>
    <row r="2" customFormat="false" ht="15" hidden="false" customHeight="false" outlineLevel="0" collapsed="false">
      <c r="A2" s="17" t="s">
        <v>113</v>
      </c>
      <c r="B2" s="17" t="s">
        <v>114</v>
      </c>
      <c r="C2" s="18" t="n">
        <v>19</v>
      </c>
      <c r="D2" s="18" t="n">
        <v>20</v>
      </c>
      <c r="E2" s="18" t="n">
        <v>20</v>
      </c>
      <c r="F2" s="18" t="n">
        <v>21</v>
      </c>
      <c r="G2" s="18" t="n">
        <v>19</v>
      </c>
      <c r="H2" s="18" t="n">
        <v>17</v>
      </c>
      <c r="I2" s="18" t="n">
        <v>21</v>
      </c>
      <c r="J2" s="18" t="n">
        <v>19</v>
      </c>
      <c r="K2" s="18" t="n">
        <v>20</v>
      </c>
      <c r="L2" s="18" t="n">
        <v>19</v>
      </c>
      <c r="M2" s="18" t="n">
        <v>19</v>
      </c>
      <c r="N2" s="18" t="n">
        <v>19</v>
      </c>
      <c r="O2" s="19" t="n">
        <f aca="false">SUM(C2:N2)</f>
        <v>233</v>
      </c>
      <c r="P2" s="20" t="n">
        <f aca="false">AVERAGE(C2:N2)</f>
        <v>19.4166666666667</v>
      </c>
      <c r="Q2" s="19" t="n">
        <f aca="false">MATCH(MIN(C2:N2),C2:N2,0)</f>
        <v>6</v>
      </c>
      <c r="R2" s="21" t="n">
        <f aca="false">O2/($Z$2*12)</f>
        <v>0.882575757575758</v>
      </c>
      <c r="S2" s="22" t="str">
        <f aca="false">IF(SUM(C2:E2)/(3*$Z$2)&gt;=$Z$3,"Baik","Kurang")</f>
        <v>Kurang</v>
      </c>
      <c r="T2" s="22" t="str">
        <f aca="false">IF(SUM(F2:H2)/(3*$Z$2)&gt;=$Z$3,"Baik","Kurang")</f>
        <v>Kurang</v>
      </c>
      <c r="U2" s="22" t="str">
        <f aca="false">IF(SUM(I2:K2)/(3*$Z$2)&gt;=$Z$3,"Baik","Kurang")</f>
        <v>Baik</v>
      </c>
      <c r="V2" s="22" t="str">
        <f aca="false">IF(SUM(L2:N2)/(3*$Z$2)&gt;=$Z$3,"Baik","Kurang")</f>
        <v>Kurang</v>
      </c>
      <c r="W2" s="22" t="str">
        <f aca="false">IF(R2&gt;=$Z$4,"Teladan",IF(R2&gt;=$Z$5,"Baik","Perlu Pembinaan"))</f>
        <v>Baik</v>
      </c>
      <c r="Y2" s="23" t="s">
        <v>115</v>
      </c>
      <c r="Z2" s="24" t="n">
        <v>22</v>
      </c>
      <c r="AA2" s="23"/>
    </row>
    <row r="3" customFormat="false" ht="15" hidden="false" customHeight="false" outlineLevel="0" collapsed="false">
      <c r="A3" s="17" t="s">
        <v>116</v>
      </c>
      <c r="B3" s="17" t="s">
        <v>117</v>
      </c>
      <c r="C3" s="18" t="n">
        <v>19</v>
      </c>
      <c r="D3" s="18" t="n">
        <v>15</v>
      </c>
      <c r="E3" s="18" t="n">
        <v>19</v>
      </c>
      <c r="F3" s="18" t="n">
        <v>21</v>
      </c>
      <c r="G3" s="18" t="n">
        <v>20</v>
      </c>
      <c r="H3" s="18" t="n">
        <v>20</v>
      </c>
      <c r="I3" s="18" t="n">
        <v>19</v>
      </c>
      <c r="J3" s="18" t="n">
        <v>20</v>
      </c>
      <c r="K3" s="18" t="n">
        <v>19</v>
      </c>
      <c r="L3" s="18" t="n">
        <v>17</v>
      </c>
      <c r="M3" s="18" t="n">
        <v>19</v>
      </c>
      <c r="N3" s="18" t="n">
        <v>20</v>
      </c>
      <c r="O3" s="19" t="n">
        <f aca="false">SUM(C3:N3)</f>
        <v>228</v>
      </c>
      <c r="P3" s="20" t="n">
        <f aca="false">AVERAGE(C3:N3)</f>
        <v>19</v>
      </c>
      <c r="Q3" s="19" t="n">
        <f aca="false">MATCH(MIN(C3:N3),C3:N3,0)</f>
        <v>2</v>
      </c>
      <c r="R3" s="21" t="n">
        <f aca="false">O3/($Z$2*12)</f>
        <v>0.863636363636364</v>
      </c>
      <c r="S3" s="22" t="str">
        <f aca="false">IF(SUM(C3:E3)/(3*$Z$2)&gt;=$Z$3,"Baik","Kurang")</f>
        <v>Kurang</v>
      </c>
      <c r="T3" s="22" t="str">
        <f aca="false">IF(SUM(F3:H3)/(3*$Z$2)&gt;=$Z$3,"Baik","Kurang")</f>
        <v>Baik</v>
      </c>
      <c r="U3" s="22" t="str">
        <f aca="false">IF(SUM(I3:K3)/(3*$Z$2)&gt;=$Z$3,"Baik","Kurang")</f>
        <v>Kurang</v>
      </c>
      <c r="V3" s="22" t="str">
        <f aca="false">IF(SUM(L3:N3)/(3*$Z$2)&gt;=$Z$3,"Baik","Kurang")</f>
        <v>Kurang</v>
      </c>
      <c r="W3" s="22" t="str">
        <f aca="false">IF(R3&gt;=$Z$4,"Teladan",IF(R3&gt;=$Z$5,"Baik","Perlu Pembinaan"))</f>
        <v>Baik</v>
      </c>
      <c r="Y3" s="23" t="s">
        <v>118</v>
      </c>
      <c r="Z3" s="25" t="n">
        <v>0.9</v>
      </c>
      <c r="AA3" s="23" t="s">
        <v>119</v>
      </c>
    </row>
    <row r="4" customFormat="false" ht="15" hidden="false" customHeight="false" outlineLevel="0" collapsed="false">
      <c r="A4" s="17" t="s">
        <v>120</v>
      </c>
      <c r="B4" s="17" t="s">
        <v>121</v>
      </c>
      <c r="C4" s="18" t="n">
        <v>19</v>
      </c>
      <c r="D4" s="18" t="n">
        <v>18</v>
      </c>
      <c r="E4" s="18" t="n">
        <v>18</v>
      </c>
      <c r="F4" s="18" t="n">
        <v>21</v>
      </c>
      <c r="G4" s="18" t="n">
        <v>19</v>
      </c>
      <c r="H4" s="18" t="n">
        <v>18</v>
      </c>
      <c r="I4" s="18" t="n">
        <v>19</v>
      </c>
      <c r="J4" s="18" t="n">
        <v>20</v>
      </c>
      <c r="K4" s="18" t="n">
        <v>19</v>
      </c>
      <c r="L4" s="18" t="n">
        <v>19</v>
      </c>
      <c r="M4" s="18" t="n">
        <v>18</v>
      </c>
      <c r="N4" s="18" t="n">
        <v>14</v>
      </c>
      <c r="O4" s="19" t="n">
        <f aca="false">SUM(C4:N4)</f>
        <v>222</v>
      </c>
      <c r="P4" s="20" t="n">
        <f aca="false">AVERAGE(C4:N4)</f>
        <v>18.5</v>
      </c>
      <c r="Q4" s="19" t="n">
        <f aca="false">MATCH(MIN(C4:N4),C4:N4,0)</f>
        <v>12</v>
      </c>
      <c r="R4" s="21" t="n">
        <f aca="false">O4/($Z$2*12)</f>
        <v>0.840909090909091</v>
      </c>
      <c r="S4" s="22" t="str">
        <f aca="false">IF(SUM(C4:E4)/(3*$Z$2)&gt;=$Z$3,"Baik","Kurang")</f>
        <v>Kurang</v>
      </c>
      <c r="T4" s="22" t="str">
        <f aca="false">IF(SUM(F4:H4)/(3*$Z$2)&gt;=$Z$3,"Baik","Kurang")</f>
        <v>Kurang</v>
      </c>
      <c r="U4" s="22" t="str">
        <f aca="false">IF(SUM(I4:K4)/(3*$Z$2)&gt;=$Z$3,"Baik","Kurang")</f>
        <v>Kurang</v>
      </c>
      <c r="V4" s="22" t="str">
        <f aca="false">IF(SUM(L4:N4)/(3*$Z$2)&gt;=$Z$3,"Baik","Kurang")</f>
        <v>Kurang</v>
      </c>
      <c r="W4" s="22" t="str">
        <f aca="false">IF(R4&gt;=$Z$4,"Teladan",IF(R4&gt;=$Z$5,"Baik","Perlu Pembinaan"))</f>
        <v>Perlu Pembinaan</v>
      </c>
      <c r="Y4" s="23" t="s">
        <v>122</v>
      </c>
      <c r="Z4" s="25" t="n">
        <v>0.95</v>
      </c>
      <c r="AA4" s="23"/>
    </row>
    <row r="5" customFormat="false" ht="15" hidden="false" customHeight="false" outlineLevel="0" collapsed="false">
      <c r="A5" s="17" t="s">
        <v>123</v>
      </c>
      <c r="B5" s="17" t="s">
        <v>124</v>
      </c>
      <c r="C5" s="18" t="n">
        <v>21</v>
      </c>
      <c r="D5" s="18" t="n">
        <v>20</v>
      </c>
      <c r="E5" s="18" t="n">
        <v>22</v>
      </c>
      <c r="F5" s="18" t="n">
        <v>22</v>
      </c>
      <c r="G5" s="18" t="n">
        <v>22</v>
      </c>
      <c r="H5" s="18" t="n">
        <v>17</v>
      </c>
      <c r="I5" s="18" t="n">
        <v>22</v>
      </c>
      <c r="J5" s="18" t="n">
        <v>22</v>
      </c>
      <c r="K5" s="18" t="n">
        <v>20</v>
      </c>
      <c r="L5" s="18" t="n">
        <v>20</v>
      </c>
      <c r="M5" s="18" t="n">
        <v>22</v>
      </c>
      <c r="N5" s="18" t="n">
        <v>20</v>
      </c>
      <c r="O5" s="19" t="n">
        <f aca="false">SUM(C5:N5)</f>
        <v>250</v>
      </c>
      <c r="P5" s="20" t="n">
        <f aca="false">AVERAGE(C5:N5)</f>
        <v>20.8333333333333</v>
      </c>
      <c r="Q5" s="19" t="n">
        <f aca="false">MATCH(MIN(C5:N5),C5:N5,0)</f>
        <v>6</v>
      </c>
      <c r="R5" s="21" t="n">
        <f aca="false">O5/($Z$2*12)</f>
        <v>0.946969696969697</v>
      </c>
      <c r="S5" s="22" t="str">
        <f aca="false">IF(SUM(C5:E5)/(3*$Z$2)&gt;=$Z$3,"Baik","Kurang")</f>
        <v>Baik</v>
      </c>
      <c r="T5" s="22" t="str">
        <f aca="false">IF(SUM(F5:H5)/(3*$Z$2)&gt;=$Z$3,"Baik","Kurang")</f>
        <v>Baik</v>
      </c>
      <c r="U5" s="22" t="str">
        <f aca="false">IF(SUM(I5:K5)/(3*$Z$2)&gt;=$Z$3,"Baik","Kurang")</f>
        <v>Baik</v>
      </c>
      <c r="V5" s="22" t="str">
        <f aca="false">IF(SUM(L5:N5)/(3*$Z$2)&gt;=$Z$3,"Baik","Kurang")</f>
        <v>Baik</v>
      </c>
      <c r="W5" s="22" t="str">
        <f aca="false">IF(R5&gt;=$Z$4,"Teladan",IF(R5&gt;=$Z$5,"Baik","Perlu Pembinaan"))</f>
        <v>Baik</v>
      </c>
      <c r="Y5" s="23" t="s">
        <v>125</v>
      </c>
      <c r="Z5" s="25" t="n">
        <v>0.85</v>
      </c>
      <c r="AA5" s="23"/>
    </row>
    <row r="6" customFormat="false" ht="15" hidden="false" customHeight="false" outlineLevel="0" collapsed="false">
      <c r="A6" s="17" t="s">
        <v>126</v>
      </c>
      <c r="B6" s="17" t="s">
        <v>114</v>
      </c>
      <c r="C6" s="18" t="n">
        <v>20</v>
      </c>
      <c r="D6" s="18" t="n">
        <v>22</v>
      </c>
      <c r="E6" s="18" t="n">
        <v>22</v>
      </c>
      <c r="F6" s="18" t="n">
        <v>22</v>
      </c>
      <c r="G6" s="18" t="n">
        <v>22</v>
      </c>
      <c r="H6" s="18" t="n">
        <v>21</v>
      </c>
      <c r="I6" s="18" t="n">
        <v>21</v>
      </c>
      <c r="J6" s="18" t="n">
        <v>21</v>
      </c>
      <c r="K6" s="18" t="n">
        <v>22</v>
      </c>
      <c r="L6" s="18" t="n">
        <v>22</v>
      </c>
      <c r="M6" s="18" t="n">
        <v>18</v>
      </c>
      <c r="N6" s="18" t="n">
        <v>20</v>
      </c>
      <c r="O6" s="19" t="n">
        <f aca="false">SUM(C6:N6)</f>
        <v>253</v>
      </c>
      <c r="P6" s="20" t="n">
        <f aca="false">AVERAGE(C6:N6)</f>
        <v>21.0833333333333</v>
      </c>
      <c r="Q6" s="19" t="n">
        <f aca="false">MATCH(MIN(C6:N6),C6:N6,0)</f>
        <v>11</v>
      </c>
      <c r="R6" s="21" t="n">
        <f aca="false">O6/($Z$2*12)</f>
        <v>0.958333333333333</v>
      </c>
      <c r="S6" s="22" t="str">
        <f aca="false">IF(SUM(C6:E6)/(3*$Z$2)&gt;=$Z$3,"Baik","Kurang")</f>
        <v>Baik</v>
      </c>
      <c r="T6" s="22" t="str">
        <f aca="false">IF(SUM(F6:H6)/(3*$Z$2)&gt;=$Z$3,"Baik","Kurang")</f>
        <v>Baik</v>
      </c>
      <c r="U6" s="22" t="str">
        <f aca="false">IF(SUM(I6:K6)/(3*$Z$2)&gt;=$Z$3,"Baik","Kurang")</f>
        <v>Baik</v>
      </c>
      <c r="V6" s="22" t="str">
        <f aca="false">IF(SUM(L6:N6)/(3*$Z$2)&gt;=$Z$3,"Baik","Kurang")</f>
        <v>Baik</v>
      </c>
      <c r="W6" s="22" t="str">
        <f aca="false">IF(R6&gt;=$Z$4,"Teladan",IF(R6&gt;=$Z$5,"Baik","Perlu Pembinaan"))</f>
        <v>Teladan</v>
      </c>
    </row>
    <row r="7" customFormat="false" ht="15" hidden="false" customHeight="false" outlineLevel="0" collapsed="false">
      <c r="A7" s="17" t="s">
        <v>127</v>
      </c>
      <c r="B7" s="17" t="s">
        <v>117</v>
      </c>
      <c r="C7" s="18" t="n">
        <v>19</v>
      </c>
      <c r="D7" s="18" t="n">
        <v>20</v>
      </c>
      <c r="E7" s="18" t="n">
        <v>18</v>
      </c>
      <c r="F7" s="18" t="n">
        <v>19</v>
      </c>
      <c r="G7" s="18" t="n">
        <v>20</v>
      </c>
      <c r="H7" s="18" t="n">
        <v>17</v>
      </c>
      <c r="I7" s="18" t="n">
        <v>18</v>
      </c>
      <c r="J7" s="18" t="n">
        <v>20</v>
      </c>
      <c r="K7" s="18" t="n">
        <v>20</v>
      </c>
      <c r="L7" s="18" t="n">
        <v>20</v>
      </c>
      <c r="M7" s="18" t="n">
        <v>18</v>
      </c>
      <c r="N7" s="18" t="n">
        <v>16</v>
      </c>
      <c r="O7" s="19" t="n">
        <f aca="false">SUM(C7:N7)</f>
        <v>225</v>
      </c>
      <c r="P7" s="20" t="n">
        <f aca="false">AVERAGE(C7:N7)</f>
        <v>18.75</v>
      </c>
      <c r="Q7" s="19" t="n">
        <f aca="false">MATCH(MIN(C7:N7),C7:N7,0)</f>
        <v>12</v>
      </c>
      <c r="R7" s="21" t="n">
        <f aca="false">O7/($Z$2*12)</f>
        <v>0.852272727272727</v>
      </c>
      <c r="S7" s="22" t="str">
        <f aca="false">IF(SUM(C7:E7)/(3*$Z$2)&gt;=$Z$3,"Baik","Kurang")</f>
        <v>Kurang</v>
      </c>
      <c r="T7" s="22" t="str">
        <f aca="false">IF(SUM(F7:H7)/(3*$Z$2)&gt;=$Z$3,"Baik","Kurang")</f>
        <v>Kurang</v>
      </c>
      <c r="U7" s="22" t="str">
        <f aca="false">IF(SUM(I7:K7)/(3*$Z$2)&gt;=$Z$3,"Baik","Kurang")</f>
        <v>Kurang</v>
      </c>
      <c r="V7" s="22" t="str">
        <f aca="false">IF(SUM(L7:N7)/(3*$Z$2)&gt;=$Z$3,"Baik","Kurang")</f>
        <v>Kurang</v>
      </c>
      <c r="W7" s="22" t="str">
        <f aca="false">IF(R7&gt;=$Z$4,"Teladan",IF(R7&gt;=$Z$5,"Baik","Perlu Pembinaan"))</f>
        <v>Baik</v>
      </c>
    </row>
    <row r="8" customFormat="false" ht="15" hidden="false" customHeight="false" outlineLevel="0" collapsed="false">
      <c r="A8" s="17" t="s">
        <v>128</v>
      </c>
      <c r="B8" s="17" t="s">
        <v>124</v>
      </c>
      <c r="C8" s="18" t="n">
        <v>21</v>
      </c>
      <c r="D8" s="18" t="n">
        <v>19</v>
      </c>
      <c r="E8" s="18" t="n">
        <v>22</v>
      </c>
      <c r="F8" s="18" t="n">
        <v>21</v>
      </c>
      <c r="G8" s="18" t="n">
        <v>20</v>
      </c>
      <c r="H8" s="18" t="n">
        <v>21</v>
      </c>
      <c r="I8" s="18" t="n">
        <v>20</v>
      </c>
      <c r="J8" s="18" t="n">
        <v>20</v>
      </c>
      <c r="K8" s="18" t="n">
        <v>19</v>
      </c>
      <c r="L8" s="18" t="n">
        <v>21</v>
      </c>
      <c r="M8" s="18" t="n">
        <v>20</v>
      </c>
      <c r="N8" s="18" t="n">
        <v>15</v>
      </c>
      <c r="O8" s="19" t="n">
        <f aca="false">SUM(C8:N8)</f>
        <v>239</v>
      </c>
      <c r="P8" s="20" t="n">
        <f aca="false">AVERAGE(C8:N8)</f>
        <v>19.9166666666667</v>
      </c>
      <c r="Q8" s="19" t="n">
        <f aca="false">MATCH(MIN(C8:N8),C8:N8,0)</f>
        <v>12</v>
      </c>
      <c r="R8" s="21" t="n">
        <f aca="false">O8/($Z$2*12)</f>
        <v>0.90530303030303</v>
      </c>
      <c r="S8" s="22" t="str">
        <f aca="false">IF(SUM(C8:E8)/(3*$Z$2)&gt;=$Z$3,"Baik","Kurang")</f>
        <v>Baik</v>
      </c>
      <c r="T8" s="22" t="str">
        <f aca="false">IF(SUM(F8:H8)/(3*$Z$2)&gt;=$Z$3,"Baik","Kurang")</f>
        <v>Baik</v>
      </c>
      <c r="U8" s="22" t="str">
        <f aca="false">IF(SUM(I8:K8)/(3*$Z$2)&gt;=$Z$3,"Baik","Kurang")</f>
        <v>Kurang</v>
      </c>
      <c r="V8" s="22" t="str">
        <f aca="false">IF(SUM(L8:N8)/(3*$Z$2)&gt;=$Z$3,"Baik","Kurang")</f>
        <v>Kurang</v>
      </c>
      <c r="W8" s="22" t="str">
        <f aca="false">IF(R8&gt;=$Z$4,"Teladan",IF(R8&gt;=$Z$5,"Baik","Perlu Pembinaan"))</f>
        <v>Baik</v>
      </c>
    </row>
    <row r="9" customFormat="false" ht="15" hidden="false" customHeight="false" outlineLevel="0" collapsed="false">
      <c r="A9" s="17" t="s">
        <v>129</v>
      </c>
      <c r="B9" s="17" t="s">
        <v>114</v>
      </c>
      <c r="C9" s="18" t="n">
        <v>18</v>
      </c>
      <c r="D9" s="18" t="n">
        <v>13</v>
      </c>
      <c r="E9" s="18" t="n">
        <v>17</v>
      </c>
      <c r="F9" s="18" t="n">
        <v>17</v>
      </c>
      <c r="G9" s="18" t="n">
        <v>18</v>
      </c>
      <c r="H9" s="18" t="n">
        <v>19</v>
      </c>
      <c r="I9" s="18" t="n">
        <v>18</v>
      </c>
      <c r="J9" s="18" t="n">
        <v>15</v>
      </c>
      <c r="K9" s="18" t="n">
        <v>18</v>
      </c>
      <c r="L9" s="18" t="n">
        <v>18</v>
      </c>
      <c r="M9" s="18" t="n">
        <v>18</v>
      </c>
      <c r="N9" s="18" t="n">
        <v>18</v>
      </c>
      <c r="O9" s="19" t="n">
        <f aca="false">SUM(C9:N9)</f>
        <v>207</v>
      </c>
      <c r="P9" s="20" t="n">
        <f aca="false">AVERAGE(C9:N9)</f>
        <v>17.25</v>
      </c>
      <c r="Q9" s="19" t="n">
        <f aca="false">MATCH(MIN(C9:N9),C9:N9,0)</f>
        <v>2</v>
      </c>
      <c r="R9" s="21" t="n">
        <f aca="false">O9/($Z$2*12)</f>
        <v>0.784090909090909</v>
      </c>
      <c r="S9" s="22" t="str">
        <f aca="false">IF(SUM(C9:E9)/(3*$Z$2)&gt;=$Z$3,"Baik","Kurang")</f>
        <v>Kurang</v>
      </c>
      <c r="T9" s="22" t="str">
        <f aca="false">IF(SUM(F9:H9)/(3*$Z$2)&gt;=$Z$3,"Baik","Kurang")</f>
        <v>Kurang</v>
      </c>
      <c r="U9" s="22" t="str">
        <f aca="false">IF(SUM(I9:K9)/(3*$Z$2)&gt;=$Z$3,"Baik","Kurang")</f>
        <v>Kurang</v>
      </c>
      <c r="V9" s="22" t="str">
        <f aca="false">IF(SUM(L9:N9)/(3*$Z$2)&gt;=$Z$3,"Baik","Kurang")</f>
        <v>Kurang</v>
      </c>
      <c r="W9" s="22" t="str">
        <f aca="false">IF(R9&gt;=$Z$4,"Teladan",IF(R9&gt;=$Z$5,"Baik","Perlu Pembinaan"))</f>
        <v>Perlu Pembinaan</v>
      </c>
    </row>
    <row r="10" customFormat="false" ht="15" hidden="false" customHeight="false" outlineLevel="0" collapsed="false">
      <c r="A10" s="17" t="s">
        <v>130</v>
      </c>
      <c r="B10" s="17" t="s">
        <v>114</v>
      </c>
      <c r="C10" s="18" t="n">
        <v>18</v>
      </c>
      <c r="D10" s="18" t="n">
        <v>16</v>
      </c>
      <c r="E10" s="18" t="n">
        <v>20</v>
      </c>
      <c r="F10" s="18" t="n">
        <v>18</v>
      </c>
      <c r="G10" s="18" t="n">
        <v>19</v>
      </c>
      <c r="H10" s="18" t="n">
        <v>19</v>
      </c>
      <c r="I10" s="18" t="n">
        <v>18</v>
      </c>
      <c r="J10" s="18" t="n">
        <v>19</v>
      </c>
      <c r="K10" s="18" t="n">
        <v>19</v>
      </c>
      <c r="L10" s="18" t="n">
        <v>14</v>
      </c>
      <c r="M10" s="18" t="n">
        <v>19</v>
      </c>
      <c r="N10" s="18" t="n">
        <v>17</v>
      </c>
      <c r="O10" s="19" t="n">
        <f aca="false">SUM(C10:N10)</f>
        <v>216</v>
      </c>
      <c r="P10" s="20" t="n">
        <f aca="false">AVERAGE(C10:N10)</f>
        <v>18</v>
      </c>
      <c r="Q10" s="19" t="n">
        <f aca="false">MATCH(MIN(C10:N10),C10:N10,0)</f>
        <v>10</v>
      </c>
      <c r="R10" s="21" t="n">
        <f aca="false">O10/($Z$2*12)</f>
        <v>0.818181818181818</v>
      </c>
      <c r="S10" s="22" t="str">
        <f aca="false">IF(SUM(C10:E10)/(3*$Z$2)&gt;=$Z$3,"Baik","Kurang")</f>
        <v>Kurang</v>
      </c>
      <c r="T10" s="22" t="str">
        <f aca="false">IF(SUM(F10:H10)/(3*$Z$2)&gt;=$Z$3,"Baik","Kurang")</f>
        <v>Kurang</v>
      </c>
      <c r="U10" s="22" t="str">
        <f aca="false">IF(SUM(I10:K10)/(3*$Z$2)&gt;=$Z$3,"Baik","Kurang")</f>
        <v>Kurang</v>
      </c>
      <c r="V10" s="22" t="str">
        <f aca="false">IF(SUM(L10:N10)/(3*$Z$2)&gt;=$Z$3,"Baik","Kurang")</f>
        <v>Kurang</v>
      </c>
      <c r="W10" s="22" t="str">
        <f aca="false">IF(R10&gt;=$Z$4,"Teladan",IF(R10&gt;=$Z$5,"Baik","Perlu Pembinaan"))</f>
        <v>Perlu Pembinaan</v>
      </c>
    </row>
    <row r="11" customFormat="false" ht="15" hidden="false" customHeight="false" outlineLevel="0" collapsed="false">
      <c r="A11" s="17" t="s">
        <v>131</v>
      </c>
      <c r="B11" s="17" t="s">
        <v>117</v>
      </c>
      <c r="C11" s="18" t="n">
        <v>20</v>
      </c>
      <c r="D11" s="18" t="n">
        <v>19</v>
      </c>
      <c r="E11" s="18" t="n">
        <v>14</v>
      </c>
      <c r="F11" s="18" t="n">
        <v>19</v>
      </c>
      <c r="G11" s="18" t="n">
        <v>20</v>
      </c>
      <c r="H11" s="18" t="n">
        <v>19</v>
      </c>
      <c r="I11" s="18" t="n">
        <v>18</v>
      </c>
      <c r="J11" s="18" t="n">
        <v>19</v>
      </c>
      <c r="K11" s="18" t="n">
        <v>19</v>
      </c>
      <c r="L11" s="18" t="n">
        <v>18</v>
      </c>
      <c r="M11" s="18" t="n">
        <v>20</v>
      </c>
      <c r="N11" s="18" t="n">
        <v>20</v>
      </c>
      <c r="O11" s="19" t="n">
        <f aca="false">SUM(C11:N11)</f>
        <v>225</v>
      </c>
      <c r="P11" s="20" t="n">
        <f aca="false">AVERAGE(C11:N11)</f>
        <v>18.75</v>
      </c>
      <c r="Q11" s="19" t="n">
        <f aca="false">MATCH(MIN(C11:N11),C11:N11,0)</f>
        <v>3</v>
      </c>
      <c r="R11" s="21" t="n">
        <f aca="false">O11/($Z$2*12)</f>
        <v>0.852272727272727</v>
      </c>
      <c r="S11" s="22" t="str">
        <f aca="false">IF(SUM(C11:E11)/(3*$Z$2)&gt;=$Z$3,"Baik","Kurang")</f>
        <v>Kurang</v>
      </c>
      <c r="T11" s="22" t="str">
        <f aca="false">IF(SUM(F11:H11)/(3*$Z$2)&gt;=$Z$3,"Baik","Kurang")</f>
        <v>Kurang</v>
      </c>
      <c r="U11" s="22" t="str">
        <f aca="false">IF(SUM(I11:K11)/(3*$Z$2)&gt;=$Z$3,"Baik","Kurang")</f>
        <v>Kurang</v>
      </c>
      <c r="V11" s="22" t="str">
        <f aca="false">IF(SUM(L11:N11)/(3*$Z$2)&gt;=$Z$3,"Baik","Kurang")</f>
        <v>Kurang</v>
      </c>
      <c r="W11" s="22" t="str">
        <f aca="false">IF(R11&gt;=$Z$4,"Teladan",IF(R11&gt;=$Z$5,"Baik","Perlu Pembinaan"))</f>
        <v>Baik</v>
      </c>
    </row>
    <row r="12" customFormat="false" ht="15" hidden="false" customHeight="false" outlineLevel="0" collapsed="false">
      <c r="A12" s="17" t="s">
        <v>132</v>
      </c>
      <c r="B12" s="17" t="s">
        <v>124</v>
      </c>
      <c r="C12" s="18" t="n">
        <v>22</v>
      </c>
      <c r="D12" s="18" t="n">
        <v>20</v>
      </c>
      <c r="E12" s="18" t="n">
        <v>20</v>
      </c>
      <c r="F12" s="18" t="n">
        <v>19</v>
      </c>
      <c r="G12" s="18" t="n">
        <v>20</v>
      </c>
      <c r="H12" s="18" t="n">
        <v>22</v>
      </c>
      <c r="I12" s="18" t="n">
        <v>22</v>
      </c>
      <c r="J12" s="18" t="n">
        <v>20</v>
      </c>
      <c r="K12" s="18" t="n">
        <v>22</v>
      </c>
      <c r="L12" s="18" t="n">
        <v>16</v>
      </c>
      <c r="M12" s="18" t="n">
        <v>21</v>
      </c>
      <c r="N12" s="18" t="n">
        <v>20</v>
      </c>
      <c r="O12" s="19" t="n">
        <f aca="false">SUM(C12:N12)</f>
        <v>244</v>
      </c>
      <c r="P12" s="20" t="n">
        <f aca="false">AVERAGE(C12:N12)</f>
        <v>20.3333333333333</v>
      </c>
      <c r="Q12" s="19" t="n">
        <f aca="false">MATCH(MIN(C12:N12),C12:N12,0)</f>
        <v>10</v>
      </c>
      <c r="R12" s="21" t="n">
        <f aca="false">O12/($Z$2*12)</f>
        <v>0.924242424242424</v>
      </c>
      <c r="S12" s="22" t="str">
        <f aca="false">IF(SUM(C12:E12)/(3*$Z$2)&gt;=$Z$3,"Baik","Kurang")</f>
        <v>Baik</v>
      </c>
      <c r="T12" s="22" t="str">
        <f aca="false">IF(SUM(F12:H12)/(3*$Z$2)&gt;=$Z$3,"Baik","Kurang")</f>
        <v>Baik</v>
      </c>
      <c r="U12" s="22" t="str">
        <f aca="false">IF(SUM(I12:K12)/(3*$Z$2)&gt;=$Z$3,"Baik","Kurang")</f>
        <v>Baik</v>
      </c>
      <c r="V12" s="22" t="str">
        <f aca="false">IF(SUM(L12:N12)/(3*$Z$2)&gt;=$Z$3,"Baik","Kurang")</f>
        <v>Kurang</v>
      </c>
      <c r="W12" s="22" t="str">
        <f aca="false">IF(R12&gt;=$Z$4,"Teladan",IF(R12&gt;=$Z$5,"Baik","Perlu Pembinaan"))</f>
        <v>Baik</v>
      </c>
    </row>
    <row r="13" customFormat="false" ht="15" hidden="false" customHeight="false" outlineLevel="0" collapsed="false">
      <c r="A13" s="17" t="s">
        <v>133</v>
      </c>
      <c r="B13" s="17" t="s">
        <v>124</v>
      </c>
      <c r="C13" s="18" t="n">
        <v>19</v>
      </c>
      <c r="D13" s="18" t="n">
        <v>21</v>
      </c>
      <c r="E13" s="18" t="n">
        <v>20</v>
      </c>
      <c r="F13" s="18" t="n">
        <v>22</v>
      </c>
      <c r="G13" s="18" t="n">
        <v>22</v>
      </c>
      <c r="H13" s="18" t="n">
        <v>20</v>
      </c>
      <c r="I13" s="18" t="n">
        <v>22</v>
      </c>
      <c r="J13" s="18" t="n">
        <v>21</v>
      </c>
      <c r="K13" s="18" t="n">
        <v>22</v>
      </c>
      <c r="L13" s="18" t="n">
        <v>20</v>
      </c>
      <c r="M13" s="18" t="n">
        <v>22</v>
      </c>
      <c r="N13" s="18" t="n">
        <v>20</v>
      </c>
      <c r="O13" s="19" t="n">
        <f aca="false">SUM(C13:N13)</f>
        <v>251</v>
      </c>
      <c r="P13" s="20" t="n">
        <f aca="false">AVERAGE(C13:N13)</f>
        <v>20.9166666666667</v>
      </c>
      <c r="Q13" s="19" t="n">
        <f aca="false">MATCH(MIN(C13:N13),C13:N13,0)</f>
        <v>1</v>
      </c>
      <c r="R13" s="21" t="n">
        <f aca="false">O13/($Z$2*12)</f>
        <v>0.950757575757576</v>
      </c>
      <c r="S13" s="22" t="str">
        <f aca="false">IF(SUM(C13:E13)/(3*$Z$2)&gt;=$Z$3,"Baik","Kurang")</f>
        <v>Baik</v>
      </c>
      <c r="T13" s="22" t="str">
        <f aca="false">IF(SUM(F13:H13)/(3*$Z$2)&gt;=$Z$3,"Baik","Kurang")</f>
        <v>Baik</v>
      </c>
      <c r="U13" s="22" t="str">
        <f aca="false">IF(SUM(I13:K13)/(3*$Z$2)&gt;=$Z$3,"Baik","Kurang")</f>
        <v>Baik</v>
      </c>
      <c r="V13" s="22" t="str">
        <f aca="false">IF(SUM(L13:N13)/(3*$Z$2)&gt;=$Z$3,"Baik","Kurang")</f>
        <v>Baik</v>
      </c>
      <c r="W13" s="22" t="str">
        <f aca="false">IF(R13&gt;=$Z$4,"Teladan",IF(R13&gt;=$Z$5,"Baik","Perlu Pembinaan"))</f>
        <v>Teladan</v>
      </c>
    </row>
    <row r="14" customFormat="false" ht="15" hidden="false" customHeight="false" outlineLevel="0" collapsed="false">
      <c r="A14" s="17" t="s">
        <v>134</v>
      </c>
      <c r="B14" s="17" t="s">
        <v>114</v>
      </c>
      <c r="C14" s="18" t="n">
        <v>17</v>
      </c>
      <c r="D14" s="18" t="n">
        <v>18</v>
      </c>
      <c r="E14" s="18" t="n">
        <v>19</v>
      </c>
      <c r="F14" s="18" t="n">
        <v>19</v>
      </c>
      <c r="G14" s="18" t="n">
        <v>15</v>
      </c>
      <c r="H14" s="18" t="n">
        <v>19</v>
      </c>
      <c r="I14" s="18" t="n">
        <v>18</v>
      </c>
      <c r="J14" s="18" t="n">
        <v>17</v>
      </c>
      <c r="K14" s="18" t="n">
        <v>18</v>
      </c>
      <c r="L14" s="18" t="n">
        <v>19</v>
      </c>
      <c r="M14" s="18" t="n">
        <v>19</v>
      </c>
      <c r="N14" s="18" t="n">
        <v>16</v>
      </c>
      <c r="O14" s="19" t="n">
        <f aca="false">SUM(C14:N14)</f>
        <v>214</v>
      </c>
      <c r="P14" s="20" t="n">
        <f aca="false">AVERAGE(C14:N14)</f>
        <v>17.8333333333333</v>
      </c>
      <c r="Q14" s="19" t="n">
        <f aca="false">MATCH(MIN(C14:N14),C14:N14,0)</f>
        <v>5</v>
      </c>
      <c r="R14" s="21" t="n">
        <f aca="false">O14/($Z$2*12)</f>
        <v>0.810606060606061</v>
      </c>
      <c r="S14" s="22" t="str">
        <f aca="false">IF(SUM(C14:E14)/(3*$Z$2)&gt;=$Z$3,"Baik","Kurang")</f>
        <v>Kurang</v>
      </c>
      <c r="T14" s="22" t="str">
        <f aca="false">IF(SUM(F14:H14)/(3*$Z$2)&gt;=$Z$3,"Baik","Kurang")</f>
        <v>Kurang</v>
      </c>
      <c r="U14" s="22" t="str">
        <f aca="false">IF(SUM(I14:K14)/(3*$Z$2)&gt;=$Z$3,"Baik","Kurang")</f>
        <v>Kurang</v>
      </c>
      <c r="V14" s="22" t="str">
        <f aca="false">IF(SUM(L14:N14)/(3*$Z$2)&gt;=$Z$3,"Baik","Kurang")</f>
        <v>Kurang</v>
      </c>
      <c r="W14" s="22" t="str">
        <f aca="false">IF(R14&gt;=$Z$4,"Teladan",IF(R14&gt;=$Z$5,"Baik","Perlu Pembinaan"))</f>
        <v>Perlu Pembinaan</v>
      </c>
    </row>
    <row r="15" customFormat="false" ht="15" hidden="false" customHeight="false" outlineLevel="0" collapsed="false">
      <c r="A15" s="17" t="s">
        <v>135</v>
      </c>
      <c r="B15" s="17" t="s">
        <v>121</v>
      </c>
      <c r="C15" s="18" t="n">
        <v>20</v>
      </c>
      <c r="D15" s="18" t="n">
        <v>21</v>
      </c>
      <c r="E15" s="18" t="n">
        <v>22</v>
      </c>
      <c r="F15" s="18" t="n">
        <v>21</v>
      </c>
      <c r="G15" s="18" t="n">
        <v>20</v>
      </c>
      <c r="H15" s="18" t="n">
        <v>15</v>
      </c>
      <c r="I15" s="18" t="n">
        <v>20</v>
      </c>
      <c r="J15" s="18" t="n">
        <v>22</v>
      </c>
      <c r="K15" s="18" t="n">
        <v>20</v>
      </c>
      <c r="L15" s="18" t="n">
        <v>21</v>
      </c>
      <c r="M15" s="18" t="n">
        <v>21</v>
      </c>
      <c r="N15" s="18" t="n">
        <v>20</v>
      </c>
      <c r="O15" s="19" t="n">
        <f aca="false">SUM(C15:N15)</f>
        <v>243</v>
      </c>
      <c r="P15" s="20" t="n">
        <f aca="false">AVERAGE(C15:N15)</f>
        <v>20.25</v>
      </c>
      <c r="Q15" s="19" t="n">
        <f aca="false">MATCH(MIN(C15:N15),C15:N15,0)</f>
        <v>6</v>
      </c>
      <c r="R15" s="21" t="n">
        <f aca="false">O15/($Z$2*12)</f>
        <v>0.920454545454545</v>
      </c>
      <c r="S15" s="22" t="str">
        <f aca="false">IF(SUM(C15:E15)/(3*$Z$2)&gt;=$Z$3,"Baik","Kurang")</f>
        <v>Baik</v>
      </c>
      <c r="T15" s="22" t="str">
        <f aca="false">IF(SUM(F15:H15)/(3*$Z$2)&gt;=$Z$3,"Baik","Kurang")</f>
        <v>Kurang</v>
      </c>
      <c r="U15" s="22" t="str">
        <f aca="false">IF(SUM(I15:K15)/(3*$Z$2)&gt;=$Z$3,"Baik","Kurang")</f>
        <v>Baik</v>
      </c>
      <c r="V15" s="22" t="str">
        <f aca="false">IF(SUM(L15:N15)/(3*$Z$2)&gt;=$Z$3,"Baik","Kurang")</f>
        <v>Baik</v>
      </c>
      <c r="W15" s="22" t="str">
        <f aca="false">IF(R15&gt;=$Z$4,"Teladan",IF(R15&gt;=$Z$5,"Baik","Perlu Pembinaan"))</f>
        <v>Baik</v>
      </c>
    </row>
    <row r="16" customFormat="false" ht="15" hidden="false" customHeight="false" outlineLevel="0" collapsed="false">
      <c r="A16" s="17" t="s">
        <v>136</v>
      </c>
      <c r="B16" s="17" t="s">
        <v>124</v>
      </c>
      <c r="C16" s="18" t="n">
        <v>18</v>
      </c>
      <c r="D16" s="18" t="n">
        <v>18</v>
      </c>
      <c r="E16" s="18" t="n">
        <v>19</v>
      </c>
      <c r="F16" s="18" t="n">
        <v>17</v>
      </c>
      <c r="G16" s="18" t="n">
        <v>19</v>
      </c>
      <c r="H16" s="18" t="n">
        <v>18</v>
      </c>
      <c r="I16" s="18" t="n">
        <v>17</v>
      </c>
      <c r="J16" s="18" t="n">
        <v>17</v>
      </c>
      <c r="K16" s="18" t="n">
        <v>13</v>
      </c>
      <c r="L16" s="18" t="n">
        <v>19</v>
      </c>
      <c r="M16" s="18" t="n">
        <v>17</v>
      </c>
      <c r="N16" s="18" t="n">
        <v>17</v>
      </c>
      <c r="O16" s="19" t="n">
        <f aca="false">SUM(C16:N16)</f>
        <v>209</v>
      </c>
      <c r="P16" s="20" t="n">
        <f aca="false">AVERAGE(C16:N16)</f>
        <v>17.4166666666667</v>
      </c>
      <c r="Q16" s="19" t="n">
        <f aca="false">MATCH(MIN(C16:N16),C16:N16,0)</f>
        <v>9</v>
      </c>
      <c r="R16" s="21" t="n">
        <f aca="false">O16/($Z$2*12)</f>
        <v>0.791666666666667</v>
      </c>
      <c r="S16" s="22" t="str">
        <f aca="false">IF(SUM(C16:E16)/(3*$Z$2)&gt;=$Z$3,"Baik","Kurang")</f>
        <v>Kurang</v>
      </c>
      <c r="T16" s="22" t="str">
        <f aca="false">IF(SUM(F16:H16)/(3*$Z$2)&gt;=$Z$3,"Baik","Kurang")</f>
        <v>Kurang</v>
      </c>
      <c r="U16" s="22" t="str">
        <f aca="false">IF(SUM(I16:K16)/(3*$Z$2)&gt;=$Z$3,"Baik","Kurang")</f>
        <v>Kurang</v>
      </c>
      <c r="V16" s="22" t="str">
        <f aca="false">IF(SUM(L16:N16)/(3*$Z$2)&gt;=$Z$3,"Baik","Kurang")</f>
        <v>Kurang</v>
      </c>
      <c r="W16" s="22" t="str">
        <f aca="false">IF(R16&gt;=$Z$4,"Teladan",IF(R16&gt;=$Z$5,"Baik","Perlu Pembinaan"))</f>
        <v>Perlu Pembinaan</v>
      </c>
    </row>
    <row r="17" customFormat="false" ht="15" hidden="false" customHeight="false" outlineLevel="0" collapsed="false">
      <c r="A17" s="17" t="s">
        <v>137</v>
      </c>
      <c r="B17" s="17" t="s">
        <v>124</v>
      </c>
      <c r="C17" s="18" t="n">
        <v>21</v>
      </c>
      <c r="D17" s="18" t="n">
        <v>22</v>
      </c>
      <c r="E17" s="18" t="n">
        <v>21</v>
      </c>
      <c r="F17" s="18" t="n">
        <v>22</v>
      </c>
      <c r="G17" s="18" t="n">
        <v>22</v>
      </c>
      <c r="H17" s="18" t="n">
        <v>21</v>
      </c>
      <c r="I17" s="18" t="n">
        <v>22</v>
      </c>
      <c r="J17" s="18" t="n">
        <v>22</v>
      </c>
      <c r="K17" s="18" t="n">
        <v>22</v>
      </c>
      <c r="L17" s="18" t="n">
        <v>21</v>
      </c>
      <c r="M17" s="18" t="n">
        <v>21</v>
      </c>
      <c r="N17" s="18" t="n">
        <v>20</v>
      </c>
      <c r="O17" s="19" t="n">
        <f aca="false">SUM(C17:N17)</f>
        <v>257</v>
      </c>
      <c r="P17" s="20" t="n">
        <f aca="false">AVERAGE(C17:N17)</f>
        <v>21.4166666666667</v>
      </c>
      <c r="Q17" s="19" t="n">
        <f aca="false">MATCH(MIN(C17:N17),C17:N17,0)</f>
        <v>12</v>
      </c>
      <c r="R17" s="21" t="n">
        <f aca="false">O17/($Z$2*12)</f>
        <v>0.973484848484849</v>
      </c>
      <c r="S17" s="22" t="str">
        <f aca="false">IF(SUM(C17:E17)/(3*$Z$2)&gt;=$Z$3,"Baik","Kurang")</f>
        <v>Baik</v>
      </c>
      <c r="T17" s="22" t="str">
        <f aca="false">IF(SUM(F17:H17)/(3*$Z$2)&gt;=$Z$3,"Baik","Kurang")</f>
        <v>Baik</v>
      </c>
      <c r="U17" s="22" t="str">
        <f aca="false">IF(SUM(I17:K17)/(3*$Z$2)&gt;=$Z$3,"Baik","Kurang")</f>
        <v>Baik</v>
      </c>
      <c r="V17" s="22" t="str">
        <f aca="false">IF(SUM(L17:N17)/(3*$Z$2)&gt;=$Z$3,"Baik","Kurang")</f>
        <v>Baik</v>
      </c>
      <c r="W17" s="22" t="str">
        <f aca="false">IF(R17&gt;=$Z$4,"Teladan",IF(R17&gt;=$Z$5,"Baik","Perlu Pembinaan"))</f>
        <v>Teladan</v>
      </c>
    </row>
    <row r="18" customFormat="false" ht="15" hidden="false" customHeight="false" outlineLevel="0" collapsed="false">
      <c r="A18" s="17" t="s">
        <v>138</v>
      </c>
      <c r="B18" s="17" t="s">
        <v>114</v>
      </c>
      <c r="C18" s="18" t="n">
        <v>21</v>
      </c>
      <c r="D18" s="18" t="n">
        <v>19</v>
      </c>
      <c r="E18" s="18" t="n">
        <v>20</v>
      </c>
      <c r="F18" s="18" t="n">
        <v>21</v>
      </c>
      <c r="G18" s="18" t="n">
        <v>21</v>
      </c>
      <c r="H18" s="18" t="n">
        <v>22</v>
      </c>
      <c r="I18" s="18" t="n">
        <v>21</v>
      </c>
      <c r="J18" s="18" t="n">
        <v>22</v>
      </c>
      <c r="K18" s="18" t="n">
        <v>21</v>
      </c>
      <c r="L18" s="18" t="n">
        <v>22</v>
      </c>
      <c r="M18" s="18" t="n">
        <v>20</v>
      </c>
      <c r="N18" s="18" t="n">
        <v>22</v>
      </c>
      <c r="O18" s="19" t="n">
        <f aca="false">SUM(C18:N18)</f>
        <v>252</v>
      </c>
      <c r="P18" s="20" t="n">
        <f aca="false">AVERAGE(C18:N18)</f>
        <v>21</v>
      </c>
      <c r="Q18" s="19" t="n">
        <f aca="false">MATCH(MIN(C18:N18),C18:N18,0)</f>
        <v>2</v>
      </c>
      <c r="R18" s="21" t="n">
        <f aca="false">O18/($Z$2*12)</f>
        <v>0.954545454545455</v>
      </c>
      <c r="S18" s="22" t="str">
        <f aca="false">IF(SUM(C18:E18)/(3*$Z$2)&gt;=$Z$3,"Baik","Kurang")</f>
        <v>Baik</v>
      </c>
      <c r="T18" s="22" t="str">
        <f aca="false">IF(SUM(F18:H18)/(3*$Z$2)&gt;=$Z$3,"Baik","Kurang")</f>
        <v>Baik</v>
      </c>
      <c r="U18" s="22" t="str">
        <f aca="false">IF(SUM(I18:K18)/(3*$Z$2)&gt;=$Z$3,"Baik","Kurang")</f>
        <v>Baik</v>
      </c>
      <c r="V18" s="22" t="str">
        <f aca="false">IF(SUM(L18:N18)/(3*$Z$2)&gt;=$Z$3,"Baik","Kurang")</f>
        <v>Baik</v>
      </c>
      <c r="W18" s="22" t="str">
        <f aca="false">IF(R18&gt;=$Z$4,"Teladan",IF(R18&gt;=$Z$5,"Baik","Perlu Pembinaan"))</f>
        <v>Teladan</v>
      </c>
    </row>
    <row r="19" customFormat="false" ht="15" hidden="false" customHeight="false" outlineLevel="0" collapsed="false">
      <c r="A19" s="17" t="s">
        <v>139</v>
      </c>
      <c r="B19" s="17" t="s">
        <v>117</v>
      </c>
      <c r="C19" s="18" t="n">
        <v>13</v>
      </c>
      <c r="D19" s="18" t="n">
        <v>18</v>
      </c>
      <c r="E19" s="18" t="n">
        <v>17</v>
      </c>
      <c r="F19" s="18" t="n">
        <v>18</v>
      </c>
      <c r="G19" s="18" t="n">
        <v>17</v>
      </c>
      <c r="H19" s="18" t="n">
        <v>19</v>
      </c>
      <c r="I19" s="18" t="n">
        <v>20</v>
      </c>
      <c r="J19" s="18" t="n">
        <v>19</v>
      </c>
      <c r="K19" s="18" t="n">
        <v>19</v>
      </c>
      <c r="L19" s="18" t="n">
        <v>21</v>
      </c>
      <c r="M19" s="18" t="n">
        <v>19</v>
      </c>
      <c r="N19" s="18" t="n">
        <v>18</v>
      </c>
      <c r="O19" s="19" t="n">
        <f aca="false">SUM(C19:N19)</f>
        <v>218</v>
      </c>
      <c r="P19" s="20" t="n">
        <f aca="false">AVERAGE(C19:N19)</f>
        <v>18.1666666666667</v>
      </c>
      <c r="Q19" s="19" t="n">
        <f aca="false">MATCH(MIN(C19:N19),C19:N19,0)</f>
        <v>1</v>
      </c>
      <c r="R19" s="21" t="n">
        <f aca="false">O19/($Z$2*12)</f>
        <v>0.825757575757576</v>
      </c>
      <c r="S19" s="22" t="str">
        <f aca="false">IF(SUM(C19:E19)/(3*$Z$2)&gt;=$Z$3,"Baik","Kurang")</f>
        <v>Kurang</v>
      </c>
      <c r="T19" s="22" t="str">
        <f aca="false">IF(SUM(F19:H19)/(3*$Z$2)&gt;=$Z$3,"Baik","Kurang")</f>
        <v>Kurang</v>
      </c>
      <c r="U19" s="22" t="str">
        <f aca="false">IF(SUM(I19:K19)/(3*$Z$2)&gt;=$Z$3,"Baik","Kurang")</f>
        <v>Kurang</v>
      </c>
      <c r="V19" s="22" t="str">
        <f aca="false">IF(SUM(L19:N19)/(3*$Z$2)&gt;=$Z$3,"Baik","Kurang")</f>
        <v>Kurang</v>
      </c>
      <c r="W19" s="22" t="str">
        <f aca="false">IF(R19&gt;=$Z$4,"Teladan",IF(R19&gt;=$Z$5,"Baik","Perlu Pembinaan"))</f>
        <v>Perlu Pembinaan</v>
      </c>
    </row>
    <row r="20" customFormat="false" ht="15" hidden="false" customHeight="false" outlineLevel="0" collapsed="false">
      <c r="A20" s="17" t="s">
        <v>140</v>
      </c>
      <c r="B20" s="17" t="s">
        <v>124</v>
      </c>
      <c r="C20" s="18" t="n">
        <v>22</v>
      </c>
      <c r="D20" s="18" t="n">
        <v>22</v>
      </c>
      <c r="E20" s="18" t="n">
        <v>22</v>
      </c>
      <c r="F20" s="18" t="n">
        <v>21</v>
      </c>
      <c r="G20" s="18" t="n">
        <v>20</v>
      </c>
      <c r="H20" s="18" t="n">
        <v>20</v>
      </c>
      <c r="I20" s="18" t="n">
        <v>19</v>
      </c>
      <c r="J20" s="18" t="n">
        <v>18</v>
      </c>
      <c r="K20" s="18" t="n">
        <v>19</v>
      </c>
      <c r="L20" s="18" t="n">
        <v>22</v>
      </c>
      <c r="M20" s="18" t="n">
        <v>22</v>
      </c>
      <c r="N20" s="18" t="n">
        <v>20</v>
      </c>
      <c r="O20" s="19" t="n">
        <f aca="false">SUM(C20:N20)</f>
        <v>247</v>
      </c>
      <c r="P20" s="20" t="n">
        <f aca="false">AVERAGE(C20:N20)</f>
        <v>20.5833333333333</v>
      </c>
      <c r="Q20" s="19" t="n">
        <f aca="false">MATCH(MIN(C20:N20),C20:N20,0)</f>
        <v>8</v>
      </c>
      <c r="R20" s="21" t="n">
        <f aca="false">O20/($Z$2*12)</f>
        <v>0.935606060606061</v>
      </c>
      <c r="S20" s="22" t="str">
        <f aca="false">IF(SUM(C20:E20)/(3*$Z$2)&gt;=$Z$3,"Baik","Kurang")</f>
        <v>Baik</v>
      </c>
      <c r="T20" s="22" t="str">
        <f aca="false">IF(SUM(F20:H20)/(3*$Z$2)&gt;=$Z$3,"Baik","Kurang")</f>
        <v>Baik</v>
      </c>
      <c r="U20" s="22" t="str">
        <f aca="false">IF(SUM(I20:K20)/(3*$Z$2)&gt;=$Z$3,"Baik","Kurang")</f>
        <v>Kurang</v>
      </c>
      <c r="V20" s="22" t="str">
        <f aca="false">IF(SUM(L20:N20)/(3*$Z$2)&gt;=$Z$3,"Baik","Kurang")</f>
        <v>Baik</v>
      </c>
      <c r="W20" s="22" t="str">
        <f aca="false">IF(R20&gt;=$Z$4,"Teladan",IF(R20&gt;=$Z$5,"Baik","Perlu Pembinaan"))</f>
        <v>Baik</v>
      </c>
    </row>
    <row r="21" customFormat="false" ht="15" hidden="false" customHeight="false" outlineLevel="0" collapsed="false">
      <c r="A21" s="17" t="s">
        <v>141</v>
      </c>
      <c r="B21" s="17" t="s">
        <v>124</v>
      </c>
      <c r="C21" s="18" t="n">
        <v>17</v>
      </c>
      <c r="D21" s="18" t="n">
        <v>18</v>
      </c>
      <c r="E21" s="18" t="n">
        <v>19</v>
      </c>
      <c r="F21" s="18" t="n">
        <v>18</v>
      </c>
      <c r="G21" s="18" t="n">
        <v>17</v>
      </c>
      <c r="H21" s="18" t="n">
        <v>18</v>
      </c>
      <c r="I21" s="18" t="n">
        <v>19</v>
      </c>
      <c r="J21" s="18" t="n">
        <v>18</v>
      </c>
      <c r="K21" s="18" t="n">
        <v>18</v>
      </c>
      <c r="L21" s="18" t="n">
        <v>19</v>
      </c>
      <c r="M21" s="18" t="n">
        <v>12</v>
      </c>
      <c r="N21" s="18" t="n">
        <v>16</v>
      </c>
      <c r="O21" s="19" t="n">
        <f aca="false">SUM(C21:N21)</f>
        <v>209</v>
      </c>
      <c r="P21" s="20" t="n">
        <f aca="false">AVERAGE(C21:N21)</f>
        <v>17.4166666666667</v>
      </c>
      <c r="Q21" s="19" t="n">
        <f aca="false">MATCH(MIN(C21:N21),C21:N21,0)</f>
        <v>11</v>
      </c>
      <c r="R21" s="21" t="n">
        <f aca="false">O21/($Z$2*12)</f>
        <v>0.791666666666667</v>
      </c>
      <c r="S21" s="22" t="str">
        <f aca="false">IF(SUM(C21:E21)/(3*$Z$2)&gt;=$Z$3,"Baik","Kurang")</f>
        <v>Kurang</v>
      </c>
      <c r="T21" s="22" t="str">
        <f aca="false">IF(SUM(F21:H21)/(3*$Z$2)&gt;=$Z$3,"Baik","Kurang")</f>
        <v>Kurang</v>
      </c>
      <c r="U21" s="22" t="str">
        <f aca="false">IF(SUM(I21:K21)/(3*$Z$2)&gt;=$Z$3,"Baik","Kurang")</f>
        <v>Kurang</v>
      </c>
      <c r="V21" s="22" t="str">
        <f aca="false">IF(SUM(L21:N21)/(3*$Z$2)&gt;=$Z$3,"Baik","Kurang")</f>
        <v>Kurang</v>
      </c>
      <c r="W21" s="22" t="str">
        <f aca="false">IF(R21&gt;=$Z$4,"Teladan",IF(R21&gt;=$Z$5,"Baik","Perlu Pembinaan"))</f>
        <v>Perlu Pembinaan</v>
      </c>
    </row>
    <row r="22" customFormat="false" ht="15" hidden="false" customHeight="false" outlineLevel="0" collapsed="false">
      <c r="A22" s="17" t="s">
        <v>142</v>
      </c>
      <c r="B22" s="17" t="s">
        <v>114</v>
      </c>
      <c r="C22" s="18" t="n">
        <v>22</v>
      </c>
      <c r="D22" s="18" t="n">
        <v>22</v>
      </c>
      <c r="E22" s="18" t="n">
        <v>22</v>
      </c>
      <c r="F22" s="18" t="n">
        <v>20</v>
      </c>
      <c r="G22" s="18" t="n">
        <v>19</v>
      </c>
      <c r="H22" s="18" t="n">
        <v>22</v>
      </c>
      <c r="I22" s="18" t="n">
        <v>21</v>
      </c>
      <c r="J22" s="18" t="n">
        <v>22</v>
      </c>
      <c r="K22" s="18" t="n">
        <v>20</v>
      </c>
      <c r="L22" s="18" t="n">
        <v>22</v>
      </c>
      <c r="M22" s="18" t="n">
        <v>21</v>
      </c>
      <c r="N22" s="18" t="n">
        <v>22</v>
      </c>
      <c r="O22" s="19" t="n">
        <f aca="false">SUM(C22:N22)</f>
        <v>255</v>
      </c>
      <c r="P22" s="20" t="n">
        <f aca="false">AVERAGE(C22:N22)</f>
        <v>21.25</v>
      </c>
      <c r="Q22" s="19" t="n">
        <f aca="false">MATCH(MIN(C22:N22),C22:N22,0)</f>
        <v>5</v>
      </c>
      <c r="R22" s="21" t="n">
        <f aca="false">O22/($Z$2*12)</f>
        <v>0.965909090909091</v>
      </c>
      <c r="S22" s="22" t="str">
        <f aca="false">IF(SUM(C22:E22)/(3*$Z$2)&gt;=$Z$3,"Baik","Kurang")</f>
        <v>Baik</v>
      </c>
      <c r="T22" s="22" t="str">
        <f aca="false">IF(SUM(F22:H22)/(3*$Z$2)&gt;=$Z$3,"Baik","Kurang")</f>
        <v>Baik</v>
      </c>
      <c r="U22" s="22" t="str">
        <f aca="false">IF(SUM(I22:K22)/(3*$Z$2)&gt;=$Z$3,"Baik","Kurang")</f>
        <v>Baik</v>
      </c>
      <c r="V22" s="22" t="str">
        <f aca="false">IF(SUM(L22:N22)/(3*$Z$2)&gt;=$Z$3,"Baik","Kurang")</f>
        <v>Baik</v>
      </c>
      <c r="W22" s="22" t="str">
        <f aca="false">IF(R22&gt;=$Z$4,"Teladan",IF(R22&gt;=$Z$5,"Baik","Perlu Pembinaan"))</f>
        <v>Teladan</v>
      </c>
    </row>
    <row r="23" customFormat="false" ht="15" hidden="false" customHeight="false" outlineLevel="0" collapsed="false">
      <c r="A23" s="17" t="s">
        <v>143</v>
      </c>
      <c r="B23" s="17" t="s">
        <v>121</v>
      </c>
      <c r="C23" s="18" t="n">
        <v>20</v>
      </c>
      <c r="D23" s="18" t="n">
        <v>22</v>
      </c>
      <c r="E23" s="18" t="n">
        <v>18</v>
      </c>
      <c r="F23" s="18" t="n">
        <v>22</v>
      </c>
      <c r="G23" s="18" t="n">
        <v>22</v>
      </c>
      <c r="H23" s="18" t="n">
        <v>21</v>
      </c>
      <c r="I23" s="18" t="n">
        <v>21</v>
      </c>
      <c r="J23" s="18" t="n">
        <v>22</v>
      </c>
      <c r="K23" s="18" t="n">
        <v>22</v>
      </c>
      <c r="L23" s="18" t="n">
        <v>22</v>
      </c>
      <c r="M23" s="18" t="n">
        <v>20</v>
      </c>
      <c r="N23" s="18" t="n">
        <v>21</v>
      </c>
      <c r="O23" s="19" t="n">
        <f aca="false">SUM(C23:N23)</f>
        <v>253</v>
      </c>
      <c r="P23" s="20" t="n">
        <f aca="false">AVERAGE(C23:N23)</f>
        <v>21.0833333333333</v>
      </c>
      <c r="Q23" s="19" t="n">
        <f aca="false">MATCH(MIN(C23:N23),C23:N23,0)</f>
        <v>3</v>
      </c>
      <c r="R23" s="21" t="n">
        <f aca="false">O23/($Z$2*12)</f>
        <v>0.958333333333333</v>
      </c>
      <c r="S23" s="22" t="str">
        <f aca="false">IF(SUM(C23:E23)/(3*$Z$2)&gt;=$Z$3,"Baik","Kurang")</f>
        <v>Baik</v>
      </c>
      <c r="T23" s="22" t="str">
        <f aca="false">IF(SUM(F23:H23)/(3*$Z$2)&gt;=$Z$3,"Baik","Kurang")</f>
        <v>Baik</v>
      </c>
      <c r="U23" s="22" t="str">
        <f aca="false">IF(SUM(I23:K23)/(3*$Z$2)&gt;=$Z$3,"Baik","Kurang")</f>
        <v>Baik</v>
      </c>
      <c r="V23" s="22" t="str">
        <f aca="false">IF(SUM(L23:N23)/(3*$Z$2)&gt;=$Z$3,"Baik","Kurang")</f>
        <v>Baik</v>
      </c>
      <c r="W23" s="22" t="str">
        <f aca="false">IF(R23&gt;=$Z$4,"Teladan",IF(R23&gt;=$Z$5,"Baik","Perlu Pembinaan"))</f>
        <v>Teladan</v>
      </c>
    </row>
    <row r="24" customFormat="false" ht="15" hidden="false" customHeight="false" outlineLevel="0" collapsed="false">
      <c r="A24" s="17" t="s">
        <v>144</v>
      </c>
      <c r="B24" s="17" t="s">
        <v>121</v>
      </c>
      <c r="C24" s="18" t="n">
        <v>19</v>
      </c>
      <c r="D24" s="18" t="n">
        <v>18</v>
      </c>
      <c r="E24" s="18" t="n">
        <v>20</v>
      </c>
      <c r="F24" s="18" t="n">
        <v>20</v>
      </c>
      <c r="G24" s="18" t="n">
        <v>19</v>
      </c>
      <c r="H24" s="18" t="n">
        <v>22</v>
      </c>
      <c r="I24" s="18" t="n">
        <v>18</v>
      </c>
      <c r="J24" s="18" t="n">
        <v>19</v>
      </c>
      <c r="K24" s="18" t="n">
        <v>18</v>
      </c>
      <c r="L24" s="18" t="n">
        <v>16</v>
      </c>
      <c r="M24" s="18" t="n">
        <v>19</v>
      </c>
      <c r="N24" s="18" t="n">
        <v>18</v>
      </c>
      <c r="O24" s="19" t="n">
        <f aca="false">SUM(C24:N24)</f>
        <v>226</v>
      </c>
      <c r="P24" s="20" t="n">
        <f aca="false">AVERAGE(C24:N24)</f>
        <v>18.8333333333333</v>
      </c>
      <c r="Q24" s="19" t="n">
        <f aca="false">MATCH(MIN(C24:N24),C24:N24,0)</f>
        <v>10</v>
      </c>
      <c r="R24" s="21" t="n">
        <f aca="false">O24/($Z$2*12)</f>
        <v>0.856060606060606</v>
      </c>
      <c r="S24" s="22" t="str">
        <f aca="false">IF(SUM(C24:E24)/(3*$Z$2)&gt;=$Z$3,"Baik","Kurang")</f>
        <v>Kurang</v>
      </c>
      <c r="T24" s="22" t="str">
        <f aca="false">IF(SUM(F24:H24)/(3*$Z$2)&gt;=$Z$3,"Baik","Kurang")</f>
        <v>Baik</v>
      </c>
      <c r="U24" s="22" t="str">
        <f aca="false">IF(SUM(I24:K24)/(3*$Z$2)&gt;=$Z$3,"Baik","Kurang")</f>
        <v>Kurang</v>
      </c>
      <c r="V24" s="22" t="str">
        <f aca="false">IF(SUM(L24:N24)/(3*$Z$2)&gt;=$Z$3,"Baik","Kurang")</f>
        <v>Kurang</v>
      </c>
      <c r="W24" s="22" t="str">
        <f aca="false">IF(R24&gt;=$Z$4,"Teladan",IF(R24&gt;=$Z$5,"Baik","Perlu Pembinaan"))</f>
        <v>Baik</v>
      </c>
    </row>
    <row r="25" customFormat="false" ht="15" hidden="false" customHeight="false" outlineLevel="0" collapsed="false">
      <c r="A25" s="17" t="s">
        <v>145</v>
      </c>
      <c r="B25" s="17" t="s">
        <v>114</v>
      </c>
      <c r="C25" s="18" t="n">
        <v>20</v>
      </c>
      <c r="D25" s="18" t="n">
        <v>20</v>
      </c>
      <c r="E25" s="18" t="n">
        <v>21</v>
      </c>
      <c r="F25" s="18" t="n">
        <v>21</v>
      </c>
      <c r="G25" s="18" t="n">
        <v>22</v>
      </c>
      <c r="H25" s="18" t="n">
        <v>19</v>
      </c>
      <c r="I25" s="18" t="n">
        <v>19</v>
      </c>
      <c r="J25" s="18" t="n">
        <v>17</v>
      </c>
      <c r="K25" s="18" t="n">
        <v>22</v>
      </c>
      <c r="L25" s="18" t="n">
        <v>21</v>
      </c>
      <c r="M25" s="18" t="n">
        <v>21</v>
      </c>
      <c r="N25" s="18" t="n">
        <v>19</v>
      </c>
      <c r="O25" s="19" t="n">
        <f aca="false">SUM(C25:N25)</f>
        <v>242</v>
      </c>
      <c r="P25" s="20" t="n">
        <f aca="false">AVERAGE(C25:N25)</f>
        <v>20.1666666666667</v>
      </c>
      <c r="Q25" s="19" t="n">
        <f aca="false">MATCH(MIN(C25:N25),C25:N25,0)</f>
        <v>8</v>
      </c>
      <c r="R25" s="21" t="n">
        <f aca="false">O25/($Z$2*12)</f>
        <v>0.916666666666667</v>
      </c>
      <c r="S25" s="22" t="str">
        <f aca="false">IF(SUM(C25:E25)/(3*$Z$2)&gt;=$Z$3,"Baik","Kurang")</f>
        <v>Baik</v>
      </c>
      <c r="T25" s="22" t="str">
        <f aca="false">IF(SUM(F25:H25)/(3*$Z$2)&gt;=$Z$3,"Baik","Kurang")</f>
        <v>Baik</v>
      </c>
      <c r="U25" s="22" t="str">
        <f aca="false">IF(SUM(I25:K25)/(3*$Z$2)&gt;=$Z$3,"Baik","Kurang")</f>
        <v>Kurang</v>
      </c>
      <c r="V25" s="22" t="str">
        <f aca="false">IF(SUM(L25:N25)/(3*$Z$2)&gt;=$Z$3,"Baik","Kurang")</f>
        <v>Baik</v>
      </c>
      <c r="W25" s="22" t="str">
        <f aca="false">IF(R25&gt;=$Z$4,"Teladan",IF(R25&gt;=$Z$5,"Baik","Perlu Pembinaan"))</f>
        <v>Baik</v>
      </c>
    </row>
    <row r="26" customFormat="false" ht="15" hidden="false" customHeight="false" outlineLevel="0" collapsed="false">
      <c r="A26" s="17" t="s">
        <v>146</v>
      </c>
      <c r="B26" s="17" t="s">
        <v>114</v>
      </c>
      <c r="C26" s="18" t="n">
        <v>21</v>
      </c>
      <c r="D26" s="18" t="n">
        <v>20</v>
      </c>
      <c r="E26" s="18" t="n">
        <v>21</v>
      </c>
      <c r="F26" s="18" t="n">
        <v>14</v>
      </c>
      <c r="G26" s="18" t="n">
        <v>22</v>
      </c>
      <c r="H26" s="18" t="n">
        <v>19</v>
      </c>
      <c r="I26" s="18" t="n">
        <v>22</v>
      </c>
      <c r="J26" s="18" t="n">
        <v>20</v>
      </c>
      <c r="K26" s="18" t="n">
        <v>22</v>
      </c>
      <c r="L26" s="18" t="n">
        <v>21</v>
      </c>
      <c r="M26" s="18" t="n">
        <v>22</v>
      </c>
      <c r="N26" s="18" t="n">
        <v>21</v>
      </c>
      <c r="O26" s="19" t="n">
        <f aca="false">SUM(C26:N26)</f>
        <v>245</v>
      </c>
      <c r="P26" s="20" t="n">
        <f aca="false">AVERAGE(C26:N26)</f>
        <v>20.4166666666667</v>
      </c>
      <c r="Q26" s="19" t="n">
        <f aca="false">MATCH(MIN(C26:N26),C26:N26,0)</f>
        <v>4</v>
      </c>
      <c r="R26" s="21" t="n">
        <f aca="false">O26/($Z$2*12)</f>
        <v>0.928030303030303</v>
      </c>
      <c r="S26" s="22" t="str">
        <f aca="false">IF(SUM(C26:E26)/(3*$Z$2)&gt;=$Z$3,"Baik","Kurang")</f>
        <v>Baik</v>
      </c>
      <c r="T26" s="22" t="str">
        <f aca="false">IF(SUM(F26:H26)/(3*$Z$2)&gt;=$Z$3,"Baik","Kurang")</f>
        <v>Kurang</v>
      </c>
      <c r="U26" s="22" t="str">
        <f aca="false">IF(SUM(I26:K26)/(3*$Z$2)&gt;=$Z$3,"Baik","Kurang")</f>
        <v>Baik</v>
      </c>
      <c r="V26" s="22" t="str">
        <f aca="false">IF(SUM(L26:N26)/(3*$Z$2)&gt;=$Z$3,"Baik","Kurang")</f>
        <v>Baik</v>
      </c>
      <c r="W26" s="22" t="str">
        <f aca="false">IF(R26&gt;=$Z$4,"Teladan",IF(R26&gt;=$Z$5,"Baik","Perlu Pembinaan"))</f>
        <v>Baik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9"/>
  </cols>
  <sheetData>
    <row r="1" customFormat="false" ht="33.75" hidden="false" customHeight="true" outlineLevel="0" collapsed="false">
      <c r="A1" s="11" t="s">
        <v>88</v>
      </c>
      <c r="B1" s="15" t="s">
        <v>147</v>
      </c>
      <c r="C1" s="15" t="s">
        <v>148</v>
      </c>
    </row>
    <row r="2" customFormat="false" ht="15" hidden="false" customHeight="false" outlineLevel="0" collapsed="false">
      <c r="A2" s="17" t="s">
        <v>117</v>
      </c>
      <c r="B2" s="19" t="n">
        <f aca="false">COUNTIF(Data!$B$2:$B$26,A2)</f>
        <v>4</v>
      </c>
      <c r="C2" s="21" t="n">
        <f aca="false">AVERAGEIF(Data!$B$2:$B$26,A2,Data!$R$2:$R$26)</f>
        <v>0.848484848484849</v>
      </c>
    </row>
    <row r="3" customFormat="false" ht="15" hidden="false" customHeight="false" outlineLevel="0" collapsed="false">
      <c r="A3" s="17" t="s">
        <v>114</v>
      </c>
      <c r="B3" s="19" t="n">
        <f aca="false">COUNTIF(Data!$B$2:$B$26,A3)</f>
        <v>9</v>
      </c>
      <c r="C3" s="21" t="n">
        <f aca="false">AVERAGEIF(Data!$B$2:$B$26,A3,Data!$R$2:$R$26)</f>
        <v>0.890993265993266</v>
      </c>
    </row>
    <row r="4" customFormat="false" ht="15" hidden="false" customHeight="false" outlineLevel="0" collapsed="false">
      <c r="A4" s="17" t="s">
        <v>124</v>
      </c>
      <c r="B4" s="19" t="n">
        <f aca="false">COUNTIF(Data!$B$2:$B$26,A4)</f>
        <v>8</v>
      </c>
      <c r="C4" s="21" t="n">
        <f aca="false">AVERAGEIF(Data!$B$2:$B$26,A4,Data!$R$2:$R$26)</f>
        <v>0.902462121212121</v>
      </c>
    </row>
    <row r="5" customFormat="false" ht="15" hidden="false" customHeight="false" outlineLevel="0" collapsed="false">
      <c r="A5" s="17" t="s">
        <v>121</v>
      </c>
      <c r="B5" s="19" t="n">
        <f aca="false">COUNTIF(Data!$B$2:$B$26,A5)</f>
        <v>4</v>
      </c>
      <c r="C5" s="21" t="n">
        <f aca="false">AVERAGEIF(Data!$B$2:$B$26,A5,Data!$R$2:$R$26)</f>
        <v>0.893939393939394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149</v>
      </c>
      <c r="B1" s="26"/>
      <c r="C1" s="26"/>
      <c r="D1" s="26"/>
    </row>
    <row r="2" customFormat="false" ht="15" hidden="false" customHeight="false" outlineLevel="0" collapsed="false">
      <c r="A2" s="27" t="s">
        <v>150</v>
      </c>
      <c r="B2" s="27"/>
      <c r="C2" s="27"/>
      <c r="D2" s="27"/>
    </row>
    <row r="3" customFormat="false" ht="15" hidden="false" customHeight="false" outlineLevel="0" collapsed="false">
      <c r="A3" s="11" t="s">
        <v>19</v>
      </c>
      <c r="B3" s="11" t="s">
        <v>151</v>
      </c>
      <c r="C3" s="11" t="s">
        <v>152</v>
      </c>
      <c r="D3" s="11" t="s">
        <v>153</v>
      </c>
    </row>
    <row r="4" customFormat="false" ht="15" hidden="false" customHeight="false" outlineLevel="0" collapsed="false">
      <c r="A4" s="28" t="s">
        <v>154</v>
      </c>
      <c r="B4" s="29" t="s">
        <v>155</v>
      </c>
      <c r="C4" s="30" t="n">
        <f aca="false">SUM(Data!$O$2:$O$26)</f>
        <v>5863</v>
      </c>
      <c r="D4" s="31" t="s">
        <v>156</v>
      </c>
    </row>
    <row r="5" customFormat="false" ht="15" hidden="false" customHeight="false" outlineLevel="0" collapsed="false">
      <c r="A5" s="28" t="s">
        <v>157</v>
      </c>
      <c r="B5" s="29" t="s">
        <v>158</v>
      </c>
      <c r="C5" s="20" t="n">
        <f aca="false">AVERAGE(Data!$O$2:$O$26)</f>
        <v>234.52</v>
      </c>
      <c r="D5" s="31" t="s">
        <v>159</v>
      </c>
    </row>
    <row r="6" customFormat="false" ht="15" hidden="false" customHeight="false" outlineLevel="0" collapsed="false">
      <c r="A6" s="28" t="s">
        <v>160</v>
      </c>
      <c r="B6" s="29" t="s">
        <v>161</v>
      </c>
      <c r="C6" s="21" t="n">
        <f aca="false">C4/(COUNTA(Data!$A$2:$A$26)*Data!$Z$2*12)</f>
        <v>0.888333333333333</v>
      </c>
      <c r="D6" s="31" t="s">
        <v>162</v>
      </c>
    </row>
    <row r="7" customFormat="false" ht="15" hidden="false" customHeight="false" outlineLevel="0" collapsed="false">
      <c r="A7" s="28" t="s">
        <v>163</v>
      </c>
      <c r="B7" s="29" t="s">
        <v>164</v>
      </c>
      <c r="C7" s="22" t="str">
        <f aca="false">INDEX(Data!$A$2:$A$26,MATCH(MAX(Data!$R$2:$R$26),Data!$R$2:$R$26,0))</f>
        <v>Bambang Ramadhan</v>
      </c>
      <c r="D7" s="31" t="s">
        <v>165</v>
      </c>
    </row>
    <row r="8" customFormat="false" ht="15" hidden="false" customHeight="false" outlineLevel="0" collapsed="false">
      <c r="A8" s="28" t="s">
        <v>166</v>
      </c>
      <c r="B8" s="29" t="s">
        <v>167</v>
      </c>
      <c r="C8" s="22" t="str">
        <f aca="false">INDEX(Data!$A$2:$A$26,MATCH(MIN(Data!$R$2:$R$26),Data!$R$2:$R$26,0))</f>
        <v>Tika Kurniawan</v>
      </c>
      <c r="D8" s="31" t="s">
        <v>165</v>
      </c>
    </row>
    <row r="9" customFormat="false" ht="15" hidden="false" customHeight="false" outlineLevel="0" collapsed="false">
      <c r="A9" s="28" t="s">
        <v>168</v>
      </c>
      <c r="B9" s="29" t="s">
        <v>169</v>
      </c>
      <c r="C9" s="19" t="n">
        <f aca="false">COUNTIF(Data!$S$2:$S$26,"Baik")</f>
        <v>13</v>
      </c>
      <c r="D9" s="31" t="s">
        <v>170</v>
      </c>
    </row>
    <row r="10" customFormat="false" ht="15" hidden="false" customHeight="false" outlineLevel="0" collapsed="false">
      <c r="A10" s="28" t="s">
        <v>171</v>
      </c>
      <c r="B10" s="29" t="s">
        <v>172</v>
      </c>
      <c r="C10" s="19" t="n">
        <f aca="false">COUNTIF(Data!$T$2:$T$26,"Baik")</f>
        <v>13</v>
      </c>
      <c r="D10" s="31" t="s">
        <v>173</v>
      </c>
    </row>
    <row r="11" customFormat="false" ht="15" hidden="false" customHeight="false" outlineLevel="0" collapsed="false">
      <c r="A11" s="28" t="s">
        <v>174</v>
      </c>
      <c r="B11" s="29" t="s">
        <v>175</v>
      </c>
      <c r="C11" s="19" t="n">
        <f aca="false">COUNTIF(Data!$U$2:$U$26,"Baik")</f>
        <v>11</v>
      </c>
      <c r="D11" s="31" t="s">
        <v>176</v>
      </c>
    </row>
    <row r="12" customFormat="false" ht="15" hidden="false" customHeight="false" outlineLevel="0" collapsed="false">
      <c r="A12" s="28" t="s">
        <v>177</v>
      </c>
      <c r="B12" s="29" t="s">
        <v>178</v>
      </c>
      <c r="C12" s="19" t="n">
        <f aca="false">COUNTIF(Data!$V$2:$V$26,"Baik")</f>
        <v>11</v>
      </c>
      <c r="D12" s="31" t="s">
        <v>179</v>
      </c>
    </row>
    <row r="13" customFormat="false" ht="15" hidden="false" customHeight="false" outlineLevel="0" collapsed="false">
      <c r="A13" s="28" t="s">
        <v>180</v>
      </c>
      <c r="B13" s="29" t="s">
        <v>181</v>
      </c>
      <c r="C13" s="19" t="n">
        <f aca="false">COUNTIF(Data!$W$2:$W$26,"Teladan")</f>
        <v>6</v>
      </c>
      <c r="D13" s="31" t="s">
        <v>182</v>
      </c>
    </row>
    <row r="14" customFormat="false" ht="15" hidden="false" customHeight="false" outlineLevel="0" collapsed="false">
      <c r="A14" s="28" t="s">
        <v>183</v>
      </c>
      <c r="B14" s="29" t="s">
        <v>184</v>
      </c>
      <c r="C14" s="19" t="n">
        <f aca="false">COUNTIF(Data!$W$2:$W$26,"Baik")</f>
        <v>12</v>
      </c>
      <c r="D14" s="31" t="s">
        <v>185</v>
      </c>
    </row>
    <row r="15" customFormat="false" ht="15" hidden="false" customHeight="false" outlineLevel="0" collapsed="false">
      <c r="A15" s="28" t="s">
        <v>186</v>
      </c>
      <c r="B15" s="29" t="s">
        <v>187</v>
      </c>
      <c r="C15" s="19" t="n">
        <f aca="false">COUNTIF(Data!$W$2:$W$26,"Perlu Pembinaan")</f>
        <v>7</v>
      </c>
      <c r="D15" s="31" t="s">
        <v>188</v>
      </c>
    </row>
    <row r="16" customFormat="false" ht="15" hidden="false" customHeight="false" outlineLevel="0" collapsed="false">
      <c r="A16" s="28" t="s">
        <v>189</v>
      </c>
      <c r="B16" s="29" t="s">
        <v>190</v>
      </c>
      <c r="C16" s="22" t="str">
        <f aca="false">INDEX(Acuan!$A$2:$A$5,MATCH(MAX(Acuan!$C$2:$C$5),Acuan!$C$2:$C$5,0))</f>
        <v>Administrasi</v>
      </c>
      <c r="D16" s="31" t="s">
        <v>191</v>
      </c>
    </row>
    <row r="17" customFormat="false" ht="15" hidden="false" customHeight="false" outlineLevel="0" collapsed="false">
      <c r="A17" s="28" t="s">
        <v>192</v>
      </c>
      <c r="B17" s="29" t="s">
        <v>193</v>
      </c>
      <c r="C17" s="30" t="n">
        <f aca="false">SUMIF(Data!$B$2:$B$26,"Gudang",Data!$O$2:$O$26)</f>
        <v>2117</v>
      </c>
      <c r="D17" s="31" t="s">
        <v>194</v>
      </c>
    </row>
    <row r="18" customFormat="false" ht="15" hidden="false" customHeight="false" outlineLevel="0" collapsed="false">
      <c r="A18" s="28" t="s">
        <v>195</v>
      </c>
      <c r="B18" s="29" t="s">
        <v>196</v>
      </c>
      <c r="C18" s="19" t="n">
        <f aca="false">COUNTIF(Data!$Q$2:$Q$26,12)</f>
        <v>4</v>
      </c>
      <c r="D18" s="31" t="s">
        <v>197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2026-10-18T00:01:22Z</dcterms:created>
  <dc:creator>PushExcel</dc:creator>
  <dc:description/>
  <dc:language>en-US</dc:language>
  <cp:lastModifiedBy/>
  <dcterms:modified xsi:type="dcterms:W3CDTF">2026-10-18T00:01:22Z</dcterms:modified>
  <cp:revision>0</cp:revision>
  <dc:subject/>
  <dc:title>Rekap Kehadiran Pegawai Setahun - Kunci</dc:title>
</cp:coreProperties>
</file>

<file path=docProps/custom.xml><?xml version="1.0" encoding="utf-8"?>
<Properties xmlns="http://schemas.openxmlformats.org/officeDocument/2006/custom-properties" xmlns:vt="http://schemas.openxmlformats.org/officeDocument/2006/docPropsVTypes"/>
</file>