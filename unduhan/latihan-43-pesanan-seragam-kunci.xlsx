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<sst xmlns="http://schemas.openxmlformats.org/spreadsheetml/2006/main" count="258" uniqueCount="183">
  <si>
    <t xml:space="preserve">Kunci Jawaban: Pesanan Seragam Sekolah dan Sisa Pembayaran</t>
  </si>
  <si>
    <t xml:space="preserve">Latihan 43 dari 56  |  Tingkat: Pemula  |  Perkiraan waktu: 40 menit  |  pushexcel.github.io/Pushexcel</t>
  </si>
  <si>
    <t xml:space="preserve">Skenario</t>
  </si>
  <si>
    <t xml:space="preserve">Kamu admin koperasi SMP Tunas Harapan yang menerima pesanan seragam untuk siswa baru. Ada 26 pesanan. Harga dasar tiap jenis seragam ada di sheet Acuan, dan ukuran XL dikenai tambahan Rp 10.000 per potong (nilainya di blok Parameter). Tiap pemesan membayar uang muka. Pesanan berstatus Lunas bila sisa bayar sudah 0, selain itu Belum Lunas. Kamu menyusun rekap untuk bendahara koperasi.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</si>
  <si>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</si>
  <si>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</si>
  <si>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</si>
  <si>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</si>
  <si>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</si>
  <si>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</si>
  <si>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</si>
  <si>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</si>
  <si>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</si>
  <si>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</si>
  <si>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</si>
  <si>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</si>
  <si>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</si>
  <si>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</si>
  <si>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</si>
  <si>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</si>
  <si>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</si>
  <si>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</si>
  <si>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</si>
  <si>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</si>
  <si>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harga dasar tiap seragam dari sheet Acuan berdasarkan Jenis Seragam.</t>
  </si>
  <si>
    <t xml:space="preserve">Sheet Data, kolom H (Harga Dasar), baris 2 sampai 27</t>
  </si>
  <si>
    <t xml:space="preserve">=VLOOKUP(D2;Acuan!$A$2:$B$6;2;FALSE)</t>
  </si>
  <si>
    <t xml:space="preserve">2</t>
  </si>
  <si>
    <t xml:space="preserve">Beri tambahan harga per potong bila ukuran XL. Ukuran lain 0.</t>
  </si>
  <si>
    <t xml:space="preserve">Sheet Data, kolom I (Tambahan Ukuran), baris 2 sampai 27</t>
  </si>
  <si>
    <t xml:space="preserve">=IF(E2="XL";$P$2;0)</t>
  </si>
  <si>
    <t xml:space="preserve">3</t>
  </si>
  <si>
    <t xml:space="preserve">Hitung harga satuan: harga dasar ditambah tambahan ukuran.</t>
  </si>
  <si>
    <t xml:space="preserve">Sheet Data, kolom J (Harga Satuan), baris 2 sampai 27</t>
  </si>
  <si>
    <t xml:space="preserve">=H2+I2</t>
  </si>
  <si>
    <t xml:space="preserve">4</t>
  </si>
  <si>
    <t xml:space="preserve">Hitung total harga pesanan: jumlah dikali harga satuan.</t>
  </si>
  <si>
    <t xml:space="preserve">Sheet Data, kolom K (Total Harga), baris 2 sampai 27</t>
  </si>
  <si>
    <t xml:space="preserve">=F2*J2</t>
  </si>
  <si>
    <t xml:space="preserve">5</t>
  </si>
  <si>
    <t xml:space="preserve">Hitung sisa bayar: total harga dikurangi uang muka.</t>
  </si>
  <si>
    <t xml:space="preserve">Sheet Data, kolom L (Sisa Bayar), baris 2 sampai 27</t>
  </si>
  <si>
    <t xml:space="preserve">=K2-G2</t>
  </si>
  <si>
    <t xml:space="preserve">6</t>
  </si>
  <si>
    <t xml:space="preserve">Beri status Lunas bila sisa bayar 0. Selain itu Belum Lunas.</t>
  </si>
  <si>
    <t xml:space="preserve">Sheet Data, kolom M (Status), baris 2 sampai 27</t>
  </si>
  <si>
    <t xml:space="preserve">=IF(L2=0;"Lunas";"Belum Lunas")</t>
  </si>
  <si>
    <t xml:space="preserve">7</t>
  </si>
  <si>
    <t xml:space="preserve">Pada sheet Acuan, hitung jumlah potong yang dipesan untuk tiap jenis seragam.</t>
  </si>
  <si>
    <t xml:space="preserve">Sheet Acuan, kolom C (Jumlah Terpesan), baris 2 sampai 6</t>
  </si>
  <si>
    <t xml:space="preserve">=SUMIF(Data!$D$2:$D$27;A2;Data!$F$2:$F$27)</t>
  </si>
  <si>
    <t xml:space="preserve">8</t>
  </si>
  <si>
    <t xml:space="preserve">Pada sheet Acuan, hitung total harga pesanan tiap jenis seragam.</t>
  </si>
  <si>
    <t xml:space="preserve">Sheet Acuan, kolom D (Pendapatan), baris 2 sampai 6</t>
  </si>
  <si>
    <t xml:space="preserve">=SUMIF(Data!$D$2:$D$27;A2;Data!$K$2:$K$27)</t>
  </si>
  <si>
    <t xml:space="preserve">9</t>
  </si>
  <si>
    <t xml:space="preserve">Berapa total potong seragam yang dipesan, dan berapa total harga seluruh pesanan?</t>
  </si>
  <si>
    <t xml:space="preserve">Sheet Ringkasan, sel C4 sampai C5</t>
  </si>
  <si>
    <t xml:space="preserve">=SUM(Data!$F$2:$F$27)
=SUM(Data!$K$2:$K$27)</t>
  </si>
  <si>
    <t xml:space="preserve">10</t>
  </si>
  <si>
    <t xml:space="preserve">Berapa pesanan yang sudah Lunas, dan berapa total sisa bayar yang masih harus ditagih?</t>
  </si>
  <si>
    <t xml:space="preserve">Sheet Ringkasan, sel C6 sampai C7</t>
  </si>
  <si>
    <t xml:space="preserve">=COUNTIF(Data!$M$2:$M$27;"Lunas")
=SUM(Data!$L$2:$L$27)</t>
  </si>
  <si>
    <t xml:space="preserve">11</t>
  </si>
  <si>
    <t xml:space="preserve">Jenis seragam apa yang paling banyak dipesan, dan jenis apa yang paling sedikit dipesan?</t>
  </si>
  <si>
    <t xml:space="preserve">Sheet Ringkasan, sel C8 sampai C9</t>
  </si>
  <si>
    <t xml:space="preserve">=INDEX(Acuan!$A$2:$A$6;MATCH(MAX(Acuan!$C$2:$C$6);Acuan!$C$2:$C$6;0))
=INDEX(Acuan!$A$2:$A$6;MATCH(MIN(Acuan!$C$2:$C$6);Acuan!$C$2:$C$6;0))</t>
  </si>
  <si>
    <t xml:space="preserve">12</t>
  </si>
  <si>
    <t xml:space="preserve">Berapa pesanan ukuran XL, dan berapa total harga pesanan siswa kelas VII-A?</t>
  </si>
  <si>
    <t xml:space="preserve">Sheet Ringkasan, sel C10 sampai C11</t>
  </si>
  <si>
    <t xml:space="preserve">=COUNTIF(Data!$E$2:$E$27;"XL")
=SUMIF(Data!$C$2:$C$27;"VII-A";Data!$K$2:$K$27)</t>
  </si>
  <si>
    <t xml:space="preserve">No Pesanan</t>
  </si>
  <si>
    <t xml:space="preserve">Nama Siswa</t>
  </si>
  <si>
    <t xml:space="preserve">Kelas</t>
  </si>
  <si>
    <t xml:space="preserve">Jenis Seragam</t>
  </si>
  <si>
    <t xml:space="preserve">Ukuran</t>
  </si>
  <si>
    <t xml:space="preserve">Jumlah</t>
  </si>
  <si>
    <t xml:space="preserve">Uang Muka</t>
  </si>
  <si>
    <t xml:space="preserve">Harga Dasar</t>
  </si>
  <si>
    <t xml:space="preserve">Tambahan Ukuran</t>
  </si>
  <si>
    <t xml:space="preserve">Harga Satuan</t>
  </si>
  <si>
    <t xml:space="preserve">Total Harga</t>
  </si>
  <si>
    <t xml:space="preserve">Sisa Bayar</t>
  </si>
  <si>
    <t xml:space="preserve">Status</t>
  </si>
  <si>
    <t xml:space="preserve">Parameter</t>
  </si>
  <si>
    <t xml:space="preserve">Nilai</t>
  </si>
  <si>
    <t xml:space="preserve">Keterangan</t>
  </si>
  <si>
    <t xml:space="preserve">SRG-001</t>
  </si>
  <si>
    <t xml:space="preserve">Yoga Firmansyah</t>
  </si>
  <si>
    <t xml:space="preserve">VII-B</t>
  </si>
  <si>
    <t xml:space="preserve">Baju Putih</t>
  </si>
  <si>
    <t xml:space="preserve">M</t>
  </si>
  <si>
    <t xml:space="preserve">Tambahan ukuran XL</t>
  </si>
  <si>
    <t xml:space="preserve">Per potong untuk ukuran XL</t>
  </si>
  <si>
    <t xml:space="preserve">SRG-002</t>
  </si>
  <si>
    <t xml:space="preserve">Citra Setiawan</t>
  </si>
  <si>
    <t xml:space="preserve">VII-C</t>
  </si>
  <si>
    <t xml:space="preserve">S</t>
  </si>
  <si>
    <t xml:space="preserve">SRG-003</t>
  </si>
  <si>
    <t xml:space="preserve">Sari Nugroho</t>
  </si>
  <si>
    <t xml:space="preserve">Baju Olahraga</t>
  </si>
  <si>
    <t xml:space="preserve">SRG-004</t>
  </si>
  <si>
    <t xml:space="preserve">Umar Permana</t>
  </si>
  <si>
    <t xml:space="preserve">Dasi dan Topi</t>
  </si>
  <si>
    <t xml:space="preserve">SRG-005</t>
  </si>
  <si>
    <t xml:space="preserve">Dimas Lestari</t>
  </si>
  <si>
    <t xml:space="preserve">VII-A</t>
  </si>
  <si>
    <t xml:space="preserve">Celana atau Rok Biru</t>
  </si>
  <si>
    <t xml:space="preserve">XL</t>
  </si>
  <si>
    <t xml:space="preserve">SRG-006</t>
  </si>
  <si>
    <t xml:space="preserve">Dimas Anggraini</t>
  </si>
  <si>
    <t xml:space="preserve">L</t>
  </si>
  <si>
    <t xml:space="preserve">SRG-007</t>
  </si>
  <si>
    <t xml:space="preserve">Yuni Firmansyah</t>
  </si>
  <si>
    <t xml:space="preserve">SRG-008</t>
  </si>
  <si>
    <t xml:space="preserve">Hadi Suryani</t>
  </si>
  <si>
    <t xml:space="preserve">SRG-009</t>
  </si>
  <si>
    <t xml:space="preserve">Rahmat Suryani</t>
  </si>
  <si>
    <t xml:space="preserve">Batik</t>
  </si>
  <si>
    <t xml:space="preserve">SRG-010</t>
  </si>
  <si>
    <t xml:space="preserve">Rina Permana</t>
  </si>
  <si>
    <t xml:space="preserve">SRG-011</t>
  </si>
  <si>
    <t xml:space="preserve">Eko Santoso</t>
  </si>
  <si>
    <t xml:space="preserve">SRG-012</t>
  </si>
  <si>
    <t xml:space="preserve">Mulyadi Handayani</t>
  </si>
  <si>
    <t xml:space="preserve">SRG-013</t>
  </si>
  <si>
    <t xml:space="preserve">Joko Nugroho</t>
  </si>
  <si>
    <t xml:space="preserve">SRG-014</t>
  </si>
  <si>
    <t xml:space="preserve">Umar Setiawan</t>
  </si>
  <si>
    <t xml:space="preserve">SRG-015</t>
  </si>
  <si>
    <t xml:space="preserve">Fajar Sari</t>
  </si>
  <si>
    <t xml:space="preserve">SRG-016</t>
  </si>
  <si>
    <t xml:space="preserve">Bambang Suryani</t>
  </si>
  <si>
    <t xml:space="preserve">SRG-017</t>
  </si>
  <si>
    <t xml:space="preserve">Ahmad Putra</t>
  </si>
  <si>
    <t xml:space="preserve">SRG-018</t>
  </si>
  <si>
    <t xml:space="preserve">Lestari Kusuma</t>
  </si>
  <si>
    <t xml:space="preserve">SRG-019</t>
  </si>
  <si>
    <t xml:space="preserve">Dian Saputra</t>
  </si>
  <si>
    <t xml:space="preserve">SRG-020</t>
  </si>
  <si>
    <t xml:space="preserve">Umar Pangestu</t>
  </si>
  <si>
    <t xml:space="preserve">SRG-021</t>
  </si>
  <si>
    <t xml:space="preserve">Andi Pratama</t>
  </si>
  <si>
    <t xml:space="preserve">SRG-022</t>
  </si>
  <si>
    <t xml:space="preserve">Andi Anggraini</t>
  </si>
  <si>
    <t xml:space="preserve">SRG-023</t>
  </si>
  <si>
    <t xml:space="preserve">Galih Kurniawan</t>
  </si>
  <si>
    <t xml:space="preserve">SRG-024</t>
  </si>
  <si>
    <t xml:space="preserve">Siti Setiawan</t>
  </si>
  <si>
    <t xml:space="preserve">SRG-025</t>
  </si>
  <si>
    <t xml:space="preserve">Bambang Purnomo</t>
  </si>
  <si>
    <t xml:space="preserve">SRG-026</t>
  </si>
  <si>
    <t xml:space="preserve">Andi Purnomo</t>
  </si>
  <si>
    <t xml:space="preserve">Jumlah Terpesan</t>
  </si>
  <si>
    <t xml:space="preserve">Pendapatan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</si>
  <si>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</si>
  <si>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</si>
  <si>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</si>
  <si>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</si>
  <si>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</si>
  <si>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</si>
  <si>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potong dipesan</t>
  </si>
  <si>
    <t xml:space="preserve">Angka bulat, mis. 60</t>
  </si>
  <si>
    <t xml:space="preserve">9b</t>
  </si>
  <si>
    <t xml:space="preserve">Total harga seluruh pesanan</t>
  </si>
  <si>
    <t xml:space="preserve">Rupiah, mis. Rp 4.000.000</t>
  </si>
  <si>
    <t xml:space="preserve">10a</t>
  </si>
  <si>
    <t xml:space="preserve">Jumlah pesanan Lunas</t>
  </si>
  <si>
    <t xml:space="preserve">Angka bulat, mis. 10</t>
  </si>
  <si>
    <t xml:space="preserve">10b</t>
  </si>
  <si>
    <t xml:space="preserve">Total sisa bayar</t>
  </si>
  <si>
    <t xml:space="preserve">Rupiah, mis. Rp 1.000.000</t>
  </si>
  <si>
    <t xml:space="preserve">11a</t>
  </si>
  <si>
    <t xml:space="preserve">Jenis seragam paling banyak dipesan</t>
  </si>
  <si>
    <t xml:space="preserve">Teks: jenis seragam</t>
  </si>
  <si>
    <t xml:space="preserve">11b</t>
  </si>
  <si>
    <t xml:space="preserve">Jenis seragam paling sedikit dipesan</t>
  </si>
  <si>
    <t xml:space="preserve">12a</t>
  </si>
  <si>
    <t xml:space="preserve">Jumlah pesanan ukuran XL</t>
  </si>
  <si>
    <t xml:space="preserve">Angka bulat, mis. 4</t>
  </si>
  <si>
    <t xml:space="preserve">12b</t>
  </si>
  <si>
    <t xml:space="preserve">Total harga pesanan kelas VII-A</t>
  </si>
  <si>
    <t xml:space="preserve">Rupiah, mis. Rp 1.300.000</t>
  </si>
</sst>
</file>

<file path=xl/styles.xml><?xml version="1.0" encoding="utf-8"?>
<styleSheet xmlns="http://schemas.openxmlformats.org/spreadsheetml/2006/main">
  <numFmts count="3">
    <numFmt numFmtId="164" formatCode="General"/>
    <numFmt numFmtId="165" formatCode="0"/>
    <numFmt numFmtId="166" formatCode="&quot;Rp &quot;#,##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8"/>
    <col collapsed="false" customWidth="true" hidden="false" outlineLevel="0" max="4" min="4" style="0" width="22"/>
    <col collapsed="false" customWidth="true" hidden="false" outlineLevel="0" max="6" min="5" style="0" width="9"/>
    <col collapsed="false" customWidth="true" hidden="false" outlineLevel="0" max="8" min="7" style="0" width="14"/>
    <col collapsed="false" customWidth="true" hidden="false" outlineLevel="0" max="9" min="9" style="0" width="16"/>
    <col collapsed="false" customWidth="true" hidden="false" outlineLevel="0" max="12" min="10" style="0" width="14"/>
    <col collapsed="false" customWidth="true" hidden="false" outlineLevel="0" max="13" min="13" style="0" width="13"/>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71</v>
      </c>
      <c r="B1" s="11" t="s">
        <v>72</v>
      </c>
      <c r="C1" s="11" t="s">
        <v>73</v>
      </c>
      <c r="D1" s="11" t="s">
        <v>74</v>
      </c>
      <c r="E1" s="11" t="s">
        <v>75</v>
      </c>
      <c r="F1" s="11" t="s">
        <v>76</v>
      </c>
      <c r="G1" s="11" t="s">
        <v>77</v>
      </c>
      <c r="H1" s="15" t="s">
        <v>78</v>
      </c>
      <c r="I1" s="15" t="s">
        <v>79</v>
      </c>
      <c r="J1" s="15" t="s">
        <v>80</v>
      </c>
      <c r="K1" s="15" t="s">
        <v>81</v>
      </c>
      <c r="L1" s="15" t="s">
        <v>82</v>
      </c>
      <c r="M1" s="15" t="s">
        <v>83</v>
      </c>
      <c r="O1" s="16" t="s">
        <v>84</v>
      </c>
      <c r="P1" s="16" t="s">
        <v>85</v>
      </c>
      <c r="Q1" s="16" t="s">
        <v>86</v>
      </c>
    </row>
    <row r="2" customFormat="false" ht="15" hidden="false" customHeight="false" outlineLevel="0" collapsed="false">
      <c r="A2" s="17" t="s">
        <v>87</v>
      </c>
      <c r="B2" s="17" t="s">
        <v>88</v>
      </c>
      <c r="C2" s="17" t="s">
        <v>89</v>
      </c>
      <c r="D2" s="17" t="s">
        <v>90</v>
      </c>
      <c r="E2" s="17" t="s">
        <v>91</v>
      </c>
      <c r="F2" s="18" t="n">
        <v>1</v>
      </c>
      <c r="G2" s="19" t="n">
        <v>85000</v>
      </c>
      <c r="H2" s="20" t="n">
        <f aca="false">VLOOKUP(D2,Acuan!$A$2:$B$6,2,FALSE())</f>
        <v>85000</v>
      </c>
      <c r="I2" s="20" t="n">
        <f aca="false">IF(E2="XL",$P$2,0)</f>
        <v>0</v>
      </c>
      <c r="J2" s="20" t="n">
        <f aca="false">H2+I2</f>
        <v>85000</v>
      </c>
      <c r="K2" s="20" t="n">
        <f aca="false">F2*J2</f>
        <v>85000</v>
      </c>
      <c r="L2" s="20" t="n">
        <f aca="false">K2-G2</f>
        <v>0</v>
      </c>
      <c r="M2" s="21" t="str">
        <f aca="false">IF(L2=0,"Lunas","Belum Lunas")</f>
        <v>Lunas</v>
      </c>
      <c r="O2" s="22" t="s">
        <v>92</v>
      </c>
      <c r="P2" s="23" t="n">
        <v>10000</v>
      </c>
      <c r="Q2" s="22" t="s">
        <v>93</v>
      </c>
    </row>
    <row r="3" customFormat="false" ht="15" hidden="false" customHeight="false" outlineLevel="0" collapsed="false">
      <c r="A3" s="17" t="s">
        <v>94</v>
      </c>
      <c r="B3" s="17" t="s">
        <v>95</v>
      </c>
      <c r="C3" s="17" t="s">
        <v>96</v>
      </c>
      <c r="D3" s="17" t="s">
        <v>90</v>
      </c>
      <c r="E3" s="17" t="s">
        <v>97</v>
      </c>
      <c r="F3" s="18" t="n">
        <v>3</v>
      </c>
      <c r="G3" s="19" t="n">
        <v>76000</v>
      </c>
      <c r="H3" s="20" t="n">
        <f aca="false">VLOOKUP(D3,Acuan!$A$2:$B$6,2,FALSE())</f>
        <v>85000</v>
      </c>
      <c r="I3" s="20" t="n">
        <f aca="false">IF(E3="XL",$P$2,0)</f>
        <v>0</v>
      </c>
      <c r="J3" s="20" t="n">
        <f aca="false">H3+I3</f>
        <v>85000</v>
      </c>
      <c r="K3" s="20" t="n">
        <f aca="false">F3*J3</f>
        <v>255000</v>
      </c>
      <c r="L3" s="20" t="n">
        <f aca="false">K3-G3</f>
        <v>179000</v>
      </c>
      <c r="M3" s="21" t="str">
        <f aca="false">IF(L3=0,"Lunas","Belum Lunas")</f>
        <v>Belum Lunas</v>
      </c>
    </row>
    <row r="4" customFormat="false" ht="15" hidden="false" customHeight="false" outlineLevel="0" collapsed="false">
      <c r="A4" s="17" t="s">
        <v>98</v>
      </c>
      <c r="B4" s="17" t="s">
        <v>99</v>
      </c>
      <c r="C4" s="17" t="s">
        <v>89</v>
      </c>
      <c r="D4" s="17" t="s">
        <v>100</v>
      </c>
      <c r="E4" s="17" t="s">
        <v>91</v>
      </c>
      <c r="F4" s="18" t="n">
        <v>2</v>
      </c>
      <c r="G4" s="19" t="n">
        <v>190000</v>
      </c>
      <c r="H4" s="20" t="n">
        <f aca="false">VLOOKUP(D4,Acuan!$A$2:$B$6,2,FALSE())</f>
        <v>95000</v>
      </c>
      <c r="I4" s="20" t="n">
        <f aca="false">IF(E4="XL",$P$2,0)</f>
        <v>0</v>
      </c>
      <c r="J4" s="20" t="n">
        <f aca="false">H4+I4</f>
        <v>95000</v>
      </c>
      <c r="K4" s="20" t="n">
        <f aca="false">F4*J4</f>
        <v>190000</v>
      </c>
      <c r="L4" s="20" t="n">
        <f aca="false">K4-G4</f>
        <v>0</v>
      </c>
      <c r="M4" s="21" t="str">
        <f aca="false">IF(L4=0,"Lunas","Belum Lunas")</f>
        <v>Lunas</v>
      </c>
    </row>
    <row r="5" customFormat="false" ht="15" hidden="false" customHeight="false" outlineLevel="0" collapsed="false">
      <c r="A5" s="17" t="s">
        <v>101</v>
      </c>
      <c r="B5" s="17" t="s">
        <v>102</v>
      </c>
      <c r="C5" s="17" t="s">
        <v>89</v>
      </c>
      <c r="D5" s="17" t="s">
        <v>103</v>
      </c>
      <c r="E5" s="17" t="s">
        <v>97</v>
      </c>
      <c r="F5" s="18" t="n">
        <v>2</v>
      </c>
      <c r="G5" s="19" t="n">
        <v>0</v>
      </c>
      <c r="H5" s="20" t="n">
        <f aca="false">VLOOKUP(D5,Acuan!$A$2:$B$6,2,FALSE())</f>
        <v>25000</v>
      </c>
      <c r="I5" s="20" t="n">
        <f aca="false">IF(E5="XL",$P$2,0)</f>
        <v>0</v>
      </c>
      <c r="J5" s="20" t="n">
        <f aca="false">H5+I5</f>
        <v>25000</v>
      </c>
      <c r="K5" s="20" t="n">
        <f aca="false">F5*J5</f>
        <v>50000</v>
      </c>
      <c r="L5" s="20" t="n">
        <f aca="false">K5-G5</f>
        <v>50000</v>
      </c>
      <c r="M5" s="21" t="str">
        <f aca="false">IF(L5=0,"Lunas","Belum Lunas")</f>
        <v>Belum Lunas</v>
      </c>
    </row>
    <row r="6" customFormat="false" ht="15" hidden="false" customHeight="false" outlineLevel="0" collapsed="false">
      <c r="A6" s="17" t="s">
        <v>104</v>
      </c>
      <c r="B6" s="17" t="s">
        <v>105</v>
      </c>
      <c r="C6" s="17" t="s">
        <v>106</v>
      </c>
      <c r="D6" s="17" t="s">
        <v>107</v>
      </c>
      <c r="E6" s="17" t="s">
        <v>108</v>
      </c>
      <c r="F6" s="18" t="n">
        <v>2</v>
      </c>
      <c r="G6" s="19" t="n">
        <v>200000</v>
      </c>
      <c r="H6" s="20" t="n">
        <f aca="false">VLOOKUP(D6,Acuan!$A$2:$B$6,2,FALSE())</f>
        <v>90000</v>
      </c>
      <c r="I6" s="20" t="n">
        <f aca="false">IF(E6="XL",$P$2,0)</f>
        <v>10000</v>
      </c>
      <c r="J6" s="20" t="n">
        <f aca="false">H6+I6</f>
        <v>100000</v>
      </c>
      <c r="K6" s="20" t="n">
        <f aca="false">F6*J6</f>
        <v>200000</v>
      </c>
      <c r="L6" s="20" t="n">
        <f aca="false">K6-G6</f>
        <v>0</v>
      </c>
      <c r="M6" s="21" t="str">
        <f aca="false">IF(L6=0,"Lunas","Belum Lunas")</f>
        <v>Lunas</v>
      </c>
    </row>
    <row r="7" customFormat="false" ht="15" hidden="false" customHeight="false" outlineLevel="0" collapsed="false">
      <c r="A7" s="17" t="s">
        <v>109</v>
      </c>
      <c r="B7" s="17" t="s">
        <v>110</v>
      </c>
      <c r="C7" s="17" t="s">
        <v>106</v>
      </c>
      <c r="D7" s="17" t="s">
        <v>90</v>
      </c>
      <c r="E7" s="17" t="s">
        <v>111</v>
      </c>
      <c r="F7" s="18" t="n">
        <v>1</v>
      </c>
      <c r="G7" s="19" t="n">
        <v>85000</v>
      </c>
      <c r="H7" s="20" t="n">
        <f aca="false">VLOOKUP(D7,Acuan!$A$2:$B$6,2,FALSE())</f>
        <v>85000</v>
      </c>
      <c r="I7" s="20" t="n">
        <f aca="false">IF(E7="XL",$P$2,0)</f>
        <v>0</v>
      </c>
      <c r="J7" s="20" t="n">
        <f aca="false">H7+I7</f>
        <v>85000</v>
      </c>
      <c r="K7" s="20" t="n">
        <f aca="false">F7*J7</f>
        <v>85000</v>
      </c>
      <c r="L7" s="20" t="n">
        <f aca="false">K7-G7</f>
        <v>0</v>
      </c>
      <c r="M7" s="21" t="str">
        <f aca="false">IF(L7=0,"Lunas","Belum Lunas")</f>
        <v>Lunas</v>
      </c>
    </row>
    <row r="8" customFormat="false" ht="15" hidden="false" customHeight="false" outlineLevel="0" collapsed="false">
      <c r="A8" s="17" t="s">
        <v>112</v>
      </c>
      <c r="B8" s="17" t="s">
        <v>113</v>
      </c>
      <c r="C8" s="17" t="s">
        <v>89</v>
      </c>
      <c r="D8" s="17" t="s">
        <v>103</v>
      </c>
      <c r="E8" s="17" t="s">
        <v>91</v>
      </c>
      <c r="F8" s="18" t="n">
        <v>2</v>
      </c>
      <c r="G8" s="19" t="n">
        <v>50000</v>
      </c>
      <c r="H8" s="20" t="n">
        <f aca="false">VLOOKUP(D8,Acuan!$A$2:$B$6,2,FALSE())</f>
        <v>25000</v>
      </c>
      <c r="I8" s="20" t="n">
        <f aca="false">IF(E8="XL",$P$2,0)</f>
        <v>0</v>
      </c>
      <c r="J8" s="20" t="n">
        <f aca="false">H8+I8</f>
        <v>25000</v>
      </c>
      <c r="K8" s="20" t="n">
        <f aca="false">F8*J8</f>
        <v>50000</v>
      </c>
      <c r="L8" s="20" t="n">
        <f aca="false">K8-G8</f>
        <v>0</v>
      </c>
      <c r="M8" s="21" t="str">
        <f aca="false">IF(L8=0,"Lunas","Belum Lunas")</f>
        <v>Lunas</v>
      </c>
    </row>
    <row r="9" customFormat="false" ht="15" hidden="false" customHeight="false" outlineLevel="0" collapsed="false">
      <c r="A9" s="17" t="s">
        <v>114</v>
      </c>
      <c r="B9" s="17" t="s">
        <v>115</v>
      </c>
      <c r="C9" s="17" t="s">
        <v>106</v>
      </c>
      <c r="D9" s="17" t="s">
        <v>90</v>
      </c>
      <c r="E9" s="17" t="s">
        <v>111</v>
      </c>
      <c r="F9" s="18" t="n">
        <v>3</v>
      </c>
      <c r="G9" s="19" t="n">
        <v>76000</v>
      </c>
      <c r="H9" s="20" t="n">
        <f aca="false">VLOOKUP(D9,Acuan!$A$2:$B$6,2,FALSE())</f>
        <v>85000</v>
      </c>
      <c r="I9" s="20" t="n">
        <f aca="false">IF(E9="XL",$P$2,0)</f>
        <v>0</v>
      </c>
      <c r="J9" s="20" t="n">
        <f aca="false">H9+I9</f>
        <v>85000</v>
      </c>
      <c r="K9" s="20" t="n">
        <f aca="false">F9*J9</f>
        <v>255000</v>
      </c>
      <c r="L9" s="20" t="n">
        <f aca="false">K9-G9</f>
        <v>179000</v>
      </c>
      <c r="M9" s="21" t="str">
        <f aca="false">IF(L9=0,"Lunas","Belum Lunas")</f>
        <v>Belum Lunas</v>
      </c>
    </row>
    <row r="10" customFormat="false" ht="15" hidden="false" customHeight="false" outlineLevel="0" collapsed="false">
      <c r="A10" s="17" t="s">
        <v>116</v>
      </c>
      <c r="B10" s="17" t="s">
        <v>117</v>
      </c>
      <c r="C10" s="17" t="s">
        <v>96</v>
      </c>
      <c r="D10" s="17" t="s">
        <v>118</v>
      </c>
      <c r="E10" s="17" t="s">
        <v>111</v>
      </c>
      <c r="F10" s="18" t="n">
        <v>1</v>
      </c>
      <c r="G10" s="19" t="n">
        <v>55000</v>
      </c>
      <c r="H10" s="20" t="n">
        <f aca="false">VLOOKUP(D10,Acuan!$A$2:$B$6,2,FALSE())</f>
        <v>110000</v>
      </c>
      <c r="I10" s="20" t="n">
        <f aca="false">IF(E10="XL",$P$2,0)</f>
        <v>0</v>
      </c>
      <c r="J10" s="20" t="n">
        <f aca="false">H10+I10</f>
        <v>110000</v>
      </c>
      <c r="K10" s="20" t="n">
        <f aca="false">F10*J10</f>
        <v>110000</v>
      </c>
      <c r="L10" s="20" t="n">
        <f aca="false">K10-G10</f>
        <v>55000</v>
      </c>
      <c r="M10" s="21" t="str">
        <f aca="false">IF(L10=0,"Lunas","Belum Lunas")</f>
        <v>Belum Lunas</v>
      </c>
    </row>
    <row r="11" customFormat="false" ht="15" hidden="false" customHeight="false" outlineLevel="0" collapsed="false">
      <c r="A11" s="17" t="s">
        <v>119</v>
      </c>
      <c r="B11" s="17" t="s">
        <v>120</v>
      </c>
      <c r="C11" s="17" t="s">
        <v>106</v>
      </c>
      <c r="D11" s="17" t="s">
        <v>100</v>
      </c>
      <c r="E11" s="17" t="s">
        <v>111</v>
      </c>
      <c r="F11" s="18" t="n">
        <v>1</v>
      </c>
      <c r="G11" s="19" t="n">
        <v>95000</v>
      </c>
      <c r="H11" s="20" t="n">
        <f aca="false">VLOOKUP(D11,Acuan!$A$2:$B$6,2,FALSE())</f>
        <v>95000</v>
      </c>
      <c r="I11" s="20" t="n">
        <f aca="false">IF(E11="XL",$P$2,0)</f>
        <v>0</v>
      </c>
      <c r="J11" s="20" t="n">
        <f aca="false">H11+I11</f>
        <v>95000</v>
      </c>
      <c r="K11" s="20" t="n">
        <f aca="false">F11*J11</f>
        <v>95000</v>
      </c>
      <c r="L11" s="20" t="n">
        <f aca="false">K11-G11</f>
        <v>0</v>
      </c>
      <c r="M11" s="21" t="str">
        <f aca="false">IF(L11=0,"Lunas","Belum Lunas")</f>
        <v>Lunas</v>
      </c>
    </row>
    <row r="12" customFormat="false" ht="15" hidden="false" customHeight="false" outlineLevel="0" collapsed="false">
      <c r="A12" s="17" t="s">
        <v>121</v>
      </c>
      <c r="B12" s="17" t="s">
        <v>122</v>
      </c>
      <c r="C12" s="17" t="s">
        <v>89</v>
      </c>
      <c r="D12" s="17" t="s">
        <v>107</v>
      </c>
      <c r="E12" s="17" t="s">
        <v>111</v>
      </c>
      <c r="F12" s="18" t="n">
        <v>1</v>
      </c>
      <c r="G12" s="19" t="n">
        <v>0</v>
      </c>
      <c r="H12" s="20" t="n">
        <f aca="false">VLOOKUP(D12,Acuan!$A$2:$B$6,2,FALSE())</f>
        <v>90000</v>
      </c>
      <c r="I12" s="20" t="n">
        <f aca="false">IF(E12="XL",$P$2,0)</f>
        <v>0</v>
      </c>
      <c r="J12" s="20" t="n">
        <f aca="false">H12+I12</f>
        <v>90000</v>
      </c>
      <c r="K12" s="20" t="n">
        <f aca="false">F12*J12</f>
        <v>90000</v>
      </c>
      <c r="L12" s="20" t="n">
        <f aca="false">K12-G12</f>
        <v>90000</v>
      </c>
      <c r="M12" s="21" t="str">
        <f aca="false">IF(L12=0,"Lunas","Belum Lunas")</f>
        <v>Belum Lunas</v>
      </c>
    </row>
    <row r="13" customFormat="false" ht="15" hidden="false" customHeight="false" outlineLevel="0" collapsed="false">
      <c r="A13" s="17" t="s">
        <v>123</v>
      </c>
      <c r="B13" s="17" t="s">
        <v>124</v>
      </c>
      <c r="C13" s="17" t="s">
        <v>106</v>
      </c>
      <c r="D13" s="17" t="s">
        <v>107</v>
      </c>
      <c r="E13" s="17" t="s">
        <v>91</v>
      </c>
      <c r="F13" s="18" t="n">
        <v>2</v>
      </c>
      <c r="G13" s="19" t="n">
        <v>90000</v>
      </c>
      <c r="H13" s="20" t="n">
        <f aca="false">VLOOKUP(D13,Acuan!$A$2:$B$6,2,FALSE())</f>
        <v>90000</v>
      </c>
      <c r="I13" s="20" t="n">
        <f aca="false">IF(E13="XL",$P$2,0)</f>
        <v>0</v>
      </c>
      <c r="J13" s="20" t="n">
        <f aca="false">H13+I13</f>
        <v>90000</v>
      </c>
      <c r="K13" s="20" t="n">
        <f aca="false">F13*J13</f>
        <v>180000</v>
      </c>
      <c r="L13" s="20" t="n">
        <f aca="false">K13-G13</f>
        <v>90000</v>
      </c>
      <c r="M13" s="21" t="str">
        <f aca="false">IF(L13=0,"Lunas","Belum Lunas")</f>
        <v>Belum Lunas</v>
      </c>
    </row>
    <row r="14" customFormat="false" ht="15" hidden="false" customHeight="false" outlineLevel="0" collapsed="false">
      <c r="A14" s="17" t="s">
        <v>125</v>
      </c>
      <c r="B14" s="17" t="s">
        <v>126</v>
      </c>
      <c r="C14" s="17" t="s">
        <v>106</v>
      </c>
      <c r="D14" s="17" t="s">
        <v>90</v>
      </c>
      <c r="E14" s="17" t="s">
        <v>97</v>
      </c>
      <c r="F14" s="18" t="n">
        <v>2</v>
      </c>
      <c r="G14" s="19" t="n">
        <v>85000</v>
      </c>
      <c r="H14" s="20" t="n">
        <f aca="false">VLOOKUP(D14,Acuan!$A$2:$B$6,2,FALSE())</f>
        <v>85000</v>
      </c>
      <c r="I14" s="20" t="n">
        <f aca="false">IF(E14="XL",$P$2,0)</f>
        <v>0</v>
      </c>
      <c r="J14" s="20" t="n">
        <f aca="false">H14+I14</f>
        <v>85000</v>
      </c>
      <c r="K14" s="20" t="n">
        <f aca="false">F14*J14</f>
        <v>170000</v>
      </c>
      <c r="L14" s="20" t="n">
        <f aca="false">K14-G14</f>
        <v>85000</v>
      </c>
      <c r="M14" s="21" t="str">
        <f aca="false">IF(L14=0,"Lunas","Belum Lunas")</f>
        <v>Belum Lunas</v>
      </c>
    </row>
    <row r="15" customFormat="false" ht="15" hidden="false" customHeight="false" outlineLevel="0" collapsed="false">
      <c r="A15" s="17" t="s">
        <v>127</v>
      </c>
      <c r="B15" s="17" t="s">
        <v>128</v>
      </c>
      <c r="C15" s="17" t="s">
        <v>106</v>
      </c>
      <c r="D15" s="17" t="s">
        <v>90</v>
      </c>
      <c r="E15" s="17" t="s">
        <v>108</v>
      </c>
      <c r="F15" s="18" t="n">
        <v>2</v>
      </c>
      <c r="G15" s="19" t="n">
        <v>95000</v>
      </c>
      <c r="H15" s="20" t="n">
        <f aca="false">VLOOKUP(D15,Acuan!$A$2:$B$6,2,FALSE())</f>
        <v>85000</v>
      </c>
      <c r="I15" s="20" t="n">
        <f aca="false">IF(E15="XL",$P$2,0)</f>
        <v>10000</v>
      </c>
      <c r="J15" s="20" t="n">
        <f aca="false">H15+I15</f>
        <v>95000</v>
      </c>
      <c r="K15" s="20" t="n">
        <f aca="false">F15*J15</f>
        <v>190000</v>
      </c>
      <c r="L15" s="20" t="n">
        <f aca="false">K15-G15</f>
        <v>95000</v>
      </c>
      <c r="M15" s="21" t="str">
        <f aca="false">IF(L15=0,"Lunas","Belum Lunas")</f>
        <v>Belum Lunas</v>
      </c>
    </row>
    <row r="16" customFormat="false" ht="15" hidden="false" customHeight="false" outlineLevel="0" collapsed="false">
      <c r="A16" s="17" t="s">
        <v>129</v>
      </c>
      <c r="B16" s="17" t="s">
        <v>130</v>
      </c>
      <c r="C16" s="17" t="s">
        <v>89</v>
      </c>
      <c r="D16" s="17" t="s">
        <v>100</v>
      </c>
      <c r="E16" s="17" t="s">
        <v>91</v>
      </c>
      <c r="F16" s="18" t="n">
        <v>2</v>
      </c>
      <c r="G16" s="19" t="n">
        <v>95000</v>
      </c>
      <c r="H16" s="20" t="n">
        <f aca="false">VLOOKUP(D16,Acuan!$A$2:$B$6,2,FALSE())</f>
        <v>95000</v>
      </c>
      <c r="I16" s="20" t="n">
        <f aca="false">IF(E16="XL",$P$2,0)</f>
        <v>0</v>
      </c>
      <c r="J16" s="20" t="n">
        <f aca="false">H16+I16</f>
        <v>95000</v>
      </c>
      <c r="K16" s="20" t="n">
        <f aca="false">F16*J16</f>
        <v>190000</v>
      </c>
      <c r="L16" s="20" t="n">
        <f aca="false">K16-G16</f>
        <v>95000</v>
      </c>
      <c r="M16" s="21" t="str">
        <f aca="false">IF(L16=0,"Lunas","Belum Lunas")</f>
        <v>Belum Lunas</v>
      </c>
    </row>
    <row r="17" customFormat="false" ht="15" hidden="false" customHeight="false" outlineLevel="0" collapsed="false">
      <c r="A17" s="17" t="s">
        <v>131</v>
      </c>
      <c r="B17" s="17" t="s">
        <v>132</v>
      </c>
      <c r="C17" s="17" t="s">
        <v>96</v>
      </c>
      <c r="D17" s="17" t="s">
        <v>118</v>
      </c>
      <c r="E17" s="17" t="s">
        <v>111</v>
      </c>
      <c r="F17" s="18" t="n">
        <v>2</v>
      </c>
      <c r="G17" s="19" t="n">
        <v>220000</v>
      </c>
      <c r="H17" s="20" t="n">
        <f aca="false">VLOOKUP(D17,Acuan!$A$2:$B$6,2,FALSE())</f>
        <v>110000</v>
      </c>
      <c r="I17" s="20" t="n">
        <f aca="false">IF(E17="XL",$P$2,0)</f>
        <v>0</v>
      </c>
      <c r="J17" s="20" t="n">
        <f aca="false">H17+I17</f>
        <v>110000</v>
      </c>
      <c r="K17" s="20" t="n">
        <f aca="false">F17*J17</f>
        <v>220000</v>
      </c>
      <c r="L17" s="20" t="n">
        <f aca="false">K17-G17</f>
        <v>0</v>
      </c>
      <c r="M17" s="21" t="str">
        <f aca="false">IF(L17=0,"Lunas","Belum Lunas")</f>
        <v>Lunas</v>
      </c>
    </row>
    <row r="18" customFormat="false" ht="15" hidden="false" customHeight="false" outlineLevel="0" collapsed="false">
      <c r="A18" s="17" t="s">
        <v>133</v>
      </c>
      <c r="B18" s="17" t="s">
        <v>134</v>
      </c>
      <c r="C18" s="17" t="s">
        <v>96</v>
      </c>
      <c r="D18" s="17" t="s">
        <v>100</v>
      </c>
      <c r="E18" s="17" t="s">
        <v>91</v>
      </c>
      <c r="F18" s="18" t="n">
        <v>3</v>
      </c>
      <c r="G18" s="19" t="n">
        <v>0</v>
      </c>
      <c r="H18" s="20" t="n">
        <f aca="false">VLOOKUP(D18,Acuan!$A$2:$B$6,2,FALSE())</f>
        <v>95000</v>
      </c>
      <c r="I18" s="20" t="n">
        <f aca="false">IF(E18="XL",$P$2,0)</f>
        <v>0</v>
      </c>
      <c r="J18" s="20" t="n">
        <f aca="false">H18+I18</f>
        <v>95000</v>
      </c>
      <c r="K18" s="20" t="n">
        <f aca="false">F18*J18</f>
        <v>285000</v>
      </c>
      <c r="L18" s="20" t="n">
        <f aca="false">K18-G18</f>
        <v>285000</v>
      </c>
      <c r="M18" s="21" t="str">
        <f aca="false">IF(L18=0,"Lunas","Belum Lunas")</f>
        <v>Belum Lunas</v>
      </c>
    </row>
    <row r="19" customFormat="false" ht="15" hidden="false" customHeight="false" outlineLevel="0" collapsed="false">
      <c r="A19" s="17" t="s">
        <v>135</v>
      </c>
      <c r="B19" s="17" t="s">
        <v>136</v>
      </c>
      <c r="C19" s="17" t="s">
        <v>106</v>
      </c>
      <c r="D19" s="17" t="s">
        <v>100</v>
      </c>
      <c r="E19" s="17" t="s">
        <v>111</v>
      </c>
      <c r="F19" s="18" t="n">
        <v>2</v>
      </c>
      <c r="G19" s="19" t="n">
        <v>190000</v>
      </c>
      <c r="H19" s="20" t="n">
        <f aca="false">VLOOKUP(D19,Acuan!$A$2:$B$6,2,FALSE())</f>
        <v>95000</v>
      </c>
      <c r="I19" s="20" t="n">
        <f aca="false">IF(E19="XL",$P$2,0)</f>
        <v>0</v>
      </c>
      <c r="J19" s="20" t="n">
        <f aca="false">H19+I19</f>
        <v>95000</v>
      </c>
      <c r="K19" s="20" t="n">
        <f aca="false">F19*J19</f>
        <v>190000</v>
      </c>
      <c r="L19" s="20" t="n">
        <f aca="false">K19-G19</f>
        <v>0</v>
      </c>
      <c r="M19" s="21" t="str">
        <f aca="false">IF(L19=0,"Lunas","Belum Lunas")</f>
        <v>Lunas</v>
      </c>
    </row>
    <row r="20" customFormat="false" ht="15" hidden="false" customHeight="false" outlineLevel="0" collapsed="false">
      <c r="A20" s="17" t="s">
        <v>137</v>
      </c>
      <c r="B20" s="17" t="s">
        <v>138</v>
      </c>
      <c r="C20" s="17" t="s">
        <v>89</v>
      </c>
      <c r="D20" s="17" t="s">
        <v>90</v>
      </c>
      <c r="E20" s="17" t="s">
        <v>108</v>
      </c>
      <c r="F20" s="18" t="n">
        <v>2</v>
      </c>
      <c r="G20" s="19" t="n">
        <v>57000</v>
      </c>
      <c r="H20" s="20" t="n">
        <f aca="false">VLOOKUP(D20,Acuan!$A$2:$B$6,2,FALSE())</f>
        <v>85000</v>
      </c>
      <c r="I20" s="20" t="n">
        <f aca="false">IF(E20="XL",$P$2,0)</f>
        <v>10000</v>
      </c>
      <c r="J20" s="20" t="n">
        <f aca="false">H20+I20</f>
        <v>95000</v>
      </c>
      <c r="K20" s="20" t="n">
        <f aca="false">F20*J20</f>
        <v>190000</v>
      </c>
      <c r="L20" s="20" t="n">
        <f aca="false">K20-G20</f>
        <v>133000</v>
      </c>
      <c r="M20" s="21" t="str">
        <f aca="false">IF(L20=0,"Lunas","Belum Lunas")</f>
        <v>Belum Lunas</v>
      </c>
    </row>
    <row r="21" customFormat="false" ht="15" hidden="false" customHeight="false" outlineLevel="0" collapsed="false">
      <c r="A21" s="17" t="s">
        <v>139</v>
      </c>
      <c r="B21" s="17" t="s">
        <v>140</v>
      </c>
      <c r="C21" s="17" t="s">
        <v>89</v>
      </c>
      <c r="D21" s="17" t="s">
        <v>90</v>
      </c>
      <c r="E21" s="17" t="s">
        <v>111</v>
      </c>
      <c r="F21" s="18" t="n">
        <v>3</v>
      </c>
      <c r="G21" s="19" t="n">
        <v>0</v>
      </c>
      <c r="H21" s="20" t="n">
        <f aca="false">VLOOKUP(D21,Acuan!$A$2:$B$6,2,FALSE())</f>
        <v>85000</v>
      </c>
      <c r="I21" s="20" t="n">
        <f aca="false">IF(E21="XL",$P$2,0)</f>
        <v>0</v>
      </c>
      <c r="J21" s="20" t="n">
        <f aca="false">H21+I21</f>
        <v>85000</v>
      </c>
      <c r="K21" s="20" t="n">
        <f aca="false">F21*J21</f>
        <v>255000</v>
      </c>
      <c r="L21" s="20" t="n">
        <f aca="false">K21-G21</f>
        <v>255000</v>
      </c>
      <c r="M21" s="21" t="str">
        <f aca="false">IF(L21=0,"Lunas","Belum Lunas")</f>
        <v>Belum Lunas</v>
      </c>
    </row>
    <row r="22" customFormat="false" ht="15" hidden="false" customHeight="false" outlineLevel="0" collapsed="false">
      <c r="A22" s="17" t="s">
        <v>141</v>
      </c>
      <c r="B22" s="17" t="s">
        <v>142</v>
      </c>
      <c r="C22" s="17" t="s">
        <v>106</v>
      </c>
      <c r="D22" s="17" t="s">
        <v>118</v>
      </c>
      <c r="E22" s="17" t="s">
        <v>91</v>
      </c>
      <c r="F22" s="18" t="n">
        <v>2</v>
      </c>
      <c r="G22" s="19" t="n">
        <v>0</v>
      </c>
      <c r="H22" s="20" t="n">
        <f aca="false">VLOOKUP(D22,Acuan!$A$2:$B$6,2,FALSE())</f>
        <v>110000</v>
      </c>
      <c r="I22" s="20" t="n">
        <f aca="false">IF(E22="XL",$P$2,0)</f>
        <v>0</v>
      </c>
      <c r="J22" s="20" t="n">
        <f aca="false">H22+I22</f>
        <v>110000</v>
      </c>
      <c r="K22" s="20" t="n">
        <f aca="false">F22*J22</f>
        <v>220000</v>
      </c>
      <c r="L22" s="20" t="n">
        <f aca="false">K22-G22</f>
        <v>220000</v>
      </c>
      <c r="M22" s="21" t="str">
        <f aca="false">IF(L22=0,"Lunas","Belum Lunas")</f>
        <v>Belum Lunas</v>
      </c>
    </row>
    <row r="23" customFormat="false" ht="15" hidden="false" customHeight="false" outlineLevel="0" collapsed="false">
      <c r="A23" s="17" t="s">
        <v>143</v>
      </c>
      <c r="B23" s="17" t="s">
        <v>144</v>
      </c>
      <c r="C23" s="17" t="s">
        <v>106</v>
      </c>
      <c r="D23" s="17" t="s">
        <v>103</v>
      </c>
      <c r="E23" s="17" t="s">
        <v>111</v>
      </c>
      <c r="F23" s="18" t="n">
        <v>2</v>
      </c>
      <c r="G23" s="19" t="n">
        <v>25000</v>
      </c>
      <c r="H23" s="20" t="n">
        <f aca="false">VLOOKUP(D23,Acuan!$A$2:$B$6,2,FALSE())</f>
        <v>25000</v>
      </c>
      <c r="I23" s="20" t="n">
        <f aca="false">IF(E23="XL",$P$2,0)</f>
        <v>0</v>
      </c>
      <c r="J23" s="20" t="n">
        <f aca="false">H23+I23</f>
        <v>25000</v>
      </c>
      <c r="K23" s="20" t="n">
        <f aca="false">F23*J23</f>
        <v>50000</v>
      </c>
      <c r="L23" s="20" t="n">
        <f aca="false">K23-G23</f>
        <v>25000</v>
      </c>
      <c r="M23" s="21" t="str">
        <f aca="false">IF(L23=0,"Lunas","Belum Lunas")</f>
        <v>Belum Lunas</v>
      </c>
    </row>
    <row r="24" customFormat="false" ht="15" hidden="false" customHeight="false" outlineLevel="0" collapsed="false">
      <c r="A24" s="17" t="s">
        <v>145</v>
      </c>
      <c r="B24" s="17" t="s">
        <v>146</v>
      </c>
      <c r="C24" s="17" t="s">
        <v>89</v>
      </c>
      <c r="D24" s="17" t="s">
        <v>100</v>
      </c>
      <c r="E24" s="17" t="s">
        <v>111</v>
      </c>
      <c r="F24" s="18" t="n">
        <v>1</v>
      </c>
      <c r="G24" s="19" t="n">
        <v>95000</v>
      </c>
      <c r="H24" s="20" t="n">
        <f aca="false">VLOOKUP(D24,Acuan!$A$2:$B$6,2,FALSE())</f>
        <v>95000</v>
      </c>
      <c r="I24" s="20" t="n">
        <f aca="false">IF(E24="XL",$P$2,0)</f>
        <v>0</v>
      </c>
      <c r="J24" s="20" t="n">
        <f aca="false">H24+I24</f>
        <v>95000</v>
      </c>
      <c r="K24" s="20" t="n">
        <f aca="false">F24*J24</f>
        <v>95000</v>
      </c>
      <c r="L24" s="20" t="n">
        <f aca="false">K24-G24</f>
        <v>0</v>
      </c>
      <c r="M24" s="21" t="str">
        <f aca="false">IF(L24=0,"Lunas","Belum Lunas")</f>
        <v>Lunas</v>
      </c>
    </row>
    <row r="25" customFormat="false" ht="15" hidden="false" customHeight="false" outlineLevel="0" collapsed="false">
      <c r="A25" s="17" t="s">
        <v>147</v>
      </c>
      <c r="B25" s="17" t="s">
        <v>148</v>
      </c>
      <c r="C25" s="17" t="s">
        <v>106</v>
      </c>
      <c r="D25" s="17" t="s">
        <v>107</v>
      </c>
      <c r="E25" s="17" t="s">
        <v>97</v>
      </c>
      <c r="F25" s="18" t="n">
        <v>3</v>
      </c>
      <c r="G25" s="19" t="n">
        <v>270000</v>
      </c>
      <c r="H25" s="20" t="n">
        <f aca="false">VLOOKUP(D25,Acuan!$A$2:$B$6,2,FALSE())</f>
        <v>90000</v>
      </c>
      <c r="I25" s="20" t="n">
        <f aca="false">IF(E25="XL",$P$2,0)</f>
        <v>0</v>
      </c>
      <c r="J25" s="20" t="n">
        <f aca="false">H25+I25</f>
        <v>90000</v>
      </c>
      <c r="K25" s="20" t="n">
        <f aca="false">F25*J25</f>
        <v>270000</v>
      </c>
      <c r="L25" s="20" t="n">
        <f aca="false">K25-G25</f>
        <v>0</v>
      </c>
      <c r="M25" s="21" t="str">
        <f aca="false">IF(L25=0,"Lunas","Belum Lunas")</f>
        <v>Lunas</v>
      </c>
    </row>
    <row r="26" customFormat="false" ht="15" hidden="false" customHeight="false" outlineLevel="0" collapsed="false">
      <c r="A26" s="17" t="s">
        <v>149</v>
      </c>
      <c r="B26" s="17" t="s">
        <v>150</v>
      </c>
      <c r="C26" s="17" t="s">
        <v>89</v>
      </c>
      <c r="D26" s="17" t="s">
        <v>100</v>
      </c>
      <c r="E26" s="17" t="s">
        <v>91</v>
      </c>
      <c r="F26" s="18" t="n">
        <v>1</v>
      </c>
      <c r="G26" s="19" t="n">
        <v>95000</v>
      </c>
      <c r="H26" s="20" t="n">
        <f aca="false">VLOOKUP(D26,Acuan!$A$2:$B$6,2,FALSE())</f>
        <v>95000</v>
      </c>
      <c r="I26" s="20" t="n">
        <f aca="false">IF(E26="XL",$P$2,0)</f>
        <v>0</v>
      </c>
      <c r="J26" s="20" t="n">
        <f aca="false">H26+I26</f>
        <v>95000</v>
      </c>
      <c r="K26" s="20" t="n">
        <f aca="false">F26*J26</f>
        <v>95000</v>
      </c>
      <c r="L26" s="20" t="n">
        <f aca="false">K26-G26</f>
        <v>0</v>
      </c>
      <c r="M26" s="21" t="str">
        <f aca="false">IF(L26=0,"Lunas","Belum Lunas")</f>
        <v>Lunas</v>
      </c>
    </row>
    <row r="27" customFormat="false" ht="15" hidden="false" customHeight="false" outlineLevel="0" collapsed="false">
      <c r="A27" s="17" t="s">
        <v>151</v>
      </c>
      <c r="B27" s="17" t="s">
        <v>152</v>
      </c>
      <c r="C27" s="17" t="s">
        <v>96</v>
      </c>
      <c r="D27" s="17" t="s">
        <v>118</v>
      </c>
      <c r="E27" s="17" t="s">
        <v>91</v>
      </c>
      <c r="F27" s="18" t="n">
        <v>2</v>
      </c>
      <c r="G27" s="19" t="n">
        <v>220000</v>
      </c>
      <c r="H27" s="20" t="n">
        <f aca="false">VLOOKUP(D27,Acuan!$A$2:$B$6,2,FALSE())</f>
        <v>110000</v>
      </c>
      <c r="I27" s="20" t="n">
        <f aca="false">IF(E27="XL",$P$2,0)</f>
        <v>0</v>
      </c>
      <c r="J27" s="20" t="n">
        <f aca="false">H27+I27</f>
        <v>110000</v>
      </c>
      <c r="K27" s="20" t="n">
        <f aca="false">F27*J27</f>
        <v>220000</v>
      </c>
      <c r="L27" s="20" t="n">
        <f aca="false">K27-G27</f>
        <v>0</v>
      </c>
      <c r="M27" s="21" t="str">
        <f aca="false">IF(L27=0,"Lunas","Belum Lunas")</f>
        <v>Lunas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6"/>
    <col collapsed="false" customWidth="true" hidden="false" outlineLevel="0" max="4" min="4" style="0" width="15"/>
  </cols>
  <sheetData>
    <row r="1" customFormat="false" ht="33.75" hidden="false" customHeight="true" outlineLevel="0" collapsed="false">
      <c r="A1" s="11" t="s">
        <v>74</v>
      </c>
      <c r="B1" s="11" t="s">
        <v>78</v>
      </c>
      <c r="C1" s="15" t="s">
        <v>153</v>
      </c>
      <c r="D1" s="15" t="s">
        <v>154</v>
      </c>
    </row>
    <row r="2" customFormat="false" ht="15" hidden="false" customHeight="false" outlineLevel="0" collapsed="false">
      <c r="A2" s="17" t="s">
        <v>90</v>
      </c>
      <c r="B2" s="19" t="n">
        <v>85000</v>
      </c>
      <c r="C2" s="24" t="n">
        <f aca="false">SUMIF(Data!$D$2:$D$27,A2,Data!$F$2:$F$27)</f>
        <v>17</v>
      </c>
      <c r="D2" s="20" t="n">
        <f aca="false">SUMIF(Data!$D$2:$D$27,A2,Data!$K$2:$K$27)</f>
        <v>1485000</v>
      </c>
    </row>
    <row r="3" customFormat="false" ht="15" hidden="false" customHeight="false" outlineLevel="0" collapsed="false">
      <c r="A3" s="17" t="s">
        <v>107</v>
      </c>
      <c r="B3" s="19" t="n">
        <v>90000</v>
      </c>
      <c r="C3" s="24" t="n">
        <f aca="false">SUMIF(Data!$D$2:$D$27,A3,Data!$F$2:$F$27)</f>
        <v>8</v>
      </c>
      <c r="D3" s="20" t="n">
        <f aca="false">SUMIF(Data!$D$2:$D$27,A3,Data!$K$2:$K$27)</f>
        <v>740000</v>
      </c>
    </row>
    <row r="4" customFormat="false" ht="15" hidden="false" customHeight="false" outlineLevel="0" collapsed="false">
      <c r="A4" s="17" t="s">
        <v>118</v>
      </c>
      <c r="B4" s="19" t="n">
        <v>110000</v>
      </c>
      <c r="C4" s="24" t="n">
        <f aca="false">SUMIF(Data!$D$2:$D$27,A4,Data!$F$2:$F$27)</f>
        <v>7</v>
      </c>
      <c r="D4" s="20" t="n">
        <f aca="false">SUMIF(Data!$D$2:$D$27,A4,Data!$K$2:$K$27)</f>
        <v>770000</v>
      </c>
    </row>
    <row r="5" customFormat="false" ht="15" hidden="false" customHeight="false" outlineLevel="0" collapsed="false">
      <c r="A5" s="17" t="s">
        <v>100</v>
      </c>
      <c r="B5" s="19" t="n">
        <v>95000</v>
      </c>
      <c r="C5" s="24" t="n">
        <f aca="false">SUMIF(Data!$D$2:$D$27,A5,Data!$F$2:$F$27)</f>
        <v>12</v>
      </c>
      <c r="D5" s="20" t="n">
        <f aca="false">SUMIF(Data!$D$2:$D$27,A5,Data!$K$2:$K$27)</f>
        <v>1140000</v>
      </c>
    </row>
    <row r="6" customFormat="false" ht="15" hidden="false" customHeight="false" outlineLevel="0" collapsed="false">
      <c r="A6" s="17" t="s">
        <v>103</v>
      </c>
      <c r="B6" s="19" t="n">
        <v>25000</v>
      </c>
      <c r="C6" s="24" t="n">
        <f aca="false">SUMIF(Data!$D$2:$D$27,A6,Data!$F$2:$F$27)</f>
        <v>6</v>
      </c>
      <c r="D6" s="20" t="n">
        <f aca="false">SUMIF(Data!$D$2:$D$27,A6,Data!$K$2:$K$27)</f>
        <v>150000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155</v>
      </c>
      <c r="B1" s="25"/>
      <c r="C1" s="25"/>
      <c r="D1" s="25"/>
    </row>
    <row r="2" customFormat="false" ht="15" hidden="false" customHeight="false" outlineLevel="0" collapsed="false">
      <c r="A2" s="26" t="s">
        <v>156</v>
      </c>
      <c r="B2" s="26"/>
      <c r="C2" s="26"/>
      <c r="D2" s="26"/>
    </row>
    <row r="3" customFormat="false" ht="15" hidden="false" customHeight="false" outlineLevel="0" collapsed="false">
      <c r="A3" s="11" t="s">
        <v>19</v>
      </c>
      <c r="B3" s="11" t="s">
        <v>157</v>
      </c>
      <c r="C3" s="11" t="s">
        <v>158</v>
      </c>
      <c r="D3" s="11" t="s">
        <v>159</v>
      </c>
    </row>
    <row r="4" customFormat="false" ht="15" hidden="false" customHeight="false" outlineLevel="0" collapsed="false">
      <c r="A4" s="27" t="s">
        <v>160</v>
      </c>
      <c r="B4" s="28" t="s">
        <v>161</v>
      </c>
      <c r="C4" s="24" t="n">
        <f aca="false">SUM(Data!$F$2:$F$27)</f>
        <v>50</v>
      </c>
      <c r="D4" s="29" t="s">
        <v>162</v>
      </c>
    </row>
    <row r="5" customFormat="false" ht="15" hidden="false" customHeight="false" outlineLevel="0" collapsed="false">
      <c r="A5" s="27" t="s">
        <v>163</v>
      </c>
      <c r="B5" s="28" t="s">
        <v>164</v>
      </c>
      <c r="C5" s="20" t="n">
        <f aca="false">SUM(Data!$K$2:$K$27)</f>
        <v>4285000</v>
      </c>
      <c r="D5" s="29" t="s">
        <v>165</v>
      </c>
    </row>
    <row r="6" customFormat="false" ht="15" hidden="false" customHeight="false" outlineLevel="0" collapsed="false">
      <c r="A6" s="27" t="s">
        <v>166</v>
      </c>
      <c r="B6" s="28" t="s">
        <v>167</v>
      </c>
      <c r="C6" s="24" t="n">
        <f aca="false">COUNTIF(Data!$M$2:$M$27,"Lunas")</f>
        <v>12</v>
      </c>
      <c r="D6" s="29" t="s">
        <v>168</v>
      </c>
    </row>
    <row r="7" customFormat="false" ht="15" hidden="false" customHeight="false" outlineLevel="0" collapsed="false">
      <c r="A7" s="27" t="s">
        <v>169</v>
      </c>
      <c r="B7" s="28" t="s">
        <v>170</v>
      </c>
      <c r="C7" s="20" t="n">
        <f aca="false">SUM(Data!$L$2:$L$27)</f>
        <v>1836000</v>
      </c>
      <c r="D7" s="29" t="s">
        <v>171</v>
      </c>
    </row>
    <row r="8" customFormat="false" ht="15" hidden="false" customHeight="false" outlineLevel="0" collapsed="false">
      <c r="A8" s="27" t="s">
        <v>172</v>
      </c>
      <c r="B8" s="28" t="s">
        <v>173</v>
      </c>
      <c r="C8" s="21" t="str">
        <f aca="false">INDEX(Acuan!$A$2:$A$6,MATCH(MAX(Acuan!$C$2:$C$6),Acuan!$C$2:$C$6,0))</f>
        <v>Baju Putih</v>
      </c>
      <c r="D8" s="29" t="s">
        <v>174</v>
      </c>
    </row>
    <row r="9" customFormat="false" ht="15" hidden="false" customHeight="false" outlineLevel="0" collapsed="false">
      <c r="A9" s="27" t="s">
        <v>175</v>
      </c>
      <c r="B9" s="28" t="s">
        <v>176</v>
      </c>
      <c r="C9" s="21" t="str">
        <f aca="false">INDEX(Acuan!$A$2:$A$6,MATCH(MIN(Acuan!$C$2:$C$6),Acuan!$C$2:$C$6,0))</f>
        <v>Dasi dan Topi</v>
      </c>
      <c r="D9" s="29" t="s">
        <v>174</v>
      </c>
    </row>
    <row r="10" customFormat="false" ht="15" hidden="false" customHeight="false" outlineLevel="0" collapsed="false">
      <c r="A10" s="27" t="s">
        <v>177</v>
      </c>
      <c r="B10" s="28" t="s">
        <v>178</v>
      </c>
      <c r="C10" s="24" t="n">
        <f aca="false">COUNTIF(Data!$E$2:$E$27,"XL")</f>
        <v>3</v>
      </c>
      <c r="D10" s="29" t="s">
        <v>179</v>
      </c>
    </row>
    <row r="11" customFormat="false" ht="15" hidden="false" customHeight="false" outlineLevel="0" collapsed="false">
      <c r="A11" s="27" t="s">
        <v>180</v>
      </c>
      <c r="B11" s="28" t="s">
        <v>181</v>
      </c>
      <c r="C11" s="20" t="n">
        <f aca="false">SUMIF(Data!$C$2:$C$27,"VII-A",Data!$K$2:$K$27)</f>
        <v>1905000</v>
      </c>
      <c r="D11" s="29" t="s">
        <v>182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2026-10-14T23:34:02Z</dcterms:created>
  <dc:creator>PushExcel</dc:creator>
  <dc:description/>
  <dc:language>en-US</dc:language>
  <cp:lastModifiedBy/>
  <dcterms:modified xsi:type="dcterms:W3CDTF">2026-10-14T23:34:02Z</dcterms:modified>
  <cp:revision>0</cp:revision>
  <dc:subject/>
  <dc:title>Pesanan Seragam Sekolah dan Sisa Pembayaran - Kunci</dc:title>
</cp:coreProperties>
</file>

<file path=docProps/custom.xml><?xml version="1.0" encoding="utf-8"?>
<Properties xmlns="http://schemas.openxmlformats.org/officeDocument/2006/custom-properties" xmlns:vt="http://schemas.openxmlformats.org/officeDocument/2006/docPropsVTypes"/>
</file>