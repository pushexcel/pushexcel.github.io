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<sst xmlns="http://schemas.openxmlformats.org/spreadsheetml/2006/main" count="236" uniqueCount="156">
  <si>
    <t xml:space="preserve">Kunci Jawaban: Seleksi Penerimaan Peserta Didik Baru</t>
  </si>
  <si>
    <t xml:space="preserve">Latihan 15 dari 104  |  Tingkat: Lanjutan  |  Perkiraan waktu: 60 menit  |  pushexcel.github.io/Pushexcel</t>
  </si>
  <si>
    <t xml:space="preserve">Skenario</t>
  </si>
  <si>
    <t xml:space="preserve">Kamu panitia PPDB SMP Harapan Bangsa dengan kuota 20 siswa dari 36 pendaftar. Skor seleksi = rata-rata nilai Matematika, Bahasa Indonesia, dan IPA (dibulatkan 2 desimal) ditambah bonus jalur pendaftaran (sheet Acuan) ditambah bonus jarak bila rumah pendaftar dekat dengan sekolah. Pendaftar diurutkan dari skor tertinggi dan yang masuk kuota dinyatakan diterima.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</si>
  <si>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</si>
  <si>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</si>
  <si>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</si>
  <si>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</si>
  <si>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</si>
  <si>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</si>
  <si>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</si>
  <si>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</si>
  <si>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</si>
  <si>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</si>
  <si>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</si>
  <si>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</si>
  <si>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</si>
  <si>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</si>
  <si>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</si>
  <si>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</si>
  <si>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</si>
  <si>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</si>
  <si>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</si>
  <si>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</si>
  <si>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rata-rata tiga nilai (Matematika, B. Indonesia, IPA) dan bulatkan ke 2 desimal.</t>
  </si>
  <si>
    <t xml:space="preserve">Sheet Data, kolom I (Rata-rata Nilai), baris 2 sampai 37</t>
  </si>
  <si>
    <t xml:space="preserve">=ROUND(AVERAGE(F2:H2);2)</t>
  </si>
  <si>
    <t xml:space="preserve">2</t>
  </si>
  <si>
    <t xml:space="preserve">Ambil bonus jalur tiap pendaftar dari tabel di sheet Acuan.</t>
  </si>
  <si>
    <t xml:space="preserve">Sheet Data, kolom J (Bonus Jalur), baris 2 sampai 37</t>
  </si>
  <si>
    <t xml:space="preserve">=VLOOKUP(D2;Acuan!$A$2:$B$4;2;FALSE)</t>
  </si>
  <si>
    <t xml:space="preserve">3</t>
  </si>
  <si>
    <t xml:space="preserve">Beri bonus jarak (poin dari sel Parameter) bila jarak sama dengan atau di bawah batas jarak, selain itu 0.</t>
  </si>
  <si>
    <t xml:space="preserve">Sheet Data, kolom K (Bonus Jarak), baris 2 sampai 37</t>
  </si>
  <si>
    <t xml:space="preserve">=IF(E2&lt;=$Q$2;$Q$3;0)</t>
  </si>
  <si>
    <t xml:space="preserve">4</t>
  </si>
  <si>
    <t xml:space="preserve">Hitung skor seleksi: rata-rata nilai ditambah bonus jalur ditambah bonus jarak.</t>
  </si>
  <si>
    <t xml:space="preserve">Sheet Data, kolom L (Skor Seleksi), baris 2 sampai 37</t>
  </si>
  <si>
    <t xml:space="preserve">=I2+J2+K2</t>
  </si>
  <si>
    <t xml:space="preserve">5</t>
  </si>
  <si>
    <t xml:space="preserve">Beri peringkat berdasarkan skor seleksi, tertinggi peringkat 1.</t>
  </si>
  <si>
    <t xml:space="preserve">Sheet Data, kolom M (Peringkat), baris 2 sampai 37</t>
  </si>
  <si>
    <t xml:space="preserve">=RANK(L2;$L$2:$L$37)</t>
  </si>
  <si>
    <t xml:space="preserve">6</t>
  </si>
  <si>
    <t xml:space="preserve">Pendaftar Diterima bila peringkatnya sama dengan atau di dalam kuota, selain itu Tidak Diterima.</t>
  </si>
  <si>
    <t xml:space="preserve">Sheet Data, kolom N (Status), baris 2 sampai 37</t>
  </si>
  <si>
    <t xml:space="preserve">=IF(M2&lt;=$Q$4;"Diterima";"Tidak Diterima")</t>
  </si>
  <si>
    <t xml:space="preserve">7</t>
  </si>
  <si>
    <t xml:space="preserve">Siapa pendaftar yang berada di peringkat 1?</t>
  </si>
  <si>
    <t xml:space="preserve">Sheet Ringkasan, sel C4</t>
  </si>
  <si>
    <t xml:space="preserve">=INDEX(Data!$B$2:$B$37;MATCH(1;Data!$M$2:$M$37;0))</t>
  </si>
  <si>
    <t xml:space="preserve">8</t>
  </si>
  <si>
    <t xml:space="preserve">Berapa skor pendaftar terakhir yang masih diterima (skor batas penerimaan)?</t>
  </si>
  <si>
    <t xml:space="preserve">Sheet Ringkasan, sel C5</t>
  </si>
  <si>
    <t xml:space="preserve">=INDEX(Data!$L$2:$L$37;MATCH(Data!$Q$4;Data!$M$2:$M$37;0))</t>
  </si>
  <si>
    <t xml:space="preserve">9</t>
  </si>
  <si>
    <t xml:space="preserve">Berapa pendaftar diterima dari jalur Prestasi, Afirmasi, dan Reguler? Jumlah ketiganya harus sama dengan kuota.</t>
  </si>
  <si>
    <t xml:space="preserve">Sheet Ringkasan, sel C6 sampai C8</t>
  </si>
  <si>
    <t xml:space="preserve">=COUNTIFS(Data!$D$2:$D$37;"Prestasi";Data!$N$2:$N$37;"Diterima")
=COUNTIFS(Data!$D$2:$D$37;"Afirmasi";Data!$N$2:$N$37;"Diterima")
=COUNTIFS(Data!$D$2:$D$37;"Reguler";Data!$N$2:$N$37;"Diterima")</t>
  </si>
  <si>
    <t xml:space="preserve">10</t>
  </si>
  <si>
    <t xml:space="preserve">Berapa pendaftar perempuan (P) yang diterima?</t>
  </si>
  <si>
    <t xml:space="preserve">Sheet Ringkasan, sel C9</t>
  </si>
  <si>
    <t xml:space="preserve">=COUNTIFS(Data!$C$2:$C$37;"P";Data!$N$2:$N$37;"Diterima")</t>
  </si>
  <si>
    <t xml:space="preserve">11</t>
  </si>
  <si>
    <t xml:space="preserve">Berapa rata-rata jarak rumah ke sekolah (dalam meter) dari pendaftar yang diterima?</t>
  </si>
  <si>
    <t xml:space="preserve">Sheet Ringkasan, sel C10</t>
  </si>
  <si>
    <t xml:space="preserve">=AVERAGEIF(Data!$N$2:$N$37;"Diterima";Data!$E$2:$E$37)</t>
  </si>
  <si>
    <t xml:space="preserve">12</t>
  </si>
  <si>
    <t xml:space="preserve">Berapa pendaftar yang mendapat bonus jarak?</t>
  </si>
  <si>
    <t xml:space="preserve">Sheet Ringkasan, sel C11</t>
  </si>
  <si>
    <t xml:space="preserve">=COUNTIF(Data!$K$2:$K$37;"&gt;0")</t>
  </si>
  <si>
    <t xml:space="preserve">Nama Pendaftar</t>
  </si>
  <si>
    <t xml:space="preserve">JK</t>
  </si>
  <si>
    <t xml:space="preserve">Jalur</t>
  </si>
  <si>
    <t xml:space="preserve">Jarak ke Sekolah (meter)</t>
  </si>
  <si>
    <t xml:space="preserve">Nilai Matematika</t>
  </si>
  <si>
    <t xml:space="preserve">Nilai B. Indonesia</t>
  </si>
  <si>
    <t xml:space="preserve">Nilai IPA</t>
  </si>
  <si>
    <t xml:space="preserve">Rata-rata Nilai</t>
  </si>
  <si>
    <t xml:space="preserve">Bonus Jalur</t>
  </si>
  <si>
    <t xml:space="preserve">Bonus Jarak</t>
  </si>
  <si>
    <t xml:space="preserve">Skor Seleksi</t>
  </si>
  <si>
    <t xml:space="preserve">Peringkat</t>
  </si>
  <si>
    <t xml:space="preserve">Status</t>
  </si>
  <si>
    <t xml:space="preserve">Parameter</t>
  </si>
  <si>
    <t xml:space="preserve">Nilai</t>
  </si>
  <si>
    <t xml:space="preserve">Keterangan</t>
  </si>
  <si>
    <t xml:space="preserve">Rani Nugroho</t>
  </si>
  <si>
    <t xml:space="preserve">P</t>
  </si>
  <si>
    <t xml:space="preserve">Prestasi</t>
  </si>
  <si>
    <t xml:space="preserve">Batas jarak dapat bonus (meter)</t>
  </si>
  <si>
    <t xml:space="preserve">Jarak sama dengan atau di bawah angka ini</t>
  </si>
  <si>
    <t xml:space="preserve">Yanti Kurniawan</t>
  </si>
  <si>
    <t xml:space="preserve">Reguler</t>
  </si>
  <si>
    <t xml:space="preserve">Bonus jarak (poin)</t>
  </si>
  <si>
    <t xml:space="preserve">Rahmat Handayani</t>
  </si>
  <si>
    <t xml:space="preserve">L</t>
  </si>
  <si>
    <t xml:space="preserve">Kuota penerimaan</t>
  </si>
  <si>
    <t xml:space="preserve">Jumlah pendaftar yang diterima</t>
  </si>
  <si>
    <t xml:space="preserve">Citra Wibowo</t>
  </si>
  <si>
    <t xml:space="preserve">Indah Wijaya</t>
  </si>
  <si>
    <t xml:space="preserve">Afirmasi</t>
  </si>
  <si>
    <t xml:space="preserve">Rahmat Firmansyah</t>
  </si>
  <si>
    <t xml:space="preserve">Joko Maulana</t>
  </si>
  <si>
    <t xml:space="preserve">Agus Wibowo</t>
  </si>
  <si>
    <t xml:space="preserve">Rizki Firmansyah</t>
  </si>
  <si>
    <t xml:space="preserve">Umar Setiawan</t>
  </si>
  <si>
    <t xml:space="preserve">Eko Wibowo</t>
  </si>
  <si>
    <t xml:space="preserve">Gunawan Hidayat</t>
  </si>
  <si>
    <t xml:space="preserve">Utami Purnomo</t>
  </si>
  <si>
    <t xml:space="preserve">Gita Susanto</t>
  </si>
  <si>
    <t xml:space="preserve">Utami Ramadhan</t>
  </si>
  <si>
    <t xml:space="preserve">Fitri Setiawan</t>
  </si>
  <si>
    <t xml:space="preserve">Teguh Purnomo</t>
  </si>
  <si>
    <t xml:space="preserve">Citra Maulana</t>
  </si>
  <si>
    <t xml:space="preserve">Edi Hidayat</t>
  </si>
  <si>
    <t xml:space="preserve">Utami Wibowo</t>
  </si>
  <si>
    <t xml:space="preserve">Anwar Wijaya</t>
  </si>
  <si>
    <t xml:space="preserve">Sari Maulana</t>
  </si>
  <si>
    <t xml:space="preserve">Maya Rahayu</t>
  </si>
  <si>
    <t xml:space="preserve">Umar Rahayu</t>
  </si>
  <si>
    <t xml:space="preserve">Bayu Wibowo</t>
  </si>
  <si>
    <t xml:space="preserve">Dewi Ramadhan</t>
  </si>
  <si>
    <t xml:space="preserve">Taufik Hidayat</t>
  </si>
  <si>
    <t xml:space="preserve">Intan Pratama</t>
  </si>
  <si>
    <t xml:space="preserve">Nurul Maulana</t>
  </si>
  <si>
    <t xml:space="preserve">Citra Saputra</t>
  </si>
  <si>
    <t xml:space="preserve">Rani Pratama</t>
  </si>
  <si>
    <t xml:space="preserve">Dewi Handayani</t>
  </si>
  <si>
    <t xml:space="preserve">Agus Permana</t>
  </si>
  <si>
    <t xml:space="preserve">Wati Purnomo</t>
  </si>
  <si>
    <t xml:space="preserve">Indah Kurniawan</t>
  </si>
  <si>
    <t xml:space="preserve">Wawan Purnomo</t>
  </si>
  <si>
    <t xml:space="preserve">Bonus Poin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</si>
  <si>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</si>
  <si>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</si>
  <si>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</si>
  <si>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</si>
  <si>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</si>
  <si>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Nama pendaftar peringkat 1</t>
  </si>
  <si>
    <t xml:space="preserve">Teks: nama pendaftar</t>
  </si>
  <si>
    <t xml:space="preserve">Skor batas penerimaan</t>
  </si>
  <si>
    <t xml:space="preserve">Desimal 2 angka, mis. 82,67</t>
  </si>
  <si>
    <t xml:space="preserve">9a</t>
  </si>
  <si>
    <t xml:space="preserve">Jumlah peserta diterima jalur Prestasi</t>
  </si>
  <si>
    <t xml:space="preserve">Angka bulat, mis. 3</t>
  </si>
  <si>
    <t xml:space="preserve">9b</t>
  </si>
  <si>
    <t xml:space="preserve">Jumlah peserta diterima jalur Afirmasi</t>
  </si>
  <si>
    <t xml:space="preserve">9c</t>
  </si>
  <si>
    <t xml:space="preserve">Jumlah peserta diterima jalur Reguler</t>
  </si>
  <si>
    <t xml:space="preserve">Jumlah pendaftar perempuan yang diterima</t>
  </si>
  <si>
    <t xml:space="preserve">Angka bulat, mis. 11</t>
  </si>
  <si>
    <t xml:space="preserve">Rata-rata jarak pendaftar diterima (meter)</t>
  </si>
  <si>
    <t xml:space="preserve">Angka bulat, mis. 2.850</t>
  </si>
  <si>
    <t xml:space="preserve">Jumlah pendaftar yang mendapat bonus jarak</t>
  </si>
  <si>
    <t xml:space="preserve">Angka bulat, mis. 14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</si>
</sst>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84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  <row r="32" customFormat="false" ht="30" hidden="false" customHeight="true" outlineLevel="0" collapsed="false">
      <c r="A32" s="13" t="s">
        <v>67</v>
      </c>
      <c r="B32" s="14" t="s">
        <v>68</v>
      </c>
      <c r="C32" s="14" t="s">
        <v>69</v>
      </c>
      <c r="D32" s="15" t="s">
        <v>70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5"/>
    <col collapsed="false" customWidth="true" hidden="false" outlineLevel="0" max="15" min="15" style="0" width="3"/>
    <col collapsed="false" customWidth="true" hidden="false" outlineLevel="0" max="16" min="16" style="0" width="30"/>
    <col collapsed="false" customWidth="true" hidden="false" outlineLevel="0" max="17" min="17" style="0" width="16"/>
    <col collapsed="false" customWidth="true" hidden="false" outlineLevel="0" max="18" min="18" style="0" width="42"/>
  </cols>
  <sheetData>
    <row r="1" customFormat="false" ht="33.75" hidden="false" customHeight="true" outlineLevel="0" collapsed="false">
      <c r="A1" s="12" t="s">
        <v>19</v>
      </c>
      <c r="B1" s="12" t="s">
        <v>71</v>
      </c>
      <c r="C1" s="12" t="s">
        <v>72</v>
      </c>
      <c r="D1" s="12" t="s">
        <v>73</v>
      </c>
      <c r="E1" s="12" t="s">
        <v>74</v>
      </c>
      <c r="F1" s="12" t="s">
        <v>75</v>
      </c>
      <c r="G1" s="12" t="s">
        <v>76</v>
      </c>
      <c r="H1" s="12" t="s">
        <v>77</v>
      </c>
      <c r="I1" s="16" t="s">
        <v>78</v>
      </c>
      <c r="J1" s="16" t="s">
        <v>79</v>
      </c>
      <c r="K1" s="16" t="s">
        <v>80</v>
      </c>
      <c r="L1" s="16" t="s">
        <v>81</v>
      </c>
      <c r="M1" s="16" t="s">
        <v>82</v>
      </c>
      <c r="N1" s="16" t="s">
        <v>83</v>
      </c>
      <c r="P1" s="17" t="s">
        <v>84</v>
      </c>
      <c r="Q1" s="17" t="s">
        <v>85</v>
      </c>
      <c r="R1" s="17" t="s">
        <v>86</v>
      </c>
    </row>
    <row r="2" customFormat="false" ht="15" hidden="false" customHeight="false" outlineLevel="0" collapsed="false">
      <c r="A2" s="18" t="n">
        <v>1</v>
      </c>
      <c r="B2" s="19" t="s">
        <v>87</v>
      </c>
      <c r="C2" s="19" t="s">
        <v>88</v>
      </c>
      <c r="D2" s="19" t="s">
        <v>89</v>
      </c>
      <c r="E2" s="20" t="n">
        <v>2300</v>
      </c>
      <c r="F2" s="18" t="n">
        <v>97</v>
      </c>
      <c r="G2" s="18" t="n">
        <v>88</v>
      </c>
      <c r="H2" s="18" t="n">
        <v>86</v>
      </c>
      <c r="I2" s="21" t="n">
        <f aca="false">ROUND(AVERAGE(F2:H2),2)</f>
        <v>90.33</v>
      </c>
      <c r="J2" s="22" t="n">
        <f aca="false">VLOOKUP(D2,Acuan!$A$2:$B$4,2,FALSE())</f>
        <v>5</v>
      </c>
      <c r="K2" s="22" t="n">
        <f aca="false">IF(E2&lt;=$Q$2,$Q$3,0)</f>
        <v>2</v>
      </c>
      <c r="L2" s="21" t="n">
        <f aca="false">I2+J2+K2</f>
        <v>97.33</v>
      </c>
      <c r="M2" s="22" t="n">
        <f aca="false">RANK(L2,$L$2:$L$37)</f>
        <v>4</v>
      </c>
      <c r="N2" s="23" t="str">
        <f aca="false">IF(M2&lt;=$Q$4,"Diterima","Tidak Diterima")</f>
        <v>Diterima</v>
      </c>
      <c r="P2" s="24" t="s">
        <v>90</v>
      </c>
      <c r="Q2" s="25" t="n">
        <v>3000</v>
      </c>
      <c r="R2" s="26" t="s">
        <v>91</v>
      </c>
    </row>
    <row r="3" customFormat="false" ht="15" hidden="false" customHeight="false" outlineLevel="0" collapsed="false">
      <c r="A3" s="18" t="n">
        <v>2</v>
      </c>
      <c r="B3" s="19" t="s">
        <v>92</v>
      </c>
      <c r="C3" s="19" t="s">
        <v>88</v>
      </c>
      <c r="D3" s="19" t="s">
        <v>93</v>
      </c>
      <c r="E3" s="20" t="n">
        <v>5050</v>
      </c>
      <c r="F3" s="18" t="n">
        <v>95</v>
      </c>
      <c r="G3" s="18" t="n">
        <v>83</v>
      </c>
      <c r="H3" s="18" t="n">
        <v>90</v>
      </c>
      <c r="I3" s="21" t="n">
        <f aca="false">ROUND(AVERAGE(F3:H3),2)</f>
        <v>89.33</v>
      </c>
      <c r="J3" s="22" t="n">
        <f aca="false">VLOOKUP(D3,Acuan!$A$2:$B$4,2,FALSE())</f>
        <v>0</v>
      </c>
      <c r="K3" s="22" t="n">
        <f aca="false">IF(E3&lt;=$Q$2,$Q$3,0)</f>
        <v>0</v>
      </c>
      <c r="L3" s="21" t="n">
        <f aca="false">I3+J3+K3</f>
        <v>89.33</v>
      </c>
      <c r="M3" s="22" t="n">
        <f aca="false">RANK(L3,$L$2:$L$37)</f>
        <v>11</v>
      </c>
      <c r="N3" s="23" t="str">
        <f aca="false">IF(M3&lt;=$Q$4,"Diterima","Tidak Diterima")</f>
        <v>Diterima</v>
      </c>
      <c r="P3" s="24" t="s">
        <v>94</v>
      </c>
      <c r="Q3" s="27" t="n">
        <v>2</v>
      </c>
      <c r="R3" s="26"/>
    </row>
    <row r="4" customFormat="false" ht="15" hidden="false" customHeight="false" outlineLevel="0" collapsed="false">
      <c r="A4" s="18" t="n">
        <v>3</v>
      </c>
      <c r="B4" s="19" t="s">
        <v>95</v>
      </c>
      <c r="C4" s="19" t="s">
        <v>96</v>
      </c>
      <c r="D4" s="19" t="s">
        <v>93</v>
      </c>
      <c r="E4" s="20" t="n">
        <v>4550</v>
      </c>
      <c r="F4" s="18" t="n">
        <v>59</v>
      </c>
      <c r="G4" s="18" t="n">
        <v>89</v>
      </c>
      <c r="H4" s="18" t="n">
        <v>95</v>
      </c>
      <c r="I4" s="21" t="n">
        <f aca="false">ROUND(AVERAGE(F4:H4),2)</f>
        <v>81</v>
      </c>
      <c r="J4" s="22" t="n">
        <f aca="false">VLOOKUP(D4,Acuan!$A$2:$B$4,2,FALSE())</f>
        <v>0</v>
      </c>
      <c r="K4" s="22" t="n">
        <f aca="false">IF(E4&lt;=$Q$2,$Q$3,0)</f>
        <v>0</v>
      </c>
      <c r="L4" s="21" t="n">
        <f aca="false">I4+J4+K4</f>
        <v>81</v>
      </c>
      <c r="M4" s="22" t="n">
        <f aca="false">RANK(L4,$L$2:$L$37)</f>
        <v>21</v>
      </c>
      <c r="N4" s="23" t="str">
        <f aca="false">IF(M4&lt;=$Q$4,"Diterima","Tidak Diterima")</f>
        <v>Tidak Diterima</v>
      </c>
      <c r="P4" s="24" t="s">
        <v>97</v>
      </c>
      <c r="Q4" s="27" t="n">
        <v>20</v>
      </c>
      <c r="R4" s="26" t="s">
        <v>98</v>
      </c>
    </row>
    <row r="5" customFormat="false" ht="15" hidden="false" customHeight="false" outlineLevel="0" collapsed="false">
      <c r="A5" s="18" t="n">
        <v>4</v>
      </c>
      <c r="B5" s="19" t="s">
        <v>99</v>
      </c>
      <c r="C5" s="19" t="s">
        <v>88</v>
      </c>
      <c r="D5" s="19" t="s">
        <v>93</v>
      </c>
      <c r="E5" s="20" t="n">
        <v>7650</v>
      </c>
      <c r="F5" s="18" t="n">
        <v>60</v>
      </c>
      <c r="G5" s="18" t="n">
        <v>55</v>
      </c>
      <c r="H5" s="18" t="n">
        <v>94</v>
      </c>
      <c r="I5" s="21" t="n">
        <f aca="false">ROUND(AVERAGE(F5:H5),2)</f>
        <v>69.67</v>
      </c>
      <c r="J5" s="22" t="n">
        <f aca="false">VLOOKUP(D5,Acuan!$A$2:$B$4,2,FALSE())</f>
        <v>0</v>
      </c>
      <c r="K5" s="22" t="n">
        <f aca="false">IF(E5&lt;=$Q$2,$Q$3,0)</f>
        <v>0</v>
      </c>
      <c r="L5" s="21" t="n">
        <f aca="false">I5+J5+K5</f>
        <v>69.67</v>
      </c>
      <c r="M5" s="22" t="n">
        <f aca="false">RANK(L5,$L$2:$L$37)</f>
        <v>31</v>
      </c>
      <c r="N5" s="23" t="str">
        <f aca="false">IF(M5&lt;=$Q$4,"Diterima","Tidak Diterima")</f>
        <v>Tidak Diterima</v>
      </c>
    </row>
    <row r="6" customFormat="false" ht="15" hidden="false" customHeight="false" outlineLevel="0" collapsed="false">
      <c r="A6" s="18" t="n">
        <v>5</v>
      </c>
      <c r="B6" s="19" t="s">
        <v>100</v>
      </c>
      <c r="C6" s="19" t="s">
        <v>88</v>
      </c>
      <c r="D6" s="19" t="s">
        <v>101</v>
      </c>
      <c r="E6" s="20" t="n">
        <v>4250</v>
      </c>
      <c r="F6" s="18" t="n">
        <v>70</v>
      </c>
      <c r="G6" s="18" t="n">
        <v>72</v>
      </c>
      <c r="H6" s="18" t="n">
        <v>82</v>
      </c>
      <c r="I6" s="21" t="n">
        <f aca="false">ROUND(AVERAGE(F6:H6),2)</f>
        <v>74.67</v>
      </c>
      <c r="J6" s="22" t="n">
        <f aca="false">VLOOKUP(D6,Acuan!$A$2:$B$4,2,FALSE())</f>
        <v>7</v>
      </c>
      <c r="K6" s="22" t="n">
        <f aca="false">IF(E6&lt;=$Q$2,$Q$3,0)</f>
        <v>0</v>
      </c>
      <c r="L6" s="21" t="n">
        <f aca="false">I6+J6+K6</f>
        <v>81.67</v>
      </c>
      <c r="M6" s="22" t="n">
        <f aca="false">RANK(L6,$L$2:$L$37)</f>
        <v>19</v>
      </c>
      <c r="N6" s="23" t="str">
        <f aca="false">IF(M6&lt;=$Q$4,"Diterima","Tidak Diterima")</f>
        <v>Diterima</v>
      </c>
    </row>
    <row r="7" customFormat="false" ht="15" hidden="false" customHeight="false" outlineLevel="0" collapsed="false">
      <c r="A7" s="18" t="n">
        <v>6</v>
      </c>
      <c r="B7" s="19" t="s">
        <v>102</v>
      </c>
      <c r="C7" s="19" t="s">
        <v>96</v>
      </c>
      <c r="D7" s="19" t="s">
        <v>93</v>
      </c>
      <c r="E7" s="20" t="n">
        <v>6750</v>
      </c>
      <c r="F7" s="18" t="n">
        <v>59</v>
      </c>
      <c r="G7" s="18" t="n">
        <v>77</v>
      </c>
      <c r="H7" s="18" t="n">
        <v>64</v>
      </c>
      <c r="I7" s="21" t="n">
        <f aca="false">ROUND(AVERAGE(F7:H7),2)</f>
        <v>66.67</v>
      </c>
      <c r="J7" s="22" t="n">
        <f aca="false">VLOOKUP(D7,Acuan!$A$2:$B$4,2,FALSE())</f>
        <v>0</v>
      </c>
      <c r="K7" s="22" t="n">
        <f aca="false">IF(E7&lt;=$Q$2,$Q$3,0)</f>
        <v>0</v>
      </c>
      <c r="L7" s="21" t="n">
        <f aca="false">I7+J7+K7</f>
        <v>66.67</v>
      </c>
      <c r="M7" s="22" t="n">
        <f aca="false">RANK(L7,$L$2:$L$37)</f>
        <v>33</v>
      </c>
      <c r="N7" s="23" t="str">
        <f aca="false">IF(M7&lt;=$Q$4,"Diterima","Tidak Diterima")</f>
        <v>Tidak Diterima</v>
      </c>
    </row>
    <row r="8" customFormat="false" ht="15" hidden="false" customHeight="false" outlineLevel="0" collapsed="false">
      <c r="A8" s="18" t="n">
        <v>7</v>
      </c>
      <c r="B8" s="19" t="s">
        <v>103</v>
      </c>
      <c r="C8" s="19" t="s">
        <v>96</v>
      </c>
      <c r="D8" s="19" t="s">
        <v>89</v>
      </c>
      <c r="E8" s="20" t="n">
        <v>2050</v>
      </c>
      <c r="F8" s="18" t="n">
        <v>98</v>
      </c>
      <c r="G8" s="18" t="n">
        <v>92</v>
      </c>
      <c r="H8" s="18" t="n">
        <v>96</v>
      </c>
      <c r="I8" s="21" t="n">
        <f aca="false">ROUND(AVERAGE(F8:H8),2)</f>
        <v>95.33</v>
      </c>
      <c r="J8" s="22" t="n">
        <f aca="false">VLOOKUP(D8,Acuan!$A$2:$B$4,2,FALSE())</f>
        <v>5</v>
      </c>
      <c r="K8" s="22" t="n">
        <f aca="false">IF(E8&lt;=$Q$2,$Q$3,0)</f>
        <v>2</v>
      </c>
      <c r="L8" s="21" t="n">
        <f aca="false">I8+J8+K8</f>
        <v>102.33</v>
      </c>
      <c r="M8" s="22" t="n">
        <f aca="false">RANK(L8,$L$2:$L$37)</f>
        <v>1</v>
      </c>
      <c r="N8" s="23" t="str">
        <f aca="false">IF(M8&lt;=$Q$4,"Diterima","Tidak Diterima")</f>
        <v>Diterima</v>
      </c>
    </row>
    <row r="9" customFormat="false" ht="15" hidden="false" customHeight="false" outlineLevel="0" collapsed="false">
      <c r="A9" s="18" t="n">
        <v>8</v>
      </c>
      <c r="B9" s="19" t="s">
        <v>104</v>
      </c>
      <c r="C9" s="19" t="s">
        <v>96</v>
      </c>
      <c r="D9" s="19" t="s">
        <v>89</v>
      </c>
      <c r="E9" s="20" t="n">
        <v>6750</v>
      </c>
      <c r="F9" s="18" t="n">
        <v>85</v>
      </c>
      <c r="G9" s="18" t="n">
        <v>85</v>
      </c>
      <c r="H9" s="18" t="n">
        <v>91</v>
      </c>
      <c r="I9" s="21" t="n">
        <f aca="false">ROUND(AVERAGE(F9:H9),2)</f>
        <v>87</v>
      </c>
      <c r="J9" s="22" t="n">
        <f aca="false">VLOOKUP(D9,Acuan!$A$2:$B$4,2,FALSE())</f>
        <v>5</v>
      </c>
      <c r="K9" s="22" t="n">
        <f aca="false">IF(E9&lt;=$Q$2,$Q$3,0)</f>
        <v>0</v>
      </c>
      <c r="L9" s="21" t="n">
        <f aca="false">I9+J9+K9</f>
        <v>92</v>
      </c>
      <c r="M9" s="22" t="n">
        <f aca="false">RANK(L9,$L$2:$L$37)</f>
        <v>8</v>
      </c>
      <c r="N9" s="23" t="str">
        <f aca="false">IF(M9&lt;=$Q$4,"Diterima","Tidak Diterima")</f>
        <v>Diterima</v>
      </c>
    </row>
    <row r="10" customFormat="false" ht="15" hidden="false" customHeight="false" outlineLevel="0" collapsed="false">
      <c r="A10" s="18" t="n">
        <v>9</v>
      </c>
      <c r="B10" s="19" t="s">
        <v>105</v>
      </c>
      <c r="C10" s="19" t="s">
        <v>96</v>
      </c>
      <c r="D10" s="19" t="s">
        <v>93</v>
      </c>
      <c r="E10" s="20" t="n">
        <v>3600</v>
      </c>
      <c r="F10" s="18" t="n">
        <v>95</v>
      </c>
      <c r="G10" s="18" t="n">
        <v>84</v>
      </c>
      <c r="H10" s="18" t="n">
        <v>96</v>
      </c>
      <c r="I10" s="21" t="n">
        <f aca="false">ROUND(AVERAGE(F10:H10),2)</f>
        <v>91.67</v>
      </c>
      <c r="J10" s="22" t="n">
        <f aca="false">VLOOKUP(D10,Acuan!$A$2:$B$4,2,FALSE())</f>
        <v>0</v>
      </c>
      <c r="K10" s="22" t="n">
        <f aca="false">IF(E10&lt;=$Q$2,$Q$3,0)</f>
        <v>0</v>
      </c>
      <c r="L10" s="21" t="n">
        <f aca="false">I10+J10+K10</f>
        <v>91.67</v>
      </c>
      <c r="M10" s="22" t="n">
        <f aca="false">RANK(L10,$L$2:$L$37)</f>
        <v>9</v>
      </c>
      <c r="N10" s="23" t="str">
        <f aca="false">IF(M10&lt;=$Q$4,"Diterima","Tidak Diterima")</f>
        <v>Diterima</v>
      </c>
    </row>
    <row r="11" customFormat="false" ht="15" hidden="false" customHeight="false" outlineLevel="0" collapsed="false">
      <c r="A11" s="18" t="n">
        <v>10</v>
      </c>
      <c r="B11" s="19" t="s">
        <v>106</v>
      </c>
      <c r="C11" s="19" t="s">
        <v>96</v>
      </c>
      <c r="D11" s="19" t="s">
        <v>93</v>
      </c>
      <c r="E11" s="20" t="n">
        <v>2100</v>
      </c>
      <c r="F11" s="18" t="n">
        <v>97</v>
      </c>
      <c r="G11" s="18" t="n">
        <v>94</v>
      </c>
      <c r="H11" s="18" t="n">
        <v>87</v>
      </c>
      <c r="I11" s="21" t="n">
        <f aca="false">ROUND(AVERAGE(F11:H11),2)</f>
        <v>92.67</v>
      </c>
      <c r="J11" s="22" t="n">
        <f aca="false">VLOOKUP(D11,Acuan!$A$2:$B$4,2,FALSE())</f>
        <v>0</v>
      </c>
      <c r="K11" s="22" t="n">
        <f aca="false">IF(E11&lt;=$Q$2,$Q$3,0)</f>
        <v>2</v>
      </c>
      <c r="L11" s="21" t="n">
        <f aca="false">I11+J11+K11</f>
        <v>94.67</v>
      </c>
      <c r="M11" s="22" t="n">
        <f aca="false">RANK(L11,$L$2:$L$37)</f>
        <v>6</v>
      </c>
      <c r="N11" s="23" t="str">
        <f aca="false">IF(M11&lt;=$Q$4,"Diterima","Tidak Diterima")</f>
        <v>Diterima</v>
      </c>
    </row>
    <row r="12" customFormat="false" ht="15" hidden="false" customHeight="false" outlineLevel="0" collapsed="false">
      <c r="A12" s="18" t="n">
        <v>11</v>
      </c>
      <c r="B12" s="19" t="s">
        <v>107</v>
      </c>
      <c r="C12" s="19" t="s">
        <v>96</v>
      </c>
      <c r="D12" s="19" t="s">
        <v>101</v>
      </c>
      <c r="E12" s="20" t="n">
        <v>1450</v>
      </c>
      <c r="F12" s="18" t="n">
        <v>64</v>
      </c>
      <c r="G12" s="18" t="n">
        <v>93</v>
      </c>
      <c r="H12" s="18" t="n">
        <v>80</v>
      </c>
      <c r="I12" s="21" t="n">
        <f aca="false">ROUND(AVERAGE(F12:H12),2)</f>
        <v>79</v>
      </c>
      <c r="J12" s="22" t="n">
        <f aca="false">VLOOKUP(D12,Acuan!$A$2:$B$4,2,FALSE())</f>
        <v>7</v>
      </c>
      <c r="K12" s="22" t="n">
        <f aca="false">IF(E12&lt;=$Q$2,$Q$3,0)</f>
        <v>2</v>
      </c>
      <c r="L12" s="21" t="n">
        <f aca="false">I12+J12+K12</f>
        <v>88</v>
      </c>
      <c r="M12" s="22" t="n">
        <f aca="false">RANK(L12,$L$2:$L$37)</f>
        <v>13</v>
      </c>
      <c r="N12" s="23" t="str">
        <f aca="false">IF(M12&lt;=$Q$4,"Diterima","Tidak Diterima")</f>
        <v>Diterima</v>
      </c>
    </row>
    <row r="13" customFormat="false" ht="15" hidden="false" customHeight="false" outlineLevel="0" collapsed="false">
      <c r="A13" s="18" t="n">
        <v>12</v>
      </c>
      <c r="B13" s="19" t="s">
        <v>108</v>
      </c>
      <c r="C13" s="19" t="s">
        <v>96</v>
      </c>
      <c r="D13" s="19" t="s">
        <v>101</v>
      </c>
      <c r="E13" s="20" t="n">
        <v>3550</v>
      </c>
      <c r="F13" s="18" t="n">
        <v>80</v>
      </c>
      <c r="G13" s="18" t="n">
        <v>89</v>
      </c>
      <c r="H13" s="18" t="n">
        <v>96</v>
      </c>
      <c r="I13" s="21" t="n">
        <f aca="false">ROUND(AVERAGE(F13:H13),2)</f>
        <v>88.33</v>
      </c>
      <c r="J13" s="22" t="n">
        <f aca="false">VLOOKUP(D13,Acuan!$A$2:$B$4,2,FALSE())</f>
        <v>7</v>
      </c>
      <c r="K13" s="22" t="n">
        <f aca="false">IF(E13&lt;=$Q$2,$Q$3,0)</f>
        <v>0</v>
      </c>
      <c r="L13" s="21" t="n">
        <f aca="false">I13+J13+K13</f>
        <v>95.33</v>
      </c>
      <c r="M13" s="22" t="n">
        <f aca="false">RANK(L13,$L$2:$L$37)</f>
        <v>5</v>
      </c>
      <c r="N13" s="23" t="str">
        <f aca="false">IF(M13&lt;=$Q$4,"Diterima","Tidak Diterima")</f>
        <v>Diterima</v>
      </c>
    </row>
    <row r="14" customFormat="false" ht="15" hidden="false" customHeight="false" outlineLevel="0" collapsed="false">
      <c r="A14" s="18" t="n">
        <v>13</v>
      </c>
      <c r="B14" s="19" t="s">
        <v>109</v>
      </c>
      <c r="C14" s="19" t="s">
        <v>88</v>
      </c>
      <c r="D14" s="19" t="s">
        <v>93</v>
      </c>
      <c r="E14" s="20" t="n">
        <v>6350</v>
      </c>
      <c r="F14" s="18" t="n">
        <v>55</v>
      </c>
      <c r="G14" s="18" t="n">
        <v>58</v>
      </c>
      <c r="H14" s="18" t="n">
        <v>83</v>
      </c>
      <c r="I14" s="21" t="n">
        <f aca="false">ROUND(AVERAGE(F14:H14),2)</f>
        <v>65.33</v>
      </c>
      <c r="J14" s="22" t="n">
        <f aca="false">VLOOKUP(D14,Acuan!$A$2:$B$4,2,FALSE())</f>
        <v>0</v>
      </c>
      <c r="K14" s="22" t="n">
        <f aca="false">IF(E14&lt;=$Q$2,$Q$3,0)</f>
        <v>0</v>
      </c>
      <c r="L14" s="21" t="n">
        <f aca="false">I14+J14+K14</f>
        <v>65.33</v>
      </c>
      <c r="M14" s="22" t="n">
        <f aca="false">RANK(L14,$L$2:$L$37)</f>
        <v>34</v>
      </c>
      <c r="N14" s="23" t="str">
        <f aca="false">IF(M14&lt;=$Q$4,"Diterima","Tidak Diterima")</f>
        <v>Tidak Diterima</v>
      </c>
    </row>
    <row r="15" customFormat="false" ht="15" hidden="false" customHeight="false" outlineLevel="0" collapsed="false">
      <c r="A15" s="18" t="n">
        <v>14</v>
      </c>
      <c r="B15" s="19" t="s">
        <v>110</v>
      </c>
      <c r="C15" s="19" t="s">
        <v>88</v>
      </c>
      <c r="D15" s="19" t="s">
        <v>89</v>
      </c>
      <c r="E15" s="20" t="n">
        <v>2150</v>
      </c>
      <c r="F15" s="18" t="n">
        <v>96</v>
      </c>
      <c r="G15" s="18" t="n">
        <v>83</v>
      </c>
      <c r="H15" s="18" t="n">
        <v>79</v>
      </c>
      <c r="I15" s="21" t="n">
        <f aca="false">ROUND(AVERAGE(F15:H15),2)</f>
        <v>86</v>
      </c>
      <c r="J15" s="22" t="n">
        <f aca="false">VLOOKUP(D15,Acuan!$A$2:$B$4,2,FALSE())</f>
        <v>5</v>
      </c>
      <c r="K15" s="22" t="n">
        <f aca="false">IF(E15&lt;=$Q$2,$Q$3,0)</f>
        <v>2</v>
      </c>
      <c r="L15" s="21" t="n">
        <f aca="false">I15+J15+K15</f>
        <v>93</v>
      </c>
      <c r="M15" s="22" t="n">
        <f aca="false">RANK(L15,$L$2:$L$37)</f>
        <v>7</v>
      </c>
      <c r="N15" s="23" t="str">
        <f aca="false">IF(M15&lt;=$Q$4,"Diterima","Tidak Diterima")</f>
        <v>Diterima</v>
      </c>
    </row>
    <row r="16" customFormat="false" ht="15" hidden="false" customHeight="false" outlineLevel="0" collapsed="false">
      <c r="A16" s="18" t="n">
        <v>15</v>
      </c>
      <c r="B16" s="19" t="s">
        <v>111</v>
      </c>
      <c r="C16" s="19" t="s">
        <v>88</v>
      </c>
      <c r="D16" s="19" t="s">
        <v>93</v>
      </c>
      <c r="E16" s="20" t="n">
        <v>7400</v>
      </c>
      <c r="F16" s="18" t="n">
        <v>55</v>
      </c>
      <c r="G16" s="18" t="n">
        <v>58</v>
      </c>
      <c r="H16" s="18" t="n">
        <v>75</v>
      </c>
      <c r="I16" s="21" t="n">
        <f aca="false">ROUND(AVERAGE(F16:H16),2)</f>
        <v>62.67</v>
      </c>
      <c r="J16" s="22" t="n">
        <f aca="false">VLOOKUP(D16,Acuan!$A$2:$B$4,2,FALSE())</f>
        <v>0</v>
      </c>
      <c r="K16" s="22" t="n">
        <f aca="false">IF(E16&lt;=$Q$2,$Q$3,0)</f>
        <v>0</v>
      </c>
      <c r="L16" s="21" t="n">
        <f aca="false">I16+J16+K16</f>
        <v>62.67</v>
      </c>
      <c r="M16" s="22" t="n">
        <f aca="false">RANK(L16,$L$2:$L$37)</f>
        <v>36</v>
      </c>
      <c r="N16" s="23" t="str">
        <f aca="false">IF(M16&lt;=$Q$4,"Diterima","Tidak Diterima")</f>
        <v>Tidak Diterima</v>
      </c>
    </row>
    <row r="17" customFormat="false" ht="15" hidden="false" customHeight="false" outlineLevel="0" collapsed="false">
      <c r="A17" s="18" t="n">
        <v>16</v>
      </c>
      <c r="B17" s="19" t="s">
        <v>112</v>
      </c>
      <c r="C17" s="19" t="s">
        <v>88</v>
      </c>
      <c r="D17" s="19" t="s">
        <v>89</v>
      </c>
      <c r="E17" s="20" t="n">
        <v>2350</v>
      </c>
      <c r="F17" s="18" t="n">
        <v>79</v>
      </c>
      <c r="G17" s="18" t="n">
        <v>87</v>
      </c>
      <c r="H17" s="18" t="n">
        <v>86</v>
      </c>
      <c r="I17" s="21" t="n">
        <f aca="false">ROUND(AVERAGE(F17:H17),2)</f>
        <v>84</v>
      </c>
      <c r="J17" s="22" t="n">
        <f aca="false">VLOOKUP(D17,Acuan!$A$2:$B$4,2,FALSE())</f>
        <v>5</v>
      </c>
      <c r="K17" s="22" t="n">
        <f aca="false">IF(E17&lt;=$Q$2,$Q$3,0)</f>
        <v>2</v>
      </c>
      <c r="L17" s="21" t="n">
        <f aca="false">I17+J17+K17</f>
        <v>91</v>
      </c>
      <c r="M17" s="22" t="n">
        <f aca="false">RANK(L17,$L$2:$L$37)</f>
        <v>10</v>
      </c>
      <c r="N17" s="23" t="str">
        <f aca="false">IF(M17&lt;=$Q$4,"Diterima","Tidak Diterima")</f>
        <v>Diterima</v>
      </c>
    </row>
    <row r="18" customFormat="false" ht="15" hidden="false" customHeight="false" outlineLevel="0" collapsed="false">
      <c r="A18" s="18" t="n">
        <v>17</v>
      </c>
      <c r="B18" s="19" t="s">
        <v>113</v>
      </c>
      <c r="C18" s="19" t="s">
        <v>96</v>
      </c>
      <c r="D18" s="19" t="s">
        <v>93</v>
      </c>
      <c r="E18" s="20" t="n">
        <v>5150</v>
      </c>
      <c r="F18" s="18" t="n">
        <v>57</v>
      </c>
      <c r="G18" s="18" t="n">
        <v>90</v>
      </c>
      <c r="H18" s="18" t="n">
        <v>95</v>
      </c>
      <c r="I18" s="21" t="n">
        <f aca="false">ROUND(AVERAGE(F18:H18),2)</f>
        <v>80.67</v>
      </c>
      <c r="J18" s="22" t="n">
        <f aca="false">VLOOKUP(D18,Acuan!$A$2:$B$4,2,FALSE())</f>
        <v>0</v>
      </c>
      <c r="K18" s="22" t="n">
        <f aca="false">IF(E18&lt;=$Q$2,$Q$3,0)</f>
        <v>0</v>
      </c>
      <c r="L18" s="21" t="n">
        <f aca="false">I18+J18+K18</f>
        <v>80.67</v>
      </c>
      <c r="M18" s="22" t="n">
        <f aca="false">RANK(L18,$L$2:$L$37)</f>
        <v>22</v>
      </c>
      <c r="N18" s="23" t="str">
        <f aca="false">IF(M18&lt;=$Q$4,"Diterima","Tidak Diterima")</f>
        <v>Tidak Diterima</v>
      </c>
    </row>
    <row r="19" customFormat="false" ht="15" hidden="false" customHeight="false" outlineLevel="0" collapsed="false">
      <c r="A19" s="18" t="n">
        <v>18</v>
      </c>
      <c r="B19" s="19" t="s">
        <v>114</v>
      </c>
      <c r="C19" s="19" t="s">
        <v>88</v>
      </c>
      <c r="D19" s="19" t="s">
        <v>93</v>
      </c>
      <c r="E19" s="20" t="n">
        <v>5050</v>
      </c>
      <c r="F19" s="18" t="n">
        <v>86</v>
      </c>
      <c r="G19" s="18" t="n">
        <v>71</v>
      </c>
      <c r="H19" s="18" t="n">
        <v>87</v>
      </c>
      <c r="I19" s="21" t="n">
        <f aca="false">ROUND(AVERAGE(F19:H19),2)</f>
        <v>81.33</v>
      </c>
      <c r="J19" s="22" t="n">
        <f aca="false">VLOOKUP(D19,Acuan!$A$2:$B$4,2,FALSE())</f>
        <v>0</v>
      </c>
      <c r="K19" s="22" t="n">
        <f aca="false">IF(E19&lt;=$Q$2,$Q$3,0)</f>
        <v>0</v>
      </c>
      <c r="L19" s="21" t="n">
        <f aca="false">I19+J19+K19</f>
        <v>81.33</v>
      </c>
      <c r="M19" s="22" t="n">
        <f aca="false">RANK(L19,$L$2:$L$37)</f>
        <v>20</v>
      </c>
      <c r="N19" s="23" t="str">
        <f aca="false">IF(M19&lt;=$Q$4,"Diterima","Tidak Diterima")</f>
        <v>Diterima</v>
      </c>
    </row>
    <row r="20" customFormat="false" ht="15" hidden="false" customHeight="false" outlineLevel="0" collapsed="false">
      <c r="A20" s="18" t="n">
        <v>19</v>
      </c>
      <c r="B20" s="19" t="s">
        <v>115</v>
      </c>
      <c r="C20" s="19" t="s">
        <v>96</v>
      </c>
      <c r="D20" s="19" t="s">
        <v>93</v>
      </c>
      <c r="E20" s="20" t="n">
        <v>5500</v>
      </c>
      <c r="F20" s="18" t="n">
        <v>69</v>
      </c>
      <c r="G20" s="18" t="n">
        <v>87</v>
      </c>
      <c r="H20" s="18" t="n">
        <v>58</v>
      </c>
      <c r="I20" s="21" t="n">
        <f aca="false">ROUND(AVERAGE(F20:H20),2)</f>
        <v>71.33</v>
      </c>
      <c r="J20" s="22" t="n">
        <f aca="false">VLOOKUP(D20,Acuan!$A$2:$B$4,2,FALSE())</f>
        <v>0</v>
      </c>
      <c r="K20" s="22" t="n">
        <f aca="false">IF(E20&lt;=$Q$2,$Q$3,0)</f>
        <v>0</v>
      </c>
      <c r="L20" s="21" t="n">
        <f aca="false">I20+J20+K20</f>
        <v>71.33</v>
      </c>
      <c r="M20" s="22" t="n">
        <f aca="false">RANK(L20,$L$2:$L$37)</f>
        <v>30</v>
      </c>
      <c r="N20" s="23" t="str">
        <f aca="false">IF(M20&lt;=$Q$4,"Diterima","Tidak Diterima")</f>
        <v>Tidak Diterima</v>
      </c>
    </row>
    <row r="21" customFormat="false" ht="15" hidden="false" customHeight="false" outlineLevel="0" collapsed="false">
      <c r="A21" s="18" t="n">
        <v>20</v>
      </c>
      <c r="B21" s="19" t="s">
        <v>116</v>
      </c>
      <c r="C21" s="19" t="s">
        <v>88</v>
      </c>
      <c r="D21" s="19" t="s">
        <v>93</v>
      </c>
      <c r="E21" s="20" t="n">
        <v>7750</v>
      </c>
      <c r="F21" s="18" t="n">
        <v>92</v>
      </c>
      <c r="G21" s="18" t="n">
        <v>76</v>
      </c>
      <c r="H21" s="18" t="n">
        <v>55</v>
      </c>
      <c r="I21" s="21" t="n">
        <f aca="false">ROUND(AVERAGE(F21:H21),2)</f>
        <v>74.33</v>
      </c>
      <c r="J21" s="22" t="n">
        <f aca="false">VLOOKUP(D21,Acuan!$A$2:$B$4,2,FALSE())</f>
        <v>0</v>
      </c>
      <c r="K21" s="22" t="n">
        <f aca="false">IF(E21&lt;=$Q$2,$Q$3,0)</f>
        <v>0</v>
      </c>
      <c r="L21" s="21" t="n">
        <f aca="false">I21+J21+K21</f>
        <v>74.33</v>
      </c>
      <c r="M21" s="22" t="n">
        <f aca="false">RANK(L21,$L$2:$L$37)</f>
        <v>29</v>
      </c>
      <c r="N21" s="23" t="str">
        <f aca="false">IF(M21&lt;=$Q$4,"Diterima","Tidak Diterima")</f>
        <v>Tidak Diterima</v>
      </c>
    </row>
    <row r="22" customFormat="false" ht="15" hidden="false" customHeight="false" outlineLevel="0" collapsed="false">
      <c r="A22" s="18" t="n">
        <v>21</v>
      </c>
      <c r="B22" s="19" t="s">
        <v>117</v>
      </c>
      <c r="C22" s="19" t="s">
        <v>96</v>
      </c>
      <c r="D22" s="19" t="s">
        <v>93</v>
      </c>
      <c r="E22" s="20" t="n">
        <v>7300</v>
      </c>
      <c r="F22" s="18" t="n">
        <v>85</v>
      </c>
      <c r="G22" s="18" t="n">
        <v>92</v>
      </c>
      <c r="H22" s="18" t="n">
        <v>74</v>
      </c>
      <c r="I22" s="21" t="n">
        <f aca="false">ROUND(AVERAGE(F22:H22),2)</f>
        <v>83.67</v>
      </c>
      <c r="J22" s="22" t="n">
        <f aca="false">VLOOKUP(D22,Acuan!$A$2:$B$4,2,FALSE())</f>
        <v>0</v>
      </c>
      <c r="K22" s="22" t="n">
        <f aca="false">IF(E22&lt;=$Q$2,$Q$3,0)</f>
        <v>0</v>
      </c>
      <c r="L22" s="21" t="n">
        <f aca="false">I22+J22+K22</f>
        <v>83.67</v>
      </c>
      <c r="M22" s="22" t="n">
        <f aca="false">RANK(L22,$L$2:$L$37)</f>
        <v>18</v>
      </c>
      <c r="N22" s="23" t="str">
        <f aca="false">IF(M22&lt;=$Q$4,"Diterima","Tidak Diterima")</f>
        <v>Diterima</v>
      </c>
    </row>
    <row r="23" customFormat="false" ht="15" hidden="false" customHeight="false" outlineLevel="0" collapsed="false">
      <c r="A23" s="18" t="n">
        <v>22</v>
      </c>
      <c r="B23" s="19" t="s">
        <v>118</v>
      </c>
      <c r="C23" s="19" t="s">
        <v>88</v>
      </c>
      <c r="D23" s="19" t="s">
        <v>89</v>
      </c>
      <c r="E23" s="20" t="n">
        <v>7400</v>
      </c>
      <c r="F23" s="18" t="n">
        <v>98</v>
      </c>
      <c r="G23" s="18" t="n">
        <v>94</v>
      </c>
      <c r="H23" s="18" t="n">
        <v>90</v>
      </c>
      <c r="I23" s="21" t="n">
        <f aca="false">ROUND(AVERAGE(F23:H23),2)</f>
        <v>94</v>
      </c>
      <c r="J23" s="22" t="n">
        <f aca="false">VLOOKUP(D23,Acuan!$A$2:$B$4,2,FALSE())</f>
        <v>5</v>
      </c>
      <c r="K23" s="22" t="n">
        <f aca="false">IF(E23&lt;=$Q$2,$Q$3,0)</f>
        <v>0</v>
      </c>
      <c r="L23" s="21" t="n">
        <f aca="false">I23+J23+K23</f>
        <v>99</v>
      </c>
      <c r="M23" s="22" t="n">
        <f aca="false">RANK(L23,$L$2:$L$37)</f>
        <v>3</v>
      </c>
      <c r="N23" s="23" t="str">
        <f aca="false">IF(M23&lt;=$Q$4,"Diterima","Tidak Diterima")</f>
        <v>Diterima</v>
      </c>
    </row>
    <row r="24" customFormat="false" ht="15" hidden="false" customHeight="false" outlineLevel="0" collapsed="false">
      <c r="A24" s="18" t="n">
        <v>23</v>
      </c>
      <c r="B24" s="19" t="s">
        <v>119</v>
      </c>
      <c r="C24" s="19" t="s">
        <v>88</v>
      </c>
      <c r="D24" s="19" t="s">
        <v>93</v>
      </c>
      <c r="E24" s="20" t="n">
        <v>3900</v>
      </c>
      <c r="F24" s="18" t="n">
        <v>95</v>
      </c>
      <c r="G24" s="18" t="n">
        <v>79</v>
      </c>
      <c r="H24" s="18" t="n">
        <v>63</v>
      </c>
      <c r="I24" s="21" t="n">
        <f aca="false">ROUND(AVERAGE(F24:H24),2)</f>
        <v>79</v>
      </c>
      <c r="J24" s="22" t="n">
        <f aca="false">VLOOKUP(D24,Acuan!$A$2:$B$4,2,FALSE())</f>
        <v>0</v>
      </c>
      <c r="K24" s="22" t="n">
        <f aca="false">IF(E24&lt;=$Q$2,$Q$3,0)</f>
        <v>0</v>
      </c>
      <c r="L24" s="21" t="n">
        <f aca="false">I24+J24+K24</f>
        <v>79</v>
      </c>
      <c r="M24" s="22" t="n">
        <f aca="false">RANK(L24,$L$2:$L$37)</f>
        <v>23</v>
      </c>
      <c r="N24" s="23" t="str">
        <f aca="false">IF(M24&lt;=$Q$4,"Diterima","Tidak Diterima")</f>
        <v>Tidak Diterima</v>
      </c>
    </row>
    <row r="25" customFormat="false" ht="15" hidden="false" customHeight="false" outlineLevel="0" collapsed="false">
      <c r="A25" s="18" t="n">
        <v>24</v>
      </c>
      <c r="B25" s="19" t="s">
        <v>120</v>
      </c>
      <c r="C25" s="19" t="s">
        <v>96</v>
      </c>
      <c r="D25" s="19" t="s">
        <v>101</v>
      </c>
      <c r="E25" s="20" t="n">
        <v>4650</v>
      </c>
      <c r="F25" s="18" t="n">
        <v>64</v>
      </c>
      <c r="G25" s="18" t="n">
        <v>69</v>
      </c>
      <c r="H25" s="18" t="n">
        <v>72</v>
      </c>
      <c r="I25" s="21" t="n">
        <f aca="false">ROUND(AVERAGE(F25:H25),2)</f>
        <v>68.33</v>
      </c>
      <c r="J25" s="22" t="n">
        <f aca="false">VLOOKUP(D25,Acuan!$A$2:$B$4,2,FALSE())</f>
        <v>7</v>
      </c>
      <c r="K25" s="22" t="n">
        <f aca="false">IF(E25&lt;=$Q$2,$Q$3,0)</f>
        <v>0</v>
      </c>
      <c r="L25" s="21" t="n">
        <f aca="false">I25+J25+K25</f>
        <v>75.33</v>
      </c>
      <c r="M25" s="22" t="n">
        <f aca="false">RANK(L25,$L$2:$L$37)</f>
        <v>27</v>
      </c>
      <c r="N25" s="23" t="str">
        <f aca="false">IF(M25&lt;=$Q$4,"Diterima","Tidak Diterima")</f>
        <v>Tidak Diterima</v>
      </c>
    </row>
    <row r="26" customFormat="false" ht="15" hidden="false" customHeight="false" outlineLevel="0" collapsed="false">
      <c r="A26" s="18" t="n">
        <v>25</v>
      </c>
      <c r="B26" s="19" t="s">
        <v>121</v>
      </c>
      <c r="C26" s="19" t="s">
        <v>96</v>
      </c>
      <c r="D26" s="19" t="s">
        <v>89</v>
      </c>
      <c r="E26" s="20" t="n">
        <v>6500</v>
      </c>
      <c r="F26" s="18" t="n">
        <v>81</v>
      </c>
      <c r="G26" s="18" t="n">
        <v>81</v>
      </c>
      <c r="H26" s="18" t="n">
        <v>79</v>
      </c>
      <c r="I26" s="21" t="n">
        <f aca="false">ROUND(AVERAGE(F26:H26),2)</f>
        <v>80.33</v>
      </c>
      <c r="J26" s="22" t="n">
        <f aca="false">VLOOKUP(D26,Acuan!$A$2:$B$4,2,FALSE())</f>
        <v>5</v>
      </c>
      <c r="K26" s="22" t="n">
        <f aca="false">IF(E26&lt;=$Q$2,$Q$3,0)</f>
        <v>0</v>
      </c>
      <c r="L26" s="21" t="n">
        <f aca="false">I26+J26+K26</f>
        <v>85.33</v>
      </c>
      <c r="M26" s="22" t="n">
        <f aca="false">RANK(L26,$L$2:$L$37)</f>
        <v>14</v>
      </c>
      <c r="N26" s="23" t="str">
        <f aca="false">IF(M26&lt;=$Q$4,"Diterima","Tidak Diterima")</f>
        <v>Diterima</v>
      </c>
    </row>
    <row r="27" customFormat="false" ht="15" hidden="false" customHeight="false" outlineLevel="0" collapsed="false">
      <c r="A27" s="18" t="n">
        <v>26</v>
      </c>
      <c r="B27" s="19" t="s">
        <v>122</v>
      </c>
      <c r="C27" s="19" t="s">
        <v>88</v>
      </c>
      <c r="D27" s="19" t="s">
        <v>93</v>
      </c>
      <c r="E27" s="20" t="n">
        <v>1350</v>
      </c>
      <c r="F27" s="18" t="n">
        <v>68</v>
      </c>
      <c r="G27" s="18" t="n">
        <v>96</v>
      </c>
      <c r="H27" s="18" t="n">
        <v>65</v>
      </c>
      <c r="I27" s="21" t="n">
        <f aca="false">ROUND(AVERAGE(F27:H27),2)</f>
        <v>76.33</v>
      </c>
      <c r="J27" s="22" t="n">
        <f aca="false">VLOOKUP(D27,Acuan!$A$2:$B$4,2,FALSE())</f>
        <v>0</v>
      </c>
      <c r="K27" s="22" t="n">
        <f aca="false">IF(E27&lt;=$Q$2,$Q$3,0)</f>
        <v>2</v>
      </c>
      <c r="L27" s="21" t="n">
        <f aca="false">I27+J27+K27</f>
        <v>78.33</v>
      </c>
      <c r="M27" s="22" t="n">
        <f aca="false">RANK(L27,$L$2:$L$37)</f>
        <v>25</v>
      </c>
      <c r="N27" s="23" t="str">
        <f aca="false">IF(M27&lt;=$Q$4,"Diterima","Tidak Diterima")</f>
        <v>Tidak Diterima</v>
      </c>
    </row>
    <row r="28" customFormat="false" ht="15" hidden="false" customHeight="false" outlineLevel="0" collapsed="false">
      <c r="A28" s="18" t="n">
        <v>27</v>
      </c>
      <c r="B28" s="19" t="s">
        <v>123</v>
      </c>
      <c r="C28" s="19" t="s">
        <v>96</v>
      </c>
      <c r="D28" s="19" t="s">
        <v>93</v>
      </c>
      <c r="E28" s="20" t="n">
        <v>5700</v>
      </c>
      <c r="F28" s="18" t="n">
        <v>72</v>
      </c>
      <c r="G28" s="18" t="n">
        <v>95</v>
      </c>
      <c r="H28" s="18" t="n">
        <v>85</v>
      </c>
      <c r="I28" s="21" t="n">
        <f aca="false">ROUND(AVERAGE(F28:H28),2)</f>
        <v>84</v>
      </c>
      <c r="J28" s="22" t="n">
        <f aca="false">VLOOKUP(D28,Acuan!$A$2:$B$4,2,FALSE())</f>
        <v>0</v>
      </c>
      <c r="K28" s="22" t="n">
        <f aca="false">IF(E28&lt;=$Q$2,$Q$3,0)</f>
        <v>0</v>
      </c>
      <c r="L28" s="21" t="n">
        <f aca="false">I28+J28+K28</f>
        <v>84</v>
      </c>
      <c r="M28" s="22" t="n">
        <f aca="false">RANK(L28,$L$2:$L$37)</f>
        <v>17</v>
      </c>
      <c r="N28" s="23" t="str">
        <f aca="false">IF(M28&lt;=$Q$4,"Diterima","Tidak Diterima")</f>
        <v>Diterima</v>
      </c>
    </row>
    <row r="29" customFormat="false" ht="15" hidden="false" customHeight="false" outlineLevel="0" collapsed="false">
      <c r="A29" s="18" t="n">
        <v>28</v>
      </c>
      <c r="B29" s="19" t="s">
        <v>124</v>
      </c>
      <c r="C29" s="19" t="s">
        <v>88</v>
      </c>
      <c r="D29" s="19" t="s">
        <v>93</v>
      </c>
      <c r="E29" s="20" t="n">
        <v>4950</v>
      </c>
      <c r="F29" s="18" t="n">
        <v>96</v>
      </c>
      <c r="G29" s="18" t="n">
        <v>83</v>
      </c>
      <c r="H29" s="18" t="n">
        <v>76</v>
      </c>
      <c r="I29" s="21" t="n">
        <f aca="false">ROUND(AVERAGE(F29:H29),2)</f>
        <v>85</v>
      </c>
      <c r="J29" s="22" t="n">
        <f aca="false">VLOOKUP(D29,Acuan!$A$2:$B$4,2,FALSE())</f>
        <v>0</v>
      </c>
      <c r="K29" s="22" t="n">
        <f aca="false">IF(E29&lt;=$Q$2,$Q$3,0)</f>
        <v>0</v>
      </c>
      <c r="L29" s="21" t="n">
        <f aca="false">I29+J29+K29</f>
        <v>85</v>
      </c>
      <c r="M29" s="22" t="n">
        <f aca="false">RANK(L29,$L$2:$L$37)</f>
        <v>15</v>
      </c>
      <c r="N29" s="23" t="str">
        <f aca="false">IF(M29&lt;=$Q$4,"Diterima","Tidak Diterima")</f>
        <v>Diterima</v>
      </c>
    </row>
    <row r="30" customFormat="false" ht="15" hidden="false" customHeight="false" outlineLevel="0" collapsed="false">
      <c r="A30" s="18" t="n">
        <v>29</v>
      </c>
      <c r="B30" s="19" t="s">
        <v>125</v>
      </c>
      <c r="C30" s="19" t="s">
        <v>88</v>
      </c>
      <c r="D30" s="19" t="s">
        <v>93</v>
      </c>
      <c r="E30" s="20" t="n">
        <v>1250</v>
      </c>
      <c r="F30" s="18" t="n">
        <v>83</v>
      </c>
      <c r="G30" s="18" t="n">
        <v>87</v>
      </c>
      <c r="H30" s="18" t="n">
        <v>89</v>
      </c>
      <c r="I30" s="21" t="n">
        <f aca="false">ROUND(AVERAGE(F30:H30),2)</f>
        <v>86.33</v>
      </c>
      <c r="J30" s="22" t="n">
        <f aca="false">VLOOKUP(D30,Acuan!$A$2:$B$4,2,FALSE())</f>
        <v>0</v>
      </c>
      <c r="K30" s="22" t="n">
        <f aca="false">IF(E30&lt;=$Q$2,$Q$3,0)</f>
        <v>2</v>
      </c>
      <c r="L30" s="21" t="n">
        <f aca="false">I30+J30+K30</f>
        <v>88.33</v>
      </c>
      <c r="M30" s="22" t="n">
        <f aca="false">RANK(L30,$L$2:$L$37)</f>
        <v>12</v>
      </c>
      <c r="N30" s="23" t="str">
        <f aca="false">IF(M30&lt;=$Q$4,"Diterima","Tidak Diterima")</f>
        <v>Diterima</v>
      </c>
    </row>
    <row r="31" customFormat="false" ht="15" hidden="false" customHeight="false" outlineLevel="0" collapsed="false">
      <c r="A31" s="18" t="n">
        <v>30</v>
      </c>
      <c r="B31" s="19" t="s">
        <v>126</v>
      </c>
      <c r="C31" s="19" t="s">
        <v>88</v>
      </c>
      <c r="D31" s="19" t="s">
        <v>93</v>
      </c>
      <c r="E31" s="20" t="n">
        <v>3000</v>
      </c>
      <c r="F31" s="18" t="n">
        <v>64</v>
      </c>
      <c r="G31" s="18" t="n">
        <v>84</v>
      </c>
      <c r="H31" s="18" t="n">
        <v>76</v>
      </c>
      <c r="I31" s="21" t="n">
        <f aca="false">ROUND(AVERAGE(F31:H31),2)</f>
        <v>74.67</v>
      </c>
      <c r="J31" s="22" t="n">
        <f aca="false">VLOOKUP(D31,Acuan!$A$2:$B$4,2,FALSE())</f>
        <v>0</v>
      </c>
      <c r="K31" s="22" t="n">
        <f aca="false">IF(E31&lt;=$Q$2,$Q$3,0)</f>
        <v>2</v>
      </c>
      <c r="L31" s="21" t="n">
        <f aca="false">I31+J31+K31</f>
        <v>76.67</v>
      </c>
      <c r="M31" s="22" t="n">
        <f aca="false">RANK(L31,$L$2:$L$37)</f>
        <v>26</v>
      </c>
      <c r="N31" s="23" t="str">
        <f aca="false">IF(M31&lt;=$Q$4,"Diterima","Tidak Diterima")</f>
        <v>Tidak Diterima</v>
      </c>
    </row>
    <row r="32" customFormat="false" ht="15" hidden="false" customHeight="false" outlineLevel="0" collapsed="false">
      <c r="A32" s="18" t="n">
        <v>31</v>
      </c>
      <c r="B32" s="19" t="s">
        <v>127</v>
      </c>
      <c r="C32" s="19" t="s">
        <v>88</v>
      </c>
      <c r="D32" s="19" t="s">
        <v>89</v>
      </c>
      <c r="E32" s="20" t="n">
        <v>4050</v>
      </c>
      <c r="F32" s="18" t="n">
        <v>96</v>
      </c>
      <c r="G32" s="18" t="n">
        <v>95</v>
      </c>
      <c r="H32" s="18" t="n">
        <v>97</v>
      </c>
      <c r="I32" s="21" t="n">
        <f aca="false">ROUND(AVERAGE(F32:H32),2)</f>
        <v>96</v>
      </c>
      <c r="J32" s="22" t="n">
        <f aca="false">VLOOKUP(D32,Acuan!$A$2:$B$4,2,FALSE())</f>
        <v>5</v>
      </c>
      <c r="K32" s="22" t="n">
        <f aca="false">IF(E32&lt;=$Q$2,$Q$3,0)</f>
        <v>0</v>
      </c>
      <c r="L32" s="21" t="n">
        <f aca="false">I32+J32+K32</f>
        <v>101</v>
      </c>
      <c r="M32" s="22" t="n">
        <f aca="false">RANK(L32,$L$2:$L$37)</f>
        <v>2</v>
      </c>
      <c r="N32" s="23" t="str">
        <f aca="false">IF(M32&lt;=$Q$4,"Diterima","Tidak Diterima")</f>
        <v>Diterima</v>
      </c>
    </row>
    <row r="33" customFormat="false" ht="15" hidden="false" customHeight="false" outlineLevel="0" collapsed="false">
      <c r="A33" s="18" t="n">
        <v>32</v>
      </c>
      <c r="B33" s="19" t="s">
        <v>128</v>
      </c>
      <c r="C33" s="19" t="s">
        <v>88</v>
      </c>
      <c r="D33" s="19" t="s">
        <v>101</v>
      </c>
      <c r="E33" s="20" t="n">
        <v>3600</v>
      </c>
      <c r="F33" s="18" t="n">
        <v>69</v>
      </c>
      <c r="G33" s="18" t="n">
        <v>55</v>
      </c>
      <c r="H33" s="18" t="n">
        <v>57</v>
      </c>
      <c r="I33" s="21" t="n">
        <f aca="false">ROUND(AVERAGE(F33:H33),2)</f>
        <v>60.33</v>
      </c>
      <c r="J33" s="22" t="n">
        <f aca="false">VLOOKUP(D33,Acuan!$A$2:$B$4,2,FALSE())</f>
        <v>7</v>
      </c>
      <c r="K33" s="22" t="n">
        <f aca="false">IF(E33&lt;=$Q$2,$Q$3,0)</f>
        <v>0</v>
      </c>
      <c r="L33" s="21" t="n">
        <f aca="false">I33+J33+K33</f>
        <v>67.33</v>
      </c>
      <c r="M33" s="22" t="n">
        <f aca="false">RANK(L33,$L$2:$L$37)</f>
        <v>32</v>
      </c>
      <c r="N33" s="23" t="str">
        <f aca="false">IF(M33&lt;=$Q$4,"Diterima","Tidak Diterima")</f>
        <v>Tidak Diterima</v>
      </c>
    </row>
    <row r="34" customFormat="false" ht="15" hidden="false" customHeight="false" outlineLevel="0" collapsed="false">
      <c r="A34" s="18" t="n">
        <v>33</v>
      </c>
      <c r="B34" s="19" t="s">
        <v>129</v>
      </c>
      <c r="C34" s="19" t="s">
        <v>96</v>
      </c>
      <c r="D34" s="19" t="s">
        <v>93</v>
      </c>
      <c r="E34" s="20" t="n">
        <v>6350</v>
      </c>
      <c r="F34" s="18" t="n">
        <v>70</v>
      </c>
      <c r="G34" s="18" t="n">
        <v>66</v>
      </c>
      <c r="H34" s="18" t="n">
        <v>56</v>
      </c>
      <c r="I34" s="21" t="n">
        <f aca="false">ROUND(AVERAGE(F34:H34),2)</f>
        <v>64</v>
      </c>
      <c r="J34" s="22" t="n">
        <f aca="false">VLOOKUP(D34,Acuan!$A$2:$B$4,2,FALSE())</f>
        <v>0</v>
      </c>
      <c r="K34" s="22" t="n">
        <f aca="false">IF(E34&lt;=$Q$2,$Q$3,0)</f>
        <v>0</v>
      </c>
      <c r="L34" s="21" t="n">
        <f aca="false">I34+J34+K34</f>
        <v>64</v>
      </c>
      <c r="M34" s="22" t="n">
        <f aca="false">RANK(L34,$L$2:$L$37)</f>
        <v>35</v>
      </c>
      <c r="N34" s="23" t="str">
        <f aca="false">IF(M34&lt;=$Q$4,"Diterima","Tidak Diterima")</f>
        <v>Tidak Diterima</v>
      </c>
    </row>
    <row r="35" customFormat="false" ht="15" hidden="false" customHeight="false" outlineLevel="0" collapsed="false">
      <c r="A35" s="18" t="n">
        <v>34</v>
      </c>
      <c r="B35" s="19" t="s">
        <v>130</v>
      </c>
      <c r="C35" s="19" t="s">
        <v>88</v>
      </c>
      <c r="D35" s="19" t="s">
        <v>101</v>
      </c>
      <c r="E35" s="20" t="n">
        <v>1800</v>
      </c>
      <c r="F35" s="18" t="n">
        <v>59</v>
      </c>
      <c r="G35" s="18" t="n">
        <v>57</v>
      </c>
      <c r="H35" s="18" t="n">
        <v>81</v>
      </c>
      <c r="I35" s="21" t="n">
        <f aca="false">ROUND(AVERAGE(F35:H35),2)</f>
        <v>65.67</v>
      </c>
      <c r="J35" s="22" t="n">
        <f aca="false">VLOOKUP(D35,Acuan!$A$2:$B$4,2,FALSE())</f>
        <v>7</v>
      </c>
      <c r="K35" s="22" t="n">
        <f aca="false">IF(E35&lt;=$Q$2,$Q$3,0)</f>
        <v>2</v>
      </c>
      <c r="L35" s="21" t="n">
        <f aca="false">I35+J35+K35</f>
        <v>74.67</v>
      </c>
      <c r="M35" s="22" t="n">
        <f aca="false">RANK(L35,$L$2:$L$37)</f>
        <v>28</v>
      </c>
      <c r="N35" s="23" t="str">
        <f aca="false">IF(M35&lt;=$Q$4,"Diterima","Tidak Diterima")</f>
        <v>Tidak Diterima</v>
      </c>
    </row>
    <row r="36" customFormat="false" ht="15" hidden="false" customHeight="false" outlineLevel="0" collapsed="false">
      <c r="A36" s="18" t="n">
        <v>35</v>
      </c>
      <c r="B36" s="19" t="s">
        <v>131</v>
      </c>
      <c r="C36" s="19" t="s">
        <v>88</v>
      </c>
      <c r="D36" s="19" t="s">
        <v>93</v>
      </c>
      <c r="E36" s="20" t="n">
        <v>5500</v>
      </c>
      <c r="F36" s="18" t="n">
        <v>93</v>
      </c>
      <c r="G36" s="18" t="n">
        <v>67</v>
      </c>
      <c r="H36" s="18" t="n">
        <v>94</v>
      </c>
      <c r="I36" s="21" t="n">
        <f aca="false">ROUND(AVERAGE(F36:H36),2)</f>
        <v>84.67</v>
      </c>
      <c r="J36" s="22" t="n">
        <f aca="false">VLOOKUP(D36,Acuan!$A$2:$B$4,2,FALSE())</f>
        <v>0</v>
      </c>
      <c r="K36" s="22" t="n">
        <f aca="false">IF(E36&lt;=$Q$2,$Q$3,0)</f>
        <v>0</v>
      </c>
      <c r="L36" s="21" t="n">
        <f aca="false">I36+J36+K36</f>
        <v>84.67</v>
      </c>
      <c r="M36" s="22" t="n">
        <f aca="false">RANK(L36,$L$2:$L$37)</f>
        <v>16</v>
      </c>
      <c r="N36" s="23" t="str">
        <f aca="false">IF(M36&lt;=$Q$4,"Diterima","Tidak Diterima")</f>
        <v>Diterima</v>
      </c>
    </row>
    <row r="37" customFormat="false" ht="15" hidden="false" customHeight="false" outlineLevel="0" collapsed="false">
      <c r="A37" s="18" t="n">
        <v>36</v>
      </c>
      <c r="B37" s="19" t="s">
        <v>132</v>
      </c>
      <c r="C37" s="19" t="s">
        <v>96</v>
      </c>
      <c r="D37" s="19" t="s">
        <v>93</v>
      </c>
      <c r="E37" s="20" t="n">
        <v>7600</v>
      </c>
      <c r="F37" s="18" t="n">
        <v>87</v>
      </c>
      <c r="G37" s="18" t="n">
        <v>68</v>
      </c>
      <c r="H37" s="18" t="n">
        <v>81</v>
      </c>
      <c r="I37" s="21" t="n">
        <f aca="false">ROUND(AVERAGE(F37:H37),2)</f>
        <v>78.67</v>
      </c>
      <c r="J37" s="22" t="n">
        <f aca="false">VLOOKUP(D37,Acuan!$A$2:$B$4,2,FALSE())</f>
        <v>0</v>
      </c>
      <c r="K37" s="22" t="n">
        <f aca="false">IF(E37&lt;=$Q$2,$Q$3,0)</f>
        <v>0</v>
      </c>
      <c r="L37" s="21" t="n">
        <f aca="false">I37+J37+K37</f>
        <v>78.67</v>
      </c>
      <c r="M37" s="22" t="n">
        <f aca="false">RANK(L37,$L$2:$L$37)</f>
        <v>24</v>
      </c>
      <c r="N37" s="23" t="str">
        <f aca="false">IF(M37&lt;=$Q$4,"Diterima","Tidak Diterima")</f>
        <v>Tidak Diterima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33.75" hidden="false" customHeight="true" outlineLevel="0" collapsed="false">
      <c r="A1" s="12" t="s">
        <v>73</v>
      </c>
      <c r="B1" s="12" t="s">
        <v>133</v>
      </c>
    </row>
    <row r="2" customFormat="false" ht="15" hidden="false" customHeight="false" outlineLevel="0" collapsed="false">
      <c r="A2" s="19" t="s">
        <v>89</v>
      </c>
      <c r="B2" s="18" t="n">
        <v>5</v>
      </c>
    </row>
    <row r="3" customFormat="false" ht="15" hidden="false" customHeight="false" outlineLevel="0" collapsed="false">
      <c r="A3" s="19" t="s">
        <v>101</v>
      </c>
      <c r="B3" s="18" t="n">
        <v>7</v>
      </c>
    </row>
    <row r="4" customFormat="false" ht="15" hidden="false" customHeight="false" outlineLevel="0" collapsed="false">
      <c r="A4" s="19" t="s">
        <v>93</v>
      </c>
      <c r="B4" s="1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8" t="s">
        <v>134</v>
      </c>
      <c r="B1" s="28"/>
      <c r="C1" s="28"/>
      <c r="D1" s="28"/>
    </row>
    <row r="2" customFormat="false" ht="15" hidden="false" customHeight="false" outlineLevel="0" collapsed="false">
      <c r="A2" s="29" t="s">
        <v>135</v>
      </c>
      <c r="B2" s="29"/>
      <c r="C2" s="29"/>
      <c r="D2" s="29"/>
    </row>
    <row r="3" customFormat="false" ht="15" hidden="false" customHeight="false" outlineLevel="0" collapsed="false">
      <c r="A3" s="12" t="s">
        <v>19</v>
      </c>
      <c r="B3" s="12" t="s">
        <v>136</v>
      </c>
      <c r="C3" s="12" t="s">
        <v>137</v>
      </c>
      <c r="D3" s="12" t="s">
        <v>138</v>
      </c>
    </row>
    <row r="4" customFormat="false" ht="19.5" hidden="false" customHeight="true" outlineLevel="0" collapsed="false">
      <c r="A4" s="30" t="s">
        <v>47</v>
      </c>
      <c r="B4" s="31" t="s">
        <v>139</v>
      </c>
      <c r="C4" s="23" t="str">
        <f aca="false">INDEX(Data!$B$2:$B$37,MATCH(1,Data!$M$2:$M$37,0))</f>
        <v>Joko Maulana</v>
      </c>
      <c r="D4" s="26" t="s">
        <v>140</v>
      </c>
    </row>
    <row r="5" customFormat="false" ht="19.5" hidden="false" customHeight="true" outlineLevel="0" collapsed="false">
      <c r="A5" s="30" t="s">
        <v>51</v>
      </c>
      <c r="B5" s="31" t="s">
        <v>141</v>
      </c>
      <c r="C5" s="21" t="n">
        <f aca="false">INDEX(Data!$L$2:$L$37,MATCH(Data!$Q$4,Data!$M$2:$M$37,0))</f>
        <v>81.33</v>
      </c>
      <c r="D5" s="26" t="s">
        <v>142</v>
      </c>
    </row>
    <row r="6" customFormat="false" ht="19.5" hidden="false" customHeight="true" outlineLevel="0" collapsed="false">
      <c r="A6" s="30" t="s">
        <v>143</v>
      </c>
      <c r="B6" s="31" t="s">
        <v>144</v>
      </c>
      <c r="C6" s="22" t="n">
        <f aca="false">COUNTIFS(Data!$D$2:$D$37,"Prestasi",Data!$N$2:$N$37,"Diterima")</f>
        <v>8</v>
      </c>
      <c r="D6" s="26" t="s">
        <v>145</v>
      </c>
    </row>
    <row r="7" customFormat="false" ht="19.5" hidden="false" customHeight="true" outlineLevel="0" collapsed="false">
      <c r="A7" s="30" t="s">
        <v>146</v>
      </c>
      <c r="B7" s="31" t="s">
        <v>147</v>
      </c>
      <c r="C7" s="22" t="n">
        <f aca="false">COUNTIFS(Data!$D$2:$D$37,"Afirmasi",Data!$N$2:$N$37,"Diterima")</f>
        <v>3</v>
      </c>
      <c r="D7" s="26" t="s">
        <v>145</v>
      </c>
    </row>
    <row r="8" customFormat="false" ht="19.5" hidden="false" customHeight="true" outlineLevel="0" collapsed="false">
      <c r="A8" s="30" t="s">
        <v>148</v>
      </c>
      <c r="B8" s="31" t="s">
        <v>149</v>
      </c>
      <c r="C8" s="22" t="n">
        <f aca="false">COUNTIFS(Data!$D$2:$D$37,"Reguler",Data!$N$2:$N$37,"Diterima")</f>
        <v>9</v>
      </c>
      <c r="D8" s="26" t="s">
        <v>145</v>
      </c>
    </row>
    <row r="9" customFormat="false" ht="19.5" hidden="false" customHeight="true" outlineLevel="0" collapsed="false">
      <c r="A9" s="30" t="s">
        <v>59</v>
      </c>
      <c r="B9" s="31" t="s">
        <v>150</v>
      </c>
      <c r="C9" s="22" t="n">
        <f aca="false">COUNTIFS(Data!$C$2:$C$37,"P",Data!$N$2:$N$37,"Diterima")</f>
        <v>11</v>
      </c>
      <c r="D9" s="26" t="s">
        <v>151</v>
      </c>
    </row>
    <row r="10" customFormat="false" ht="19.5" hidden="false" customHeight="true" outlineLevel="0" collapsed="false">
      <c r="A10" s="30" t="s">
        <v>63</v>
      </c>
      <c r="B10" s="31" t="s">
        <v>152</v>
      </c>
      <c r="C10" s="32" t="n">
        <f aca="false">AVERAGEIF(Data!$N$2:$N$37,"Diterima",Data!$E$2:$E$37)</f>
        <v>4165</v>
      </c>
      <c r="D10" s="26" t="s">
        <v>153</v>
      </c>
    </row>
    <row r="11" customFormat="false" ht="19.5" hidden="false" customHeight="true" outlineLevel="0" collapsed="false">
      <c r="A11" s="30" t="s">
        <v>67</v>
      </c>
      <c r="B11" s="31" t="s">
        <v>154</v>
      </c>
      <c r="C11" s="22" t="n">
        <f aca="false">COUNTIF(Data!$K$2:$K$37,"&gt;0")</f>
        <v>10</v>
      </c>
      <c r="D11" s="26" t="s">
        <v>155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2026-10-10T06:49:18Z</dcterms:created>
  <dc:creator>PushExcel</dc:creator>
  <dc:description/>
  <dc:language>en-US</dc:language>
  <cp:lastModifiedBy/>
  <dcterms:modified xsi:type="dcterms:W3CDTF">2026-10-10T06:49:18Z</dcterms:modified>
  <cp:revision>0</cp:revision>
  <dc:subject/>
  <dc:title>Seleksi Penerimaan Peserta Didik Baru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