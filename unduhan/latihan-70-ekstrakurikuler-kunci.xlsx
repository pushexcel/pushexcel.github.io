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etunjuk" sheetId="1" state="visible" r:id="rId3"/>
    <sheet name="Data" sheetId="2" state="visible" r:id="rId4"/>
    <sheet name="Acuan" sheetId="3" state="visible" r:id="rId5"/>
    <sheet name="Ringkasa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<sst xmlns="http://schemas.openxmlformats.org/spreadsheetml/2006/main" count="241" uniqueCount="171">
  <si>
    <t xml:space="preserve">Kunci Jawaban: Pendaftaran Ekstrakurikuler Siswa dan Kuota</t>
  </si>
  <si>
    <t xml:space="preserve">Latihan 70 dari 40  |  Tingkat: Pemula  |  Perkiraan waktu: 35 menit  |  pushexcel.github.io/Pushexcel</t>
  </si>
  <si>
    <t xml:space="preserve">Skenario</t>
  </si>
  <si>
    <t xml:space="preserve">Kamu pembina kesiswaan di SMP Harapan Bangsa yang mengelola tujuh ekstrakurikuler. Ada 36 siswa mendaftar, masing-masing memilih satu ekskul. Iuran per bulan dan kuota tiap ekskul ada di sheet Acuan, dan iuran dibayar untuk 6 bulan satu semester. Status kuota: Penuh bila sisa kuota 0, Hampir Penuh bila sisa kuota tidak lebih dari 2, selain itu Tersedia (angka 2 ada di blok Parameter).</t>
  </si>
  <si>
    <t xml:space="preserve">Cara memakai kunci</t>
  </si>
  <si>
    <t xml:space="preserve">1.</t>
  </si>
  <si>
    <t xml:space="preserve">Sel hijau berisi rumus kunci yang sudah dihitung. Klik sel untuk melihat rumusnya.</t>
  </si>
  <si>
    <t xml:space="preserve">2.</t>
  </si>
  <si>
    <t xml:space="preserve">Kolom Rumus kunci di bawah menampilkan rumus untuk baris pertama atau tiap sel jawaban.</t>
  </si>
  <si>
    <t xml:space="preserve">3.</t>
  </si>
  <si>
    <t xml:space="preserve">Rumus ditulis dengan titik koma (;). Ganti dengan koma (,) bila Excel kamu berbahasa Inggris.</t>
  </si>
  <si>
    <t xml:space="preserve">4.</t>
  </si>
  <si>
    <t xml:space="preserve">Jawaban lain yang benar secara logika juga boleh, selama hasilnya sama.</t>
  </si>
  <si>
    <t xml:space="preserve">Arti warna</t>
  </si>
  <si>
    <t xml:space="preserve">Judul kolom data yang sudah diberikan</t>
  </si>
  <si>
    <t xml:space="preserve">Judul kolom hasil hitung</t>
  </si>
  <si>
    <t xml:space="preserve">Sel berisi rumus kunci</t>
  </si>
  <si>
    <t xml:space="preserve">Angka berwarna biru pada blok Parameter = nilai tetap yang boleh dirujuk</t>
  </si>
  <si>
    <t xml:space="preserve">Daftar soal</t>
  </si>
  <si>
    <t xml:space="preserve">No</t>
  </si>
  <si>
    <t xml:space="preserve">Soal</t>
  </si>
  <si>
    <t xml:space="preserve">Jawab di</t>
  </si>
  <si>
    <t xml:space="preserve">Rumus kunci</t>
  </si>
  <si>
    <t xml:space="preserve">1</t>
  </si>
  <si>
    <t xml:space="preserve">Ambil iuran per bulan tiap siswa dari tabel di sheet Acuan berdasarkan ekskul yang dipilih (pencocokan persis).</t>
  </si>
  <si>
    <t xml:space="preserve">Sheet Data, kolom D (Iuran per Bulan), baris 2 sampai 37</t>
  </si>
  <si>
    <t xml:space="preserve">=VLOOKUP(C2;Acuan!$A$2:$C$8;2;FALSE)</t>
  </si>
  <si>
    <t xml:space="preserve">2</t>
  </si>
  <si>
    <t xml:space="preserve">Hitung iuran satu semester: iuran per bulan dikali jumlah bulan per semester.</t>
  </si>
  <si>
    <t xml:space="preserve">Sheet Data, kolom E (Iuran Semester), baris 2 sampai 37</t>
  </si>
  <si>
    <t xml:space="preserve">=D2*$I$2</t>
  </si>
  <si>
    <t xml:space="preserve">3</t>
  </si>
  <si>
    <t xml:space="preserve">Buat teks tingkat dari kelas: tulis Kelas lalu spasi lalu angka tingkat, yaitu karakter pertama kolom Kelas (contoh 7A menjadi Kelas 7).</t>
  </si>
  <si>
    <t xml:space="preserve">Sheet Data, kolom F (Tingkat), baris 2 sampai 37</t>
  </si>
  <si>
    <t xml:space="preserve">="Kelas "&amp;LEFT(B2;1)</t>
  </si>
  <si>
    <t xml:space="preserve">4</t>
  </si>
  <si>
    <t xml:space="preserve">Pada sheet Acuan, hitung jumlah pendaftar tiap ekskul.</t>
  </si>
  <si>
    <t xml:space="preserve">Sheet Acuan, kolom D (Jumlah Pendaftar), baris 2 sampai 8</t>
  </si>
  <si>
    <t xml:space="preserve">=COUNTIF(Data!$C$2:$C$37;A2)</t>
  </si>
  <si>
    <t xml:space="preserve">5</t>
  </si>
  <si>
    <t xml:space="preserve">Pada sheet Acuan, hitung sisa kuota: kuota dikurangi jumlah pendaftar.</t>
  </si>
  <si>
    <t xml:space="preserve">Sheet Acuan, kolom E (Sisa Kuota), baris 2 sampai 8</t>
  </si>
  <si>
    <t xml:space="preserve">=C2-D2</t>
  </si>
  <si>
    <t xml:space="preserve">6</t>
  </si>
  <si>
    <t xml:space="preserve">Pada sheet Acuan, beri status: Penuh bila sisa kuota 0, Hampir Penuh bila sisa tidak lebih dari batas, selain itu Tersedia.</t>
  </si>
  <si>
    <t xml:space="preserve">Sheet Acuan, kolom F (Status Kuota), baris 2 sampai 8</t>
  </si>
  <si>
    <t xml:space="preserve">=IF(E2=0;"Penuh";IF(E2&lt;=Data!$I$3;"Hampir Penuh";"Tersedia"))</t>
  </si>
  <si>
    <t xml:space="preserve">7</t>
  </si>
  <si>
    <t xml:space="preserve">Pada sheet Acuan, hitung total iuran semester dari semua siswa tiap ekskul.</t>
  </si>
  <si>
    <t xml:space="preserve">Sheet Acuan, kolom G (Total Iuran Semester), baris 2 sampai 8</t>
  </si>
  <si>
    <t xml:space="preserve">=SUMIF(Data!$C$2:$C$37;A2;Data!$E$2:$E$37)</t>
  </si>
  <si>
    <t xml:space="preserve">8</t>
  </si>
  <si>
    <t xml:space="preserve">Berapa jumlah siswa yang mendaftar, dan berapa total iuran semester seluruh siswa?</t>
  </si>
  <si>
    <t xml:space="preserve">Sheet Ringkasan, sel C4 sampai C5</t>
  </si>
  <si>
    <t xml:space="preserve">=COUNTA(Data!$A$2:$A$37)
=SUM(Data!$E$2:$E$37)</t>
  </si>
  <si>
    <t xml:space="preserve">9</t>
  </si>
  <si>
    <t xml:space="preserve">Berapa siswa yang mendaftar Futsal, dan berapa siswa Kelas 7?</t>
  </si>
  <si>
    <t xml:space="preserve">Sheet Ringkasan, sel C6 sampai C7</t>
  </si>
  <si>
    <t xml:space="preserve">=COUNTIF(Data!$C$2:$C$37;"Futsal")
=COUNTIF(Data!$F$2:$F$37;"Kelas 7")</t>
  </si>
  <si>
    <t xml:space="preserve">10</t>
  </si>
  <si>
    <t xml:space="preserve">Ekskul apa yang pendaftarnya terbanyak, dan ekskul apa yang total iuran semesternya terbesar?</t>
  </si>
  <si>
    <t xml:space="preserve">Sheet Ringkasan, sel C8 sampai C9</t>
  </si>
  <si>
    <t xml:space="preserve">=INDEX(Acuan!$A$2:$A$8;MATCH(MAX(Acuan!$D$2:$D$8);Acuan!$D$2:$D$8;0))
=INDEX(Acuan!$A$2:$A$8;MATCH(MAX(Acuan!$G$2:$G$8);Acuan!$G$2:$G$8;0))</t>
  </si>
  <si>
    <t xml:space="preserve">11</t>
  </si>
  <si>
    <t xml:space="preserve">Berapa ekskul yang berstatus Penuh, dan berapa total sisa kuota seluruh ekskul?</t>
  </si>
  <si>
    <t xml:space="preserve">Sheet Ringkasan, sel C10 sampai C11</t>
  </si>
  <si>
    <t xml:space="preserve">=COUNTIF(Acuan!$F$2:$F$8;"Penuh")
=SUM(Acuan!$E$2:$E$8)</t>
  </si>
  <si>
    <t xml:space="preserve">12</t>
  </si>
  <si>
    <t xml:space="preserve">Berapa siswa Kelas 9 yang mendaftar Futsal, dan berapa rata-rata iuran semester siswa Kelas 7?</t>
  </si>
  <si>
    <t xml:space="preserve">Sheet Ringkasan, sel C12 sampai C13</t>
  </si>
  <si>
    <t xml:space="preserve">=COUNTIFS(Data!$F$2:$F$37;"Kelas 9";Data!$C$2:$C$37;"Futsal")
=AVERAGEIF(Data!$F$2:$F$37;"Kelas 7";Data!$E$2:$E$37)</t>
  </si>
  <si>
    <t xml:space="preserve">Nama Siswa</t>
  </si>
  <si>
    <t xml:space="preserve">Kelas</t>
  </si>
  <si>
    <t xml:space="preserve">Ekskul</t>
  </si>
  <si>
    <t xml:space="preserve">Iuran per Bulan</t>
  </si>
  <si>
    <t xml:space="preserve">Iuran Semester</t>
  </si>
  <si>
    <t xml:space="preserve">Tingkat</t>
  </si>
  <si>
    <t xml:space="preserve">Parameter</t>
  </si>
  <si>
    <t xml:space="preserve">Nilai</t>
  </si>
  <si>
    <t xml:space="preserve">Keterangan</t>
  </si>
  <si>
    <t xml:space="preserve">Hadi Suryani</t>
  </si>
  <si>
    <t xml:space="preserve">9A</t>
  </si>
  <si>
    <t xml:space="preserve">Paduan Suara</t>
  </si>
  <si>
    <t xml:space="preserve">Jumlah bulan per semester</t>
  </si>
  <si>
    <t xml:space="preserve">Wawan Yulianto</t>
  </si>
  <si>
    <t xml:space="preserve">9B</t>
  </si>
  <si>
    <t xml:space="preserve">Pramuka</t>
  </si>
  <si>
    <t xml:space="preserve">Batas hampir penuh</t>
  </si>
  <si>
    <t xml:space="preserve">Sisa kuota maksimal untuk status Hampir Penuh</t>
  </si>
  <si>
    <t xml:space="preserve">Vivi Kusuma</t>
  </si>
  <si>
    <t xml:space="preserve">8B</t>
  </si>
  <si>
    <t xml:space="preserve">Robotik</t>
  </si>
  <si>
    <t xml:space="preserve">Agus Suryani</t>
  </si>
  <si>
    <t xml:space="preserve">7B</t>
  </si>
  <si>
    <t xml:space="preserve">Seni Tari</t>
  </si>
  <si>
    <t xml:space="preserve">Wahyu Hidayat</t>
  </si>
  <si>
    <t xml:space="preserve">Vivi Wibowo</t>
  </si>
  <si>
    <t xml:space="preserve">Futsal</t>
  </si>
  <si>
    <t xml:space="preserve">Dimas Lestari</t>
  </si>
  <si>
    <t xml:space="preserve">8A</t>
  </si>
  <si>
    <t xml:space="preserve">PMR</t>
  </si>
  <si>
    <t xml:space="preserve">Zainal Nugroho</t>
  </si>
  <si>
    <t xml:space="preserve">Utami Anggraini</t>
  </si>
  <si>
    <t xml:space="preserve">Basket</t>
  </si>
  <si>
    <t xml:space="preserve">Putri Utomo</t>
  </si>
  <si>
    <t xml:space="preserve">Joko Rahayu</t>
  </si>
  <si>
    <t xml:space="preserve">Rahmat Rahayu</t>
  </si>
  <si>
    <t xml:space="preserve">Intan Susanto</t>
  </si>
  <si>
    <t xml:space="preserve">Ayu Permana</t>
  </si>
  <si>
    <t xml:space="preserve">Vivi Pangestu</t>
  </si>
  <si>
    <t xml:space="preserve">Ahmad Nugroho</t>
  </si>
  <si>
    <t xml:space="preserve">Prasetyo Santoso</t>
  </si>
  <si>
    <t xml:space="preserve">7A</t>
  </si>
  <si>
    <t xml:space="preserve">Indah Suryani</t>
  </si>
  <si>
    <t xml:space="preserve">Prasetyo Setiawan</t>
  </si>
  <si>
    <t xml:space="preserve">Budi Pratama</t>
  </si>
  <si>
    <t xml:space="preserve">Lina Utomo</t>
  </si>
  <si>
    <t xml:space="preserve">Hesti Handayani</t>
  </si>
  <si>
    <t xml:space="preserve">Novi Santoso</t>
  </si>
  <si>
    <t xml:space="preserve">Citra Putra</t>
  </si>
  <si>
    <t xml:space="preserve">Galih Wijaya</t>
  </si>
  <si>
    <t xml:space="preserve">Rizki Hidayat</t>
  </si>
  <si>
    <t xml:space="preserve">Oki Rahayu</t>
  </si>
  <si>
    <t xml:space="preserve">Siti Sari</t>
  </si>
  <si>
    <t xml:space="preserve">Lina Handayani</t>
  </si>
  <si>
    <t xml:space="preserve">Andi Permana</t>
  </si>
  <si>
    <t xml:space="preserve">Siti Wijaya</t>
  </si>
  <si>
    <t xml:space="preserve">Lina Fauzi</t>
  </si>
  <si>
    <t xml:space="preserve">Putri Rahayu</t>
  </si>
  <si>
    <t xml:space="preserve">Umar Pratama</t>
  </si>
  <si>
    <t xml:space="preserve">Sari Anggraini</t>
  </si>
  <si>
    <t xml:space="preserve">Indah Kusuma</t>
  </si>
  <si>
    <t xml:space="preserve">Kuota</t>
  </si>
  <si>
    <t xml:space="preserve">Jumlah Pendaftar</t>
  </si>
  <si>
    <t xml:space="preserve">Sisa Kuota</t>
  </si>
  <si>
    <t xml:space="preserve">Status Kuota</t>
  </si>
  <si>
    <t xml:space="preserve">Total Iuran Semester</t>
  </si>
  <si>
    <t xml:space="preserve">Ringkasan: lembar jawaban soal berjenis ringkasan</t>
  </si>
  <si>
    <t xml:space="preserve">Sel hijau berisi rumus kunci.</t>
  </si>
  <si>
    <t xml:space="preserve">Pertanyaan</t>
  </si>
  <si>
    <t xml:space="preserve">Jawaban</t>
  </si>
  <si>
    <t xml:space="preserve">Contoh format hasil</t>
  </si>
  <si>
    <t xml:space="preserve">8a</t>
  </si>
  <si>
    <t xml:space="preserve">Jumlah siswa mendaftar</t>
  </si>
  <si>
    <t xml:space="preserve">Angka bulat, mis. 40</t>
  </si>
  <si>
    <t xml:space="preserve">8b</t>
  </si>
  <si>
    <t xml:space="preserve">Total iuran semester</t>
  </si>
  <si>
    <t xml:space="preserve">Rupiah, mis. Rp 6.000.000</t>
  </si>
  <si>
    <t xml:space="preserve">9a</t>
  </si>
  <si>
    <t xml:space="preserve">Pendaftar Futsal</t>
  </si>
  <si>
    <t xml:space="preserve">Angka bulat, mis. 9</t>
  </si>
  <si>
    <t xml:space="preserve">9b</t>
  </si>
  <si>
    <t xml:space="preserve">Siswa Kelas 7</t>
  </si>
  <si>
    <t xml:space="preserve">Angka bulat, mis. 15</t>
  </si>
  <si>
    <t xml:space="preserve">10a</t>
  </si>
  <si>
    <t xml:space="preserve">Ekskul dengan pendaftar terbanyak</t>
  </si>
  <si>
    <t xml:space="preserve">Teks: nama ekskul</t>
  </si>
  <si>
    <t xml:space="preserve">10b</t>
  </si>
  <si>
    <t xml:space="preserve">Ekskul dengan total iuran terbesar</t>
  </si>
  <si>
    <t xml:space="preserve">11a</t>
  </si>
  <si>
    <t xml:space="preserve">Ekskul berstatus Penuh</t>
  </si>
  <si>
    <t xml:space="preserve">Angka bulat, mis. 1</t>
  </si>
  <si>
    <t xml:space="preserve">11b</t>
  </si>
  <si>
    <t xml:space="preserve">Total sisa kuota</t>
  </si>
  <si>
    <t xml:space="preserve">Angka bulat, mis. 20</t>
  </si>
  <si>
    <t xml:space="preserve">12a</t>
  </si>
  <si>
    <t xml:space="preserve">Siswa Kelas 9 di Futsal</t>
  </si>
  <si>
    <t xml:space="preserve">Angka bulat, mis. 2</t>
  </si>
  <si>
    <t xml:space="preserve">12b</t>
  </si>
  <si>
    <t xml:space="preserve">Rata-rata iuran semester Kelas 7</t>
  </si>
  <si>
    <t xml:space="preserve">Rupiah, mis. Rp 140.000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</si>
</sst>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Rp &quot;#,##0"/>
    <numFmt numFmtId="166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3D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Consolas"/>
      <family val="0"/>
      <charset val="1"/>
    </font>
    <font>
      <sz val="10"/>
      <color rgb="FF0000FF"/>
      <name val="Arial"/>
      <family val="0"/>
      <charset val="1"/>
    </font>
    <font>
      <b val="true"/>
      <sz val="13"/>
      <color rgb="FF1F4E3D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3D"/>
        <bgColor rgb="FF44546A"/>
      </patternFill>
    </fill>
    <fill>
      <patternFill patternType="solid">
        <fgColor rgb="FFB45F06"/>
        <bgColor rgb="FF808000"/>
      </patternFill>
    </fill>
    <fill>
      <patternFill patternType="solid">
        <fgColor rgb="FFE2EFDA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44546A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B45F06"/>
      <rgbColor rgb="FF993366"/>
      <rgbColor rgb="FF44546A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40"/>
    <col collapsed="false" customWidth="true" hidden="false" outlineLevel="0" max="4" min="4" style="0" width="70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</row>
    <row r="5" customFormat="false" ht="60" hidden="false" customHeight="true" outlineLevel="0" collapsed="false">
      <c r="A5" s="4" t="s">
        <v>3</v>
      </c>
      <c r="B5" s="4"/>
      <c r="C5" s="4"/>
      <c r="D5" s="4"/>
      <c r="E5" s="4"/>
    </row>
    <row r="7" customFormat="false" ht="15" hidden="false" customHeight="false" outlineLevel="0" collapsed="false">
      <c r="A7" s="3" t="s">
        <v>4</v>
      </c>
    </row>
    <row r="8" customFormat="false" ht="15" hidden="false" customHeight="true" outlineLevel="0" collapsed="false">
      <c r="A8" s="5" t="s">
        <v>5</v>
      </c>
      <c r="B8" s="4" t="s">
        <v>6</v>
      </c>
      <c r="C8" s="4"/>
      <c r="D8" s="4"/>
      <c r="E8" s="4"/>
    </row>
    <row r="9" customFormat="false" ht="15" hidden="false" customHeight="true" outlineLevel="0" collapsed="false">
      <c r="A9" s="5" t="s">
        <v>7</v>
      </c>
      <c r="B9" s="4" t="s">
        <v>8</v>
      </c>
      <c r="C9" s="4"/>
      <c r="D9" s="4"/>
      <c r="E9" s="4"/>
    </row>
    <row r="10" customFormat="false" ht="15" hidden="false" customHeight="true" outlineLevel="0" collapsed="false">
      <c r="A10" s="5" t="s">
        <v>9</v>
      </c>
      <c r="B10" s="4" t="s">
        <v>10</v>
      </c>
      <c r="C10" s="4"/>
      <c r="D10" s="4"/>
      <c r="E10" s="4"/>
    </row>
    <row r="11" customFormat="false" ht="15" hidden="false" customHeight="true" outlineLevel="0" collapsed="false">
      <c r="A11" s="5" t="s">
        <v>11</v>
      </c>
      <c r="B11" s="4" t="s">
        <v>12</v>
      </c>
      <c r="C11" s="4"/>
      <c r="D11" s="4"/>
      <c r="E11" s="4"/>
    </row>
    <row r="13" customFormat="false" ht="15" hidden="false" customHeight="false" outlineLevel="0" collapsed="false">
      <c r="A13" s="3" t="s">
        <v>13</v>
      </c>
    </row>
    <row r="14" customFormat="false" ht="15" hidden="false" customHeight="false" outlineLevel="0" collapsed="false">
      <c r="A14" s="6"/>
      <c r="B14" s="7" t="s">
        <v>14</v>
      </c>
    </row>
    <row r="15" customFormat="false" ht="15" hidden="false" customHeight="false" outlineLevel="0" collapsed="false">
      <c r="A15" s="8"/>
      <c r="B15" s="7" t="s">
        <v>15</v>
      </c>
    </row>
    <row r="16" customFormat="false" ht="15" hidden="false" customHeight="false" outlineLevel="0" collapsed="false">
      <c r="A16" s="9"/>
      <c r="B16" s="7" t="s">
        <v>16</v>
      </c>
    </row>
    <row r="17" customFormat="false" ht="15" hidden="false" customHeight="false" outlineLevel="0" collapsed="false">
      <c r="A17" s="10"/>
      <c r="B17" s="7" t="s">
        <v>17</v>
      </c>
    </row>
    <row r="19" customFormat="false" ht="15" hidden="false" customHeight="false" outlineLevel="0" collapsed="false">
      <c r="A19" s="3" t="s">
        <v>18</v>
      </c>
    </row>
    <row r="20" customFormat="false" ht="15" hidden="false" customHeight="false" outlineLevel="0" collapsed="false">
      <c r="A20" s="11" t="s">
        <v>19</v>
      </c>
      <c r="B20" s="11" t="s">
        <v>20</v>
      </c>
      <c r="C20" s="11" t="s">
        <v>21</v>
      </c>
      <c r="D20" s="11" t="s">
        <v>22</v>
      </c>
    </row>
    <row r="21" customFormat="false" ht="30" hidden="false" customHeight="true" outlineLevel="0" collapsed="false">
      <c r="A21" s="12" t="s">
        <v>23</v>
      </c>
      <c r="B21" s="13" t="s">
        <v>24</v>
      </c>
      <c r="C21" s="13" t="s">
        <v>25</v>
      </c>
      <c r="D21" s="14" t="s">
        <v>26</v>
      </c>
    </row>
    <row r="22" customFormat="false" ht="30" hidden="false" customHeight="true" outlineLevel="0" collapsed="false">
      <c r="A22" s="12" t="s">
        <v>27</v>
      </c>
      <c r="B22" s="13" t="s">
        <v>28</v>
      </c>
      <c r="C22" s="13" t="s">
        <v>29</v>
      </c>
      <c r="D22" s="14" t="s">
        <v>30</v>
      </c>
    </row>
    <row r="23" customFormat="false" ht="42" hidden="false" customHeight="true" outlineLevel="0" collapsed="false">
      <c r="A23" s="12" t="s">
        <v>31</v>
      </c>
      <c r="B23" s="13" t="s">
        <v>32</v>
      </c>
      <c r="C23" s="13" t="s">
        <v>33</v>
      </c>
      <c r="D23" s="14" t="s">
        <v>34</v>
      </c>
    </row>
    <row r="24" customFormat="false" ht="30" hidden="false" customHeight="true" outlineLevel="0" collapsed="false">
      <c r="A24" s="12" t="s">
        <v>35</v>
      </c>
      <c r="B24" s="13" t="s">
        <v>36</v>
      </c>
      <c r="C24" s="13" t="s">
        <v>37</v>
      </c>
      <c r="D24" s="14" t="s">
        <v>38</v>
      </c>
    </row>
    <row r="25" customFormat="false" ht="30" hidden="false" customHeight="true" outlineLevel="0" collapsed="false">
      <c r="A25" s="12" t="s">
        <v>39</v>
      </c>
      <c r="B25" s="13" t="s">
        <v>40</v>
      </c>
      <c r="C25" s="13" t="s">
        <v>41</v>
      </c>
      <c r="D25" s="14" t="s">
        <v>42</v>
      </c>
    </row>
    <row r="26" customFormat="false" ht="42" hidden="false" customHeight="true" outlineLevel="0" collapsed="false">
      <c r="A26" s="12" t="s">
        <v>43</v>
      </c>
      <c r="B26" s="13" t="s">
        <v>44</v>
      </c>
      <c r="C26" s="13" t="s">
        <v>45</v>
      </c>
      <c r="D26" s="14" t="s">
        <v>46</v>
      </c>
    </row>
    <row r="27" customFormat="false" ht="30" hidden="false" customHeight="true" outlineLevel="0" collapsed="false">
      <c r="A27" s="12" t="s">
        <v>47</v>
      </c>
      <c r="B27" s="13" t="s">
        <v>48</v>
      </c>
      <c r="C27" s="13" t="s">
        <v>49</v>
      </c>
      <c r="D27" s="14" t="s">
        <v>50</v>
      </c>
    </row>
    <row r="28" customFormat="false" ht="43.5" hidden="false" customHeight="true" outlineLevel="0" collapsed="false">
      <c r="A28" s="12" t="s">
        <v>51</v>
      </c>
      <c r="B28" s="13" t="s">
        <v>52</v>
      </c>
      <c r="C28" s="13" t="s">
        <v>53</v>
      </c>
      <c r="D28" s="14" t="s">
        <v>54</v>
      </c>
    </row>
    <row r="29" customFormat="false" ht="43.5" hidden="false" customHeight="true" outlineLevel="0" collapsed="false">
      <c r="A29" s="12" t="s">
        <v>55</v>
      </c>
      <c r="B29" s="13" t="s">
        <v>56</v>
      </c>
      <c r="C29" s="13" t="s">
        <v>57</v>
      </c>
      <c r="D29" s="14" t="s">
        <v>58</v>
      </c>
    </row>
    <row r="30" customFormat="false" ht="55.5" hidden="false" customHeight="true" outlineLevel="0" collapsed="false">
      <c r="A30" s="12" t="s">
        <v>59</v>
      </c>
      <c r="B30" s="13" t="s">
        <v>60</v>
      </c>
      <c r="C30" s="13" t="s">
        <v>61</v>
      </c>
      <c r="D30" s="14" t="s">
        <v>62</v>
      </c>
    </row>
    <row r="31" customFormat="false" ht="43.5" hidden="false" customHeight="true" outlineLevel="0" collapsed="false">
      <c r="A31" s="12" t="s">
        <v>63</v>
      </c>
      <c r="B31" s="13" t="s">
        <v>64</v>
      </c>
      <c r="C31" s="13" t="s">
        <v>65</v>
      </c>
      <c r="D31" s="14" t="s">
        <v>66</v>
      </c>
    </row>
    <row r="32" customFormat="false" ht="43.5" hidden="false" customHeight="true" outlineLevel="0" collapsed="false">
      <c r="A32" s="12" t="s">
        <v>67</v>
      </c>
      <c r="B32" s="13" t="s">
        <v>68</v>
      </c>
      <c r="C32" s="13" t="s">
        <v>69</v>
      </c>
      <c r="D32" s="14" t="s">
        <v>70</v>
      </c>
    </row>
  </sheetData>
  <mergeCells count="7">
    <mergeCell ref="A1:E1"/>
    <mergeCell ref="A2:E2"/>
    <mergeCell ref="A5:E5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5" min="3" style="0" width="14"/>
    <col collapsed="false" customWidth="true" hidden="false" outlineLevel="0" max="6" min="6" style="0" width="10"/>
    <col collapsed="false" customWidth="true" hidden="false" outlineLevel="0" max="7" min="7" style="0" width="3"/>
    <col collapsed="false" customWidth="true" hidden="false" outlineLevel="0" max="8" min="8" style="0" width="30"/>
    <col collapsed="false" customWidth="true" hidden="false" outlineLevel="0" max="9" min="9" style="0" width="16"/>
    <col collapsed="false" customWidth="true" hidden="false" outlineLevel="0" max="10" min="10" style="0" width="42"/>
  </cols>
  <sheetData>
    <row r="1" customFormat="false" ht="33.75" hidden="false" customHeight="true" outlineLevel="0" collapsed="false">
      <c r="A1" s="11" t="s">
        <v>71</v>
      </c>
      <c r="B1" s="11" t="s">
        <v>72</v>
      </c>
      <c r="C1" s="11" t="s">
        <v>73</v>
      </c>
      <c r="D1" s="15" t="s">
        <v>74</v>
      </c>
      <c r="E1" s="15" t="s">
        <v>75</v>
      </c>
      <c r="F1" s="15" t="s">
        <v>76</v>
      </c>
      <c r="H1" s="16" t="s">
        <v>77</v>
      </c>
      <c r="I1" s="16" t="s">
        <v>78</v>
      </c>
      <c r="J1" s="16" t="s">
        <v>79</v>
      </c>
    </row>
    <row r="2" customFormat="false" ht="15" hidden="false" customHeight="false" outlineLevel="0" collapsed="false">
      <c r="A2" s="17" t="s">
        <v>80</v>
      </c>
      <c r="B2" s="17" t="s">
        <v>81</v>
      </c>
      <c r="C2" s="17" t="s">
        <v>82</v>
      </c>
      <c r="D2" s="18" t="n">
        <f aca="false">VLOOKUP(C2,Acuan!$A$2:$C$8,2,FALSE())</f>
        <v>20000</v>
      </c>
      <c r="E2" s="18" t="n">
        <f aca="false">D2*$I$2</f>
        <v>120000</v>
      </c>
      <c r="F2" s="19" t="str">
        <f aca="false">"Kelas "&amp;LEFT(B2,1)</f>
        <v>Kelas 9</v>
      </c>
      <c r="H2" s="20" t="s">
        <v>83</v>
      </c>
      <c r="I2" s="21" t="n">
        <v>6</v>
      </c>
      <c r="J2" s="20"/>
    </row>
    <row r="3" customFormat="false" ht="15" hidden="false" customHeight="false" outlineLevel="0" collapsed="false">
      <c r="A3" s="17" t="s">
        <v>84</v>
      </c>
      <c r="B3" s="17" t="s">
        <v>85</v>
      </c>
      <c r="C3" s="17" t="s">
        <v>86</v>
      </c>
      <c r="D3" s="18" t="n">
        <f aca="false">VLOOKUP(C3,Acuan!$A$2:$C$8,2,FALSE())</f>
        <v>15000</v>
      </c>
      <c r="E3" s="18" t="n">
        <f aca="false">D3*$I$2</f>
        <v>90000</v>
      </c>
      <c r="F3" s="19" t="str">
        <f aca="false">"Kelas "&amp;LEFT(B3,1)</f>
        <v>Kelas 9</v>
      </c>
      <c r="H3" s="20" t="s">
        <v>87</v>
      </c>
      <c r="I3" s="21" t="n">
        <v>2</v>
      </c>
      <c r="J3" s="20" t="s">
        <v>88</v>
      </c>
    </row>
    <row r="4" customFormat="false" ht="15" hidden="false" customHeight="false" outlineLevel="0" collapsed="false">
      <c r="A4" s="17" t="s">
        <v>89</v>
      </c>
      <c r="B4" s="17" t="s">
        <v>90</v>
      </c>
      <c r="C4" s="17" t="s">
        <v>91</v>
      </c>
      <c r="D4" s="18" t="n">
        <f aca="false">VLOOKUP(C4,Acuan!$A$2:$C$8,2,FALSE())</f>
        <v>50000</v>
      </c>
      <c r="E4" s="18" t="n">
        <f aca="false">D4*$I$2</f>
        <v>300000</v>
      </c>
      <c r="F4" s="19" t="str">
        <f aca="false">"Kelas "&amp;LEFT(B4,1)</f>
        <v>Kelas 8</v>
      </c>
    </row>
    <row r="5" customFormat="false" ht="15" hidden="false" customHeight="false" outlineLevel="0" collapsed="false">
      <c r="A5" s="17" t="s">
        <v>92</v>
      </c>
      <c r="B5" s="17" t="s">
        <v>93</v>
      </c>
      <c r="C5" s="17" t="s">
        <v>94</v>
      </c>
      <c r="D5" s="18" t="n">
        <f aca="false">VLOOKUP(C5,Acuan!$A$2:$C$8,2,FALSE())</f>
        <v>20000</v>
      </c>
      <c r="E5" s="18" t="n">
        <f aca="false">D5*$I$2</f>
        <v>120000</v>
      </c>
      <c r="F5" s="19" t="str">
        <f aca="false">"Kelas "&amp;LEFT(B5,1)</f>
        <v>Kelas 7</v>
      </c>
    </row>
    <row r="6" customFormat="false" ht="15" hidden="false" customHeight="false" outlineLevel="0" collapsed="false">
      <c r="A6" s="17" t="s">
        <v>95</v>
      </c>
      <c r="B6" s="17" t="s">
        <v>90</v>
      </c>
      <c r="C6" s="17" t="s">
        <v>86</v>
      </c>
      <c r="D6" s="18" t="n">
        <f aca="false">VLOOKUP(C6,Acuan!$A$2:$C$8,2,FALSE())</f>
        <v>15000</v>
      </c>
      <c r="E6" s="18" t="n">
        <f aca="false">D6*$I$2</f>
        <v>90000</v>
      </c>
      <c r="F6" s="19" t="str">
        <f aca="false">"Kelas "&amp;LEFT(B6,1)</f>
        <v>Kelas 8</v>
      </c>
    </row>
    <row r="7" customFormat="false" ht="15" hidden="false" customHeight="false" outlineLevel="0" collapsed="false">
      <c r="A7" s="17" t="s">
        <v>96</v>
      </c>
      <c r="B7" s="17" t="s">
        <v>81</v>
      </c>
      <c r="C7" s="17" t="s">
        <v>97</v>
      </c>
      <c r="D7" s="18" t="n">
        <f aca="false">VLOOKUP(C7,Acuan!$A$2:$C$8,2,FALSE())</f>
        <v>30000</v>
      </c>
      <c r="E7" s="18" t="n">
        <f aca="false">D7*$I$2</f>
        <v>180000</v>
      </c>
      <c r="F7" s="19" t="str">
        <f aca="false">"Kelas "&amp;LEFT(B7,1)</f>
        <v>Kelas 9</v>
      </c>
    </row>
    <row r="8" customFormat="false" ht="15" hidden="false" customHeight="false" outlineLevel="0" collapsed="false">
      <c r="A8" s="17" t="s">
        <v>98</v>
      </c>
      <c r="B8" s="17" t="s">
        <v>99</v>
      </c>
      <c r="C8" s="17" t="s">
        <v>100</v>
      </c>
      <c r="D8" s="18" t="n">
        <f aca="false">VLOOKUP(C8,Acuan!$A$2:$C$8,2,FALSE())</f>
        <v>15000</v>
      </c>
      <c r="E8" s="18" t="n">
        <f aca="false">D8*$I$2</f>
        <v>90000</v>
      </c>
      <c r="F8" s="19" t="str">
        <f aca="false">"Kelas "&amp;LEFT(B8,1)</f>
        <v>Kelas 8</v>
      </c>
    </row>
    <row r="9" customFormat="false" ht="15" hidden="false" customHeight="false" outlineLevel="0" collapsed="false">
      <c r="A9" s="17" t="s">
        <v>101</v>
      </c>
      <c r="B9" s="17" t="s">
        <v>85</v>
      </c>
      <c r="C9" s="17" t="s">
        <v>100</v>
      </c>
      <c r="D9" s="18" t="n">
        <f aca="false">VLOOKUP(C9,Acuan!$A$2:$C$8,2,FALSE())</f>
        <v>15000</v>
      </c>
      <c r="E9" s="18" t="n">
        <f aca="false">D9*$I$2</f>
        <v>90000</v>
      </c>
      <c r="F9" s="19" t="str">
        <f aca="false">"Kelas "&amp;LEFT(B9,1)</f>
        <v>Kelas 9</v>
      </c>
    </row>
    <row r="10" customFormat="false" ht="15" hidden="false" customHeight="false" outlineLevel="0" collapsed="false">
      <c r="A10" s="17" t="s">
        <v>102</v>
      </c>
      <c r="B10" s="17" t="s">
        <v>99</v>
      </c>
      <c r="C10" s="17" t="s">
        <v>103</v>
      </c>
      <c r="D10" s="18" t="n">
        <f aca="false">VLOOKUP(C10,Acuan!$A$2:$C$8,2,FALSE())</f>
        <v>25000</v>
      </c>
      <c r="E10" s="18" t="n">
        <f aca="false">D10*$I$2</f>
        <v>150000</v>
      </c>
      <c r="F10" s="19" t="str">
        <f aca="false">"Kelas "&amp;LEFT(B10,1)</f>
        <v>Kelas 8</v>
      </c>
    </row>
    <row r="11" customFormat="false" ht="15" hidden="false" customHeight="false" outlineLevel="0" collapsed="false">
      <c r="A11" s="17" t="s">
        <v>104</v>
      </c>
      <c r="B11" s="17" t="s">
        <v>99</v>
      </c>
      <c r="C11" s="17" t="s">
        <v>100</v>
      </c>
      <c r="D11" s="18" t="n">
        <f aca="false">VLOOKUP(C11,Acuan!$A$2:$C$8,2,FALSE())</f>
        <v>15000</v>
      </c>
      <c r="E11" s="18" t="n">
        <f aca="false">D11*$I$2</f>
        <v>90000</v>
      </c>
      <c r="F11" s="19" t="str">
        <f aca="false">"Kelas "&amp;LEFT(B11,1)</f>
        <v>Kelas 8</v>
      </c>
    </row>
    <row r="12" customFormat="false" ht="15" hidden="false" customHeight="false" outlineLevel="0" collapsed="false">
      <c r="A12" s="17" t="s">
        <v>105</v>
      </c>
      <c r="B12" s="17" t="s">
        <v>90</v>
      </c>
      <c r="C12" s="17" t="s">
        <v>82</v>
      </c>
      <c r="D12" s="18" t="n">
        <f aca="false">VLOOKUP(C12,Acuan!$A$2:$C$8,2,FALSE())</f>
        <v>20000</v>
      </c>
      <c r="E12" s="18" t="n">
        <f aca="false">D12*$I$2</f>
        <v>120000</v>
      </c>
      <c r="F12" s="19" t="str">
        <f aca="false">"Kelas "&amp;LEFT(B12,1)</f>
        <v>Kelas 8</v>
      </c>
    </row>
    <row r="13" customFormat="false" ht="15" hidden="false" customHeight="false" outlineLevel="0" collapsed="false">
      <c r="A13" s="17" t="s">
        <v>106</v>
      </c>
      <c r="B13" s="17" t="s">
        <v>85</v>
      </c>
      <c r="C13" s="17" t="s">
        <v>86</v>
      </c>
      <c r="D13" s="18" t="n">
        <f aca="false">VLOOKUP(C13,Acuan!$A$2:$C$8,2,FALSE())</f>
        <v>15000</v>
      </c>
      <c r="E13" s="18" t="n">
        <f aca="false">D13*$I$2</f>
        <v>90000</v>
      </c>
      <c r="F13" s="19" t="str">
        <f aca="false">"Kelas "&amp;LEFT(B13,1)</f>
        <v>Kelas 9</v>
      </c>
    </row>
    <row r="14" customFormat="false" ht="15" hidden="false" customHeight="false" outlineLevel="0" collapsed="false">
      <c r="A14" s="17" t="s">
        <v>107</v>
      </c>
      <c r="B14" s="17" t="s">
        <v>93</v>
      </c>
      <c r="C14" s="17" t="s">
        <v>94</v>
      </c>
      <c r="D14" s="18" t="n">
        <f aca="false">VLOOKUP(C14,Acuan!$A$2:$C$8,2,FALSE())</f>
        <v>20000</v>
      </c>
      <c r="E14" s="18" t="n">
        <f aca="false">D14*$I$2</f>
        <v>120000</v>
      </c>
      <c r="F14" s="19" t="str">
        <f aca="false">"Kelas "&amp;LEFT(B14,1)</f>
        <v>Kelas 7</v>
      </c>
    </row>
    <row r="15" customFormat="false" ht="15" hidden="false" customHeight="false" outlineLevel="0" collapsed="false">
      <c r="A15" s="17" t="s">
        <v>108</v>
      </c>
      <c r="B15" s="17" t="s">
        <v>81</v>
      </c>
      <c r="C15" s="17" t="s">
        <v>82</v>
      </c>
      <c r="D15" s="18" t="n">
        <f aca="false">VLOOKUP(C15,Acuan!$A$2:$C$8,2,FALSE())</f>
        <v>20000</v>
      </c>
      <c r="E15" s="18" t="n">
        <f aca="false">D15*$I$2</f>
        <v>120000</v>
      </c>
      <c r="F15" s="19" t="str">
        <f aca="false">"Kelas "&amp;LEFT(B15,1)</f>
        <v>Kelas 9</v>
      </c>
    </row>
    <row r="16" customFormat="false" ht="15" hidden="false" customHeight="false" outlineLevel="0" collapsed="false">
      <c r="A16" s="17" t="s">
        <v>109</v>
      </c>
      <c r="B16" s="17" t="s">
        <v>81</v>
      </c>
      <c r="C16" s="17" t="s">
        <v>103</v>
      </c>
      <c r="D16" s="18" t="n">
        <f aca="false">VLOOKUP(C16,Acuan!$A$2:$C$8,2,FALSE())</f>
        <v>25000</v>
      </c>
      <c r="E16" s="18" t="n">
        <f aca="false">D16*$I$2</f>
        <v>150000</v>
      </c>
      <c r="F16" s="19" t="str">
        <f aca="false">"Kelas "&amp;LEFT(B16,1)</f>
        <v>Kelas 9</v>
      </c>
    </row>
    <row r="17" customFormat="false" ht="15" hidden="false" customHeight="false" outlineLevel="0" collapsed="false">
      <c r="A17" s="17" t="s">
        <v>110</v>
      </c>
      <c r="B17" s="17" t="s">
        <v>85</v>
      </c>
      <c r="C17" s="17" t="s">
        <v>86</v>
      </c>
      <c r="D17" s="18" t="n">
        <f aca="false">VLOOKUP(C17,Acuan!$A$2:$C$8,2,FALSE())</f>
        <v>15000</v>
      </c>
      <c r="E17" s="18" t="n">
        <f aca="false">D17*$I$2</f>
        <v>90000</v>
      </c>
      <c r="F17" s="19" t="str">
        <f aca="false">"Kelas "&amp;LEFT(B17,1)</f>
        <v>Kelas 9</v>
      </c>
    </row>
    <row r="18" customFormat="false" ht="15" hidden="false" customHeight="false" outlineLevel="0" collapsed="false">
      <c r="A18" s="17" t="s">
        <v>111</v>
      </c>
      <c r="B18" s="17" t="s">
        <v>112</v>
      </c>
      <c r="C18" s="17" t="s">
        <v>103</v>
      </c>
      <c r="D18" s="18" t="n">
        <f aca="false">VLOOKUP(C18,Acuan!$A$2:$C$8,2,FALSE())</f>
        <v>25000</v>
      </c>
      <c r="E18" s="18" t="n">
        <f aca="false">D18*$I$2</f>
        <v>150000</v>
      </c>
      <c r="F18" s="19" t="str">
        <f aca="false">"Kelas "&amp;LEFT(B18,1)</f>
        <v>Kelas 7</v>
      </c>
    </row>
    <row r="19" customFormat="false" ht="15" hidden="false" customHeight="false" outlineLevel="0" collapsed="false">
      <c r="A19" s="17" t="s">
        <v>113</v>
      </c>
      <c r="B19" s="17" t="s">
        <v>85</v>
      </c>
      <c r="C19" s="17" t="s">
        <v>82</v>
      </c>
      <c r="D19" s="18" t="n">
        <f aca="false">VLOOKUP(C19,Acuan!$A$2:$C$8,2,FALSE())</f>
        <v>20000</v>
      </c>
      <c r="E19" s="18" t="n">
        <f aca="false">D19*$I$2</f>
        <v>120000</v>
      </c>
      <c r="F19" s="19" t="str">
        <f aca="false">"Kelas "&amp;LEFT(B19,1)</f>
        <v>Kelas 9</v>
      </c>
    </row>
    <row r="20" customFormat="false" ht="15" hidden="false" customHeight="false" outlineLevel="0" collapsed="false">
      <c r="A20" s="17" t="s">
        <v>114</v>
      </c>
      <c r="B20" s="17" t="s">
        <v>81</v>
      </c>
      <c r="C20" s="17" t="s">
        <v>86</v>
      </c>
      <c r="D20" s="18" t="n">
        <f aca="false">VLOOKUP(C20,Acuan!$A$2:$C$8,2,FALSE())</f>
        <v>15000</v>
      </c>
      <c r="E20" s="18" t="n">
        <f aca="false">D20*$I$2</f>
        <v>90000</v>
      </c>
      <c r="F20" s="19" t="str">
        <f aca="false">"Kelas "&amp;LEFT(B20,1)</f>
        <v>Kelas 9</v>
      </c>
    </row>
    <row r="21" customFormat="false" ht="15" hidden="false" customHeight="false" outlineLevel="0" collapsed="false">
      <c r="A21" s="17" t="s">
        <v>115</v>
      </c>
      <c r="B21" s="17" t="s">
        <v>112</v>
      </c>
      <c r="C21" s="17" t="s">
        <v>91</v>
      </c>
      <c r="D21" s="18" t="n">
        <f aca="false">VLOOKUP(C21,Acuan!$A$2:$C$8,2,FALSE())</f>
        <v>50000</v>
      </c>
      <c r="E21" s="18" t="n">
        <f aca="false">D21*$I$2</f>
        <v>300000</v>
      </c>
      <c r="F21" s="19" t="str">
        <f aca="false">"Kelas "&amp;LEFT(B21,1)</f>
        <v>Kelas 7</v>
      </c>
    </row>
    <row r="22" customFormat="false" ht="15" hidden="false" customHeight="false" outlineLevel="0" collapsed="false">
      <c r="A22" s="17" t="s">
        <v>116</v>
      </c>
      <c r="B22" s="17" t="s">
        <v>93</v>
      </c>
      <c r="C22" s="17" t="s">
        <v>103</v>
      </c>
      <c r="D22" s="18" t="n">
        <f aca="false">VLOOKUP(C22,Acuan!$A$2:$C$8,2,FALSE())</f>
        <v>25000</v>
      </c>
      <c r="E22" s="18" t="n">
        <f aca="false">D22*$I$2</f>
        <v>150000</v>
      </c>
      <c r="F22" s="19" t="str">
        <f aca="false">"Kelas "&amp;LEFT(B22,1)</f>
        <v>Kelas 7</v>
      </c>
    </row>
    <row r="23" customFormat="false" ht="15" hidden="false" customHeight="false" outlineLevel="0" collapsed="false">
      <c r="A23" s="17" t="s">
        <v>117</v>
      </c>
      <c r="B23" s="17" t="s">
        <v>112</v>
      </c>
      <c r="C23" s="17" t="s">
        <v>91</v>
      </c>
      <c r="D23" s="18" t="n">
        <f aca="false">VLOOKUP(C23,Acuan!$A$2:$C$8,2,FALSE())</f>
        <v>50000</v>
      </c>
      <c r="E23" s="18" t="n">
        <f aca="false">D23*$I$2</f>
        <v>300000</v>
      </c>
      <c r="F23" s="19" t="str">
        <f aca="false">"Kelas "&amp;LEFT(B23,1)</f>
        <v>Kelas 7</v>
      </c>
    </row>
    <row r="24" customFormat="false" ht="15" hidden="false" customHeight="false" outlineLevel="0" collapsed="false">
      <c r="A24" s="17" t="s">
        <v>118</v>
      </c>
      <c r="B24" s="17" t="s">
        <v>90</v>
      </c>
      <c r="C24" s="17" t="s">
        <v>97</v>
      </c>
      <c r="D24" s="18" t="n">
        <f aca="false">VLOOKUP(C24,Acuan!$A$2:$C$8,2,FALSE())</f>
        <v>30000</v>
      </c>
      <c r="E24" s="18" t="n">
        <f aca="false">D24*$I$2</f>
        <v>180000</v>
      </c>
      <c r="F24" s="19" t="str">
        <f aca="false">"Kelas "&amp;LEFT(B24,1)</f>
        <v>Kelas 8</v>
      </c>
    </row>
    <row r="25" customFormat="false" ht="15" hidden="false" customHeight="false" outlineLevel="0" collapsed="false">
      <c r="A25" s="17" t="s">
        <v>119</v>
      </c>
      <c r="B25" s="17" t="s">
        <v>93</v>
      </c>
      <c r="C25" s="17" t="s">
        <v>94</v>
      </c>
      <c r="D25" s="18" t="n">
        <f aca="false">VLOOKUP(C25,Acuan!$A$2:$C$8,2,FALSE())</f>
        <v>20000</v>
      </c>
      <c r="E25" s="18" t="n">
        <f aca="false">D25*$I$2</f>
        <v>120000</v>
      </c>
      <c r="F25" s="19" t="str">
        <f aca="false">"Kelas "&amp;LEFT(B25,1)</f>
        <v>Kelas 7</v>
      </c>
    </row>
    <row r="26" customFormat="false" ht="15" hidden="false" customHeight="false" outlineLevel="0" collapsed="false">
      <c r="A26" s="17" t="s">
        <v>120</v>
      </c>
      <c r="B26" s="17" t="s">
        <v>85</v>
      </c>
      <c r="C26" s="17" t="s">
        <v>97</v>
      </c>
      <c r="D26" s="18" t="n">
        <f aca="false">VLOOKUP(C26,Acuan!$A$2:$C$8,2,FALSE())</f>
        <v>30000</v>
      </c>
      <c r="E26" s="18" t="n">
        <f aca="false">D26*$I$2</f>
        <v>180000</v>
      </c>
      <c r="F26" s="19" t="str">
        <f aca="false">"Kelas "&amp;LEFT(B26,1)</f>
        <v>Kelas 9</v>
      </c>
    </row>
    <row r="27" customFormat="false" ht="15" hidden="false" customHeight="false" outlineLevel="0" collapsed="false">
      <c r="A27" s="17" t="s">
        <v>121</v>
      </c>
      <c r="B27" s="17" t="s">
        <v>85</v>
      </c>
      <c r="C27" s="17" t="s">
        <v>97</v>
      </c>
      <c r="D27" s="18" t="n">
        <f aca="false">VLOOKUP(C27,Acuan!$A$2:$C$8,2,FALSE())</f>
        <v>30000</v>
      </c>
      <c r="E27" s="18" t="n">
        <f aca="false">D27*$I$2</f>
        <v>180000</v>
      </c>
      <c r="F27" s="19" t="str">
        <f aca="false">"Kelas "&amp;LEFT(B27,1)</f>
        <v>Kelas 9</v>
      </c>
    </row>
    <row r="28" customFormat="false" ht="15" hidden="false" customHeight="false" outlineLevel="0" collapsed="false">
      <c r="A28" s="17" t="s">
        <v>122</v>
      </c>
      <c r="B28" s="17" t="s">
        <v>81</v>
      </c>
      <c r="C28" s="17" t="s">
        <v>86</v>
      </c>
      <c r="D28" s="18" t="n">
        <f aca="false">VLOOKUP(C28,Acuan!$A$2:$C$8,2,FALSE())</f>
        <v>15000</v>
      </c>
      <c r="E28" s="18" t="n">
        <f aca="false">D28*$I$2</f>
        <v>90000</v>
      </c>
      <c r="F28" s="19" t="str">
        <f aca="false">"Kelas "&amp;LEFT(B28,1)</f>
        <v>Kelas 9</v>
      </c>
    </row>
    <row r="29" customFormat="false" ht="15" hidden="false" customHeight="false" outlineLevel="0" collapsed="false">
      <c r="A29" s="17" t="s">
        <v>123</v>
      </c>
      <c r="B29" s="17" t="s">
        <v>81</v>
      </c>
      <c r="C29" s="17" t="s">
        <v>97</v>
      </c>
      <c r="D29" s="18" t="n">
        <f aca="false">VLOOKUP(C29,Acuan!$A$2:$C$8,2,FALSE())</f>
        <v>30000</v>
      </c>
      <c r="E29" s="18" t="n">
        <f aca="false">D29*$I$2</f>
        <v>180000</v>
      </c>
      <c r="F29" s="19" t="str">
        <f aca="false">"Kelas "&amp;LEFT(B29,1)</f>
        <v>Kelas 9</v>
      </c>
    </row>
    <row r="30" customFormat="false" ht="15" hidden="false" customHeight="false" outlineLevel="0" collapsed="false">
      <c r="A30" s="17" t="s">
        <v>124</v>
      </c>
      <c r="B30" s="17" t="s">
        <v>85</v>
      </c>
      <c r="C30" s="17" t="s">
        <v>100</v>
      </c>
      <c r="D30" s="18" t="n">
        <f aca="false">VLOOKUP(C30,Acuan!$A$2:$C$8,2,FALSE())</f>
        <v>15000</v>
      </c>
      <c r="E30" s="18" t="n">
        <f aca="false">D30*$I$2</f>
        <v>90000</v>
      </c>
      <c r="F30" s="19" t="str">
        <f aca="false">"Kelas "&amp;LEFT(B30,1)</f>
        <v>Kelas 9</v>
      </c>
    </row>
    <row r="31" customFormat="false" ht="15" hidden="false" customHeight="false" outlineLevel="0" collapsed="false">
      <c r="A31" s="17" t="s">
        <v>125</v>
      </c>
      <c r="B31" s="17" t="s">
        <v>99</v>
      </c>
      <c r="C31" s="17" t="s">
        <v>103</v>
      </c>
      <c r="D31" s="18" t="n">
        <f aca="false">VLOOKUP(C31,Acuan!$A$2:$C$8,2,FALSE())</f>
        <v>25000</v>
      </c>
      <c r="E31" s="18" t="n">
        <f aca="false">D31*$I$2</f>
        <v>150000</v>
      </c>
      <c r="F31" s="19" t="str">
        <f aca="false">"Kelas "&amp;LEFT(B31,1)</f>
        <v>Kelas 8</v>
      </c>
    </row>
    <row r="32" customFormat="false" ht="15" hidden="false" customHeight="false" outlineLevel="0" collapsed="false">
      <c r="A32" s="17" t="s">
        <v>126</v>
      </c>
      <c r="B32" s="17" t="s">
        <v>99</v>
      </c>
      <c r="C32" s="17" t="s">
        <v>91</v>
      </c>
      <c r="D32" s="18" t="n">
        <f aca="false">VLOOKUP(C32,Acuan!$A$2:$C$8,2,FALSE())</f>
        <v>50000</v>
      </c>
      <c r="E32" s="18" t="n">
        <f aca="false">D32*$I$2</f>
        <v>300000</v>
      </c>
      <c r="F32" s="19" t="str">
        <f aca="false">"Kelas "&amp;LEFT(B32,1)</f>
        <v>Kelas 8</v>
      </c>
    </row>
    <row r="33" customFormat="false" ht="15" hidden="false" customHeight="false" outlineLevel="0" collapsed="false">
      <c r="A33" s="17" t="s">
        <v>127</v>
      </c>
      <c r="B33" s="17" t="s">
        <v>99</v>
      </c>
      <c r="C33" s="17" t="s">
        <v>103</v>
      </c>
      <c r="D33" s="18" t="n">
        <f aca="false">VLOOKUP(C33,Acuan!$A$2:$C$8,2,FALSE())</f>
        <v>25000</v>
      </c>
      <c r="E33" s="18" t="n">
        <f aca="false">D33*$I$2</f>
        <v>150000</v>
      </c>
      <c r="F33" s="19" t="str">
        <f aca="false">"Kelas "&amp;LEFT(B33,1)</f>
        <v>Kelas 8</v>
      </c>
    </row>
    <row r="34" customFormat="false" ht="15" hidden="false" customHeight="false" outlineLevel="0" collapsed="false">
      <c r="A34" s="17" t="s">
        <v>128</v>
      </c>
      <c r="B34" s="17" t="s">
        <v>90</v>
      </c>
      <c r="C34" s="17" t="s">
        <v>82</v>
      </c>
      <c r="D34" s="18" t="n">
        <f aca="false">VLOOKUP(C34,Acuan!$A$2:$C$8,2,FALSE())</f>
        <v>20000</v>
      </c>
      <c r="E34" s="18" t="n">
        <f aca="false">D34*$I$2</f>
        <v>120000</v>
      </c>
      <c r="F34" s="19" t="str">
        <f aca="false">"Kelas "&amp;LEFT(B34,1)</f>
        <v>Kelas 8</v>
      </c>
    </row>
    <row r="35" customFormat="false" ht="15" hidden="false" customHeight="false" outlineLevel="0" collapsed="false">
      <c r="A35" s="17" t="s">
        <v>129</v>
      </c>
      <c r="B35" s="17" t="s">
        <v>93</v>
      </c>
      <c r="C35" s="17" t="s">
        <v>97</v>
      </c>
      <c r="D35" s="18" t="n">
        <f aca="false">VLOOKUP(C35,Acuan!$A$2:$C$8,2,FALSE())</f>
        <v>30000</v>
      </c>
      <c r="E35" s="18" t="n">
        <f aca="false">D35*$I$2</f>
        <v>180000</v>
      </c>
      <c r="F35" s="19" t="str">
        <f aca="false">"Kelas "&amp;LEFT(B35,1)</f>
        <v>Kelas 7</v>
      </c>
    </row>
    <row r="36" customFormat="false" ht="15" hidden="false" customHeight="false" outlineLevel="0" collapsed="false">
      <c r="A36" s="17" t="s">
        <v>130</v>
      </c>
      <c r="B36" s="17" t="s">
        <v>99</v>
      </c>
      <c r="C36" s="17" t="s">
        <v>91</v>
      </c>
      <c r="D36" s="18" t="n">
        <f aca="false">VLOOKUP(C36,Acuan!$A$2:$C$8,2,FALSE())</f>
        <v>50000</v>
      </c>
      <c r="E36" s="18" t="n">
        <f aca="false">D36*$I$2</f>
        <v>300000</v>
      </c>
      <c r="F36" s="19" t="str">
        <f aca="false">"Kelas "&amp;LEFT(B36,1)</f>
        <v>Kelas 8</v>
      </c>
    </row>
    <row r="37" customFormat="false" ht="15" hidden="false" customHeight="false" outlineLevel="0" collapsed="false">
      <c r="A37" s="17" t="s">
        <v>131</v>
      </c>
      <c r="B37" s="17" t="s">
        <v>93</v>
      </c>
      <c r="C37" s="17" t="s">
        <v>97</v>
      </c>
      <c r="D37" s="18" t="n">
        <f aca="false">VLOOKUP(C37,Acuan!$A$2:$C$8,2,FALSE())</f>
        <v>30000</v>
      </c>
      <c r="E37" s="18" t="n">
        <f aca="false">D37*$I$2</f>
        <v>180000</v>
      </c>
      <c r="F37" s="19" t="str">
        <f aca="false">"Kelas "&amp;LEFT(B37,1)</f>
        <v>Kelas 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20"/>
  </cols>
  <sheetData>
    <row r="1" customFormat="false" ht="33.75" hidden="false" customHeight="true" outlineLevel="0" collapsed="false">
      <c r="A1" s="11" t="s">
        <v>73</v>
      </c>
      <c r="B1" s="11" t="s">
        <v>74</v>
      </c>
      <c r="C1" s="11" t="s">
        <v>132</v>
      </c>
      <c r="D1" s="15" t="s">
        <v>133</v>
      </c>
      <c r="E1" s="15" t="s">
        <v>134</v>
      </c>
      <c r="F1" s="15" t="s">
        <v>135</v>
      </c>
      <c r="G1" s="15" t="s">
        <v>136</v>
      </c>
    </row>
    <row r="2" customFormat="false" ht="15" hidden="false" customHeight="false" outlineLevel="0" collapsed="false">
      <c r="A2" s="17" t="s">
        <v>86</v>
      </c>
      <c r="B2" s="22" t="n">
        <v>15000</v>
      </c>
      <c r="C2" s="23" t="n">
        <v>10</v>
      </c>
      <c r="D2" s="24" t="n">
        <f aca="false">COUNTIF(Data!$C$2:$C$37,A2)</f>
        <v>6</v>
      </c>
      <c r="E2" s="24" t="n">
        <f aca="false">C2-D2</f>
        <v>4</v>
      </c>
      <c r="F2" s="19" t="str">
        <f aca="false">IF(E2=0,"Penuh",IF(E2&lt;=Data!$I$3,"Hampir Penuh","Tersedia"))</f>
        <v>Tersedia</v>
      </c>
      <c r="G2" s="18" t="n">
        <f aca="false">SUMIF(Data!$C$2:$C$37,A2,Data!$E$2:$E$37)</f>
        <v>540000</v>
      </c>
    </row>
    <row r="3" customFormat="false" ht="15" hidden="false" customHeight="false" outlineLevel="0" collapsed="false">
      <c r="A3" s="17" t="s">
        <v>103</v>
      </c>
      <c r="B3" s="22" t="n">
        <v>25000</v>
      </c>
      <c r="C3" s="23" t="n">
        <v>6</v>
      </c>
      <c r="D3" s="24" t="n">
        <f aca="false">COUNTIF(Data!$C$2:$C$37,A3)</f>
        <v>6</v>
      </c>
      <c r="E3" s="24" t="n">
        <f aca="false">C3-D3</f>
        <v>0</v>
      </c>
      <c r="F3" s="19" t="str">
        <f aca="false">IF(E3=0,"Penuh",IF(E3&lt;=Data!$I$3,"Hampir Penuh","Tersedia"))</f>
        <v>Penuh</v>
      </c>
      <c r="G3" s="18" t="n">
        <f aca="false">SUMIF(Data!$C$2:$C$37,A3,Data!$E$2:$E$37)</f>
        <v>900000</v>
      </c>
    </row>
    <row r="4" customFormat="false" ht="15" hidden="false" customHeight="false" outlineLevel="0" collapsed="false">
      <c r="A4" s="17" t="s">
        <v>97</v>
      </c>
      <c r="B4" s="22" t="n">
        <v>30000</v>
      </c>
      <c r="C4" s="23" t="n">
        <v>8</v>
      </c>
      <c r="D4" s="24" t="n">
        <f aca="false">COUNTIF(Data!$C$2:$C$37,A4)</f>
        <v>7</v>
      </c>
      <c r="E4" s="24" t="n">
        <f aca="false">C4-D4</f>
        <v>1</v>
      </c>
      <c r="F4" s="19" t="str">
        <f aca="false">IF(E4=0,"Penuh",IF(E4&lt;=Data!$I$3,"Hampir Penuh","Tersedia"))</f>
        <v>Hampir Penuh</v>
      </c>
      <c r="G4" s="18" t="n">
        <f aca="false">SUMIF(Data!$C$2:$C$37,A4,Data!$E$2:$E$37)</f>
        <v>1260000</v>
      </c>
    </row>
    <row r="5" customFormat="false" ht="15" hidden="false" customHeight="false" outlineLevel="0" collapsed="false">
      <c r="A5" s="17" t="s">
        <v>82</v>
      </c>
      <c r="B5" s="22" t="n">
        <v>20000</v>
      </c>
      <c r="C5" s="23" t="n">
        <v>8</v>
      </c>
      <c r="D5" s="24" t="n">
        <f aca="false">COUNTIF(Data!$C$2:$C$37,A5)</f>
        <v>5</v>
      </c>
      <c r="E5" s="24" t="n">
        <f aca="false">C5-D5</f>
        <v>3</v>
      </c>
      <c r="F5" s="19" t="str">
        <f aca="false">IF(E5=0,"Penuh",IF(E5&lt;=Data!$I$3,"Hampir Penuh","Tersedia"))</f>
        <v>Tersedia</v>
      </c>
      <c r="G5" s="18" t="n">
        <f aca="false">SUMIF(Data!$C$2:$C$37,A5,Data!$E$2:$E$37)</f>
        <v>600000</v>
      </c>
    </row>
    <row r="6" customFormat="false" ht="15" hidden="false" customHeight="false" outlineLevel="0" collapsed="false">
      <c r="A6" s="17" t="s">
        <v>91</v>
      </c>
      <c r="B6" s="22" t="n">
        <v>50000</v>
      </c>
      <c r="C6" s="23" t="n">
        <v>5</v>
      </c>
      <c r="D6" s="24" t="n">
        <f aca="false">COUNTIF(Data!$C$2:$C$37,A6)</f>
        <v>5</v>
      </c>
      <c r="E6" s="24" t="n">
        <f aca="false">C6-D6</f>
        <v>0</v>
      </c>
      <c r="F6" s="19" t="str">
        <f aca="false">IF(E6=0,"Penuh",IF(E6&lt;=Data!$I$3,"Hampir Penuh","Tersedia"))</f>
        <v>Penuh</v>
      </c>
      <c r="G6" s="18" t="n">
        <f aca="false">SUMIF(Data!$C$2:$C$37,A6,Data!$E$2:$E$37)</f>
        <v>1500000</v>
      </c>
    </row>
    <row r="7" customFormat="false" ht="15" hidden="false" customHeight="false" outlineLevel="0" collapsed="false">
      <c r="A7" s="17" t="s">
        <v>100</v>
      </c>
      <c r="B7" s="22" t="n">
        <v>15000</v>
      </c>
      <c r="C7" s="23" t="n">
        <v>6</v>
      </c>
      <c r="D7" s="24" t="n">
        <f aca="false">COUNTIF(Data!$C$2:$C$37,A7)</f>
        <v>4</v>
      </c>
      <c r="E7" s="24" t="n">
        <f aca="false">C7-D7</f>
        <v>2</v>
      </c>
      <c r="F7" s="19" t="str">
        <f aca="false">IF(E7=0,"Penuh",IF(E7&lt;=Data!$I$3,"Hampir Penuh","Tersedia"))</f>
        <v>Hampir Penuh</v>
      </c>
      <c r="G7" s="18" t="n">
        <f aca="false">SUMIF(Data!$C$2:$C$37,A7,Data!$E$2:$E$37)</f>
        <v>360000</v>
      </c>
    </row>
    <row r="8" customFormat="false" ht="15" hidden="false" customHeight="false" outlineLevel="0" collapsed="false">
      <c r="A8" s="17" t="s">
        <v>94</v>
      </c>
      <c r="B8" s="22" t="n">
        <v>20000</v>
      </c>
      <c r="C8" s="23" t="n">
        <v>6</v>
      </c>
      <c r="D8" s="24" t="n">
        <f aca="false">COUNTIF(Data!$C$2:$C$37,A8)</f>
        <v>3</v>
      </c>
      <c r="E8" s="24" t="n">
        <f aca="false">C8-D8</f>
        <v>3</v>
      </c>
      <c r="F8" s="19" t="str">
        <f aca="false">IF(E8=0,"Penuh",IF(E8&lt;=Data!$I$3,"Hampir Penuh","Tersedia"))</f>
        <v>Tersedia</v>
      </c>
      <c r="G8" s="18" t="n">
        <f aca="false">SUMIF(Data!$C$2:$C$37,A8,Data!$E$2:$E$37)</f>
        <v>360000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8"/>
    <col collapsed="false" customWidth="true" hidden="false" outlineLevel="0" max="3" min="3" style="0" width="26"/>
    <col collapsed="false" customWidth="true" hidden="false" outlineLevel="0" max="4" min="4" style="0" width="32"/>
  </cols>
  <sheetData>
    <row r="1" customFormat="false" ht="16.15" hidden="false" customHeight="false" outlineLevel="0" collapsed="false">
      <c r="A1" s="25" t="s">
        <v>137</v>
      </c>
      <c r="B1" s="25"/>
      <c r="C1" s="25"/>
      <c r="D1" s="25"/>
    </row>
    <row r="2" customFormat="false" ht="15" hidden="false" customHeight="false" outlineLevel="0" collapsed="false">
      <c r="A2" s="26" t="s">
        <v>138</v>
      </c>
      <c r="B2" s="26"/>
      <c r="C2" s="26"/>
      <c r="D2" s="26"/>
    </row>
    <row r="3" customFormat="false" ht="15" hidden="false" customHeight="false" outlineLevel="0" collapsed="false">
      <c r="A3" s="11" t="s">
        <v>19</v>
      </c>
      <c r="B3" s="11" t="s">
        <v>139</v>
      </c>
      <c r="C3" s="11" t="s">
        <v>140</v>
      </c>
      <c r="D3" s="11" t="s">
        <v>141</v>
      </c>
    </row>
    <row r="4" customFormat="false" ht="15" hidden="false" customHeight="false" outlineLevel="0" collapsed="false">
      <c r="A4" s="27" t="s">
        <v>142</v>
      </c>
      <c r="B4" s="28" t="s">
        <v>143</v>
      </c>
      <c r="C4" s="24" t="n">
        <f aca="false">COUNTA(Data!$A$2:$A$37)</f>
        <v>36</v>
      </c>
      <c r="D4" s="29" t="s">
        <v>144</v>
      </c>
    </row>
    <row r="5" customFormat="false" ht="15" hidden="false" customHeight="false" outlineLevel="0" collapsed="false">
      <c r="A5" s="27" t="s">
        <v>145</v>
      </c>
      <c r="B5" s="28" t="s">
        <v>146</v>
      </c>
      <c r="C5" s="18" t="n">
        <f aca="false">SUM(Data!$E$2:$E$37)</f>
        <v>5520000</v>
      </c>
      <c r="D5" s="29" t="s">
        <v>147</v>
      </c>
    </row>
    <row r="6" customFormat="false" ht="15" hidden="false" customHeight="false" outlineLevel="0" collapsed="false">
      <c r="A6" s="27" t="s">
        <v>148</v>
      </c>
      <c r="B6" s="28" t="s">
        <v>149</v>
      </c>
      <c r="C6" s="24" t="n">
        <f aca="false">COUNTIF(Data!$C$2:$C$37,"Futsal")</f>
        <v>7</v>
      </c>
      <c r="D6" s="29" t="s">
        <v>150</v>
      </c>
    </row>
    <row r="7" customFormat="false" ht="15" hidden="false" customHeight="false" outlineLevel="0" collapsed="false">
      <c r="A7" s="27" t="s">
        <v>151</v>
      </c>
      <c r="B7" s="28" t="s">
        <v>152</v>
      </c>
      <c r="C7" s="24" t="n">
        <f aca="false">COUNTIF(Data!$F$2:$F$37,"Kelas 7")</f>
        <v>9</v>
      </c>
      <c r="D7" s="29" t="s">
        <v>153</v>
      </c>
    </row>
    <row r="8" customFormat="false" ht="15" hidden="false" customHeight="false" outlineLevel="0" collapsed="false">
      <c r="A8" s="27" t="s">
        <v>154</v>
      </c>
      <c r="B8" s="28" t="s">
        <v>155</v>
      </c>
      <c r="C8" s="19" t="str">
        <f aca="false">INDEX(Acuan!$A$2:$A$8,MATCH(MAX(Acuan!$D$2:$D$8),Acuan!$D$2:$D$8,0))</f>
        <v>Futsal</v>
      </c>
      <c r="D8" s="29" t="s">
        <v>156</v>
      </c>
    </row>
    <row r="9" customFormat="false" ht="15" hidden="false" customHeight="false" outlineLevel="0" collapsed="false">
      <c r="A9" s="27" t="s">
        <v>157</v>
      </c>
      <c r="B9" s="28" t="s">
        <v>158</v>
      </c>
      <c r="C9" s="19" t="str">
        <f aca="false">INDEX(Acuan!$A$2:$A$8,MATCH(MAX(Acuan!$G$2:$G$8),Acuan!$G$2:$G$8,0))</f>
        <v>Robotik</v>
      </c>
      <c r="D9" s="29" t="s">
        <v>156</v>
      </c>
    </row>
    <row r="10" customFormat="false" ht="15" hidden="false" customHeight="false" outlineLevel="0" collapsed="false">
      <c r="A10" s="27" t="s">
        <v>159</v>
      </c>
      <c r="B10" s="28" t="s">
        <v>160</v>
      </c>
      <c r="C10" s="24" t="n">
        <f aca="false">COUNTIF(Acuan!$F$2:$F$8,"Penuh")</f>
        <v>2</v>
      </c>
      <c r="D10" s="29" t="s">
        <v>161</v>
      </c>
    </row>
    <row r="11" customFormat="false" ht="15" hidden="false" customHeight="false" outlineLevel="0" collapsed="false">
      <c r="A11" s="27" t="s">
        <v>162</v>
      </c>
      <c r="B11" s="28" t="s">
        <v>163</v>
      </c>
      <c r="C11" s="24" t="n">
        <f aca="false">SUM(Acuan!$E$2:$E$8)</f>
        <v>13</v>
      </c>
      <c r="D11" s="29" t="s">
        <v>164</v>
      </c>
    </row>
    <row r="12" customFormat="false" ht="15" hidden="false" customHeight="false" outlineLevel="0" collapsed="false">
      <c r="A12" s="27" t="s">
        <v>165</v>
      </c>
      <c r="B12" s="28" t="s">
        <v>166</v>
      </c>
      <c r="C12" s="24" t="n">
        <f aca="false">COUNTIFS(Data!$F$2:$F$37,"Kelas 9",Data!$C$2:$C$37,"Futsal")</f>
        <v>4</v>
      </c>
      <c r="D12" s="29" t="s">
        <v>167</v>
      </c>
    </row>
    <row r="13" customFormat="false" ht="15" hidden="false" customHeight="false" outlineLevel="0" collapsed="false">
      <c r="A13" s="27" t="s">
        <v>168</v>
      </c>
      <c r="B13" s="28" t="s">
        <v>169</v>
      </c>
      <c r="C13" s="18" t="n">
        <f aca="false">AVERAGEIF(Data!$F$2:$F$37,"Kelas 7",Data!$E$2:$E$37)</f>
        <v>180000</v>
      </c>
      <c r="D13" s="29" t="s">
        <v>170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2026-10-16T05:23:15Z</dcterms:created>
  <dc:creator>PushExcel</dc:creator>
  <dc:description/>
  <dc:language>en-US</dc:language>
  <cp:lastModifiedBy/>
  <dcterms:modified xsi:type="dcterms:W3CDTF">2026-10-16T05:23:15Z</dcterms:modified>
  <cp:revision>0</cp:revision>
  <dc:subject/>
  <dc:title>Pendaftaran Ekstrakurikuler Siswa dan Kuota - Kunci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