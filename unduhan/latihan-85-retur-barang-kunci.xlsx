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<sst xmlns="http://schemas.openxmlformats.org/spreadsheetml/2006/main" count="255" uniqueCount="178">
  <si>
    <t xml:space="preserve">Kunci Jawaban: Retur Pembelian Barang: Restocking dan Refund</t>
  </si>
  <si>
    <t xml:space="preserve">Latihan 85 dari 40  |  Tingkat: Menengah  |  Perkiraan waktu: 50 menit  |  pushexcel.github.io/Pushexcel</t>
  </si>
  <si>
    <t xml:space="preserve">Skenario</t>
  </si>
  <si>
    <t xml:space="preserve">Kamu staf pembelian Toko Serba Ada yang merekap 30 retur barang ke pemasok. Setiap retur punya alasan, jumlah, dan harga satuan. Pemasok memotong biaya restocking sesuai alasan retur, dengan persen yang tertera di tabel sheet Acuan. Nilai refund adalah nilai retur dikurangi potongan restocking. Retur dengan nilai refund Rp 500.000 atau lebih berstatus Perlu Persetujuan pemilik toko, selain itu Langsung Proses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</si>
  <si>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</si>
  <si>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</si>
  <si>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</si>
  <si>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</si>
  <si>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</si>
  <si>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</si>
  <si>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</si>
  <si>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</si>
  <si>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</si>
  <si>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</si>
  <si>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</si>
  <si>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</si>
  <si>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</si>
  <si>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</si>
  <si>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</si>
  <si>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</si>
  <si>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</si>
  <si>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</si>
  <si>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</si>
  <si>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</si>
  <si>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nilai retur: jumlah dikali harga satuan.</t>
  </si>
  <si>
    <t xml:space="preserve">Sheet Data, kolom G (Nilai Retur), baris 2 sampai 31</t>
  </si>
  <si>
    <t xml:space="preserve">=E2*F2</t>
  </si>
  <si>
    <t xml:space="preserve">2</t>
  </si>
  <si>
    <t xml:space="preserve">Ambil persen restocking tiap retur dari tabel di sheet Acuan berdasarkan alasan (pencocokan persis).</t>
  </si>
  <si>
    <t xml:space="preserve">Sheet Data, kolom H (Persen Restocking), baris 2 sampai 31</t>
  </si>
  <si>
    <t xml:space="preserve">=VLOOKUP(D2;Acuan!$A$2:$B$6;2;FALSE)</t>
  </si>
  <si>
    <t xml:space="preserve">3</t>
  </si>
  <si>
    <t xml:space="preserve">Hitung potongan restocking dalam rupiah: nilai retur dikali persen restocking, dibulatkan ke rupiah.</t>
  </si>
  <si>
    <t xml:space="preserve">Sheet Data, kolom I (Potongan Restocking), baris 2 sampai 31</t>
  </si>
  <si>
    <t xml:space="preserve">=ROUND(G2*H2;0)</t>
  </si>
  <si>
    <t xml:space="preserve">4</t>
  </si>
  <si>
    <t xml:space="preserve">Hitung nilai refund: nilai retur dikurangi potongan restocking.</t>
  </si>
  <si>
    <t xml:space="preserve">Sheet Data, kolom J (Nilai Refund), baris 2 sampai 31</t>
  </si>
  <si>
    <t xml:space="preserve">=G2-I2</t>
  </si>
  <si>
    <t xml:space="preserve">5</t>
  </si>
  <si>
    <t xml:space="preserve">Beri status Perlu Persetujuan bila nilai refund sama dengan atau lebih dari batas persetujuan. Selain itu Langsung Proses.</t>
  </si>
  <si>
    <t xml:space="preserve">Sheet Data, kolom K (Status Retur), baris 2 sampai 31</t>
  </si>
  <si>
    <t xml:space="preserve">=IF(J2&gt;=$N$2;"Perlu Persetujuan";"Langsung Proses")</t>
  </si>
  <si>
    <t xml:space="preserve">6</t>
  </si>
  <si>
    <t xml:space="preserve">Pada sheet Acuan, hitung jumlah retur untuk tiap alasan.</t>
  </si>
  <si>
    <t xml:space="preserve">Sheet Acuan, kolom C (Jumlah Retur), baris 2 sampai 6</t>
  </si>
  <si>
    <t xml:space="preserve">=COUNTIF(Data!$D$2:$D$31;A2)</t>
  </si>
  <si>
    <t xml:space="preserve">7</t>
  </si>
  <si>
    <t xml:space="preserve">Pada sheet Acuan, hitung total nilai refund untuk tiap alasan.</t>
  </si>
  <si>
    <t xml:space="preserve">Sheet Acuan, kolom D (Total Refund), baris 2 sampai 6</t>
  </si>
  <si>
    <t xml:space="preserve">=SUMIF(Data!$D$2:$D$31;A2;Data!$J$2:$J$31)</t>
  </si>
  <si>
    <t xml:space="preserve">8</t>
  </si>
  <si>
    <t xml:space="preserve">Berapa total nilai retur, total potongan restocking, dan total nilai refund?</t>
  </si>
  <si>
    <t xml:space="preserve">Sheet Ringkasan, sel C4 sampai C6</t>
  </si>
  <si>
    <t xml:space="preserve">=SUM(Data!$G$2:$G$31)
=SUM(Data!$I$2:$I$31)
=SUM(Data!$J$2:$J$31)</t>
  </si>
  <si>
    <t xml:space="preserve">9</t>
  </si>
  <si>
    <t xml:space="preserve">Berapa retur yang Perlu Persetujuan, dan berapa retur yang tidak dikenai potongan restocking?</t>
  </si>
  <si>
    <t xml:space="preserve">Sheet Ringkasan, sel C7 sampai C8</t>
  </si>
  <si>
    <t xml:space="preserve">=COUNTIF(Data!$K$2:$K$31;"Perlu Persetujuan")
=COUNTIF(Data!$I$2:$I$31;0)</t>
  </si>
  <si>
    <t xml:space="preserve">10</t>
  </si>
  <si>
    <t xml:space="preserve">Retur nomor berapa yang nilai refundnya terbesar, dan alasan apa yang total refundnya terbesar?</t>
  </si>
  <si>
    <t xml:space="preserve">Sheet Ringkasan, sel C9 sampai C10</t>
  </si>
  <si>
    <t xml:space="preserve">=INDEX(Data!$A$2:$A$31;MATCH(MAX(Data!$J$2:$J$31);Data!$J$2:$J$31;0))
=INDEX(Acuan!$A$2:$A$6;MATCH(MAX(Acuan!$D$2:$D$6);Acuan!$D$2:$D$6;0))</t>
  </si>
  <si>
    <t xml:space="preserve">11</t>
  </si>
  <si>
    <t xml:space="preserve">Berapa total potongan restocking yang dikenakan pemasok PT Mitra Sembako, dan berapa rata-rata nilai retur CV Sumber Pangan?</t>
  </si>
  <si>
    <t xml:space="preserve">Sheet Ringkasan, sel C11 sampai C12</t>
  </si>
  <si>
    <t xml:space="preserve">=SUMIF(Data!$B$2:$B$31;"PT Mitra Sembako";Data!$I$2:$I$31)
=AVERAGEIF(Data!$B$2:$B$31;"CV Sumber Pangan";Data!$G$2:$G$31)</t>
  </si>
  <si>
    <t xml:space="preserve">12</t>
  </si>
  <si>
    <t xml:space="preserve">Berapa retur alasan Kelebihan Pesanan yang Perlu Persetujuan, dan berapa jumlah barang terbanyak yang diretur dalam satu transaksi?</t>
  </si>
  <si>
    <t xml:space="preserve">Sheet Ringkasan, sel C13 sampai C14</t>
  </si>
  <si>
    <t xml:space="preserve">=COUNTIFS(Data!$D$2:$D$31;"Kelebihan Pesanan";Data!$K$2:$K$31;"Perlu Persetujuan")
=MAX(Data!$E$2:$E$31)</t>
  </si>
  <si>
    <t xml:space="preserve">No Retur</t>
  </si>
  <si>
    <t xml:space="preserve">Pemasok</t>
  </si>
  <si>
    <t xml:space="preserve">Barang</t>
  </si>
  <si>
    <t xml:space="preserve">Alasan</t>
  </si>
  <si>
    <t xml:space="preserve">Jumlah</t>
  </si>
  <si>
    <t xml:space="preserve">Harga Satuan</t>
  </si>
  <si>
    <t xml:space="preserve">Nilai Retur</t>
  </si>
  <si>
    <t xml:space="preserve">Persen Restocking</t>
  </si>
  <si>
    <t xml:space="preserve">Potongan Restocking</t>
  </si>
  <si>
    <t xml:space="preserve">Nilai Refund</t>
  </si>
  <si>
    <t xml:space="preserve">Status Retur</t>
  </si>
  <si>
    <t xml:space="preserve">Parameter</t>
  </si>
  <si>
    <t xml:space="preserve">Nilai</t>
  </si>
  <si>
    <t xml:space="preserve">Keterangan</t>
  </si>
  <si>
    <t xml:space="preserve">R-001</t>
  </si>
  <si>
    <t xml:space="preserve">CV Sumber Pangan</t>
  </si>
  <si>
    <t xml:space="preserve">Air mineral (dus)</t>
  </si>
  <si>
    <t xml:space="preserve">Barang Rusak</t>
  </si>
  <si>
    <t xml:space="preserve">Batas persetujuan</t>
  </si>
  <si>
    <t xml:space="preserve">Refund sebesar ini atau lebih perlu persetujuan pemilik</t>
  </si>
  <si>
    <t xml:space="preserve">R-002</t>
  </si>
  <si>
    <t xml:space="preserve">PT Mitra Sembako</t>
  </si>
  <si>
    <t xml:space="preserve">Tepung terigu 1 kg</t>
  </si>
  <si>
    <t xml:space="preserve">Salah Kirim</t>
  </si>
  <si>
    <t xml:space="preserve">R-003</t>
  </si>
  <si>
    <t xml:space="preserve">UD Karya Boga</t>
  </si>
  <si>
    <t xml:space="preserve">Susu UHT (dus)</t>
  </si>
  <si>
    <t xml:space="preserve">Tidak Sesuai Pesanan</t>
  </si>
  <si>
    <t xml:space="preserve">R-004</t>
  </si>
  <si>
    <t xml:space="preserve">PT Tirta Niaga</t>
  </si>
  <si>
    <t xml:space="preserve">Mi instan (dus)</t>
  </si>
  <si>
    <t xml:space="preserve">Kelebihan Pesanan</t>
  </si>
  <si>
    <t xml:space="preserve">R-005</t>
  </si>
  <si>
    <t xml:space="preserve">Gula pasir 1 kg</t>
  </si>
  <si>
    <t xml:space="preserve">Kemasan Terbuka</t>
  </si>
  <si>
    <t xml:space="preserve">R-006</t>
  </si>
  <si>
    <t xml:space="preserve">Minyak goreng 2 L</t>
  </si>
  <si>
    <t xml:space="preserve">R-007</t>
  </si>
  <si>
    <t xml:space="preserve">R-008</t>
  </si>
  <si>
    <t xml:space="preserve">Beras premium 5 kg</t>
  </si>
  <si>
    <t xml:space="preserve">R-009</t>
  </si>
  <si>
    <t xml:space="preserve">Biskuit kaleng</t>
  </si>
  <si>
    <t xml:space="preserve">R-010</t>
  </si>
  <si>
    <t xml:space="preserve">Kecap manis 600 ml</t>
  </si>
  <si>
    <t xml:space="preserve">R-011</t>
  </si>
  <si>
    <t xml:space="preserve">R-012</t>
  </si>
  <si>
    <t xml:space="preserve">R-013</t>
  </si>
  <si>
    <t xml:space="preserve">R-014</t>
  </si>
  <si>
    <t xml:space="preserve">Sabun cuci 800 g</t>
  </si>
  <si>
    <t xml:space="preserve">R-015</t>
  </si>
  <si>
    <t xml:space="preserve">R-016</t>
  </si>
  <si>
    <t xml:space="preserve">R-017</t>
  </si>
  <si>
    <t xml:space="preserve">R-018</t>
  </si>
  <si>
    <t xml:space="preserve">R-019</t>
  </si>
  <si>
    <t xml:space="preserve">R-020</t>
  </si>
  <si>
    <t xml:space="preserve">R-021</t>
  </si>
  <si>
    <t xml:space="preserve">R-022</t>
  </si>
  <si>
    <t xml:space="preserve">R-023</t>
  </si>
  <si>
    <t xml:space="preserve">R-024</t>
  </si>
  <si>
    <t xml:space="preserve">Teh celup (dus)</t>
  </si>
  <si>
    <t xml:space="preserve">R-025</t>
  </si>
  <si>
    <t xml:space="preserve">R-026</t>
  </si>
  <si>
    <t xml:space="preserve">R-027</t>
  </si>
  <si>
    <t xml:space="preserve">R-028</t>
  </si>
  <si>
    <t xml:space="preserve">Kopi bubuk 200 g</t>
  </si>
  <si>
    <t xml:space="preserve">R-029</t>
  </si>
  <si>
    <t xml:space="preserve">R-030</t>
  </si>
  <si>
    <t xml:space="preserve">Jumlah Retur</t>
  </si>
  <si>
    <t xml:space="preserve">Total Refund</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</si>
  <si>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</si>
  <si>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</si>
  <si>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</si>
  <si>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</si>
  <si>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</si>
  <si>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</si>
  <si>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Total nilai retur</t>
  </si>
  <si>
    <t xml:space="preserve">Rupiah, mis. Rp 12.000.000</t>
  </si>
  <si>
    <t xml:space="preserve">8b</t>
  </si>
  <si>
    <t xml:space="preserve">Total potongan restocking</t>
  </si>
  <si>
    <t xml:space="preserve">Rupiah, mis. Rp 900.000</t>
  </si>
  <si>
    <t xml:space="preserve">8c</t>
  </si>
  <si>
    <t xml:space="preserve">Total nilai refund</t>
  </si>
  <si>
    <t xml:space="preserve">Rupiah, mis. Rp 11.000.000</t>
  </si>
  <si>
    <t xml:space="preserve">9a</t>
  </si>
  <si>
    <t xml:space="preserve">Retur Perlu Persetujuan</t>
  </si>
  <si>
    <t xml:space="preserve">Angka bulat, mis. 11</t>
  </si>
  <si>
    <t xml:space="preserve">9b</t>
  </si>
  <si>
    <t xml:space="preserve">Retur tanpa potongan</t>
  </si>
  <si>
    <t xml:space="preserve">Angka bulat, mis. 14</t>
  </si>
  <si>
    <t xml:space="preserve">10a</t>
  </si>
  <si>
    <t xml:space="preserve">Retur dengan refund terbesar</t>
  </si>
  <si>
    <t xml:space="preserve">Teks: nomor retur</t>
  </si>
  <si>
    <t xml:space="preserve">10b</t>
  </si>
  <si>
    <t xml:space="preserve">Alasan dengan total refund terbesar</t>
  </si>
  <si>
    <t xml:space="preserve">Teks: alasan retur</t>
  </si>
  <si>
    <t xml:space="preserve">11a</t>
  </si>
  <si>
    <t xml:space="preserve">Total potongan PT Mitra Sembako</t>
  </si>
  <si>
    <t xml:space="preserve">Rupiah, mis. Rp 150.000</t>
  </si>
  <si>
    <t xml:space="preserve">11b</t>
  </si>
  <si>
    <t xml:space="preserve">Rata-rata nilai retur CV Sumber Pangan</t>
  </si>
  <si>
    <t xml:space="preserve">Rupiah, mis. Rp 400.000</t>
  </si>
  <si>
    <t xml:space="preserve">12a</t>
  </si>
  <si>
    <t xml:space="preserve">Kelebihan Pesanan yang Perlu Persetujuan</t>
  </si>
  <si>
    <t xml:space="preserve">Angka bulat, mis. 3</t>
  </si>
  <si>
    <t xml:space="preserve">12b</t>
  </si>
  <si>
    <t xml:space="preserve">Jumlah retur terbanyak dalam satu transaksi</t>
  </si>
  <si>
    <t xml:space="preserve">Angka bulat, mis. 25</t>
  </si>
</sst>
</file>

<file path=xl/styles.xml><?xml version="1.0" encoding="utf-8"?>
<styleSheet xmlns="http://schemas.openxmlformats.org/spreadsheetml/2006/main">
  <numFmts count="4">
    <numFmt numFmtId="164" formatCode="General"/>
    <numFmt numFmtId="165" formatCode="0"/>
    <numFmt numFmtId="166" formatCode="&quot;Rp &quot;#,##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9"/>
    <col collapsed="false" customWidth="true" hidden="false" outlineLevel="0" max="4" min="3" style="0" width="21"/>
    <col collapsed="false" customWidth="true" hidden="false" outlineLevel="0" max="5" min="5" style="0" width="9"/>
    <col collapsed="false" customWidth="true" hidden="false" outlineLevel="0" max="7" min="6" style="0" width="14"/>
    <col collapsed="false" customWidth="true" hidden="false" outlineLevel="0" max="8" min="8" style="0" width="18"/>
    <col collapsed="false" customWidth="true" hidden="false" outlineLevel="0" max="9" min="9" style="0" width="20"/>
    <col collapsed="false" customWidth="true" hidden="false" outlineLevel="0" max="10" min="10" style="0" width="14"/>
    <col collapsed="false" customWidth="true" hidden="false" outlineLevel="0" max="11" min="11" style="0" width="18"/>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71</v>
      </c>
      <c r="B1" s="11" t="s">
        <v>72</v>
      </c>
      <c r="C1" s="11" t="s">
        <v>73</v>
      </c>
      <c r="D1" s="11" t="s">
        <v>74</v>
      </c>
      <c r="E1" s="11" t="s">
        <v>75</v>
      </c>
      <c r="F1" s="11" t="s">
        <v>76</v>
      </c>
      <c r="G1" s="15" t="s">
        <v>77</v>
      </c>
      <c r="H1" s="15" t="s">
        <v>78</v>
      </c>
      <c r="I1" s="15" t="s">
        <v>79</v>
      </c>
      <c r="J1" s="15" t="s">
        <v>80</v>
      </c>
      <c r="K1" s="15" t="s">
        <v>81</v>
      </c>
      <c r="M1" s="16" t="s">
        <v>82</v>
      </c>
      <c r="N1" s="16" t="s">
        <v>83</v>
      </c>
      <c r="O1" s="16" t="s">
        <v>84</v>
      </c>
    </row>
    <row r="2" customFormat="false" ht="15" hidden="false" customHeight="false" outlineLevel="0" collapsed="false">
      <c r="A2" s="17" t="s">
        <v>85</v>
      </c>
      <c r="B2" s="17" t="s">
        <v>86</v>
      </c>
      <c r="C2" s="17" t="s">
        <v>87</v>
      </c>
      <c r="D2" s="17" t="s">
        <v>88</v>
      </c>
      <c r="E2" s="18" t="n">
        <v>10</v>
      </c>
      <c r="F2" s="19" t="n">
        <v>38000</v>
      </c>
      <c r="G2" s="20" t="n">
        <f aca="false">E2*F2</f>
        <v>380000</v>
      </c>
      <c r="H2" s="21" t="n">
        <f aca="false">VLOOKUP(D2,Acuan!$A$2:$B$6,2,FALSE())</f>
        <v>0</v>
      </c>
      <c r="I2" s="20" t="n">
        <f aca="false">ROUND(G2*H2,0)</f>
        <v>0</v>
      </c>
      <c r="J2" s="20" t="n">
        <f aca="false">G2-I2</f>
        <v>380000</v>
      </c>
      <c r="K2" s="22" t="str">
        <f aca="false">IF(J2&gt;=$N$2,"Perlu Persetujuan","Langsung Proses")</f>
        <v>Langsung Proses</v>
      </c>
      <c r="M2" s="23" t="s">
        <v>89</v>
      </c>
      <c r="N2" s="24" t="n">
        <v>500000</v>
      </c>
      <c r="O2" s="23" t="s">
        <v>90</v>
      </c>
    </row>
    <row r="3" customFormat="false" ht="15" hidden="false" customHeight="false" outlineLevel="0" collapsed="false">
      <c r="A3" s="17" t="s">
        <v>91</v>
      </c>
      <c r="B3" s="17" t="s">
        <v>92</v>
      </c>
      <c r="C3" s="17" t="s">
        <v>93</v>
      </c>
      <c r="D3" s="17" t="s">
        <v>94</v>
      </c>
      <c r="E3" s="18" t="n">
        <v>2</v>
      </c>
      <c r="F3" s="19" t="n">
        <v>12500</v>
      </c>
      <c r="G3" s="20" t="n">
        <f aca="false">E3*F3</f>
        <v>25000</v>
      </c>
      <c r="H3" s="21" t="n">
        <f aca="false">VLOOKUP(D3,Acuan!$A$2:$B$6,2,FALSE())</f>
        <v>0</v>
      </c>
      <c r="I3" s="20" t="n">
        <f aca="false">ROUND(G3*H3,0)</f>
        <v>0</v>
      </c>
      <c r="J3" s="20" t="n">
        <f aca="false">G3-I3</f>
        <v>25000</v>
      </c>
      <c r="K3" s="22" t="str">
        <f aca="false">IF(J3&gt;=$N$2,"Perlu Persetujuan","Langsung Proses")</f>
        <v>Langsung Proses</v>
      </c>
    </row>
    <row r="4" customFormat="false" ht="15" hidden="false" customHeight="false" outlineLevel="0" collapsed="false">
      <c r="A4" s="17" t="s">
        <v>95</v>
      </c>
      <c r="B4" s="17" t="s">
        <v>96</v>
      </c>
      <c r="C4" s="17" t="s">
        <v>97</v>
      </c>
      <c r="D4" s="17" t="s">
        <v>98</v>
      </c>
      <c r="E4" s="18" t="n">
        <v>3</v>
      </c>
      <c r="F4" s="19" t="n">
        <v>145000</v>
      </c>
      <c r="G4" s="20" t="n">
        <f aca="false">E4*F4</f>
        <v>435000</v>
      </c>
      <c r="H4" s="21" t="n">
        <f aca="false">VLOOKUP(D4,Acuan!$A$2:$B$6,2,FALSE())</f>
        <v>0.1</v>
      </c>
      <c r="I4" s="20" t="n">
        <f aca="false">ROUND(G4*H4,0)</f>
        <v>43500</v>
      </c>
      <c r="J4" s="20" t="n">
        <f aca="false">G4-I4</f>
        <v>391500</v>
      </c>
      <c r="K4" s="22" t="str">
        <f aca="false">IF(J4&gt;=$N$2,"Perlu Persetujuan","Langsung Proses")</f>
        <v>Langsung Proses</v>
      </c>
    </row>
    <row r="5" customFormat="false" ht="15" hidden="false" customHeight="false" outlineLevel="0" collapsed="false">
      <c r="A5" s="17" t="s">
        <v>99</v>
      </c>
      <c r="B5" s="17" t="s">
        <v>100</v>
      </c>
      <c r="C5" s="17" t="s">
        <v>101</v>
      </c>
      <c r="D5" s="17" t="s">
        <v>102</v>
      </c>
      <c r="E5" s="18" t="n">
        <v>8</v>
      </c>
      <c r="F5" s="19" t="n">
        <v>98000</v>
      </c>
      <c r="G5" s="20" t="n">
        <f aca="false">E5*F5</f>
        <v>784000</v>
      </c>
      <c r="H5" s="21" t="n">
        <f aca="false">VLOOKUP(D5,Acuan!$A$2:$B$6,2,FALSE())</f>
        <v>0.15</v>
      </c>
      <c r="I5" s="20" t="n">
        <f aca="false">ROUND(G5*H5,0)</f>
        <v>117600</v>
      </c>
      <c r="J5" s="20" t="n">
        <f aca="false">G5-I5</f>
        <v>666400</v>
      </c>
      <c r="K5" s="22" t="str">
        <f aca="false">IF(J5&gt;=$N$2,"Perlu Persetujuan","Langsung Proses")</f>
        <v>Perlu Persetujuan</v>
      </c>
    </row>
    <row r="6" customFormat="false" ht="15" hidden="false" customHeight="false" outlineLevel="0" collapsed="false">
      <c r="A6" s="17" t="s">
        <v>103</v>
      </c>
      <c r="B6" s="17" t="s">
        <v>86</v>
      </c>
      <c r="C6" s="17" t="s">
        <v>104</v>
      </c>
      <c r="D6" s="17" t="s">
        <v>105</v>
      </c>
      <c r="E6" s="18" t="n">
        <v>20</v>
      </c>
      <c r="F6" s="19" t="n">
        <v>17500</v>
      </c>
      <c r="G6" s="20" t="n">
        <f aca="false">E6*F6</f>
        <v>350000</v>
      </c>
      <c r="H6" s="21" t="n">
        <f aca="false">VLOOKUP(D6,Acuan!$A$2:$B$6,2,FALSE())</f>
        <v>0.2</v>
      </c>
      <c r="I6" s="20" t="n">
        <f aca="false">ROUND(G6*H6,0)</f>
        <v>70000</v>
      </c>
      <c r="J6" s="20" t="n">
        <f aca="false">G6-I6</f>
        <v>280000</v>
      </c>
      <c r="K6" s="22" t="str">
        <f aca="false">IF(J6&gt;=$N$2,"Perlu Persetujuan","Langsung Proses")</f>
        <v>Langsung Proses</v>
      </c>
    </row>
    <row r="7" customFormat="false" ht="15" hidden="false" customHeight="false" outlineLevel="0" collapsed="false">
      <c r="A7" s="17" t="s">
        <v>106</v>
      </c>
      <c r="B7" s="17" t="s">
        <v>92</v>
      </c>
      <c r="C7" s="17" t="s">
        <v>107</v>
      </c>
      <c r="D7" s="17" t="s">
        <v>88</v>
      </c>
      <c r="E7" s="18" t="n">
        <v>5</v>
      </c>
      <c r="F7" s="19" t="n">
        <v>36000</v>
      </c>
      <c r="G7" s="20" t="n">
        <f aca="false">E7*F7</f>
        <v>180000</v>
      </c>
      <c r="H7" s="21" t="n">
        <f aca="false">VLOOKUP(D7,Acuan!$A$2:$B$6,2,FALSE())</f>
        <v>0</v>
      </c>
      <c r="I7" s="20" t="n">
        <f aca="false">ROUND(G7*H7,0)</f>
        <v>0</v>
      </c>
      <c r="J7" s="20" t="n">
        <f aca="false">G7-I7</f>
        <v>180000</v>
      </c>
      <c r="K7" s="22" t="str">
        <f aca="false">IF(J7&gt;=$N$2,"Perlu Persetujuan","Langsung Proses")</f>
        <v>Langsung Proses</v>
      </c>
    </row>
    <row r="8" customFormat="false" ht="15" hidden="false" customHeight="false" outlineLevel="0" collapsed="false">
      <c r="A8" s="17" t="s">
        <v>108</v>
      </c>
      <c r="B8" s="17" t="s">
        <v>96</v>
      </c>
      <c r="C8" s="17" t="s">
        <v>97</v>
      </c>
      <c r="D8" s="17" t="s">
        <v>94</v>
      </c>
      <c r="E8" s="18" t="n">
        <v>8</v>
      </c>
      <c r="F8" s="19" t="n">
        <v>145000</v>
      </c>
      <c r="G8" s="20" t="n">
        <f aca="false">E8*F8</f>
        <v>1160000</v>
      </c>
      <c r="H8" s="21" t="n">
        <f aca="false">VLOOKUP(D8,Acuan!$A$2:$B$6,2,FALSE())</f>
        <v>0</v>
      </c>
      <c r="I8" s="20" t="n">
        <f aca="false">ROUND(G8*H8,0)</f>
        <v>0</v>
      </c>
      <c r="J8" s="20" t="n">
        <f aca="false">G8-I8</f>
        <v>1160000</v>
      </c>
      <c r="K8" s="22" t="str">
        <f aca="false">IF(J8&gt;=$N$2,"Perlu Persetujuan","Langsung Proses")</f>
        <v>Perlu Persetujuan</v>
      </c>
    </row>
    <row r="9" customFormat="false" ht="15" hidden="false" customHeight="false" outlineLevel="0" collapsed="false">
      <c r="A9" s="17" t="s">
        <v>109</v>
      </c>
      <c r="B9" s="17" t="s">
        <v>100</v>
      </c>
      <c r="C9" s="17" t="s">
        <v>110</v>
      </c>
      <c r="D9" s="17" t="s">
        <v>98</v>
      </c>
      <c r="E9" s="18" t="n">
        <v>15</v>
      </c>
      <c r="F9" s="19" t="n">
        <v>72000</v>
      </c>
      <c r="G9" s="20" t="n">
        <f aca="false">E9*F9</f>
        <v>1080000</v>
      </c>
      <c r="H9" s="21" t="n">
        <f aca="false">VLOOKUP(D9,Acuan!$A$2:$B$6,2,FALSE())</f>
        <v>0.1</v>
      </c>
      <c r="I9" s="20" t="n">
        <f aca="false">ROUND(G9*H9,0)</f>
        <v>108000</v>
      </c>
      <c r="J9" s="20" t="n">
        <f aca="false">G9-I9</f>
        <v>972000</v>
      </c>
      <c r="K9" s="22" t="str">
        <f aca="false">IF(J9&gt;=$N$2,"Perlu Persetujuan","Langsung Proses")</f>
        <v>Perlu Persetujuan</v>
      </c>
    </row>
    <row r="10" customFormat="false" ht="15" hidden="false" customHeight="false" outlineLevel="0" collapsed="false">
      <c r="A10" s="17" t="s">
        <v>111</v>
      </c>
      <c r="B10" s="17" t="s">
        <v>86</v>
      </c>
      <c r="C10" s="17" t="s">
        <v>112</v>
      </c>
      <c r="D10" s="17" t="s">
        <v>102</v>
      </c>
      <c r="E10" s="18" t="n">
        <v>12</v>
      </c>
      <c r="F10" s="19" t="n">
        <v>54000</v>
      </c>
      <c r="G10" s="20" t="n">
        <f aca="false">E10*F10</f>
        <v>648000</v>
      </c>
      <c r="H10" s="21" t="n">
        <f aca="false">VLOOKUP(D10,Acuan!$A$2:$B$6,2,FALSE())</f>
        <v>0.15</v>
      </c>
      <c r="I10" s="20" t="n">
        <f aca="false">ROUND(G10*H10,0)</f>
        <v>97200</v>
      </c>
      <c r="J10" s="20" t="n">
        <f aca="false">G10-I10</f>
        <v>550800</v>
      </c>
      <c r="K10" s="22" t="str">
        <f aca="false">IF(J10&gt;=$N$2,"Perlu Persetujuan","Langsung Proses")</f>
        <v>Perlu Persetujuan</v>
      </c>
    </row>
    <row r="11" customFormat="false" ht="15" hidden="false" customHeight="false" outlineLevel="0" collapsed="false">
      <c r="A11" s="17" t="s">
        <v>113</v>
      </c>
      <c r="B11" s="17" t="s">
        <v>92</v>
      </c>
      <c r="C11" s="17" t="s">
        <v>114</v>
      </c>
      <c r="D11" s="17" t="s">
        <v>105</v>
      </c>
      <c r="E11" s="18" t="n">
        <v>10</v>
      </c>
      <c r="F11" s="19" t="n">
        <v>19500</v>
      </c>
      <c r="G11" s="20" t="n">
        <f aca="false">E11*F11</f>
        <v>195000</v>
      </c>
      <c r="H11" s="21" t="n">
        <f aca="false">VLOOKUP(D11,Acuan!$A$2:$B$6,2,FALSE())</f>
        <v>0.2</v>
      </c>
      <c r="I11" s="20" t="n">
        <f aca="false">ROUND(G11*H11,0)</f>
        <v>39000</v>
      </c>
      <c r="J11" s="20" t="n">
        <f aca="false">G11-I11</f>
        <v>156000</v>
      </c>
      <c r="K11" s="22" t="str">
        <f aca="false">IF(J11&gt;=$N$2,"Perlu Persetujuan","Langsung Proses")</f>
        <v>Langsung Proses</v>
      </c>
    </row>
    <row r="12" customFormat="false" ht="15" hidden="false" customHeight="false" outlineLevel="0" collapsed="false">
      <c r="A12" s="17" t="s">
        <v>115</v>
      </c>
      <c r="B12" s="17" t="s">
        <v>96</v>
      </c>
      <c r="C12" s="17" t="s">
        <v>93</v>
      </c>
      <c r="D12" s="17" t="s">
        <v>88</v>
      </c>
      <c r="E12" s="18" t="n">
        <v>4</v>
      </c>
      <c r="F12" s="19" t="n">
        <v>12500</v>
      </c>
      <c r="G12" s="20" t="n">
        <f aca="false">E12*F12</f>
        <v>50000</v>
      </c>
      <c r="H12" s="21" t="n">
        <f aca="false">VLOOKUP(D12,Acuan!$A$2:$B$6,2,FALSE())</f>
        <v>0</v>
      </c>
      <c r="I12" s="20" t="n">
        <f aca="false">ROUND(G12*H12,0)</f>
        <v>0</v>
      </c>
      <c r="J12" s="20" t="n">
        <f aca="false">G12-I12</f>
        <v>50000</v>
      </c>
      <c r="K12" s="22" t="str">
        <f aca="false">IF(J12&gt;=$N$2,"Perlu Persetujuan","Langsung Proses")</f>
        <v>Langsung Proses</v>
      </c>
    </row>
    <row r="13" customFormat="false" ht="15" hidden="false" customHeight="false" outlineLevel="0" collapsed="false">
      <c r="A13" s="17" t="s">
        <v>116</v>
      </c>
      <c r="B13" s="17" t="s">
        <v>100</v>
      </c>
      <c r="C13" s="17" t="s">
        <v>114</v>
      </c>
      <c r="D13" s="17" t="s">
        <v>94</v>
      </c>
      <c r="E13" s="18" t="n">
        <v>20</v>
      </c>
      <c r="F13" s="19" t="n">
        <v>19500</v>
      </c>
      <c r="G13" s="20" t="n">
        <f aca="false">E13*F13</f>
        <v>390000</v>
      </c>
      <c r="H13" s="21" t="n">
        <f aca="false">VLOOKUP(D13,Acuan!$A$2:$B$6,2,FALSE())</f>
        <v>0</v>
      </c>
      <c r="I13" s="20" t="n">
        <f aca="false">ROUND(G13*H13,0)</f>
        <v>0</v>
      </c>
      <c r="J13" s="20" t="n">
        <f aca="false">G13-I13</f>
        <v>390000</v>
      </c>
      <c r="K13" s="22" t="str">
        <f aca="false">IF(J13&gt;=$N$2,"Perlu Persetujuan","Langsung Proses")</f>
        <v>Langsung Proses</v>
      </c>
    </row>
    <row r="14" customFormat="false" ht="15" hidden="false" customHeight="false" outlineLevel="0" collapsed="false">
      <c r="A14" s="17" t="s">
        <v>117</v>
      </c>
      <c r="B14" s="17" t="s">
        <v>86</v>
      </c>
      <c r="C14" s="17" t="s">
        <v>110</v>
      </c>
      <c r="D14" s="17" t="s">
        <v>98</v>
      </c>
      <c r="E14" s="18" t="n">
        <v>10</v>
      </c>
      <c r="F14" s="19" t="n">
        <v>72000</v>
      </c>
      <c r="G14" s="20" t="n">
        <f aca="false">E14*F14</f>
        <v>720000</v>
      </c>
      <c r="H14" s="21" t="n">
        <f aca="false">VLOOKUP(D14,Acuan!$A$2:$B$6,2,FALSE())</f>
        <v>0.1</v>
      </c>
      <c r="I14" s="20" t="n">
        <f aca="false">ROUND(G14*H14,0)</f>
        <v>72000</v>
      </c>
      <c r="J14" s="20" t="n">
        <f aca="false">G14-I14</f>
        <v>648000</v>
      </c>
      <c r="K14" s="22" t="str">
        <f aca="false">IF(J14&gt;=$N$2,"Perlu Persetujuan","Langsung Proses")</f>
        <v>Perlu Persetujuan</v>
      </c>
    </row>
    <row r="15" customFormat="false" ht="15" hidden="false" customHeight="false" outlineLevel="0" collapsed="false">
      <c r="A15" s="17" t="s">
        <v>118</v>
      </c>
      <c r="B15" s="17" t="s">
        <v>92</v>
      </c>
      <c r="C15" s="17" t="s">
        <v>119</v>
      </c>
      <c r="D15" s="17" t="s">
        <v>102</v>
      </c>
      <c r="E15" s="18" t="n">
        <v>4</v>
      </c>
      <c r="F15" s="19" t="n">
        <v>24500</v>
      </c>
      <c r="G15" s="20" t="n">
        <f aca="false">E15*F15</f>
        <v>98000</v>
      </c>
      <c r="H15" s="21" t="n">
        <f aca="false">VLOOKUP(D15,Acuan!$A$2:$B$6,2,FALSE())</f>
        <v>0.15</v>
      </c>
      <c r="I15" s="20" t="n">
        <f aca="false">ROUND(G15*H15,0)</f>
        <v>14700</v>
      </c>
      <c r="J15" s="20" t="n">
        <f aca="false">G15-I15</f>
        <v>83300</v>
      </c>
      <c r="K15" s="22" t="str">
        <f aca="false">IF(J15&gt;=$N$2,"Perlu Persetujuan","Langsung Proses")</f>
        <v>Langsung Proses</v>
      </c>
    </row>
    <row r="16" customFormat="false" ht="15" hidden="false" customHeight="false" outlineLevel="0" collapsed="false">
      <c r="A16" s="17" t="s">
        <v>120</v>
      </c>
      <c r="B16" s="17" t="s">
        <v>96</v>
      </c>
      <c r="C16" s="17" t="s">
        <v>97</v>
      </c>
      <c r="D16" s="17" t="s">
        <v>105</v>
      </c>
      <c r="E16" s="18" t="n">
        <v>1</v>
      </c>
      <c r="F16" s="19" t="n">
        <v>145000</v>
      </c>
      <c r="G16" s="20" t="n">
        <f aca="false">E16*F16</f>
        <v>145000</v>
      </c>
      <c r="H16" s="21" t="n">
        <f aca="false">VLOOKUP(D16,Acuan!$A$2:$B$6,2,FALSE())</f>
        <v>0.2</v>
      </c>
      <c r="I16" s="20" t="n">
        <f aca="false">ROUND(G16*H16,0)</f>
        <v>29000</v>
      </c>
      <c r="J16" s="20" t="n">
        <f aca="false">G16-I16</f>
        <v>116000</v>
      </c>
      <c r="K16" s="22" t="str">
        <f aca="false">IF(J16&gt;=$N$2,"Perlu Persetujuan","Langsung Proses")</f>
        <v>Langsung Proses</v>
      </c>
    </row>
    <row r="17" customFormat="false" ht="15" hidden="false" customHeight="false" outlineLevel="0" collapsed="false">
      <c r="A17" s="17" t="s">
        <v>121</v>
      </c>
      <c r="B17" s="17" t="s">
        <v>100</v>
      </c>
      <c r="C17" s="17" t="s">
        <v>107</v>
      </c>
      <c r="D17" s="17" t="s">
        <v>88</v>
      </c>
      <c r="E17" s="18" t="n">
        <v>8</v>
      </c>
      <c r="F17" s="19" t="n">
        <v>36000</v>
      </c>
      <c r="G17" s="20" t="n">
        <f aca="false">E17*F17</f>
        <v>288000</v>
      </c>
      <c r="H17" s="21" t="n">
        <f aca="false">VLOOKUP(D17,Acuan!$A$2:$B$6,2,FALSE())</f>
        <v>0</v>
      </c>
      <c r="I17" s="20" t="n">
        <f aca="false">ROUND(G17*H17,0)</f>
        <v>0</v>
      </c>
      <c r="J17" s="20" t="n">
        <f aca="false">G17-I17</f>
        <v>288000</v>
      </c>
      <c r="K17" s="22" t="str">
        <f aca="false">IF(J17&gt;=$N$2,"Perlu Persetujuan","Langsung Proses")</f>
        <v>Langsung Proses</v>
      </c>
    </row>
    <row r="18" customFormat="false" ht="15" hidden="false" customHeight="false" outlineLevel="0" collapsed="false">
      <c r="A18" s="17" t="s">
        <v>122</v>
      </c>
      <c r="B18" s="17" t="s">
        <v>86</v>
      </c>
      <c r="C18" s="17" t="s">
        <v>97</v>
      </c>
      <c r="D18" s="17" t="s">
        <v>94</v>
      </c>
      <c r="E18" s="18" t="n">
        <v>4</v>
      </c>
      <c r="F18" s="19" t="n">
        <v>145000</v>
      </c>
      <c r="G18" s="20" t="n">
        <f aca="false">E18*F18</f>
        <v>580000</v>
      </c>
      <c r="H18" s="21" t="n">
        <f aca="false">VLOOKUP(D18,Acuan!$A$2:$B$6,2,FALSE())</f>
        <v>0</v>
      </c>
      <c r="I18" s="20" t="n">
        <f aca="false">ROUND(G18*H18,0)</f>
        <v>0</v>
      </c>
      <c r="J18" s="20" t="n">
        <f aca="false">G18-I18</f>
        <v>580000</v>
      </c>
      <c r="K18" s="22" t="str">
        <f aca="false">IF(J18&gt;=$N$2,"Perlu Persetujuan","Langsung Proses")</f>
        <v>Perlu Persetujuan</v>
      </c>
    </row>
    <row r="19" customFormat="false" ht="15" hidden="false" customHeight="false" outlineLevel="0" collapsed="false">
      <c r="A19" s="17" t="s">
        <v>123</v>
      </c>
      <c r="B19" s="17" t="s">
        <v>92</v>
      </c>
      <c r="C19" s="17" t="s">
        <v>110</v>
      </c>
      <c r="D19" s="17" t="s">
        <v>98</v>
      </c>
      <c r="E19" s="18" t="n">
        <v>15</v>
      </c>
      <c r="F19" s="19" t="n">
        <v>72000</v>
      </c>
      <c r="G19" s="20" t="n">
        <f aca="false">E19*F19</f>
        <v>1080000</v>
      </c>
      <c r="H19" s="21" t="n">
        <f aca="false">VLOOKUP(D19,Acuan!$A$2:$B$6,2,FALSE())</f>
        <v>0.1</v>
      </c>
      <c r="I19" s="20" t="n">
        <f aca="false">ROUND(G19*H19,0)</f>
        <v>108000</v>
      </c>
      <c r="J19" s="20" t="n">
        <f aca="false">G19-I19</f>
        <v>972000</v>
      </c>
      <c r="K19" s="22" t="str">
        <f aca="false">IF(J19&gt;=$N$2,"Perlu Persetujuan","Langsung Proses")</f>
        <v>Perlu Persetujuan</v>
      </c>
    </row>
    <row r="20" customFormat="false" ht="15" hidden="false" customHeight="false" outlineLevel="0" collapsed="false">
      <c r="A20" s="17" t="s">
        <v>124</v>
      </c>
      <c r="B20" s="17" t="s">
        <v>96</v>
      </c>
      <c r="C20" s="17" t="s">
        <v>119</v>
      </c>
      <c r="D20" s="17" t="s">
        <v>102</v>
      </c>
      <c r="E20" s="18" t="n">
        <v>10</v>
      </c>
      <c r="F20" s="19" t="n">
        <v>24500</v>
      </c>
      <c r="G20" s="20" t="n">
        <f aca="false">E20*F20</f>
        <v>245000</v>
      </c>
      <c r="H20" s="21" t="n">
        <f aca="false">VLOOKUP(D20,Acuan!$A$2:$B$6,2,FALSE())</f>
        <v>0.15</v>
      </c>
      <c r="I20" s="20" t="n">
        <f aca="false">ROUND(G20*H20,0)</f>
        <v>36750</v>
      </c>
      <c r="J20" s="20" t="n">
        <f aca="false">G20-I20</f>
        <v>208250</v>
      </c>
      <c r="K20" s="22" t="str">
        <f aca="false">IF(J20&gt;=$N$2,"Perlu Persetujuan","Langsung Proses")</f>
        <v>Langsung Proses</v>
      </c>
    </row>
    <row r="21" customFormat="false" ht="15" hidden="false" customHeight="false" outlineLevel="0" collapsed="false">
      <c r="A21" s="17" t="s">
        <v>125</v>
      </c>
      <c r="B21" s="17" t="s">
        <v>100</v>
      </c>
      <c r="C21" s="17" t="s">
        <v>119</v>
      </c>
      <c r="D21" s="17" t="s">
        <v>105</v>
      </c>
      <c r="E21" s="18" t="n">
        <v>10</v>
      </c>
      <c r="F21" s="19" t="n">
        <v>24500</v>
      </c>
      <c r="G21" s="20" t="n">
        <f aca="false">E21*F21</f>
        <v>245000</v>
      </c>
      <c r="H21" s="21" t="n">
        <f aca="false">VLOOKUP(D21,Acuan!$A$2:$B$6,2,FALSE())</f>
        <v>0.2</v>
      </c>
      <c r="I21" s="20" t="n">
        <f aca="false">ROUND(G21*H21,0)</f>
        <v>49000</v>
      </c>
      <c r="J21" s="20" t="n">
        <f aca="false">G21-I21</f>
        <v>196000</v>
      </c>
      <c r="K21" s="22" t="str">
        <f aca="false">IF(J21&gt;=$N$2,"Perlu Persetujuan","Langsung Proses")</f>
        <v>Langsung Proses</v>
      </c>
    </row>
    <row r="22" customFormat="false" ht="15" hidden="false" customHeight="false" outlineLevel="0" collapsed="false">
      <c r="A22" s="17" t="s">
        <v>126</v>
      </c>
      <c r="B22" s="17" t="s">
        <v>86</v>
      </c>
      <c r="C22" s="17" t="s">
        <v>97</v>
      </c>
      <c r="D22" s="17" t="s">
        <v>88</v>
      </c>
      <c r="E22" s="18" t="n">
        <v>6</v>
      </c>
      <c r="F22" s="19" t="n">
        <v>145000</v>
      </c>
      <c r="G22" s="20" t="n">
        <f aca="false">E22*F22</f>
        <v>870000</v>
      </c>
      <c r="H22" s="21" t="n">
        <f aca="false">VLOOKUP(D22,Acuan!$A$2:$B$6,2,FALSE())</f>
        <v>0</v>
      </c>
      <c r="I22" s="20" t="n">
        <f aca="false">ROUND(G22*H22,0)</f>
        <v>0</v>
      </c>
      <c r="J22" s="20" t="n">
        <f aca="false">G22-I22</f>
        <v>870000</v>
      </c>
      <c r="K22" s="22" t="str">
        <f aca="false">IF(J22&gt;=$N$2,"Perlu Persetujuan","Langsung Proses")</f>
        <v>Perlu Persetujuan</v>
      </c>
    </row>
    <row r="23" customFormat="false" ht="15" hidden="false" customHeight="false" outlineLevel="0" collapsed="false">
      <c r="A23" s="17" t="s">
        <v>127</v>
      </c>
      <c r="B23" s="17" t="s">
        <v>92</v>
      </c>
      <c r="C23" s="17" t="s">
        <v>101</v>
      </c>
      <c r="D23" s="17" t="s">
        <v>94</v>
      </c>
      <c r="E23" s="18" t="n">
        <v>8</v>
      </c>
      <c r="F23" s="19" t="n">
        <v>98000</v>
      </c>
      <c r="G23" s="20" t="n">
        <f aca="false">E23*F23</f>
        <v>784000</v>
      </c>
      <c r="H23" s="21" t="n">
        <f aca="false">VLOOKUP(D23,Acuan!$A$2:$B$6,2,FALSE())</f>
        <v>0</v>
      </c>
      <c r="I23" s="20" t="n">
        <f aca="false">ROUND(G23*H23,0)</f>
        <v>0</v>
      </c>
      <c r="J23" s="20" t="n">
        <f aca="false">G23-I23</f>
        <v>784000</v>
      </c>
      <c r="K23" s="22" t="str">
        <f aca="false">IF(J23&gt;=$N$2,"Perlu Persetujuan","Langsung Proses")</f>
        <v>Perlu Persetujuan</v>
      </c>
    </row>
    <row r="24" customFormat="false" ht="15" hidden="false" customHeight="false" outlineLevel="0" collapsed="false">
      <c r="A24" s="17" t="s">
        <v>128</v>
      </c>
      <c r="B24" s="17" t="s">
        <v>96</v>
      </c>
      <c r="C24" s="17" t="s">
        <v>101</v>
      </c>
      <c r="D24" s="17" t="s">
        <v>98</v>
      </c>
      <c r="E24" s="18" t="n">
        <v>10</v>
      </c>
      <c r="F24" s="19" t="n">
        <v>98000</v>
      </c>
      <c r="G24" s="20" t="n">
        <f aca="false">E24*F24</f>
        <v>980000</v>
      </c>
      <c r="H24" s="21" t="n">
        <f aca="false">VLOOKUP(D24,Acuan!$A$2:$B$6,2,FALSE())</f>
        <v>0.1</v>
      </c>
      <c r="I24" s="20" t="n">
        <f aca="false">ROUND(G24*H24,0)</f>
        <v>98000</v>
      </c>
      <c r="J24" s="20" t="n">
        <f aca="false">G24-I24</f>
        <v>882000</v>
      </c>
      <c r="K24" s="22" t="str">
        <f aca="false">IF(J24&gt;=$N$2,"Perlu Persetujuan","Langsung Proses")</f>
        <v>Perlu Persetujuan</v>
      </c>
    </row>
    <row r="25" customFormat="false" ht="15" hidden="false" customHeight="false" outlineLevel="0" collapsed="false">
      <c r="A25" s="17" t="s">
        <v>129</v>
      </c>
      <c r="B25" s="17" t="s">
        <v>100</v>
      </c>
      <c r="C25" s="17" t="s">
        <v>130</v>
      </c>
      <c r="D25" s="17" t="s">
        <v>102</v>
      </c>
      <c r="E25" s="18" t="n">
        <v>6</v>
      </c>
      <c r="F25" s="19" t="n">
        <v>68000</v>
      </c>
      <c r="G25" s="20" t="n">
        <f aca="false">E25*F25</f>
        <v>408000</v>
      </c>
      <c r="H25" s="21" t="n">
        <f aca="false">VLOOKUP(D25,Acuan!$A$2:$B$6,2,FALSE())</f>
        <v>0.15</v>
      </c>
      <c r="I25" s="20" t="n">
        <f aca="false">ROUND(G25*H25,0)</f>
        <v>61200</v>
      </c>
      <c r="J25" s="20" t="n">
        <f aca="false">G25-I25</f>
        <v>346800</v>
      </c>
      <c r="K25" s="22" t="str">
        <f aca="false">IF(J25&gt;=$N$2,"Perlu Persetujuan","Langsung Proses")</f>
        <v>Langsung Proses</v>
      </c>
    </row>
    <row r="26" customFormat="false" ht="15" hidden="false" customHeight="false" outlineLevel="0" collapsed="false">
      <c r="A26" s="17" t="s">
        <v>131</v>
      </c>
      <c r="B26" s="17" t="s">
        <v>86</v>
      </c>
      <c r="C26" s="17" t="s">
        <v>101</v>
      </c>
      <c r="D26" s="17" t="s">
        <v>105</v>
      </c>
      <c r="E26" s="18" t="n">
        <v>20</v>
      </c>
      <c r="F26" s="19" t="n">
        <v>98000</v>
      </c>
      <c r="G26" s="20" t="n">
        <f aca="false">E26*F26</f>
        <v>1960000</v>
      </c>
      <c r="H26" s="21" t="n">
        <f aca="false">VLOOKUP(D26,Acuan!$A$2:$B$6,2,FALSE())</f>
        <v>0.2</v>
      </c>
      <c r="I26" s="20" t="n">
        <f aca="false">ROUND(G26*H26,0)</f>
        <v>392000</v>
      </c>
      <c r="J26" s="20" t="n">
        <f aca="false">G26-I26</f>
        <v>1568000</v>
      </c>
      <c r="K26" s="22" t="str">
        <f aca="false">IF(J26&gt;=$N$2,"Perlu Persetujuan","Langsung Proses")</f>
        <v>Perlu Persetujuan</v>
      </c>
    </row>
    <row r="27" customFormat="false" ht="15" hidden="false" customHeight="false" outlineLevel="0" collapsed="false">
      <c r="A27" s="17" t="s">
        <v>132</v>
      </c>
      <c r="B27" s="17" t="s">
        <v>92</v>
      </c>
      <c r="C27" s="17" t="s">
        <v>107</v>
      </c>
      <c r="D27" s="17" t="s">
        <v>102</v>
      </c>
      <c r="E27" s="18" t="n">
        <v>10</v>
      </c>
      <c r="F27" s="19" t="n">
        <v>36000</v>
      </c>
      <c r="G27" s="20" t="n">
        <f aca="false">E27*F27</f>
        <v>360000</v>
      </c>
      <c r="H27" s="21" t="n">
        <f aca="false">VLOOKUP(D27,Acuan!$A$2:$B$6,2,FALSE())</f>
        <v>0.15</v>
      </c>
      <c r="I27" s="20" t="n">
        <f aca="false">ROUND(G27*H27,0)</f>
        <v>54000</v>
      </c>
      <c r="J27" s="20" t="n">
        <f aca="false">G27-I27</f>
        <v>306000</v>
      </c>
      <c r="K27" s="22" t="str">
        <f aca="false">IF(J27&gt;=$N$2,"Perlu Persetujuan","Langsung Proses")</f>
        <v>Langsung Proses</v>
      </c>
    </row>
    <row r="28" customFormat="false" ht="15" hidden="false" customHeight="false" outlineLevel="0" collapsed="false">
      <c r="A28" s="17" t="s">
        <v>133</v>
      </c>
      <c r="B28" s="17" t="s">
        <v>96</v>
      </c>
      <c r="C28" s="17" t="s">
        <v>97</v>
      </c>
      <c r="D28" s="17" t="s">
        <v>94</v>
      </c>
      <c r="E28" s="18" t="n">
        <v>20</v>
      </c>
      <c r="F28" s="19" t="n">
        <v>145000</v>
      </c>
      <c r="G28" s="20" t="n">
        <f aca="false">E28*F28</f>
        <v>2900000</v>
      </c>
      <c r="H28" s="21" t="n">
        <f aca="false">VLOOKUP(D28,Acuan!$A$2:$B$6,2,FALSE())</f>
        <v>0</v>
      </c>
      <c r="I28" s="20" t="n">
        <f aca="false">ROUND(G28*H28,0)</f>
        <v>0</v>
      </c>
      <c r="J28" s="20" t="n">
        <f aca="false">G28-I28</f>
        <v>2900000</v>
      </c>
      <c r="K28" s="22" t="str">
        <f aca="false">IF(J28&gt;=$N$2,"Perlu Persetujuan","Langsung Proses")</f>
        <v>Perlu Persetujuan</v>
      </c>
    </row>
    <row r="29" customFormat="false" ht="15" hidden="false" customHeight="false" outlineLevel="0" collapsed="false">
      <c r="A29" s="17" t="s">
        <v>134</v>
      </c>
      <c r="B29" s="17" t="s">
        <v>100</v>
      </c>
      <c r="C29" s="17" t="s">
        <v>135</v>
      </c>
      <c r="D29" s="17" t="s">
        <v>98</v>
      </c>
      <c r="E29" s="18" t="n">
        <v>1</v>
      </c>
      <c r="F29" s="19" t="n">
        <v>21000</v>
      </c>
      <c r="G29" s="20" t="n">
        <f aca="false">E29*F29</f>
        <v>21000</v>
      </c>
      <c r="H29" s="21" t="n">
        <f aca="false">VLOOKUP(D29,Acuan!$A$2:$B$6,2,FALSE())</f>
        <v>0.1</v>
      </c>
      <c r="I29" s="20" t="n">
        <f aca="false">ROUND(G29*H29,0)</f>
        <v>2100</v>
      </c>
      <c r="J29" s="20" t="n">
        <f aca="false">G29-I29</f>
        <v>18900</v>
      </c>
      <c r="K29" s="22" t="str">
        <f aca="false">IF(J29&gt;=$N$2,"Perlu Persetujuan","Langsung Proses")</f>
        <v>Langsung Proses</v>
      </c>
    </row>
    <row r="30" customFormat="false" ht="15" hidden="false" customHeight="false" outlineLevel="0" collapsed="false">
      <c r="A30" s="17" t="s">
        <v>136</v>
      </c>
      <c r="B30" s="17" t="s">
        <v>96</v>
      </c>
      <c r="C30" s="17" t="s">
        <v>135</v>
      </c>
      <c r="D30" s="17" t="s">
        <v>88</v>
      </c>
      <c r="E30" s="18" t="n">
        <v>5</v>
      </c>
      <c r="F30" s="19" t="n">
        <v>21000</v>
      </c>
      <c r="G30" s="20" t="n">
        <f aca="false">E30*F30</f>
        <v>105000</v>
      </c>
      <c r="H30" s="21" t="n">
        <f aca="false">VLOOKUP(D30,Acuan!$A$2:$B$6,2,FALSE())</f>
        <v>0</v>
      </c>
      <c r="I30" s="20" t="n">
        <f aca="false">ROUND(G30*H30,0)</f>
        <v>0</v>
      </c>
      <c r="J30" s="20" t="n">
        <f aca="false">G30-I30</f>
        <v>105000</v>
      </c>
      <c r="K30" s="22" t="str">
        <f aca="false">IF(J30&gt;=$N$2,"Perlu Persetujuan","Langsung Proses")</f>
        <v>Langsung Proses</v>
      </c>
    </row>
    <row r="31" customFormat="false" ht="15" hidden="false" customHeight="false" outlineLevel="0" collapsed="false">
      <c r="A31" s="17" t="s">
        <v>137</v>
      </c>
      <c r="B31" s="17" t="s">
        <v>96</v>
      </c>
      <c r="C31" s="17" t="s">
        <v>87</v>
      </c>
      <c r="D31" s="17" t="s">
        <v>88</v>
      </c>
      <c r="E31" s="18" t="n">
        <v>4</v>
      </c>
      <c r="F31" s="19" t="n">
        <v>38000</v>
      </c>
      <c r="G31" s="20" t="n">
        <f aca="false">E31*F31</f>
        <v>152000</v>
      </c>
      <c r="H31" s="21" t="n">
        <f aca="false">VLOOKUP(D31,Acuan!$A$2:$B$6,2,FALSE())</f>
        <v>0</v>
      </c>
      <c r="I31" s="20" t="n">
        <f aca="false">ROUND(G31*H31,0)</f>
        <v>0</v>
      </c>
      <c r="J31" s="20" t="n">
        <f aca="false">G31-I31</f>
        <v>152000</v>
      </c>
      <c r="K31" s="22" t="str">
        <f aca="false">IF(J31&gt;=$N$2,"Perlu Persetujuan","Langsung Proses")</f>
        <v>Langsung Proses</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18"/>
    <col collapsed="false" customWidth="true" hidden="false" outlineLevel="0" max="3" min="3" style="0" width="14"/>
    <col collapsed="false" customWidth="true" hidden="false" outlineLevel="0" max="4" min="4" style="0" width="15"/>
  </cols>
  <sheetData>
    <row r="1" customFormat="false" ht="33.75" hidden="false" customHeight="true" outlineLevel="0" collapsed="false">
      <c r="A1" s="11" t="s">
        <v>74</v>
      </c>
      <c r="B1" s="11" t="s">
        <v>78</v>
      </c>
      <c r="C1" s="15" t="s">
        <v>138</v>
      </c>
      <c r="D1" s="15" t="s">
        <v>139</v>
      </c>
    </row>
    <row r="2" customFormat="false" ht="15" hidden="false" customHeight="false" outlineLevel="0" collapsed="false">
      <c r="A2" s="17" t="s">
        <v>88</v>
      </c>
      <c r="B2" s="25" t="n">
        <v>0</v>
      </c>
      <c r="C2" s="26" t="n">
        <f aca="false">COUNTIF(Data!$D$2:$D$31,A2)</f>
        <v>7</v>
      </c>
      <c r="D2" s="20" t="n">
        <f aca="false">SUMIF(Data!$D$2:$D$31,A2,Data!$J$2:$J$31)</f>
        <v>2025000</v>
      </c>
    </row>
    <row r="3" customFormat="false" ht="15" hidden="false" customHeight="false" outlineLevel="0" collapsed="false">
      <c r="A3" s="17" t="s">
        <v>94</v>
      </c>
      <c r="B3" s="25" t="n">
        <v>0</v>
      </c>
      <c r="C3" s="26" t="n">
        <f aca="false">COUNTIF(Data!$D$2:$D$31,A3)</f>
        <v>6</v>
      </c>
      <c r="D3" s="20" t="n">
        <f aca="false">SUMIF(Data!$D$2:$D$31,A3,Data!$J$2:$J$31)</f>
        <v>5839000</v>
      </c>
    </row>
    <row r="4" customFormat="false" ht="15" hidden="false" customHeight="false" outlineLevel="0" collapsed="false">
      <c r="A4" s="17" t="s">
        <v>98</v>
      </c>
      <c r="B4" s="25" t="n">
        <v>0.1</v>
      </c>
      <c r="C4" s="26" t="n">
        <f aca="false">COUNTIF(Data!$D$2:$D$31,A4)</f>
        <v>6</v>
      </c>
      <c r="D4" s="20" t="n">
        <f aca="false">SUMIF(Data!$D$2:$D$31,A4,Data!$J$2:$J$31)</f>
        <v>3884400</v>
      </c>
    </row>
    <row r="5" customFormat="false" ht="15" hidden="false" customHeight="false" outlineLevel="0" collapsed="false">
      <c r="A5" s="17" t="s">
        <v>102</v>
      </c>
      <c r="B5" s="25" t="n">
        <v>0.15</v>
      </c>
      <c r="C5" s="26" t="n">
        <f aca="false">COUNTIF(Data!$D$2:$D$31,A5)</f>
        <v>6</v>
      </c>
      <c r="D5" s="20" t="n">
        <f aca="false">SUMIF(Data!$D$2:$D$31,A5,Data!$J$2:$J$31)</f>
        <v>2161550</v>
      </c>
    </row>
    <row r="6" customFormat="false" ht="15" hidden="false" customHeight="false" outlineLevel="0" collapsed="false">
      <c r="A6" s="17" t="s">
        <v>105</v>
      </c>
      <c r="B6" s="25" t="n">
        <v>0.2</v>
      </c>
      <c r="C6" s="26" t="n">
        <f aca="false">COUNTIF(Data!$D$2:$D$31,A6)</f>
        <v>5</v>
      </c>
      <c r="D6" s="20" t="n">
        <f aca="false">SUMIF(Data!$D$2:$D$31,A6,Data!$J$2:$J$31)</f>
        <v>2316000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140</v>
      </c>
      <c r="B1" s="27"/>
      <c r="C1" s="27"/>
      <c r="D1" s="27"/>
    </row>
    <row r="2" customFormat="false" ht="15" hidden="false" customHeight="false" outlineLevel="0" collapsed="false">
      <c r="A2" s="28" t="s">
        <v>141</v>
      </c>
      <c r="B2" s="28"/>
      <c r="C2" s="28"/>
      <c r="D2" s="28"/>
    </row>
    <row r="3" customFormat="false" ht="15" hidden="false" customHeight="false" outlineLevel="0" collapsed="false">
      <c r="A3" s="11" t="s">
        <v>19</v>
      </c>
      <c r="B3" s="11" t="s">
        <v>142</v>
      </c>
      <c r="C3" s="11" t="s">
        <v>143</v>
      </c>
      <c r="D3" s="11" t="s">
        <v>144</v>
      </c>
    </row>
    <row r="4" customFormat="false" ht="15" hidden="false" customHeight="false" outlineLevel="0" collapsed="false">
      <c r="A4" s="29" t="s">
        <v>145</v>
      </c>
      <c r="B4" s="30" t="s">
        <v>146</v>
      </c>
      <c r="C4" s="20" t="n">
        <f aca="false">SUM(Data!$G$2:$G$31)</f>
        <v>17618000</v>
      </c>
      <c r="D4" s="31" t="s">
        <v>147</v>
      </c>
    </row>
    <row r="5" customFormat="false" ht="15" hidden="false" customHeight="false" outlineLevel="0" collapsed="false">
      <c r="A5" s="29" t="s">
        <v>148</v>
      </c>
      <c r="B5" s="30" t="s">
        <v>149</v>
      </c>
      <c r="C5" s="20" t="n">
        <f aca="false">SUM(Data!$I$2:$I$31)</f>
        <v>1392050</v>
      </c>
      <c r="D5" s="31" t="s">
        <v>150</v>
      </c>
    </row>
    <row r="6" customFormat="false" ht="15" hidden="false" customHeight="false" outlineLevel="0" collapsed="false">
      <c r="A6" s="29" t="s">
        <v>151</v>
      </c>
      <c r="B6" s="30" t="s">
        <v>152</v>
      </c>
      <c r="C6" s="20" t="n">
        <f aca="false">SUM(Data!$J$2:$J$31)</f>
        <v>16225950</v>
      </c>
      <c r="D6" s="31" t="s">
        <v>153</v>
      </c>
    </row>
    <row r="7" customFormat="false" ht="15" hidden="false" customHeight="false" outlineLevel="0" collapsed="false">
      <c r="A7" s="29" t="s">
        <v>154</v>
      </c>
      <c r="B7" s="30" t="s">
        <v>155</v>
      </c>
      <c r="C7" s="26" t="n">
        <f aca="false">COUNTIF(Data!$K$2:$K$31,"Perlu Persetujuan")</f>
        <v>12</v>
      </c>
      <c r="D7" s="31" t="s">
        <v>156</v>
      </c>
    </row>
    <row r="8" customFormat="false" ht="15" hidden="false" customHeight="false" outlineLevel="0" collapsed="false">
      <c r="A8" s="29" t="s">
        <v>157</v>
      </c>
      <c r="B8" s="30" t="s">
        <v>158</v>
      </c>
      <c r="C8" s="26" t="n">
        <f aca="false">COUNTIF(Data!$I$2:$I$31,0)</f>
        <v>13</v>
      </c>
      <c r="D8" s="31" t="s">
        <v>159</v>
      </c>
    </row>
    <row r="9" customFormat="false" ht="15" hidden="false" customHeight="false" outlineLevel="0" collapsed="false">
      <c r="A9" s="29" t="s">
        <v>160</v>
      </c>
      <c r="B9" s="30" t="s">
        <v>161</v>
      </c>
      <c r="C9" s="22" t="str">
        <f aca="false">INDEX(Data!$A$2:$A$31,MATCH(MAX(Data!$J$2:$J$31),Data!$J$2:$J$31,0))</f>
        <v>R-027</v>
      </c>
      <c r="D9" s="31" t="s">
        <v>162</v>
      </c>
    </row>
    <row r="10" customFormat="false" ht="15" hidden="false" customHeight="false" outlineLevel="0" collapsed="false">
      <c r="A10" s="29" t="s">
        <v>163</v>
      </c>
      <c r="B10" s="30" t="s">
        <v>164</v>
      </c>
      <c r="C10" s="22" t="str">
        <f aca="false">INDEX(Acuan!$A$2:$A$6,MATCH(MAX(Acuan!$D$2:$D$6),Acuan!$D$2:$D$6,0))</f>
        <v>Salah Kirim</v>
      </c>
      <c r="D10" s="31" t="s">
        <v>165</v>
      </c>
    </row>
    <row r="11" customFormat="false" ht="15" hidden="false" customHeight="false" outlineLevel="0" collapsed="false">
      <c r="A11" s="29" t="s">
        <v>166</v>
      </c>
      <c r="B11" s="30" t="s">
        <v>167</v>
      </c>
      <c r="C11" s="20" t="n">
        <f aca="false">SUMIF(Data!$B$2:$B$31,"PT Mitra Sembako",Data!$I$2:$I$31)</f>
        <v>215700</v>
      </c>
      <c r="D11" s="31" t="s">
        <v>168</v>
      </c>
    </row>
    <row r="12" customFormat="false" ht="15" hidden="false" customHeight="false" outlineLevel="0" collapsed="false">
      <c r="A12" s="29" t="s">
        <v>169</v>
      </c>
      <c r="B12" s="30" t="s">
        <v>170</v>
      </c>
      <c r="C12" s="20" t="n">
        <f aca="false">AVERAGEIF(Data!$B$2:$B$31,"CV Sumber Pangan",Data!$G$2:$G$31)</f>
        <v>786857.142857143</v>
      </c>
      <c r="D12" s="31" t="s">
        <v>171</v>
      </c>
    </row>
    <row r="13" customFormat="false" ht="15" hidden="false" customHeight="false" outlineLevel="0" collapsed="false">
      <c r="A13" s="29" t="s">
        <v>172</v>
      </c>
      <c r="B13" s="30" t="s">
        <v>173</v>
      </c>
      <c r="C13" s="26" t="n">
        <f aca="false">COUNTIFS(Data!$D$2:$D$31,"Kelebihan Pesanan",Data!$K$2:$K$31,"Perlu Persetujuan")</f>
        <v>2</v>
      </c>
      <c r="D13" s="31" t="s">
        <v>174</v>
      </c>
    </row>
    <row r="14" customFormat="false" ht="15" hidden="false" customHeight="false" outlineLevel="0" collapsed="false">
      <c r="A14" s="29" t="s">
        <v>175</v>
      </c>
      <c r="B14" s="30" t="s">
        <v>176</v>
      </c>
      <c r="C14" s="26" t="n">
        <f aca="false">MAX(Data!$E$2:$E$31)</f>
        <v>20</v>
      </c>
      <c r="D14" s="31" t="s">
        <v>177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2026-10-16T23:46:33Z</dcterms:created>
  <dc:creator>PushExcel</dc:creator>
  <dc:description/>
  <dc:language>en-US</dc:language>
  <cp:lastModifiedBy/>
  <dcterms:modified xsi:type="dcterms:W3CDTF">2026-10-16T23:46:33Z</dcterms:modified>
  <cp:revision>0</cp:revision>
  <dc:subject/>
  <dc:title>Retur Pembelian Barang: Restocking dan Refund - Kunci</dc:title>
</cp:coreProperties>
</file>

<file path=docProps/custom.xml><?xml version="1.0" encoding="utf-8"?>
<Properties xmlns="http://schemas.openxmlformats.org/officeDocument/2006/custom-properties" xmlns:vt="http://schemas.openxmlformats.org/officeDocument/2006/docPropsVTypes"/>
</file>