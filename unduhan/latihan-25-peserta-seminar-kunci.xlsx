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<sst xmlns="http://schemas.openxmlformats.org/spreadsheetml/2006/main" count="200" uniqueCount="148">
  <si>
    <t xml:space="preserve">Kunci Jawaban: Rekap Pendaftaran dan Kehadiran Peserta Seminar</t>
  </si>
  <si>
    <t xml:space="preserve">Latihan 25 dari 56  |  Tingkat: Pemula  |  Perkiraan waktu: 35 menit  |  pushexcel.github.io/Pushexcel</t>
  </si>
  <si>
    <t xml:space="preserve">Skenario</t>
  </si>
  <si>
    <t xml:space="preserve">Kamu admin panitia Seminar Literasi Digital UMKM yang diadakan 24 Oktober 2026. Ada 24 pendaftar. Tiket umum berharga Rp 150.000, mahasiswa mendapat potongan 50 persen, dan siapa pun yang mendaftar sampai 20 September 2026 mendapat diskon early bird 10 persen. Setelah acara, peserta yang hadir berhak atas sertifikat. Kamu menyusun rekap untuk ketua panitia.</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</si>
  <si>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</si>
  <si>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</si>
  <si>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</si>
  <si>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</si>
  <si>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</si>
  <si>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</si>
  <si>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</si>
  <si>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</si>
  <si>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</si>
  <si>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</si>
  <si>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</si>
  <si>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</si>
  <si>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</si>
  <si>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</si>
  <si>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</si>
  <si>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</si>
  <si>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</si>
  <si>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</si>
  <si>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</si>
  <si>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</si>
  <si>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Tentukan harga per tiket: mahasiswa membayar harga umum dikurangi diskon mahasiswa, kategori lain membayar harga umum.</t>
  </si>
  <si>
    <t xml:space="preserve">Sheet Data, kolom G (Harga per Tiket), baris 2 sampai 25</t>
  </si>
  <si>
    <t xml:space="preserve">=IF(C2="Mahasiswa";$M$2*(1-$M$3);$M$2)</t>
  </si>
  <si>
    <t xml:space="preserve">2</t>
  </si>
  <si>
    <t xml:space="preserve">Beri label Early Bird bila Tanggal Daftar sama dengan atau sebelum batas early bird. Selain itu Reguler.</t>
  </si>
  <si>
    <t xml:space="preserve">Sheet Data, kolom H (Jenis Pendaftaran), baris 2 sampai 25</t>
  </si>
  <si>
    <t xml:space="preserve">=IF(D2&lt;=$M$4;"Early Bird";"Reguler")</t>
  </si>
  <si>
    <t xml:space="preserve">3</t>
  </si>
  <si>
    <t xml:space="preserve">Hitung total bayar: jumlah tiket dikali harga per tiket, lalu kurangi diskon early bird bila pendaftarnya Early Bird. Bulatkan ke rupiah.</t>
  </si>
  <si>
    <t xml:space="preserve">Sheet Data, kolom I (Total Bayar), baris 2 sampai 25</t>
  </si>
  <si>
    <t xml:space="preserve">=ROUND(E2*G2*IF(H2="Early Bird";1-$M$5;1);0)</t>
  </si>
  <si>
    <t xml:space="preserve">4</t>
  </si>
  <si>
    <t xml:space="preserve">Peserta yang Hadir mendapat sertifikat (tulis Dapat), selain itu Tidak.</t>
  </si>
  <si>
    <t xml:space="preserve">Sheet Data, kolom J (Sertifikat), baris 2 sampai 25</t>
  </si>
  <si>
    <t xml:space="preserve">=IF(F2="Hadir";"Dapat";"Tidak")</t>
  </si>
  <si>
    <t xml:space="preserve">5</t>
  </si>
  <si>
    <t xml:space="preserve">Berapa jumlah pendaftar, dan berapa total tiket yang terjual?</t>
  </si>
  <si>
    <t xml:space="preserve">Sheet Ringkasan, sel C4 sampai C5</t>
  </si>
  <si>
    <t xml:space="preserve">=COUNTA(Data!$B$2:$B$25)
=SUM(Data!$E$2:$E$25)</t>
  </si>
  <si>
    <t xml:space="preserve">6</t>
  </si>
  <si>
    <t xml:space="preserve">Berapa total pendapatan panitia dari seluruh pendaftar?</t>
  </si>
  <si>
    <t xml:space="preserve">Sheet Ringkasan, sel C6</t>
  </si>
  <si>
    <t xml:space="preserve">=SUM(Data!$I$2:$I$25)</t>
  </si>
  <si>
    <t xml:space="preserve">7</t>
  </si>
  <si>
    <t xml:space="preserve">Berapa pendaftar yang Hadir, dan berapa yang Tidak Hadir?</t>
  </si>
  <si>
    <t xml:space="preserve">Sheet Ringkasan, sel C7 sampai C8</t>
  </si>
  <si>
    <t xml:space="preserve">=COUNTIF(Data!$F$2:$F$25;"Hadir")
=COUNTIF(Data!$F$2:$F$25;"Tidak Hadir")</t>
  </si>
  <si>
    <t xml:space="preserve">8</t>
  </si>
  <si>
    <t xml:space="preserve">Berapa persen pendaftar yang hadir?</t>
  </si>
  <si>
    <t xml:space="preserve">Sheet Ringkasan, sel C9</t>
  </si>
  <si>
    <t xml:space="preserve">=COUNTIF(Data!$F$2:$F$25;"Hadir")/COUNTA(Data!$B$2:$B$25)</t>
  </si>
  <si>
    <t xml:space="preserve">9</t>
  </si>
  <si>
    <t xml:space="preserve">Pada sheet Acuan, hitung jumlah pendaftar untuk tiap kategori.</t>
  </si>
  <si>
    <t xml:space="preserve">Sheet Acuan, kolom B (Jumlah Peserta), baris 2 sampai 4</t>
  </si>
  <si>
    <t xml:space="preserve">=COUNTIF(Data!$C$2:$C$25;A2)</t>
  </si>
  <si>
    <t xml:space="preserve">10</t>
  </si>
  <si>
    <t xml:space="preserve">Pada sheet Acuan, hitung total pendapatan dari tiap kategori.</t>
  </si>
  <si>
    <t xml:space="preserve">Sheet Acuan, kolom C (Total Pendapatan), baris 2 sampai 4</t>
  </si>
  <si>
    <t xml:space="preserve">=SUMIF(Data!$C$2:$C$25;A2;Data!$I$2:$I$25)</t>
  </si>
  <si>
    <t xml:space="preserve">11</t>
  </si>
  <si>
    <t xml:space="preserve">Kategori mana yang menyumbang pendapatan terbesar?</t>
  </si>
  <si>
    <t xml:space="preserve">Sheet Ringkasan, sel C10</t>
  </si>
  <si>
    <t xml:space="preserve">=INDEX(Acuan!$A$2:$A$4;MATCH(MAX(Acuan!$C$2:$C$4);Acuan!$C$2:$C$4;0))</t>
  </si>
  <si>
    <t xml:space="preserve">12</t>
  </si>
  <si>
    <t xml:space="preserve">Siapa pendaftar yang membayar paling besar, dan berapa rata-rata total bayar per pendaftar?</t>
  </si>
  <si>
    <t xml:space="preserve">Sheet Ringkasan, sel C11 sampai C12</t>
  </si>
  <si>
    <t xml:space="preserve">=INDEX(Data!$B$2:$B$25;MATCH(MAX(Data!$I$2:$I$25);Data!$I$2:$I$25;0))
=AVERAGE(Data!$I$2:$I$25)</t>
  </si>
  <si>
    <t xml:space="preserve">Nama Peserta</t>
  </si>
  <si>
    <t xml:space="preserve">Kategori</t>
  </si>
  <si>
    <t xml:space="preserve">Tanggal Daftar</t>
  </si>
  <si>
    <t xml:space="preserve">Jumlah Tiket</t>
  </si>
  <si>
    <t xml:space="preserve">Kehadiran</t>
  </si>
  <si>
    <t xml:space="preserve">Harga per Tiket</t>
  </si>
  <si>
    <t xml:space="preserve">Jenis Pendaftaran</t>
  </si>
  <si>
    <t xml:space="preserve">Total Bayar</t>
  </si>
  <si>
    <t xml:space="preserve">Sertifikat</t>
  </si>
  <si>
    <t xml:space="preserve">Parameter</t>
  </si>
  <si>
    <t xml:space="preserve">Nilai</t>
  </si>
  <si>
    <t xml:space="preserve">Keterangan</t>
  </si>
  <si>
    <t xml:space="preserve">Novi Santoso</t>
  </si>
  <si>
    <t xml:space="preserve">Mahasiswa</t>
  </si>
  <si>
    <t xml:space="preserve">Hadir</t>
  </si>
  <si>
    <t xml:space="preserve">Harga tiket umum</t>
  </si>
  <si>
    <t xml:space="preserve">Utami Kusuma</t>
  </si>
  <si>
    <t xml:space="preserve">Diskon mahasiswa</t>
  </si>
  <si>
    <t xml:space="preserve">Irfan Saputra</t>
  </si>
  <si>
    <t xml:space="preserve">Umum</t>
  </si>
  <si>
    <t xml:space="preserve">Tidak Hadir</t>
  </si>
  <si>
    <t xml:space="preserve">Batas early bird</t>
  </si>
  <si>
    <t xml:space="preserve">Mendaftar pada tanggal ini atau sebelumnya = Early Bird</t>
  </si>
  <si>
    <t xml:space="preserve">Lina Pratama</t>
  </si>
  <si>
    <t xml:space="preserve">Diskon early bird</t>
  </si>
  <si>
    <t xml:space="preserve">Agus Handayani</t>
  </si>
  <si>
    <t xml:space="preserve">Oki Kurniawan</t>
  </si>
  <si>
    <t xml:space="preserve">Eko Handayani</t>
  </si>
  <si>
    <t xml:space="preserve">Dian Lestari</t>
  </si>
  <si>
    <t xml:space="preserve">Citra Lestari</t>
  </si>
  <si>
    <t xml:space="preserve">Pegawai</t>
  </si>
  <si>
    <t xml:space="preserve">Rizki Nugroho</t>
  </si>
  <si>
    <t xml:space="preserve">Bambang Lestari</t>
  </si>
  <si>
    <t xml:space="preserve">Edi Wijaya</t>
  </si>
  <si>
    <t xml:space="preserve">Sari Pratama</t>
  </si>
  <si>
    <t xml:space="preserve">Novi Permana</t>
  </si>
  <si>
    <t xml:space="preserve">Eko Fauzi</t>
  </si>
  <si>
    <t xml:space="preserve">Mulyadi Fauzi</t>
  </si>
  <si>
    <t xml:space="preserve">Mulyadi Pratama</t>
  </si>
  <si>
    <t xml:space="preserve">Ayu Kurniawan</t>
  </si>
  <si>
    <t xml:space="preserve">Andi Amalia</t>
  </si>
  <si>
    <t xml:space="preserve">Tika Handayani</t>
  </si>
  <si>
    <t xml:space="preserve">Hesti Wibowo</t>
  </si>
  <si>
    <t xml:space="preserve">Lina Yulianto</t>
  </si>
  <si>
    <t xml:space="preserve">Budi Purnomo</t>
  </si>
  <si>
    <t xml:space="preserve">Hadi Syahputra</t>
  </si>
  <si>
    <t xml:space="preserve">Jumlah Peserta</t>
  </si>
  <si>
    <t xml:space="preserve">Total Pendapatan</t>
  </si>
  <si>
    <t xml:space="preserve">Ringkasan: lembar jawaban soal berjenis ringkasan</t>
  </si>
  <si>
    <t xml:space="preserve">Sel hijau berisi rumus kunci.</t>
  </si>
  <si>
    <t xml:space="preserve">Pertanyaan</t>
  </si>
  <si>
    <t xml:space="preserve">Jawaban</t>
  </si>
  <si>
    <t xml:space="preserve">Contoh format hasil</t>
  </si>
  <si>
    <t xml:space="preserve">5a</t>
  </si>
  <si>
    <t xml:space="preserve">Jumlah pendaftar</t>
  </si>
  <si>
    <t xml:space="preserve">Angka bulat, mis. 30</t>
  </si>
  <si>
    <t xml:space="preserve">5b</t>
  </si>
  <si>
    <t xml:space="preserve">Total tiket terjual</t>
  </si>
  <si>
    <t xml:space="preserve">Angka bulat, mis. 40</t>
  </si>
  <si>
    <t xml:space="preserve">Total pendapatan panitia</t>
  </si>
  <si>
    <t xml:space="preserve">Rupiah, mis. Rp 4.500.000</t>
  </si>
  <si>
    <t xml:space="preserve">7a</t>
  </si>
  <si>
    <t xml:space="preserve">Jumlah peserta hadir</t>
  </si>
  <si>
    <t xml:space="preserve">Angka bulat, mis. 17</t>
  </si>
  <si>
    <t xml:space="preserve">7b</t>
  </si>
  <si>
    <t xml:space="preserve">Jumlah peserta tidak hadir</t>
  </si>
  <si>
    <t xml:space="preserve">Angka bulat, mis. 3</t>
  </si>
  <si>
    <t xml:space="preserve">Persentase kehadiran</t>
  </si>
  <si>
    <t xml:space="preserve">Persen, mis. 85,5%</t>
  </si>
  <si>
    <t xml:space="preserve">Kategori dengan pendapatan terbesar</t>
  </si>
  <si>
    <t xml:space="preserve">Teks: nama kategori</t>
  </si>
  <si>
    <t xml:space="preserve">12a</t>
  </si>
  <si>
    <t xml:space="preserve">Pendaftar dengan total bayar terbesar</t>
  </si>
  <si>
    <t xml:space="preserve">Teks: nama peserta</t>
  </si>
  <si>
    <t xml:space="preserve">12b</t>
  </si>
  <si>
    <t xml:space="preserve">Rata-rata total bayar per pendaftar</t>
  </si>
  <si>
    <t xml:space="preserve">Rupiah, mis. Rp 185.000</t>
  </si>
</sst>
</file>

<file path=xl/styles.xml><?xml version="1.0" encoding="utf-8"?>
<styleSheet xmlns="http://schemas.openxmlformats.org/spreadsheetml/2006/main">
  <numFmts count="6">
    <numFmt numFmtId="164" formatCode="General"/>
    <numFmt numFmtId="165" formatCode="0"/>
    <numFmt numFmtId="166" formatCode="dd/mm/yyyy"/>
    <numFmt numFmtId="167" formatCode="&quot;Rp &quot;#,##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42"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43.5"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43.5"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30"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3"/>
    <col collapsed="false" customWidth="true" hidden="false" outlineLevel="0" max="4" min="4" style="0" width="14"/>
    <col collapsed="false" customWidth="true" hidden="false" outlineLevel="0" max="5" min="5" style="0" width="10"/>
    <col collapsed="false" customWidth="true" hidden="false" outlineLevel="0" max="6" min="6" style="0" width="13"/>
    <col collapsed="false" customWidth="true" hidden="false" outlineLevel="0" max="7" min="7" style="0" width="15"/>
    <col collapsed="false" customWidth="true" hidden="false" outlineLevel="0" max="8" min="8" style="0" width="16"/>
    <col collapsed="false" customWidth="true" hidden="false" outlineLevel="0" max="9" min="9" style="0" width="15"/>
    <col collapsed="false" customWidth="true" hidden="false" outlineLevel="0" max="10" min="10" style="0" width="12"/>
    <col collapsed="false" customWidth="true" hidden="false" outlineLevel="0" max="11" min="11" style="0" width="3"/>
    <col collapsed="false" customWidth="true" hidden="false" outlineLevel="0" max="12" min="12" style="0" width="30"/>
    <col collapsed="false" customWidth="true" hidden="false" outlineLevel="0" max="13" min="13" style="0" width="16"/>
    <col collapsed="false" customWidth="true" hidden="false" outlineLevel="0" max="14" min="14" style="0" width="42"/>
  </cols>
  <sheetData>
    <row r="1" customFormat="false" ht="33.75" hidden="false" customHeight="true" outlineLevel="0" collapsed="false">
      <c r="A1" s="11" t="s">
        <v>19</v>
      </c>
      <c r="B1" s="11" t="s">
        <v>71</v>
      </c>
      <c r="C1" s="11" t="s">
        <v>72</v>
      </c>
      <c r="D1" s="11" t="s">
        <v>73</v>
      </c>
      <c r="E1" s="11" t="s">
        <v>74</v>
      </c>
      <c r="F1" s="11" t="s">
        <v>75</v>
      </c>
      <c r="G1" s="15" t="s">
        <v>76</v>
      </c>
      <c r="H1" s="15" t="s">
        <v>77</v>
      </c>
      <c r="I1" s="15" t="s">
        <v>78</v>
      </c>
      <c r="J1" s="15" t="s">
        <v>79</v>
      </c>
      <c r="L1" s="16" t="s">
        <v>80</v>
      </c>
      <c r="M1" s="16" t="s">
        <v>81</v>
      </c>
      <c r="N1" s="16" t="s">
        <v>82</v>
      </c>
    </row>
    <row r="2" customFormat="false" ht="15" hidden="false" customHeight="false" outlineLevel="0" collapsed="false">
      <c r="A2" s="17" t="n">
        <v>1</v>
      </c>
      <c r="B2" s="18" t="s">
        <v>83</v>
      </c>
      <c r="C2" s="18" t="s">
        <v>84</v>
      </c>
      <c r="D2" s="19" t="n">
        <v>46268</v>
      </c>
      <c r="E2" s="17" t="n">
        <v>3</v>
      </c>
      <c r="F2" s="18" t="s">
        <v>85</v>
      </c>
      <c r="G2" s="20" t="n">
        <f aca="false">IF(C2="Mahasiswa",$M$2*(1-$M$3),$M$2)</f>
        <v>75000</v>
      </c>
      <c r="H2" s="21" t="str">
        <f aca="false">IF(D2&lt;=$M$4,"Early Bird","Reguler")</f>
        <v>Early Bird</v>
      </c>
      <c r="I2" s="20" t="n">
        <f aca="false">ROUND(E2*G2*IF(H2="Early Bird",1-$M$5,1),0)</f>
        <v>202500</v>
      </c>
      <c r="J2" s="21" t="str">
        <f aca="false">IF(F2="Hadir","Dapat","Tidak")</f>
        <v>Dapat</v>
      </c>
      <c r="L2" s="22" t="s">
        <v>86</v>
      </c>
      <c r="M2" s="23" t="n">
        <v>150000</v>
      </c>
      <c r="N2" s="22"/>
    </row>
    <row r="3" customFormat="false" ht="15" hidden="false" customHeight="false" outlineLevel="0" collapsed="false">
      <c r="A3" s="17" t="n">
        <v>2</v>
      </c>
      <c r="B3" s="18" t="s">
        <v>87</v>
      </c>
      <c r="C3" s="18" t="s">
        <v>84</v>
      </c>
      <c r="D3" s="19" t="n">
        <v>46271</v>
      </c>
      <c r="E3" s="17" t="n">
        <v>2</v>
      </c>
      <c r="F3" s="18" t="s">
        <v>85</v>
      </c>
      <c r="G3" s="20" t="n">
        <f aca="false">IF(C3="Mahasiswa",$M$2*(1-$M$3),$M$2)</f>
        <v>75000</v>
      </c>
      <c r="H3" s="21" t="str">
        <f aca="false">IF(D3&lt;=$M$4,"Early Bird","Reguler")</f>
        <v>Early Bird</v>
      </c>
      <c r="I3" s="20" t="n">
        <f aca="false">ROUND(E3*G3*IF(H3="Early Bird",1-$M$5,1),0)</f>
        <v>135000</v>
      </c>
      <c r="J3" s="21" t="str">
        <f aca="false">IF(F3="Hadir","Dapat","Tidak")</f>
        <v>Dapat</v>
      </c>
      <c r="L3" s="22" t="s">
        <v>88</v>
      </c>
      <c r="M3" s="24" t="n">
        <v>0.5</v>
      </c>
      <c r="N3" s="22"/>
    </row>
    <row r="4" customFormat="false" ht="15" hidden="false" customHeight="false" outlineLevel="0" collapsed="false">
      <c r="A4" s="17" t="n">
        <v>3</v>
      </c>
      <c r="B4" s="18" t="s">
        <v>89</v>
      </c>
      <c r="C4" s="18" t="s">
        <v>90</v>
      </c>
      <c r="D4" s="19" t="n">
        <v>46273</v>
      </c>
      <c r="E4" s="17" t="n">
        <v>2</v>
      </c>
      <c r="F4" s="18" t="s">
        <v>91</v>
      </c>
      <c r="G4" s="20" t="n">
        <f aca="false">IF(C4="Mahasiswa",$M$2*(1-$M$3),$M$2)</f>
        <v>150000</v>
      </c>
      <c r="H4" s="21" t="str">
        <f aca="false">IF(D4&lt;=$M$4,"Early Bird","Reguler")</f>
        <v>Early Bird</v>
      </c>
      <c r="I4" s="20" t="n">
        <f aca="false">ROUND(E4*G4*IF(H4="Early Bird",1-$M$5,1),0)</f>
        <v>270000</v>
      </c>
      <c r="J4" s="21" t="str">
        <f aca="false">IF(F4="Hadir","Dapat","Tidak")</f>
        <v>Tidak</v>
      </c>
      <c r="L4" s="22" t="s">
        <v>92</v>
      </c>
      <c r="M4" s="25" t="n">
        <v>46285</v>
      </c>
      <c r="N4" s="22" t="s">
        <v>93</v>
      </c>
    </row>
    <row r="5" customFormat="false" ht="15" hidden="false" customHeight="false" outlineLevel="0" collapsed="false">
      <c r="A5" s="17" t="n">
        <v>4</v>
      </c>
      <c r="B5" s="18" t="s">
        <v>94</v>
      </c>
      <c r="C5" s="18" t="s">
        <v>90</v>
      </c>
      <c r="D5" s="19" t="n">
        <v>46273</v>
      </c>
      <c r="E5" s="17" t="n">
        <v>2</v>
      </c>
      <c r="F5" s="18" t="s">
        <v>85</v>
      </c>
      <c r="G5" s="20" t="n">
        <f aca="false">IF(C5="Mahasiswa",$M$2*(1-$M$3),$M$2)</f>
        <v>150000</v>
      </c>
      <c r="H5" s="21" t="str">
        <f aca="false">IF(D5&lt;=$M$4,"Early Bird","Reguler")</f>
        <v>Early Bird</v>
      </c>
      <c r="I5" s="20" t="n">
        <f aca="false">ROUND(E5*G5*IF(H5="Early Bird",1-$M$5,1),0)</f>
        <v>270000</v>
      </c>
      <c r="J5" s="21" t="str">
        <f aca="false">IF(F5="Hadir","Dapat","Tidak")</f>
        <v>Dapat</v>
      </c>
      <c r="L5" s="22" t="s">
        <v>95</v>
      </c>
      <c r="M5" s="24" t="n">
        <v>0.1</v>
      </c>
      <c r="N5" s="22"/>
    </row>
    <row r="6" customFormat="false" ht="15" hidden="false" customHeight="false" outlineLevel="0" collapsed="false">
      <c r="A6" s="17" t="n">
        <v>5</v>
      </c>
      <c r="B6" s="18" t="s">
        <v>96</v>
      </c>
      <c r="C6" s="18" t="s">
        <v>90</v>
      </c>
      <c r="D6" s="19" t="n">
        <v>46274</v>
      </c>
      <c r="E6" s="17" t="n">
        <v>1</v>
      </c>
      <c r="F6" s="18" t="s">
        <v>91</v>
      </c>
      <c r="G6" s="20" t="n">
        <f aca="false">IF(C6="Mahasiswa",$M$2*(1-$M$3),$M$2)</f>
        <v>150000</v>
      </c>
      <c r="H6" s="21" t="str">
        <f aca="false">IF(D6&lt;=$M$4,"Early Bird","Reguler")</f>
        <v>Early Bird</v>
      </c>
      <c r="I6" s="20" t="n">
        <f aca="false">ROUND(E6*G6*IF(H6="Early Bird",1-$M$5,1),0)</f>
        <v>135000</v>
      </c>
      <c r="J6" s="21" t="str">
        <f aca="false">IF(F6="Hadir","Dapat","Tidak")</f>
        <v>Tidak</v>
      </c>
    </row>
    <row r="7" customFormat="false" ht="15" hidden="false" customHeight="false" outlineLevel="0" collapsed="false">
      <c r="A7" s="17" t="n">
        <v>6</v>
      </c>
      <c r="B7" s="18" t="s">
        <v>97</v>
      </c>
      <c r="C7" s="18" t="s">
        <v>90</v>
      </c>
      <c r="D7" s="19" t="n">
        <v>46277</v>
      </c>
      <c r="E7" s="17" t="n">
        <v>1</v>
      </c>
      <c r="F7" s="18" t="s">
        <v>85</v>
      </c>
      <c r="G7" s="20" t="n">
        <f aca="false">IF(C7="Mahasiswa",$M$2*(1-$M$3),$M$2)</f>
        <v>150000</v>
      </c>
      <c r="H7" s="21" t="str">
        <f aca="false">IF(D7&lt;=$M$4,"Early Bird","Reguler")</f>
        <v>Early Bird</v>
      </c>
      <c r="I7" s="20" t="n">
        <f aca="false">ROUND(E7*G7*IF(H7="Early Bird",1-$M$5,1),0)</f>
        <v>135000</v>
      </c>
      <c r="J7" s="21" t="str">
        <f aca="false">IF(F7="Hadir","Dapat","Tidak")</f>
        <v>Dapat</v>
      </c>
    </row>
    <row r="8" customFormat="false" ht="15" hidden="false" customHeight="false" outlineLevel="0" collapsed="false">
      <c r="A8" s="17" t="n">
        <v>7</v>
      </c>
      <c r="B8" s="18" t="s">
        <v>98</v>
      </c>
      <c r="C8" s="18" t="s">
        <v>84</v>
      </c>
      <c r="D8" s="19" t="n">
        <v>46278</v>
      </c>
      <c r="E8" s="17" t="n">
        <v>1</v>
      </c>
      <c r="F8" s="18" t="s">
        <v>85</v>
      </c>
      <c r="G8" s="20" t="n">
        <f aca="false">IF(C8="Mahasiswa",$M$2*(1-$M$3),$M$2)</f>
        <v>75000</v>
      </c>
      <c r="H8" s="21" t="str">
        <f aca="false">IF(D8&lt;=$M$4,"Early Bird","Reguler")</f>
        <v>Early Bird</v>
      </c>
      <c r="I8" s="20" t="n">
        <f aca="false">ROUND(E8*G8*IF(H8="Early Bird",1-$M$5,1),0)</f>
        <v>67500</v>
      </c>
      <c r="J8" s="21" t="str">
        <f aca="false">IF(F8="Hadir","Dapat","Tidak")</f>
        <v>Dapat</v>
      </c>
    </row>
    <row r="9" customFormat="false" ht="15" hidden="false" customHeight="false" outlineLevel="0" collapsed="false">
      <c r="A9" s="17" t="n">
        <v>8</v>
      </c>
      <c r="B9" s="18" t="s">
        <v>99</v>
      </c>
      <c r="C9" s="18" t="s">
        <v>84</v>
      </c>
      <c r="D9" s="19" t="n">
        <v>46279</v>
      </c>
      <c r="E9" s="17" t="n">
        <v>1</v>
      </c>
      <c r="F9" s="18" t="s">
        <v>85</v>
      </c>
      <c r="G9" s="20" t="n">
        <f aca="false">IF(C9="Mahasiswa",$M$2*(1-$M$3),$M$2)</f>
        <v>75000</v>
      </c>
      <c r="H9" s="21" t="str">
        <f aca="false">IF(D9&lt;=$M$4,"Early Bird","Reguler")</f>
        <v>Early Bird</v>
      </c>
      <c r="I9" s="20" t="n">
        <f aca="false">ROUND(E9*G9*IF(H9="Early Bird",1-$M$5,1),0)</f>
        <v>67500</v>
      </c>
      <c r="J9" s="21" t="str">
        <f aca="false">IF(F9="Hadir","Dapat","Tidak")</f>
        <v>Dapat</v>
      </c>
    </row>
    <row r="10" customFormat="false" ht="15" hidden="false" customHeight="false" outlineLevel="0" collapsed="false">
      <c r="A10" s="17" t="n">
        <v>9</v>
      </c>
      <c r="B10" s="18" t="s">
        <v>100</v>
      </c>
      <c r="C10" s="18" t="s">
        <v>101</v>
      </c>
      <c r="D10" s="19" t="n">
        <v>46281</v>
      </c>
      <c r="E10" s="17" t="n">
        <v>2</v>
      </c>
      <c r="F10" s="18" t="s">
        <v>85</v>
      </c>
      <c r="G10" s="20" t="n">
        <f aca="false">IF(C10="Mahasiswa",$M$2*(1-$M$3),$M$2)</f>
        <v>150000</v>
      </c>
      <c r="H10" s="21" t="str">
        <f aca="false">IF(D10&lt;=$M$4,"Early Bird","Reguler")</f>
        <v>Early Bird</v>
      </c>
      <c r="I10" s="20" t="n">
        <f aca="false">ROUND(E10*G10*IF(H10="Early Bird",1-$M$5,1),0)</f>
        <v>270000</v>
      </c>
      <c r="J10" s="21" t="str">
        <f aca="false">IF(F10="Hadir","Dapat","Tidak")</f>
        <v>Dapat</v>
      </c>
    </row>
    <row r="11" customFormat="false" ht="15" hidden="false" customHeight="false" outlineLevel="0" collapsed="false">
      <c r="A11" s="17" t="n">
        <v>10</v>
      </c>
      <c r="B11" s="18" t="s">
        <v>102</v>
      </c>
      <c r="C11" s="18" t="s">
        <v>84</v>
      </c>
      <c r="D11" s="19" t="n">
        <v>46283</v>
      </c>
      <c r="E11" s="17" t="n">
        <v>2</v>
      </c>
      <c r="F11" s="18" t="s">
        <v>85</v>
      </c>
      <c r="G11" s="20" t="n">
        <f aca="false">IF(C11="Mahasiswa",$M$2*(1-$M$3),$M$2)</f>
        <v>75000</v>
      </c>
      <c r="H11" s="21" t="str">
        <f aca="false">IF(D11&lt;=$M$4,"Early Bird","Reguler")</f>
        <v>Early Bird</v>
      </c>
      <c r="I11" s="20" t="n">
        <f aca="false">ROUND(E11*G11*IF(H11="Early Bird",1-$M$5,1),0)</f>
        <v>135000</v>
      </c>
      <c r="J11" s="21" t="str">
        <f aca="false">IF(F11="Hadir","Dapat","Tidak")</f>
        <v>Dapat</v>
      </c>
    </row>
    <row r="12" customFormat="false" ht="15" hidden="false" customHeight="false" outlineLevel="0" collapsed="false">
      <c r="A12" s="17" t="n">
        <v>11</v>
      </c>
      <c r="B12" s="18" t="s">
        <v>103</v>
      </c>
      <c r="C12" s="18" t="s">
        <v>84</v>
      </c>
      <c r="D12" s="19" t="n">
        <v>46286</v>
      </c>
      <c r="E12" s="17" t="n">
        <v>2</v>
      </c>
      <c r="F12" s="18" t="s">
        <v>91</v>
      </c>
      <c r="G12" s="20" t="n">
        <f aca="false">IF(C12="Mahasiswa",$M$2*(1-$M$3),$M$2)</f>
        <v>75000</v>
      </c>
      <c r="H12" s="21" t="str">
        <f aca="false">IF(D12&lt;=$M$4,"Early Bird","Reguler")</f>
        <v>Reguler</v>
      </c>
      <c r="I12" s="20" t="n">
        <f aca="false">ROUND(E12*G12*IF(H12="Early Bird",1-$M$5,1),0)</f>
        <v>150000</v>
      </c>
      <c r="J12" s="21" t="str">
        <f aca="false">IF(F12="Hadir","Dapat","Tidak")</f>
        <v>Tidak</v>
      </c>
    </row>
    <row r="13" customFormat="false" ht="15" hidden="false" customHeight="false" outlineLevel="0" collapsed="false">
      <c r="A13" s="17" t="n">
        <v>12</v>
      </c>
      <c r="B13" s="18" t="s">
        <v>104</v>
      </c>
      <c r="C13" s="18" t="s">
        <v>84</v>
      </c>
      <c r="D13" s="19" t="n">
        <v>46289</v>
      </c>
      <c r="E13" s="17" t="n">
        <v>1</v>
      </c>
      <c r="F13" s="18" t="s">
        <v>85</v>
      </c>
      <c r="G13" s="20" t="n">
        <f aca="false">IF(C13="Mahasiswa",$M$2*(1-$M$3),$M$2)</f>
        <v>75000</v>
      </c>
      <c r="H13" s="21" t="str">
        <f aca="false">IF(D13&lt;=$M$4,"Early Bird","Reguler")</f>
        <v>Reguler</v>
      </c>
      <c r="I13" s="20" t="n">
        <f aca="false">ROUND(E13*G13*IF(H13="Early Bird",1-$M$5,1),0)</f>
        <v>75000</v>
      </c>
      <c r="J13" s="21" t="str">
        <f aca="false">IF(F13="Hadir","Dapat","Tidak")</f>
        <v>Dapat</v>
      </c>
    </row>
    <row r="14" customFormat="false" ht="15" hidden="false" customHeight="false" outlineLevel="0" collapsed="false">
      <c r="A14" s="17" t="n">
        <v>13</v>
      </c>
      <c r="B14" s="18" t="s">
        <v>105</v>
      </c>
      <c r="C14" s="18" t="s">
        <v>84</v>
      </c>
      <c r="D14" s="19" t="n">
        <v>46291</v>
      </c>
      <c r="E14" s="17" t="n">
        <v>2</v>
      </c>
      <c r="F14" s="18" t="s">
        <v>85</v>
      </c>
      <c r="G14" s="20" t="n">
        <f aca="false">IF(C14="Mahasiswa",$M$2*(1-$M$3),$M$2)</f>
        <v>75000</v>
      </c>
      <c r="H14" s="21" t="str">
        <f aca="false">IF(D14&lt;=$M$4,"Early Bird","Reguler")</f>
        <v>Reguler</v>
      </c>
      <c r="I14" s="20" t="n">
        <f aca="false">ROUND(E14*G14*IF(H14="Early Bird",1-$M$5,1),0)</f>
        <v>150000</v>
      </c>
      <c r="J14" s="21" t="str">
        <f aca="false">IF(F14="Hadir","Dapat","Tidak")</f>
        <v>Dapat</v>
      </c>
    </row>
    <row r="15" customFormat="false" ht="15" hidden="false" customHeight="false" outlineLevel="0" collapsed="false">
      <c r="A15" s="17" t="n">
        <v>14</v>
      </c>
      <c r="B15" s="18" t="s">
        <v>106</v>
      </c>
      <c r="C15" s="18" t="s">
        <v>90</v>
      </c>
      <c r="D15" s="19" t="n">
        <v>46294</v>
      </c>
      <c r="E15" s="17" t="n">
        <v>1</v>
      </c>
      <c r="F15" s="18" t="s">
        <v>85</v>
      </c>
      <c r="G15" s="20" t="n">
        <f aca="false">IF(C15="Mahasiswa",$M$2*(1-$M$3),$M$2)</f>
        <v>150000</v>
      </c>
      <c r="H15" s="21" t="str">
        <f aca="false">IF(D15&lt;=$M$4,"Early Bird","Reguler")</f>
        <v>Reguler</v>
      </c>
      <c r="I15" s="20" t="n">
        <f aca="false">ROUND(E15*G15*IF(H15="Early Bird",1-$M$5,1),0)</f>
        <v>150000</v>
      </c>
      <c r="J15" s="21" t="str">
        <f aca="false">IF(F15="Hadir","Dapat","Tidak")</f>
        <v>Dapat</v>
      </c>
    </row>
    <row r="16" customFormat="false" ht="15" hidden="false" customHeight="false" outlineLevel="0" collapsed="false">
      <c r="A16" s="17" t="n">
        <v>15</v>
      </c>
      <c r="B16" s="18" t="s">
        <v>107</v>
      </c>
      <c r="C16" s="18" t="s">
        <v>90</v>
      </c>
      <c r="D16" s="19" t="n">
        <v>46294</v>
      </c>
      <c r="E16" s="17" t="n">
        <v>2</v>
      </c>
      <c r="F16" s="18" t="s">
        <v>91</v>
      </c>
      <c r="G16" s="20" t="n">
        <f aca="false">IF(C16="Mahasiswa",$M$2*(1-$M$3),$M$2)</f>
        <v>150000</v>
      </c>
      <c r="H16" s="21" t="str">
        <f aca="false">IF(D16&lt;=$M$4,"Early Bird","Reguler")</f>
        <v>Reguler</v>
      </c>
      <c r="I16" s="20" t="n">
        <f aca="false">ROUND(E16*G16*IF(H16="Early Bird",1-$M$5,1),0)</f>
        <v>300000</v>
      </c>
      <c r="J16" s="21" t="str">
        <f aca="false">IF(F16="Hadir","Dapat","Tidak")</f>
        <v>Tidak</v>
      </c>
    </row>
    <row r="17" customFormat="false" ht="15" hidden="false" customHeight="false" outlineLevel="0" collapsed="false">
      <c r="A17" s="17" t="n">
        <v>16</v>
      </c>
      <c r="B17" s="18" t="s">
        <v>108</v>
      </c>
      <c r="C17" s="18" t="s">
        <v>101</v>
      </c>
      <c r="D17" s="19" t="n">
        <v>46295</v>
      </c>
      <c r="E17" s="17" t="n">
        <v>1</v>
      </c>
      <c r="F17" s="18" t="s">
        <v>85</v>
      </c>
      <c r="G17" s="20" t="n">
        <f aca="false">IF(C17="Mahasiswa",$M$2*(1-$M$3),$M$2)</f>
        <v>150000</v>
      </c>
      <c r="H17" s="21" t="str">
        <f aca="false">IF(D17&lt;=$M$4,"Early Bird","Reguler")</f>
        <v>Reguler</v>
      </c>
      <c r="I17" s="20" t="n">
        <f aca="false">ROUND(E17*G17*IF(H17="Early Bird",1-$M$5,1),0)</f>
        <v>150000</v>
      </c>
      <c r="J17" s="21" t="str">
        <f aca="false">IF(F17="Hadir","Dapat","Tidak")</f>
        <v>Dapat</v>
      </c>
    </row>
    <row r="18" customFormat="false" ht="15" hidden="false" customHeight="false" outlineLevel="0" collapsed="false">
      <c r="A18" s="17" t="n">
        <v>17</v>
      </c>
      <c r="B18" s="18" t="s">
        <v>109</v>
      </c>
      <c r="C18" s="18" t="s">
        <v>90</v>
      </c>
      <c r="D18" s="19" t="n">
        <v>46295</v>
      </c>
      <c r="E18" s="17" t="n">
        <v>2</v>
      </c>
      <c r="F18" s="18" t="s">
        <v>85</v>
      </c>
      <c r="G18" s="20" t="n">
        <f aca="false">IF(C18="Mahasiswa",$M$2*(1-$M$3),$M$2)</f>
        <v>150000</v>
      </c>
      <c r="H18" s="21" t="str">
        <f aca="false">IF(D18&lt;=$M$4,"Early Bird","Reguler")</f>
        <v>Reguler</v>
      </c>
      <c r="I18" s="20" t="n">
        <f aca="false">ROUND(E18*G18*IF(H18="Early Bird",1-$M$5,1),0)</f>
        <v>300000</v>
      </c>
      <c r="J18" s="21" t="str">
        <f aca="false">IF(F18="Hadir","Dapat","Tidak")</f>
        <v>Dapat</v>
      </c>
    </row>
    <row r="19" customFormat="false" ht="15" hidden="false" customHeight="false" outlineLevel="0" collapsed="false">
      <c r="A19" s="17" t="n">
        <v>18</v>
      </c>
      <c r="B19" s="18" t="s">
        <v>110</v>
      </c>
      <c r="C19" s="18" t="s">
        <v>101</v>
      </c>
      <c r="D19" s="19" t="n">
        <v>46299</v>
      </c>
      <c r="E19" s="17" t="n">
        <v>1</v>
      </c>
      <c r="F19" s="18" t="s">
        <v>91</v>
      </c>
      <c r="G19" s="20" t="n">
        <f aca="false">IF(C19="Mahasiswa",$M$2*(1-$M$3),$M$2)</f>
        <v>150000</v>
      </c>
      <c r="H19" s="21" t="str">
        <f aca="false">IF(D19&lt;=$M$4,"Early Bird","Reguler")</f>
        <v>Reguler</v>
      </c>
      <c r="I19" s="20" t="n">
        <f aca="false">ROUND(E19*G19*IF(H19="Early Bird",1-$M$5,1),0)</f>
        <v>150000</v>
      </c>
      <c r="J19" s="21" t="str">
        <f aca="false">IF(F19="Hadir","Dapat","Tidak")</f>
        <v>Tidak</v>
      </c>
    </row>
    <row r="20" customFormat="false" ht="15" hidden="false" customHeight="false" outlineLevel="0" collapsed="false">
      <c r="A20" s="17" t="n">
        <v>19</v>
      </c>
      <c r="B20" s="18" t="s">
        <v>111</v>
      </c>
      <c r="C20" s="18" t="s">
        <v>90</v>
      </c>
      <c r="D20" s="19" t="n">
        <v>46300</v>
      </c>
      <c r="E20" s="17" t="n">
        <v>1</v>
      </c>
      <c r="F20" s="18" t="s">
        <v>85</v>
      </c>
      <c r="G20" s="20" t="n">
        <f aca="false">IF(C20="Mahasiswa",$M$2*(1-$M$3),$M$2)</f>
        <v>150000</v>
      </c>
      <c r="H20" s="21" t="str">
        <f aca="false">IF(D20&lt;=$M$4,"Early Bird","Reguler")</f>
        <v>Reguler</v>
      </c>
      <c r="I20" s="20" t="n">
        <f aca="false">ROUND(E20*G20*IF(H20="Early Bird",1-$M$5,1),0)</f>
        <v>150000</v>
      </c>
      <c r="J20" s="21" t="str">
        <f aca="false">IF(F20="Hadir","Dapat","Tidak")</f>
        <v>Dapat</v>
      </c>
    </row>
    <row r="21" customFormat="false" ht="15" hidden="false" customHeight="false" outlineLevel="0" collapsed="false">
      <c r="A21" s="17" t="n">
        <v>20</v>
      </c>
      <c r="B21" s="18" t="s">
        <v>112</v>
      </c>
      <c r="C21" s="18" t="s">
        <v>101</v>
      </c>
      <c r="D21" s="19" t="n">
        <v>46301</v>
      </c>
      <c r="E21" s="17" t="n">
        <v>1</v>
      </c>
      <c r="F21" s="18" t="s">
        <v>85</v>
      </c>
      <c r="G21" s="20" t="n">
        <f aca="false">IF(C21="Mahasiswa",$M$2*(1-$M$3),$M$2)</f>
        <v>150000</v>
      </c>
      <c r="H21" s="21" t="str">
        <f aca="false">IF(D21&lt;=$M$4,"Early Bird","Reguler")</f>
        <v>Reguler</v>
      </c>
      <c r="I21" s="20" t="n">
        <f aca="false">ROUND(E21*G21*IF(H21="Early Bird",1-$M$5,1),0)</f>
        <v>150000</v>
      </c>
      <c r="J21" s="21" t="str">
        <f aca="false">IF(F21="Hadir","Dapat","Tidak")</f>
        <v>Dapat</v>
      </c>
    </row>
    <row r="22" customFormat="false" ht="15" hidden="false" customHeight="false" outlineLevel="0" collapsed="false">
      <c r="A22" s="17" t="n">
        <v>21</v>
      </c>
      <c r="B22" s="18" t="s">
        <v>113</v>
      </c>
      <c r="C22" s="18" t="s">
        <v>90</v>
      </c>
      <c r="D22" s="19" t="n">
        <v>46302</v>
      </c>
      <c r="E22" s="17" t="n">
        <v>1</v>
      </c>
      <c r="F22" s="18" t="s">
        <v>85</v>
      </c>
      <c r="G22" s="20" t="n">
        <f aca="false">IF(C22="Mahasiswa",$M$2*(1-$M$3),$M$2)</f>
        <v>150000</v>
      </c>
      <c r="H22" s="21" t="str">
        <f aca="false">IF(D22&lt;=$M$4,"Early Bird","Reguler")</f>
        <v>Reguler</v>
      </c>
      <c r="I22" s="20" t="n">
        <f aca="false">ROUND(E22*G22*IF(H22="Early Bird",1-$M$5,1),0)</f>
        <v>150000</v>
      </c>
      <c r="J22" s="21" t="str">
        <f aca="false">IF(F22="Hadir","Dapat","Tidak")</f>
        <v>Dapat</v>
      </c>
    </row>
    <row r="23" customFormat="false" ht="15" hidden="false" customHeight="false" outlineLevel="0" collapsed="false">
      <c r="A23" s="17" t="n">
        <v>22</v>
      </c>
      <c r="B23" s="18" t="s">
        <v>114</v>
      </c>
      <c r="C23" s="18" t="s">
        <v>101</v>
      </c>
      <c r="D23" s="19" t="n">
        <v>46303</v>
      </c>
      <c r="E23" s="17" t="n">
        <v>1</v>
      </c>
      <c r="F23" s="18" t="s">
        <v>85</v>
      </c>
      <c r="G23" s="20" t="n">
        <f aca="false">IF(C23="Mahasiswa",$M$2*(1-$M$3),$M$2)</f>
        <v>150000</v>
      </c>
      <c r="H23" s="21" t="str">
        <f aca="false">IF(D23&lt;=$M$4,"Early Bird","Reguler")</f>
        <v>Reguler</v>
      </c>
      <c r="I23" s="20" t="n">
        <f aca="false">ROUND(E23*G23*IF(H23="Early Bird",1-$M$5,1),0)</f>
        <v>150000</v>
      </c>
      <c r="J23" s="21" t="str">
        <f aca="false">IF(F23="Hadir","Dapat","Tidak")</f>
        <v>Dapat</v>
      </c>
    </row>
    <row r="24" customFormat="false" ht="15" hidden="false" customHeight="false" outlineLevel="0" collapsed="false">
      <c r="A24" s="17" t="n">
        <v>23</v>
      </c>
      <c r="B24" s="18" t="s">
        <v>115</v>
      </c>
      <c r="C24" s="18" t="s">
        <v>84</v>
      </c>
      <c r="D24" s="19" t="n">
        <v>46304</v>
      </c>
      <c r="E24" s="17" t="n">
        <v>1</v>
      </c>
      <c r="F24" s="18" t="s">
        <v>85</v>
      </c>
      <c r="G24" s="20" t="n">
        <f aca="false">IF(C24="Mahasiswa",$M$2*(1-$M$3),$M$2)</f>
        <v>75000</v>
      </c>
      <c r="H24" s="21" t="str">
        <f aca="false">IF(D24&lt;=$M$4,"Early Bird","Reguler")</f>
        <v>Reguler</v>
      </c>
      <c r="I24" s="20" t="n">
        <f aca="false">ROUND(E24*G24*IF(H24="Early Bird",1-$M$5,1),0)</f>
        <v>75000</v>
      </c>
      <c r="J24" s="21" t="str">
        <f aca="false">IF(F24="Hadir","Dapat","Tidak")</f>
        <v>Dapat</v>
      </c>
    </row>
    <row r="25" customFormat="false" ht="15" hidden="false" customHeight="false" outlineLevel="0" collapsed="false">
      <c r="A25" s="17" t="n">
        <v>24</v>
      </c>
      <c r="B25" s="18" t="s">
        <v>116</v>
      </c>
      <c r="C25" s="18" t="s">
        <v>84</v>
      </c>
      <c r="D25" s="19" t="n">
        <v>46312</v>
      </c>
      <c r="E25" s="17" t="n">
        <v>1</v>
      </c>
      <c r="F25" s="18" t="s">
        <v>85</v>
      </c>
      <c r="G25" s="20" t="n">
        <f aca="false">IF(C25="Mahasiswa",$M$2*(1-$M$3),$M$2)</f>
        <v>75000</v>
      </c>
      <c r="H25" s="21" t="str">
        <f aca="false">IF(D25&lt;=$M$4,"Early Bird","Reguler")</f>
        <v>Reguler</v>
      </c>
      <c r="I25" s="20" t="n">
        <f aca="false">ROUND(E25*G25*IF(H25="Early Bird",1-$M$5,1),0)</f>
        <v>75000</v>
      </c>
      <c r="J25" s="21" t="str">
        <f aca="false">IF(F25="Hadir","Dapat","Tidak")</f>
        <v>Dapat</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6"/>
  </cols>
  <sheetData>
    <row r="1" customFormat="false" ht="33.75" hidden="false" customHeight="true" outlineLevel="0" collapsed="false">
      <c r="A1" s="11" t="s">
        <v>72</v>
      </c>
      <c r="B1" s="15" t="s">
        <v>117</v>
      </c>
      <c r="C1" s="15" t="s">
        <v>118</v>
      </c>
    </row>
    <row r="2" customFormat="false" ht="15" hidden="false" customHeight="false" outlineLevel="0" collapsed="false">
      <c r="A2" s="18" t="s">
        <v>90</v>
      </c>
      <c r="B2" s="26" t="n">
        <f aca="false">COUNTIF(Data!$C$2:$C$25,A2)</f>
        <v>9</v>
      </c>
      <c r="C2" s="20" t="n">
        <f aca="false">SUMIF(Data!$C$2:$C$25,A2,Data!$I$2:$I$25)</f>
        <v>1860000</v>
      </c>
    </row>
    <row r="3" customFormat="false" ht="15" hidden="false" customHeight="false" outlineLevel="0" collapsed="false">
      <c r="A3" s="18" t="s">
        <v>84</v>
      </c>
      <c r="B3" s="26" t="n">
        <f aca="false">COUNTIF(Data!$C$2:$C$25,A3)</f>
        <v>10</v>
      </c>
      <c r="C3" s="20" t="n">
        <f aca="false">SUMIF(Data!$C$2:$C$25,A3,Data!$I$2:$I$25)</f>
        <v>1132500</v>
      </c>
    </row>
    <row r="4" customFormat="false" ht="15" hidden="false" customHeight="false" outlineLevel="0" collapsed="false">
      <c r="A4" s="18" t="s">
        <v>101</v>
      </c>
      <c r="B4" s="26" t="n">
        <f aca="false">COUNTIF(Data!$C$2:$C$25,A4)</f>
        <v>5</v>
      </c>
      <c r="C4" s="20" t="n">
        <f aca="false">SUMIF(Data!$C$2:$C$25,A4,Data!$I$2:$I$25)</f>
        <v>870000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119</v>
      </c>
      <c r="B1" s="27"/>
      <c r="C1" s="27"/>
      <c r="D1" s="27"/>
    </row>
    <row r="2" customFormat="false" ht="15" hidden="false" customHeight="false" outlineLevel="0" collapsed="false">
      <c r="A2" s="28" t="s">
        <v>120</v>
      </c>
      <c r="B2" s="28"/>
      <c r="C2" s="28"/>
      <c r="D2" s="28"/>
    </row>
    <row r="3" customFormat="false" ht="15" hidden="false" customHeight="false" outlineLevel="0" collapsed="false">
      <c r="A3" s="11" t="s">
        <v>19</v>
      </c>
      <c r="B3" s="11" t="s">
        <v>121</v>
      </c>
      <c r="C3" s="11" t="s">
        <v>122</v>
      </c>
      <c r="D3" s="11" t="s">
        <v>123</v>
      </c>
    </row>
    <row r="4" customFormat="false" ht="15" hidden="false" customHeight="false" outlineLevel="0" collapsed="false">
      <c r="A4" s="29" t="s">
        <v>124</v>
      </c>
      <c r="B4" s="30" t="s">
        <v>125</v>
      </c>
      <c r="C4" s="26" t="n">
        <f aca="false">COUNTA(Data!$B$2:$B$25)</f>
        <v>24</v>
      </c>
      <c r="D4" s="31" t="s">
        <v>126</v>
      </c>
    </row>
    <row r="5" customFormat="false" ht="15" hidden="false" customHeight="false" outlineLevel="0" collapsed="false">
      <c r="A5" s="29" t="s">
        <v>127</v>
      </c>
      <c r="B5" s="30" t="s">
        <v>128</v>
      </c>
      <c r="C5" s="26" t="n">
        <f aca="false">SUM(Data!$E$2:$E$25)</f>
        <v>35</v>
      </c>
      <c r="D5" s="31" t="s">
        <v>129</v>
      </c>
    </row>
    <row r="6" customFormat="false" ht="15" hidden="false" customHeight="false" outlineLevel="0" collapsed="false">
      <c r="A6" s="29" t="s">
        <v>43</v>
      </c>
      <c r="B6" s="30" t="s">
        <v>130</v>
      </c>
      <c r="C6" s="20" t="n">
        <f aca="false">SUM(Data!$I$2:$I$25)</f>
        <v>3862500</v>
      </c>
      <c r="D6" s="31" t="s">
        <v>131</v>
      </c>
    </row>
    <row r="7" customFormat="false" ht="15" hidden="false" customHeight="false" outlineLevel="0" collapsed="false">
      <c r="A7" s="29" t="s">
        <v>132</v>
      </c>
      <c r="B7" s="30" t="s">
        <v>133</v>
      </c>
      <c r="C7" s="26" t="n">
        <f aca="false">COUNTIF(Data!$F$2:$F$25,"Hadir")</f>
        <v>19</v>
      </c>
      <c r="D7" s="31" t="s">
        <v>134</v>
      </c>
    </row>
    <row r="8" customFormat="false" ht="15" hidden="false" customHeight="false" outlineLevel="0" collapsed="false">
      <c r="A8" s="29" t="s">
        <v>135</v>
      </c>
      <c r="B8" s="30" t="s">
        <v>136</v>
      </c>
      <c r="C8" s="26" t="n">
        <f aca="false">COUNTIF(Data!$F$2:$F$25,"Tidak Hadir")</f>
        <v>5</v>
      </c>
      <c r="D8" s="31" t="s">
        <v>137</v>
      </c>
    </row>
    <row r="9" customFormat="false" ht="15" hidden="false" customHeight="false" outlineLevel="0" collapsed="false">
      <c r="A9" s="29" t="s">
        <v>51</v>
      </c>
      <c r="B9" s="30" t="s">
        <v>138</v>
      </c>
      <c r="C9" s="32" t="n">
        <f aca="false">COUNTIF(Data!$F$2:$F$25,"Hadir")/COUNTA(Data!$B$2:$B$25)</f>
        <v>0.791666666666667</v>
      </c>
      <c r="D9" s="31" t="s">
        <v>139</v>
      </c>
    </row>
    <row r="10" customFormat="false" ht="15" hidden="false" customHeight="false" outlineLevel="0" collapsed="false">
      <c r="A10" s="29" t="s">
        <v>63</v>
      </c>
      <c r="B10" s="30" t="s">
        <v>140</v>
      </c>
      <c r="C10" s="21" t="str">
        <f aca="false">INDEX(Acuan!$A$2:$A$4,MATCH(MAX(Acuan!$C$2:$C$4),Acuan!$C$2:$C$4,0))</f>
        <v>Umum</v>
      </c>
      <c r="D10" s="31" t="s">
        <v>141</v>
      </c>
    </row>
    <row r="11" customFormat="false" ht="15" hidden="false" customHeight="false" outlineLevel="0" collapsed="false">
      <c r="A11" s="29" t="s">
        <v>142</v>
      </c>
      <c r="B11" s="30" t="s">
        <v>143</v>
      </c>
      <c r="C11" s="21" t="str">
        <f aca="false">INDEX(Data!$B$2:$B$25,MATCH(MAX(Data!$I$2:$I$25),Data!$I$2:$I$25,0))</f>
        <v>Eko Fauzi</v>
      </c>
      <c r="D11" s="31" t="s">
        <v>144</v>
      </c>
    </row>
    <row r="12" customFormat="false" ht="15" hidden="false" customHeight="false" outlineLevel="0" collapsed="false">
      <c r="A12" s="29" t="s">
        <v>145</v>
      </c>
      <c r="B12" s="30" t="s">
        <v>146</v>
      </c>
      <c r="C12" s="20" t="n">
        <f aca="false">AVERAGE(Data!$I$2:$I$25)</f>
        <v>160937.5</v>
      </c>
      <c r="D12" s="31" t="s">
        <v>147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2026-10-14T23:33:37Z</dcterms:created>
  <dc:creator>PushExcel</dc:creator>
  <dc:description/>
  <dc:language>en-US</dc:language>
  <cp:lastModifiedBy/>
  <dcterms:modified xsi:type="dcterms:W3CDTF">2026-10-14T23:33:37Z</dcterms:modified>
  <cp:revision>0</cp:revision>
  <dc:subject/>
  <dc:title>Rekap Pendaftaran dan Kehadiran Peserta Seminar - Kunci</dc:title>
</cp:coreProperties>
</file>

<file path=docProps/custom.xml><?xml version="1.0" encoding="utf-8"?>
<Properties xmlns="http://schemas.openxmlformats.org/officeDocument/2006/custom-properties" xmlns:vt="http://schemas.openxmlformats.org/officeDocument/2006/docPropsVTypes"/>
</file>