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<sst xmlns="http://schemas.openxmlformats.org/spreadsheetml/2006/main" count="233" uniqueCount="205">
  <si>
    <t xml:space="preserve">Kunci Jawaban: Analisis ABC Persediaan Toko Bangunan</t>
  </si>
  <si>
    <t xml:space="preserve">Latihan 91 dari 40  |  Tingkat: Lanjutan  |  Perkiraan waktu: 65 menit  |  pushexcel.github.io/Pushexcel</t>
  </si>
  <si>
    <t xml:space="preserve">Skenario</t>
  </si>
  <si>
    <t xml:space="preserve">Kamu staf gudang UD Maju Bangunan yang mengelompokkan 30 barang persediaan dengan analisis ABC. Setiap barang punya kategori, permintaan tahunan (unit), dan harga satuan. Nilai tahunan adalah permintaan dikali harga. Persen kumulatif sebuah barang adalah jumlah nilai tahunan semua barang yang nilainya sama atau lebih besar darinya, dibagi total nilai seluruh barang. Barang masuk kelas A bila persen kumulatif tidak lebih dari 70 persen, kelas B bila tidak lebih dari 90 persen, selain itu kelas C (batas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</si>
  <si>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</si>
  <si>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</si>
  <si>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</si>
  <si>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</si>
  <si>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</si>
  <si>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</si>
  <si>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</si>
  <si>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</si>
  <si>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</si>
  <si>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</si>
  <si>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</si>
  <si>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</si>
  <si>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</si>
  <si>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</si>
  <si>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</si>
  <si>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</si>
  <si>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</si>
  <si>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</si>
  <si>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</si>
  <si>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</si>
  <si>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tahunan tiap barang: permintaan tahunan dikali harga satuan.</t>
  </si>
  <si>
    <t xml:space="preserve">Sheet Data, kolom F (Nilai Tahunan), baris 2 sampai 31</t>
  </si>
  <si>
    <t xml:space="preserve">=D2*E2</t>
  </si>
  <si>
    <t xml:space="preserve">2</t>
  </si>
  <si>
    <t xml:space="preserve">Hitung porsi nilai tahunan tiap barang terhadap total nilai seluruh barang.</t>
  </si>
  <si>
    <t xml:space="preserve">Sheet Data, kolom G (Persen Nilai), baris 2 sampai 31</t>
  </si>
  <si>
    <t xml:space="preserve">=F2/SUM($F$2:$F$31)</t>
  </si>
  <si>
    <t xml:space="preserve">3</t>
  </si>
  <si>
    <t xml:space="preserve">Beri peringkat tiap barang berdasarkan nilai tahunan, 1 untuk nilai terbesar.</t>
  </si>
  <si>
    <t xml:space="preserve">Sheet Data, kolom H (Peringkat), baris 2 sampai 31</t>
  </si>
  <si>
    <t xml:space="preserve">=RANK(F2;$F$2:$F$31)</t>
  </si>
  <si>
    <t xml:space="preserve">4</t>
  </si>
  <si>
    <t xml:space="preserve">Hitung persen kumulatif: jumlah nilai tahunan semua barang yang nilainya sama atau lebih besar dari barang ini, dibagi total nilai seluruh barang.</t>
  </si>
  <si>
    <t xml:space="preserve">Sheet Data, kolom I (Persen Kumulatif), baris 2 sampai 31</t>
  </si>
  <si>
    <t xml:space="preserve">=SUMIF($F$2:$F$31;"&gt;="&amp;F2;$F$2:$F$31)/SUM($F$2:$F$31)</t>
  </si>
  <si>
    <t xml:space="preserve">5</t>
  </si>
  <si>
    <t xml:space="preserve">Tentukan kelas: A bila persen kumulatif tidak lebih dari batas kelas A, B bila tidak lebih dari batas kelas B, selain itu C.</t>
  </si>
  <si>
    <t xml:space="preserve">Sheet Data, kolom J (Kelas), baris 2 sampai 31</t>
  </si>
  <si>
    <t xml:space="preserve">=IF(I2&lt;=$M$2;"A";IF(I2&lt;=$M$3;"B";"C"))</t>
  </si>
  <si>
    <t xml:space="preserve">6</t>
  </si>
  <si>
    <t xml:space="preserve">Pada sheet Acuan, hitung jumlah barang tiap kelas.</t>
  </si>
  <si>
    <t xml:space="preserve">Sheet Acuan, kolom B (Jumlah Barang), baris 2 sampai 4</t>
  </si>
  <si>
    <t xml:space="preserve">=COUNTIF(Data!$J$2:$J$31;A2)</t>
  </si>
  <si>
    <t xml:space="preserve">7</t>
  </si>
  <si>
    <t xml:space="preserve">Pada sheet Acuan, hitung total nilai tahunan tiap kelas.</t>
  </si>
  <si>
    <t xml:space="preserve">Sheet Acuan, kolom C (Total Nilai), baris 2 sampai 4</t>
  </si>
  <si>
    <t xml:space="preserve">=SUMIF(Data!$J$2:$J$31;A2;Data!$F$2:$F$31)</t>
  </si>
  <si>
    <t xml:space="preserve">8</t>
  </si>
  <si>
    <t xml:space="preserve">Pada sheet Acuan, hitung porsi total nilai tiap kelas terhadap total nilai seluruh barang.</t>
  </si>
  <si>
    <t xml:space="preserve">Sheet Acuan, kolom D (Persen Nilai Kelas), baris 2 sampai 4</t>
  </si>
  <si>
    <t xml:space="preserve">=C2/SUM(Data!$F$2:$F$31)</t>
  </si>
  <si>
    <t xml:space="preserve">9</t>
  </si>
  <si>
    <t xml:space="preserve">Pada sheet Acuan, hitung porsi jumlah barang tiap kelas terhadap seluruh barang.</t>
  </si>
  <si>
    <t xml:space="preserve">Sheet Acuan, kolom E (Persen Jumlah Barang), baris 2 sampai 4</t>
  </si>
  <si>
    <t xml:space="preserve">=B2/COUNTA(Data!$A$2:$A$31)</t>
  </si>
  <si>
    <t xml:space="preserve">10</t>
  </si>
  <si>
    <t xml:space="preserve">Berapa total nilai tahunan seluruh barang, dan berapa rata-rata nilai tahunan per barang?</t>
  </si>
  <si>
    <t xml:space="preserve">Sheet Ringkasan, sel C4 sampai C5</t>
  </si>
  <si>
    <t xml:space="preserve">=SUM(Data!$F$2:$F$31)
=AVERAGE(Data!$F$2:$F$31)</t>
  </si>
  <si>
    <t xml:space="preserve">11</t>
  </si>
  <si>
    <t xml:space="preserve">Berapa barang kelas A, kelas B, dan kelas C?</t>
  </si>
  <si>
    <t xml:space="preserve">Sheet Ringkasan, sel C6 sampai C8</t>
  </si>
  <si>
    <t xml:space="preserve">=COUNTIF(Data!$J$2:$J$31;"A")
=COUNTIF(Data!$J$2:$J$31;"B")
=COUNTIF(Data!$J$2:$J$31;"C")</t>
  </si>
  <si>
    <t xml:space="preserve">12</t>
  </si>
  <si>
    <t xml:space="preserve">Barang apa yang nilai tahunannya terbesar, dan barang apa yang terkecil?</t>
  </si>
  <si>
    <t xml:space="preserve">Sheet Ringkasan, sel C9 sampai C10</t>
  </si>
  <si>
    <t xml:space="preserve">=INDEX(Data!$B$2:$B$31;MATCH(MAX(Data!$F$2:$F$31);Data!$F$2:$F$31;0))
=INDEX(Data!$B$2:$B$31;MATCH(MIN(Data!$F$2:$F$31);Data!$F$2:$F$31;0))</t>
  </si>
  <si>
    <t xml:space="preserve">13</t>
  </si>
  <si>
    <t xml:space="preserve">Berapa persen nilai yang disumbang kelas A, dan kelas mana yang persen jumlah barangnya terbesar?</t>
  </si>
  <si>
    <t xml:space="preserve">Sheet Ringkasan, sel C11 sampai C12</t>
  </si>
  <si>
    <t xml:space="preserve">=INDEX(Acuan!$D$2:$D$4;MATCH("A";Acuan!$A$2:$A$4;0))
=INDEX(Acuan!$A$2:$A$4;MATCH(MAX(Acuan!$E$2:$E$4);Acuan!$E$2:$E$4;0))</t>
  </si>
  <si>
    <t xml:space="preserve">14</t>
  </si>
  <si>
    <t xml:space="preserve">Berapa barang kategori Besi dan Atap yang masuk kelas A, dan berapa total nilai tahunan barang kategori Cat yang masuk kelas C?</t>
  </si>
  <si>
    <t xml:space="preserve">Sheet Ringkasan, sel C13 sampai C14</t>
  </si>
  <si>
    <t xml:space="preserve">=COUNTIFS(Data!$C$2:$C$31;"Besi dan Atap";Data!$J$2:$J$31;"A")
=SUMIFS(Data!$F$2:$F$31;Data!$C$2:$C$31;"Cat";Data!$J$2:$J$31;"C")</t>
  </si>
  <si>
    <t xml:space="preserve">Kode</t>
  </si>
  <si>
    <t xml:space="preserve">Nama Barang</t>
  </si>
  <si>
    <t xml:space="preserve">Kategori</t>
  </si>
  <si>
    <t xml:space="preserve">Permintaan Tahunan</t>
  </si>
  <si>
    <t xml:space="preserve">Harga Satuan</t>
  </si>
  <si>
    <t xml:space="preserve">Nilai Tahunan</t>
  </si>
  <si>
    <t xml:space="preserve">Persen Nilai</t>
  </si>
  <si>
    <t xml:space="preserve">Peringkat</t>
  </si>
  <si>
    <t xml:space="preserve">Persen Kumulatif</t>
  </si>
  <si>
    <t xml:space="preserve">Kelas</t>
  </si>
  <si>
    <t xml:space="preserve">Parameter</t>
  </si>
  <si>
    <t xml:space="preserve">Nilai</t>
  </si>
  <si>
    <t xml:space="preserve">Keterangan</t>
  </si>
  <si>
    <t xml:space="preserve">BRG-01</t>
  </si>
  <si>
    <t xml:space="preserve">Meteran 5 meter</t>
  </si>
  <si>
    <t xml:space="preserve">Perkakas dan Baut</t>
  </si>
  <si>
    <t xml:space="preserve">Batas kelas A</t>
  </si>
  <si>
    <t xml:space="preserve">Persen kumulatif paling tinggi untuk kelas A</t>
  </si>
  <si>
    <t xml:space="preserve">BRG-02</t>
  </si>
  <si>
    <t xml:space="preserve">Kran air</t>
  </si>
  <si>
    <t xml:space="preserve">Pipa dan Listrik</t>
  </si>
  <si>
    <t xml:space="preserve">Batas kelas B</t>
  </si>
  <si>
    <t xml:space="preserve">Persen kumulatif paling tinggi untuk kelas B</t>
  </si>
  <si>
    <t xml:space="preserve">BRG-03</t>
  </si>
  <si>
    <t xml:space="preserve">Nat keramik 5 kg</t>
  </si>
  <si>
    <t xml:space="preserve">Semen dan Perekat</t>
  </si>
  <si>
    <t xml:space="preserve">BRG-04</t>
  </si>
  <si>
    <t xml:space="preserve">Kabel listrik 2x1,5 mm</t>
  </si>
  <si>
    <t xml:space="preserve">BRG-05</t>
  </si>
  <si>
    <t xml:space="preserve">Sarung tangan kerja</t>
  </si>
  <si>
    <t xml:space="preserve">BRG-06</t>
  </si>
  <si>
    <t xml:space="preserve">Baja ringan C75</t>
  </si>
  <si>
    <t xml:space="preserve">Besi dan Atap</t>
  </si>
  <si>
    <t xml:space="preserve">BRG-07</t>
  </si>
  <si>
    <t xml:space="preserve">Baut dan mur set</t>
  </si>
  <si>
    <t xml:space="preserve">BRG-08</t>
  </si>
  <si>
    <t xml:space="preserve">Lem pipa PVC</t>
  </si>
  <si>
    <t xml:space="preserve">BRG-09</t>
  </si>
  <si>
    <t xml:space="preserve">Besi beton 10 mm</t>
  </si>
  <si>
    <t xml:space="preserve">BRG-10</t>
  </si>
  <si>
    <t xml:space="preserve">Cat tembok 25 kg</t>
  </si>
  <si>
    <t xml:space="preserve">Cat</t>
  </si>
  <si>
    <t xml:space="preserve">BRG-11</t>
  </si>
  <si>
    <t xml:space="preserve">Semen instan 40 kg</t>
  </si>
  <si>
    <t xml:space="preserve">BRG-12</t>
  </si>
  <si>
    <t xml:space="preserve">Gergaji kayu</t>
  </si>
  <si>
    <t xml:space="preserve">BRG-13</t>
  </si>
  <si>
    <t xml:space="preserve">Triplek 9 mm</t>
  </si>
  <si>
    <t xml:space="preserve">BRG-14</t>
  </si>
  <si>
    <t xml:space="preserve">Kawat bendrat</t>
  </si>
  <si>
    <t xml:space="preserve">BRG-15</t>
  </si>
  <si>
    <t xml:space="preserve">Saklar dan stop kontak</t>
  </si>
  <si>
    <t xml:space="preserve">BRG-16</t>
  </si>
  <si>
    <t xml:space="preserve">Besi hollow 4x4</t>
  </si>
  <si>
    <t xml:space="preserve">BRG-17</t>
  </si>
  <si>
    <t xml:space="preserve">Cat dasar 20 kg</t>
  </si>
  <si>
    <t xml:space="preserve">BRG-18</t>
  </si>
  <si>
    <t xml:space="preserve">Seng gelombang</t>
  </si>
  <si>
    <t xml:space="preserve">BRG-19</t>
  </si>
  <si>
    <t xml:space="preserve">Cat kayu dan besi 1 kg</t>
  </si>
  <si>
    <t xml:space="preserve">BRG-20</t>
  </si>
  <si>
    <t xml:space="preserve">Pipa PVC 1/2 inci</t>
  </si>
  <si>
    <t xml:space="preserve">BRG-21</t>
  </si>
  <si>
    <t xml:space="preserve">Thinner 1 liter</t>
  </si>
  <si>
    <t xml:space="preserve">BRG-22</t>
  </si>
  <si>
    <t xml:space="preserve">Genteng beton</t>
  </si>
  <si>
    <t xml:space="preserve">BRG-23</t>
  </si>
  <si>
    <t xml:space="preserve">Perekat keramik 25 kg</t>
  </si>
  <si>
    <t xml:space="preserve">BRG-24</t>
  </si>
  <si>
    <t xml:space="preserve">Pipa PVC 3 inci</t>
  </si>
  <si>
    <t xml:space="preserve">BRG-25</t>
  </si>
  <si>
    <t xml:space="preserve">Palu besi</t>
  </si>
  <si>
    <t xml:space="preserve">BRG-26</t>
  </si>
  <si>
    <t xml:space="preserve">Kuas cat set</t>
  </si>
  <si>
    <t xml:space="preserve">BRG-27</t>
  </si>
  <si>
    <t xml:space="preserve">Semen 50 kg</t>
  </si>
  <si>
    <t xml:space="preserve">BRG-28</t>
  </si>
  <si>
    <t xml:space="preserve">Kayu balok 5x7</t>
  </si>
  <si>
    <t xml:space="preserve">BRG-29</t>
  </si>
  <si>
    <t xml:space="preserve">Lampu LED 12 watt</t>
  </si>
  <si>
    <t xml:space="preserve">BRG-30</t>
  </si>
  <si>
    <t xml:space="preserve">Paku 5 cm</t>
  </si>
  <si>
    <t xml:space="preserve">Jumlah Barang</t>
  </si>
  <si>
    <t xml:space="preserve">Total Nilai</t>
  </si>
  <si>
    <t xml:space="preserve">Persen Nilai Kelas</t>
  </si>
  <si>
    <t xml:space="preserve">Persen Jumlah Barang</t>
  </si>
  <si>
    <t xml:space="preserve">A</t>
  </si>
  <si>
    <t xml:space="preserve">B</t>
  </si>
  <si>
    <t xml:space="preserve">C</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</si>
  <si>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</si>
  <si>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</si>
  <si>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</si>
  <si>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</si>
  <si>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</si>
  <si>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</si>
  <si>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Total nilai tahunan</t>
  </si>
  <si>
    <t xml:space="preserve">Rupiah, mis. Rp 1.500.000.000</t>
  </si>
  <si>
    <t xml:space="preserve">10b</t>
  </si>
  <si>
    <t xml:space="preserve">Rata-rata nilai tahunan per barang</t>
  </si>
  <si>
    <t xml:space="preserve">Rupiah, mis. Rp 50.000.000</t>
  </si>
  <si>
    <t xml:space="preserve">11a</t>
  </si>
  <si>
    <t xml:space="preserve">Barang kelas A</t>
  </si>
  <si>
    <t xml:space="preserve">Angka bulat, mis. 5</t>
  </si>
  <si>
    <t xml:space="preserve">11b</t>
  </si>
  <si>
    <t xml:space="preserve">Barang kelas B</t>
  </si>
  <si>
    <t xml:space="preserve">Angka bulat, mis. 9</t>
  </si>
  <si>
    <t xml:space="preserve">11c</t>
  </si>
  <si>
    <t xml:space="preserve">Barang kelas C</t>
  </si>
  <si>
    <t xml:space="preserve">Angka bulat, mis. 17</t>
  </si>
  <si>
    <t xml:space="preserve">12a</t>
  </si>
  <si>
    <t xml:space="preserve">Barang dengan nilai tahunan terbesar</t>
  </si>
  <si>
    <t xml:space="preserve">Teks: nama barang</t>
  </si>
  <si>
    <t xml:space="preserve">12b</t>
  </si>
  <si>
    <t xml:space="preserve">Barang dengan nilai tahunan terkecil</t>
  </si>
  <si>
    <t xml:space="preserve">13a</t>
  </si>
  <si>
    <t xml:space="preserve">Persen nilai kelas A</t>
  </si>
  <si>
    <t xml:space="preserve">Persen, mis. 65,5%</t>
  </si>
  <si>
    <t xml:space="preserve">13b</t>
  </si>
  <si>
    <t xml:space="preserve">Kelas dengan persen jumlah barang terbesar</t>
  </si>
  <si>
    <t xml:space="preserve">Teks: A, B, atau C</t>
  </si>
  <si>
    <t xml:space="preserve">14a</t>
  </si>
  <si>
    <t xml:space="preserve">Besi dan Atap kelas A</t>
  </si>
  <si>
    <t xml:space="preserve">Angka bulat, mis. 2</t>
  </si>
  <si>
    <t xml:space="preserve">14b</t>
  </si>
  <si>
    <t xml:space="preserve">Nilai tahunan Cat kelas C</t>
  </si>
  <si>
    <t xml:space="preserve">Rupiah, mis. Rp 60.000.000</t>
  </si>
</sst>
</file>

<file path=xl/styles.xml><?xml version="1.0" encoding="utf-8"?>
<styleSheet xmlns="http://schemas.openxmlformats.org/spreadsheetml/2006/main">
  <numFmts count="6">
    <numFmt numFmtId="164" formatCode="General"/>
    <numFmt numFmtId="165" formatCode="#,##0"/>
    <numFmt numFmtId="166" formatCode="&quot;Rp &quot;#,##0"/>
    <numFmt numFmtId="167" formatCode="0.0%"/>
    <numFmt numFmtId="168" formatCode="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4" min="3" style="0" width="19"/>
    <col collapsed="false" customWidth="true" hidden="false" outlineLevel="0" max="5" min="5" style="0" width="14"/>
    <col collapsed="false" customWidth="true" hidden="false" outlineLevel="0" max="6" min="6" style="0" width="16"/>
    <col collapsed="false" customWidth="true" hidden="false" outlineLevel="0" max="7" min="7" style="0" width="13"/>
    <col collapsed="false" customWidth="true" hidden="false" outlineLevel="0" max="8" min="8" style="0" width="11"/>
    <col collapsed="false" customWidth="true" hidden="false" outlineLevel="0" max="9" min="9" style="0" width="17"/>
    <col collapsed="false" customWidth="true" hidden="false" outlineLevel="0" max="10" min="10" style="0" width="8"/>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79</v>
      </c>
      <c r="B1" s="11" t="s">
        <v>80</v>
      </c>
      <c r="C1" s="11" t="s">
        <v>81</v>
      </c>
      <c r="D1" s="11" t="s">
        <v>82</v>
      </c>
      <c r="E1" s="11" t="s">
        <v>83</v>
      </c>
      <c r="F1" s="15" t="s">
        <v>84</v>
      </c>
      <c r="G1" s="15" t="s">
        <v>85</v>
      </c>
      <c r="H1" s="15" t="s">
        <v>86</v>
      </c>
      <c r="I1" s="15" t="s">
        <v>87</v>
      </c>
      <c r="J1" s="15" t="s">
        <v>88</v>
      </c>
      <c r="L1" s="16" t="s">
        <v>89</v>
      </c>
      <c r="M1" s="16" t="s">
        <v>90</v>
      </c>
      <c r="N1" s="16" t="s">
        <v>91</v>
      </c>
    </row>
    <row r="2" customFormat="false" ht="15" hidden="false" customHeight="false" outlineLevel="0" collapsed="false">
      <c r="A2" s="17" t="s">
        <v>92</v>
      </c>
      <c r="B2" s="17" t="s">
        <v>93</v>
      </c>
      <c r="C2" s="17" t="s">
        <v>94</v>
      </c>
      <c r="D2" s="18" t="n">
        <v>115</v>
      </c>
      <c r="E2" s="19" t="n">
        <v>16500</v>
      </c>
      <c r="F2" s="20" t="n">
        <f aca="false">D2*E2</f>
        <v>1897500</v>
      </c>
      <c r="G2" s="21" t="n">
        <f aca="false">F2/SUM($F$2:$F$31)</f>
        <v>0.00261431514931907</v>
      </c>
      <c r="H2" s="22" t="n">
        <f aca="false">RANK(F2,$F$2:$F$31)</f>
        <v>28</v>
      </c>
      <c r="I2" s="21" t="n">
        <f aca="false">SUMIF($F$2:$F$31,"&gt;="&amp;F2,$F$2:$F$31)/SUM($F$2:$F$31)</f>
        <v>0.997391884807557</v>
      </c>
      <c r="J2" s="23" t="str">
        <f aca="false">IF(I2&lt;=$M$2,"A",IF(I2&lt;=$M$3,"B","C"))</f>
        <v>C</v>
      </c>
      <c r="L2" s="24" t="s">
        <v>95</v>
      </c>
      <c r="M2" s="25" t="n">
        <v>0.7</v>
      </c>
      <c r="N2" s="24" t="s">
        <v>96</v>
      </c>
    </row>
    <row r="3" customFormat="false" ht="15" hidden="false" customHeight="false" outlineLevel="0" collapsed="false">
      <c r="A3" s="17" t="s">
        <v>97</v>
      </c>
      <c r="B3" s="17" t="s">
        <v>98</v>
      </c>
      <c r="C3" s="17" t="s">
        <v>99</v>
      </c>
      <c r="D3" s="18" t="n">
        <v>210</v>
      </c>
      <c r="E3" s="19" t="n">
        <v>53000</v>
      </c>
      <c r="F3" s="20" t="n">
        <f aca="false">D3*E3</f>
        <v>11130000</v>
      </c>
      <c r="G3" s="21" t="n">
        <f aca="false">F3/SUM($F$2:$F$31)</f>
        <v>0.0153345600062826</v>
      </c>
      <c r="H3" s="22" t="n">
        <f aca="false">RANK(F3,$F$2:$F$31)</f>
        <v>15</v>
      </c>
      <c r="I3" s="21" t="n">
        <f aca="false">SUMIF($F$2:$F$31,"&gt;="&amp;F3,$F$2:$F$31)/SUM($F$2:$F$31)</f>
        <v>0.893317342037154</v>
      </c>
      <c r="J3" s="23" t="str">
        <f aca="false">IF(I3&lt;=$M$2,"A",IF(I3&lt;=$M$3,"B","C"))</f>
        <v>B</v>
      </c>
      <c r="L3" s="24" t="s">
        <v>100</v>
      </c>
      <c r="M3" s="25" t="n">
        <v>0.9</v>
      </c>
      <c r="N3" s="24" t="s">
        <v>101</v>
      </c>
    </row>
    <row r="4" customFormat="false" ht="15" hidden="false" customHeight="false" outlineLevel="0" collapsed="false">
      <c r="A4" s="17" t="s">
        <v>102</v>
      </c>
      <c r="B4" s="17" t="s">
        <v>103</v>
      </c>
      <c r="C4" s="17" t="s">
        <v>104</v>
      </c>
      <c r="D4" s="18" t="n">
        <v>350</v>
      </c>
      <c r="E4" s="19" t="n">
        <v>29500</v>
      </c>
      <c r="F4" s="20" t="n">
        <f aca="false">D4*E4</f>
        <v>10325000</v>
      </c>
      <c r="G4" s="21" t="n">
        <f aca="false">F4/SUM($F$2:$F$31)</f>
        <v>0.0142254566096018</v>
      </c>
      <c r="H4" s="22" t="n">
        <f aca="false">RANK(F4,$F$2:$F$31)</f>
        <v>16</v>
      </c>
      <c r="I4" s="21" t="n">
        <f aca="false">SUMIF($F$2:$F$31,"&gt;="&amp;F4,$F$2:$F$31)/SUM($F$2:$F$31)</f>
        <v>0.907542798646756</v>
      </c>
      <c r="J4" s="23" t="str">
        <f aca="false">IF(I4&lt;=$M$2,"A",IF(I4&lt;=$M$3,"B","C"))</f>
        <v>C</v>
      </c>
    </row>
    <row r="5" customFormat="false" ht="15" hidden="false" customHeight="false" outlineLevel="0" collapsed="false">
      <c r="A5" s="17" t="s">
        <v>105</v>
      </c>
      <c r="B5" s="17" t="s">
        <v>106</v>
      </c>
      <c r="C5" s="17" t="s">
        <v>99</v>
      </c>
      <c r="D5" s="18" t="n">
        <v>35</v>
      </c>
      <c r="E5" s="19" t="n">
        <v>345000</v>
      </c>
      <c r="F5" s="20" t="n">
        <f aca="false">D5*E5</f>
        <v>12075000</v>
      </c>
      <c r="G5" s="21" t="n">
        <f aca="false">F5/SUM($F$2:$F$31)</f>
        <v>0.0166365509502123</v>
      </c>
      <c r="H5" s="22" t="n">
        <f aca="false">RANK(F5,$F$2:$F$31)</f>
        <v>14</v>
      </c>
      <c r="I5" s="21" t="n">
        <f aca="false">SUMIF($F$2:$F$31,"&gt;="&amp;F5,$F$2:$F$31)/SUM($F$2:$F$31)</f>
        <v>0.877982782030872</v>
      </c>
      <c r="J5" s="23" t="str">
        <f aca="false">IF(I5&lt;=$M$2,"A",IF(I5&lt;=$M$3,"B","C"))</f>
        <v>B</v>
      </c>
    </row>
    <row r="6" customFormat="false" ht="15" hidden="false" customHeight="false" outlineLevel="0" collapsed="false">
      <c r="A6" s="17" t="s">
        <v>107</v>
      </c>
      <c r="B6" s="17" t="s">
        <v>108</v>
      </c>
      <c r="C6" s="17" t="s">
        <v>94</v>
      </c>
      <c r="D6" s="18" t="n">
        <v>100</v>
      </c>
      <c r="E6" s="19" t="n">
        <v>8500</v>
      </c>
      <c r="F6" s="20" t="n">
        <f aca="false">D6*E6</f>
        <v>850000</v>
      </c>
      <c r="G6" s="21" t="n">
        <f aca="false">F6/SUM($F$2:$F$31)</f>
        <v>0.00117110296543937</v>
      </c>
      <c r="H6" s="22" t="n">
        <f aca="false">RANK(F6,$F$2:$F$31)</f>
        <v>30</v>
      </c>
      <c r="I6" s="21" t="n">
        <f aca="false">SUMIF($F$2:$F$31,"&gt;="&amp;F6,$F$2:$F$31)/SUM($F$2:$F$31)</f>
        <v>1</v>
      </c>
      <c r="J6" s="23" t="str">
        <f aca="false">IF(I6&lt;=$M$2,"A",IF(I6&lt;=$M$3,"B","C"))</f>
        <v>C</v>
      </c>
    </row>
    <row r="7" customFormat="false" ht="15" hidden="false" customHeight="false" outlineLevel="0" collapsed="false">
      <c r="A7" s="17" t="s">
        <v>109</v>
      </c>
      <c r="B7" s="17" t="s">
        <v>110</v>
      </c>
      <c r="C7" s="17" t="s">
        <v>111</v>
      </c>
      <c r="D7" s="18" t="n">
        <v>780</v>
      </c>
      <c r="E7" s="19" t="n">
        <v>84500</v>
      </c>
      <c r="F7" s="20" t="n">
        <f aca="false">D7*E7</f>
        <v>65910000</v>
      </c>
      <c r="G7" s="21" t="n">
        <f aca="false">F7/SUM($F$2:$F$31)</f>
        <v>0.0908087017083637</v>
      </c>
      <c r="H7" s="22" t="n">
        <f aca="false">RANK(F7,$F$2:$F$31)</f>
        <v>5</v>
      </c>
      <c r="I7" s="21" t="n">
        <f aca="false">SUMIF($F$2:$F$31,"&gt;="&amp;F7,$F$2:$F$31)/SUM($F$2:$F$31)</f>
        <v>0.578214867083258</v>
      </c>
      <c r="J7" s="23" t="str">
        <f aca="false">IF(I7&lt;=$M$2,"A",IF(I7&lt;=$M$3,"B","C"))</f>
        <v>A</v>
      </c>
    </row>
    <row r="8" customFormat="false" ht="15" hidden="false" customHeight="false" outlineLevel="0" collapsed="false">
      <c r="A8" s="17" t="s">
        <v>112</v>
      </c>
      <c r="B8" s="17" t="s">
        <v>113</v>
      </c>
      <c r="C8" s="17" t="s">
        <v>94</v>
      </c>
      <c r="D8" s="18" t="n">
        <v>230</v>
      </c>
      <c r="E8" s="19" t="n">
        <v>23000</v>
      </c>
      <c r="F8" s="20" t="n">
        <f aca="false">D8*E8</f>
        <v>5290000</v>
      </c>
      <c r="G8" s="21" t="n">
        <f aca="false">F8/SUM($F$2:$F$31)</f>
        <v>0.00728839374961681</v>
      </c>
      <c r="H8" s="22" t="n">
        <f aca="false">RANK(F8,$F$2:$F$31)</f>
        <v>23</v>
      </c>
      <c r="I8" s="21" t="n">
        <f aca="false">SUMIF($F$2:$F$31,"&gt;="&amp;F8,$F$2:$F$31)/SUM($F$2:$F$31)</f>
        <v>0.977388757273755</v>
      </c>
      <c r="J8" s="23" t="str">
        <f aca="false">IF(I8&lt;=$M$2,"A",IF(I8&lt;=$M$3,"B","C"))</f>
        <v>C</v>
      </c>
    </row>
    <row r="9" customFormat="false" ht="15" hidden="false" customHeight="false" outlineLevel="0" collapsed="false">
      <c r="A9" s="17" t="s">
        <v>114</v>
      </c>
      <c r="B9" s="17" t="s">
        <v>115</v>
      </c>
      <c r="C9" s="17" t="s">
        <v>104</v>
      </c>
      <c r="D9" s="18" t="n">
        <v>430</v>
      </c>
      <c r="E9" s="19" t="n">
        <v>15500</v>
      </c>
      <c r="F9" s="20" t="n">
        <f aca="false">D9*E9</f>
        <v>6665000</v>
      </c>
      <c r="G9" s="21" t="n">
        <f aca="false">F9/SUM($F$2:$F$31)</f>
        <v>0.00918282501723933</v>
      </c>
      <c r="H9" s="22" t="n">
        <f aca="false">RANK(F9,$F$2:$F$31)</f>
        <v>21</v>
      </c>
      <c r="I9" s="21" t="n">
        <f aca="false">SUMIF($F$2:$F$31,"&gt;="&amp;F9,$F$2:$F$31)/SUM($F$2:$F$31)</f>
        <v>0.962577749181434</v>
      </c>
      <c r="J9" s="23" t="str">
        <f aca="false">IF(I9&lt;=$M$2,"A",IF(I9&lt;=$M$3,"B","C"))</f>
        <v>C</v>
      </c>
    </row>
    <row r="10" customFormat="false" ht="15" hidden="false" customHeight="false" outlineLevel="0" collapsed="false">
      <c r="A10" s="17" t="s">
        <v>116</v>
      </c>
      <c r="B10" s="17" t="s">
        <v>117</v>
      </c>
      <c r="C10" s="17" t="s">
        <v>111</v>
      </c>
      <c r="D10" s="18" t="n">
        <v>1050</v>
      </c>
      <c r="E10" s="19" t="n">
        <v>93500</v>
      </c>
      <c r="F10" s="20" t="n">
        <f aca="false">D10*E10</f>
        <v>98175000</v>
      </c>
      <c r="G10" s="21" t="n">
        <f aca="false">F10/SUM($F$2:$F$31)</f>
        <v>0.135262392508248</v>
      </c>
      <c r="H10" s="22" t="n">
        <f aca="false">RANK(F10,$F$2:$F$31)</f>
        <v>2</v>
      </c>
      <c r="I10" s="21" t="n">
        <f aca="false">SUMIF($F$2:$F$31,"&gt;="&amp;F10,$F$2:$F$31)/SUM($F$2:$F$31)</f>
        <v>0.287368001195903</v>
      </c>
      <c r="J10" s="23" t="str">
        <f aca="false">IF(I10&lt;=$M$2,"A",IF(I10&lt;=$M$3,"B","C"))</f>
        <v>A</v>
      </c>
    </row>
    <row r="11" customFormat="false" ht="15" hidden="false" customHeight="false" outlineLevel="0" collapsed="false">
      <c r="A11" s="17" t="s">
        <v>118</v>
      </c>
      <c r="B11" s="17" t="s">
        <v>119</v>
      </c>
      <c r="C11" s="17" t="s">
        <v>120</v>
      </c>
      <c r="D11" s="18" t="n">
        <v>130</v>
      </c>
      <c r="E11" s="19" t="n">
        <v>535000</v>
      </c>
      <c r="F11" s="20" t="n">
        <f aca="false">D11*E11</f>
        <v>69550000</v>
      </c>
      <c r="G11" s="21" t="n">
        <f aca="false">F11/SUM($F$2:$F$31)</f>
        <v>0.0958237779368335</v>
      </c>
      <c r="H11" s="22" t="n">
        <f aca="false">RANK(F11,$F$2:$F$31)</f>
        <v>4</v>
      </c>
      <c r="I11" s="21" t="n">
        <f aca="false">SUMIF($F$2:$F$31,"&gt;="&amp;F11,$F$2:$F$31)/SUM($F$2:$F$31)</f>
        <v>0.487406165374894</v>
      </c>
      <c r="J11" s="23" t="str">
        <f aca="false">IF(I11&lt;=$M$2,"A",IF(I11&lt;=$M$3,"B","C"))</f>
        <v>A</v>
      </c>
    </row>
    <row r="12" customFormat="false" ht="15" hidden="false" customHeight="false" outlineLevel="0" collapsed="false">
      <c r="A12" s="17" t="s">
        <v>121</v>
      </c>
      <c r="B12" s="17" t="s">
        <v>122</v>
      </c>
      <c r="C12" s="17" t="s">
        <v>104</v>
      </c>
      <c r="D12" s="18" t="n">
        <v>430</v>
      </c>
      <c r="E12" s="19" t="n">
        <v>82500</v>
      </c>
      <c r="F12" s="20" t="n">
        <f aca="false">D12*E12</f>
        <v>35475000</v>
      </c>
      <c r="G12" s="21" t="n">
        <f aca="false">F12/SUM($F$2:$F$31)</f>
        <v>0.0488763267046609</v>
      </c>
      <c r="H12" s="22" t="n">
        <f aca="false">RANK(F12,$F$2:$F$31)</f>
        <v>7</v>
      </c>
      <c r="I12" s="21" t="n">
        <f aca="false">SUMIF($F$2:$F$31,"&gt;="&amp;F12,$F$2:$F$31)/SUM($F$2:$F$31)</f>
        <v>0.684185907773575</v>
      </c>
      <c r="J12" s="23" t="str">
        <f aca="false">IF(I12&lt;=$M$2,"A",IF(I12&lt;=$M$3,"B","C"))</f>
        <v>A</v>
      </c>
    </row>
    <row r="13" customFormat="false" ht="15" hidden="false" customHeight="false" outlineLevel="0" collapsed="false">
      <c r="A13" s="17" t="s">
        <v>123</v>
      </c>
      <c r="B13" s="17" t="s">
        <v>124</v>
      </c>
      <c r="C13" s="17" t="s">
        <v>94</v>
      </c>
      <c r="D13" s="18" t="n">
        <v>14</v>
      </c>
      <c r="E13" s="19" t="n">
        <v>74500</v>
      </c>
      <c r="F13" s="20" t="n">
        <f aca="false">D13*E13</f>
        <v>1043000</v>
      </c>
      <c r="G13" s="21" t="n">
        <f aca="false">F13/SUM($F$2:$F$31)</f>
        <v>0.00143701222700384</v>
      </c>
      <c r="H13" s="22" t="n">
        <f aca="false">RANK(F13,$F$2:$F$31)</f>
        <v>29</v>
      </c>
      <c r="I13" s="21" t="n">
        <f aca="false">SUMIF($F$2:$F$31,"&gt;="&amp;F13,$F$2:$F$31)/SUM($F$2:$F$31)</f>
        <v>0.998828897034561</v>
      </c>
      <c r="J13" s="23" t="str">
        <f aca="false">IF(I13&lt;=$M$2,"A",IF(I13&lt;=$M$3,"B","C"))</f>
        <v>C</v>
      </c>
    </row>
    <row r="14" customFormat="false" ht="15" hidden="false" customHeight="false" outlineLevel="0" collapsed="false">
      <c r="A14" s="17" t="s">
        <v>125</v>
      </c>
      <c r="B14" s="17" t="s">
        <v>126</v>
      </c>
      <c r="C14" s="17" t="s">
        <v>111</v>
      </c>
      <c r="D14" s="18" t="n">
        <v>85</v>
      </c>
      <c r="E14" s="19" t="n">
        <v>105500</v>
      </c>
      <c r="F14" s="20" t="n">
        <f aca="false">D14*E14</f>
        <v>8967500</v>
      </c>
      <c r="G14" s="21" t="n">
        <f aca="false">F14/SUM($F$2:$F$31)</f>
        <v>0.0123551362853854</v>
      </c>
      <c r="H14" s="22" t="n">
        <f aca="false">RANK(F14,$F$2:$F$31)</f>
        <v>17</v>
      </c>
      <c r="I14" s="21" t="n">
        <f aca="false">SUMIF($F$2:$F$31,"&gt;="&amp;F14,$F$2:$F$31)/SUM($F$2:$F$31)</f>
        <v>0.919897934932141</v>
      </c>
      <c r="J14" s="23" t="str">
        <f aca="false">IF(I14&lt;=$M$2,"A",IF(I14&lt;=$M$3,"B","C"))</f>
        <v>C</v>
      </c>
    </row>
    <row r="15" customFormat="false" ht="15" hidden="false" customHeight="false" outlineLevel="0" collapsed="false">
      <c r="A15" s="17" t="s">
        <v>127</v>
      </c>
      <c r="B15" s="17" t="s">
        <v>128</v>
      </c>
      <c r="C15" s="17" t="s">
        <v>111</v>
      </c>
      <c r="D15" s="18" t="n">
        <v>110</v>
      </c>
      <c r="E15" s="19" t="n">
        <v>24000</v>
      </c>
      <c r="F15" s="20" t="n">
        <f aca="false">D15*E15</f>
        <v>2640000</v>
      </c>
      <c r="G15" s="21" t="n">
        <f aca="false">F15/SUM($F$2:$F$31)</f>
        <v>0.00363730803383523</v>
      </c>
      <c r="H15" s="22" t="n">
        <f aca="false">RANK(F15,$F$2:$F$31)</f>
        <v>26</v>
      </c>
      <c r="I15" s="21" t="n">
        <f aca="false">SUMIF($F$2:$F$31,"&gt;="&amp;F15,$F$2:$F$31)/SUM($F$2:$F$31)</f>
        <v>0.991636258174471</v>
      </c>
      <c r="J15" s="23" t="str">
        <f aca="false">IF(I15&lt;=$M$2,"A",IF(I15&lt;=$M$3,"B","C"))</f>
        <v>C</v>
      </c>
    </row>
    <row r="16" customFormat="false" ht="15" hidden="false" customHeight="false" outlineLevel="0" collapsed="false">
      <c r="A16" s="17" t="s">
        <v>129</v>
      </c>
      <c r="B16" s="17" t="s">
        <v>130</v>
      </c>
      <c r="C16" s="17" t="s">
        <v>99</v>
      </c>
      <c r="D16" s="18" t="n">
        <v>280</v>
      </c>
      <c r="E16" s="19" t="n">
        <v>19500</v>
      </c>
      <c r="F16" s="20" t="n">
        <f aca="false">D16*E16</f>
        <v>5460000</v>
      </c>
      <c r="G16" s="21" t="n">
        <f aca="false">F16/SUM($F$2:$F$31)</f>
        <v>0.00752261434270468</v>
      </c>
      <c r="H16" s="22" t="n">
        <f aca="false">RANK(F16,$F$2:$F$31)</f>
        <v>22</v>
      </c>
      <c r="I16" s="21" t="n">
        <f aca="false">SUMIF($F$2:$F$31,"&gt;="&amp;F16,$F$2:$F$31)/SUM($F$2:$F$31)</f>
        <v>0.970100363524138</v>
      </c>
      <c r="J16" s="23" t="str">
        <f aca="false">IF(I16&lt;=$M$2,"A",IF(I16&lt;=$M$3,"B","C"))</f>
        <v>C</v>
      </c>
    </row>
    <row r="17" customFormat="false" ht="15" hidden="false" customHeight="false" outlineLevel="0" collapsed="false">
      <c r="A17" s="17" t="s">
        <v>131</v>
      </c>
      <c r="B17" s="17" t="s">
        <v>132</v>
      </c>
      <c r="C17" s="17" t="s">
        <v>111</v>
      </c>
      <c r="D17" s="18" t="n">
        <v>400</v>
      </c>
      <c r="E17" s="19" t="n">
        <v>52000</v>
      </c>
      <c r="F17" s="20" t="n">
        <f aca="false">D17*E17</f>
        <v>20800000</v>
      </c>
      <c r="G17" s="21" t="n">
        <f aca="false">F17/SUM($F$2:$F$31)</f>
        <v>0.0286575784483988</v>
      </c>
      <c r="H17" s="22" t="n">
        <f aca="false">RANK(F17,$F$2:$F$31)</f>
        <v>10</v>
      </c>
      <c r="I17" s="21" t="n">
        <f aca="false">SUMIF($F$2:$F$31,"&gt;="&amp;F17,$F$2:$F$31)/SUM($F$2:$F$31)</f>
        <v>0.782992553851792</v>
      </c>
      <c r="J17" s="23" t="str">
        <f aca="false">IF(I17&lt;=$M$2,"A",IF(I17&lt;=$M$3,"B","C"))</f>
        <v>B</v>
      </c>
    </row>
    <row r="18" customFormat="false" ht="15" hidden="false" customHeight="false" outlineLevel="0" collapsed="false">
      <c r="A18" s="17" t="s">
        <v>133</v>
      </c>
      <c r="B18" s="17" t="s">
        <v>134</v>
      </c>
      <c r="C18" s="17" t="s">
        <v>120</v>
      </c>
      <c r="D18" s="18" t="n">
        <v>55</v>
      </c>
      <c r="E18" s="19" t="n">
        <v>340000</v>
      </c>
      <c r="F18" s="20" t="n">
        <f aca="false">D18*E18</f>
        <v>18700000</v>
      </c>
      <c r="G18" s="21" t="n">
        <f aca="false">F18/SUM($F$2:$F$31)</f>
        <v>0.0257642652396662</v>
      </c>
      <c r="H18" s="22" t="n">
        <f aca="false">RANK(F18,$F$2:$F$31)</f>
        <v>12</v>
      </c>
      <c r="I18" s="21" t="n">
        <f aca="false">SUMIF($F$2:$F$31,"&gt;="&amp;F18,$F$2:$F$31)/SUM($F$2:$F$31)</f>
        <v>0.837001067081467</v>
      </c>
      <c r="J18" s="23" t="str">
        <f aca="false">IF(I18&lt;=$M$2,"A",IF(I18&lt;=$M$3,"B","C"))</f>
        <v>B</v>
      </c>
    </row>
    <row r="19" customFormat="false" ht="15" hidden="false" customHeight="false" outlineLevel="0" collapsed="false">
      <c r="A19" s="17" t="s">
        <v>135</v>
      </c>
      <c r="B19" s="17" t="s">
        <v>136</v>
      </c>
      <c r="C19" s="17" t="s">
        <v>111</v>
      </c>
      <c r="D19" s="18" t="n">
        <v>560</v>
      </c>
      <c r="E19" s="19" t="n">
        <v>74000</v>
      </c>
      <c r="F19" s="20" t="n">
        <f aca="false">D19*E19</f>
        <v>41440000</v>
      </c>
      <c r="G19" s="21" t="n">
        <f aca="false">F19/SUM($F$2:$F$31)</f>
        <v>0.0570947139856561</v>
      </c>
      <c r="H19" s="22" t="n">
        <f aca="false">RANK(F19,$F$2:$F$31)</f>
        <v>6</v>
      </c>
      <c r="I19" s="21" t="n">
        <f aca="false">SUMIF($F$2:$F$31,"&gt;="&amp;F19,$F$2:$F$31)/SUM($F$2:$F$31)</f>
        <v>0.635309581068914</v>
      </c>
      <c r="J19" s="23" t="str">
        <f aca="false">IF(I19&lt;=$M$2,"A",IF(I19&lt;=$M$3,"B","C"))</f>
        <v>A</v>
      </c>
    </row>
    <row r="20" customFormat="false" ht="15" hidden="false" customHeight="false" outlineLevel="0" collapsed="false">
      <c r="A20" s="17" t="s">
        <v>137</v>
      </c>
      <c r="B20" s="17" t="s">
        <v>138</v>
      </c>
      <c r="C20" s="17" t="s">
        <v>120</v>
      </c>
      <c r="D20" s="18" t="n">
        <v>195</v>
      </c>
      <c r="E20" s="19" t="n">
        <v>45500</v>
      </c>
      <c r="F20" s="20" t="n">
        <f aca="false">D20*E20</f>
        <v>8872500</v>
      </c>
      <c r="G20" s="21" t="n">
        <f aca="false">F20/SUM($F$2:$F$31)</f>
        <v>0.0122242483068951</v>
      </c>
      <c r="H20" s="22" t="n">
        <f aca="false">RANK(F20,$F$2:$F$31)</f>
        <v>18</v>
      </c>
      <c r="I20" s="21" t="n">
        <f aca="false">SUMIF($F$2:$F$31,"&gt;="&amp;F20,$F$2:$F$31)/SUM($F$2:$F$31)</f>
        <v>0.932122183239037</v>
      </c>
      <c r="J20" s="23" t="str">
        <f aca="false">IF(I20&lt;=$M$2,"A",IF(I20&lt;=$M$3,"B","C"))</f>
        <v>C</v>
      </c>
    </row>
    <row r="21" customFormat="false" ht="15" hidden="false" customHeight="false" outlineLevel="0" collapsed="false">
      <c r="A21" s="17" t="s">
        <v>139</v>
      </c>
      <c r="B21" s="17" t="s">
        <v>140</v>
      </c>
      <c r="C21" s="17" t="s">
        <v>99</v>
      </c>
      <c r="D21" s="18" t="n">
        <v>270</v>
      </c>
      <c r="E21" s="19" t="n">
        <v>32000</v>
      </c>
      <c r="F21" s="20" t="n">
        <f aca="false">D21*E21</f>
        <v>8640000</v>
      </c>
      <c r="G21" s="21" t="n">
        <f aca="false">F21/SUM($F$2:$F$31)</f>
        <v>0.0119039172016426</v>
      </c>
      <c r="H21" s="22" t="n">
        <f aca="false">RANK(F21,$F$2:$F$31)</f>
        <v>19</v>
      </c>
      <c r="I21" s="21" t="n">
        <f aca="false">SUMIF($F$2:$F$31,"&gt;="&amp;F21,$F$2:$F$31)/SUM($F$2:$F$31)</f>
        <v>0.944026100440679</v>
      </c>
      <c r="J21" s="23" t="str">
        <f aca="false">IF(I21&lt;=$M$2,"A",IF(I21&lt;=$M$3,"B","C"))</f>
        <v>C</v>
      </c>
    </row>
    <row r="22" customFormat="false" ht="15" hidden="false" customHeight="false" outlineLevel="0" collapsed="false">
      <c r="A22" s="17" t="s">
        <v>141</v>
      </c>
      <c r="B22" s="17" t="s">
        <v>142</v>
      </c>
      <c r="C22" s="17" t="s">
        <v>120</v>
      </c>
      <c r="D22" s="18" t="n">
        <v>340</v>
      </c>
      <c r="E22" s="19" t="n">
        <v>20000</v>
      </c>
      <c r="F22" s="20" t="n">
        <f aca="false">D22*E22</f>
        <v>6800000</v>
      </c>
      <c r="G22" s="21" t="n">
        <f aca="false">F22/SUM($F$2:$F$31)</f>
        <v>0.00936882372351499</v>
      </c>
      <c r="H22" s="22" t="n">
        <f aca="false">RANK(F22,$F$2:$F$31)</f>
        <v>20</v>
      </c>
      <c r="I22" s="21" t="n">
        <f aca="false">SUMIF($F$2:$F$31,"&gt;="&amp;F22,$F$2:$F$31)/SUM($F$2:$F$31)</f>
        <v>0.953394924164194</v>
      </c>
      <c r="J22" s="23" t="str">
        <f aca="false">IF(I22&lt;=$M$2,"A",IF(I22&lt;=$M$3,"B","C"))</f>
        <v>C</v>
      </c>
    </row>
    <row r="23" customFormat="false" ht="15" hidden="false" customHeight="false" outlineLevel="0" collapsed="false">
      <c r="A23" s="17" t="s">
        <v>143</v>
      </c>
      <c r="B23" s="17" t="s">
        <v>144</v>
      </c>
      <c r="C23" s="17" t="s">
        <v>111</v>
      </c>
      <c r="D23" s="18" t="n">
        <v>12400</v>
      </c>
      <c r="E23" s="19" t="n">
        <v>6100</v>
      </c>
      <c r="F23" s="20" t="n">
        <f aca="false">D23*E23</f>
        <v>75640000</v>
      </c>
      <c r="G23" s="21" t="n">
        <f aca="false">F23/SUM($F$2:$F$31)</f>
        <v>0.104214386242158</v>
      </c>
      <c r="H23" s="22" t="n">
        <f aca="false">RANK(F23,$F$2:$F$31)</f>
        <v>3</v>
      </c>
      <c r="I23" s="21" t="n">
        <f aca="false">SUMIF($F$2:$F$31,"&gt;="&amp;F23,$F$2:$F$31)/SUM($F$2:$F$31)</f>
        <v>0.391582387438061</v>
      </c>
      <c r="J23" s="23" t="str">
        <f aca="false">IF(I23&lt;=$M$2,"A",IF(I23&lt;=$M$3,"B","C"))</f>
        <v>A</v>
      </c>
    </row>
    <row r="24" customFormat="false" ht="15" hidden="false" customHeight="false" outlineLevel="0" collapsed="false">
      <c r="A24" s="17" t="s">
        <v>145</v>
      </c>
      <c r="B24" s="17" t="s">
        <v>146</v>
      </c>
      <c r="C24" s="17" t="s">
        <v>104</v>
      </c>
      <c r="D24" s="18" t="n">
        <v>200</v>
      </c>
      <c r="E24" s="19" t="n">
        <v>102500</v>
      </c>
      <c r="F24" s="20" t="n">
        <f aca="false">D24*E24</f>
        <v>20500000</v>
      </c>
      <c r="G24" s="21" t="n">
        <f aca="false">F24/SUM($F$2:$F$31)</f>
        <v>0.0282442479900084</v>
      </c>
      <c r="H24" s="22" t="n">
        <f aca="false">RANK(F24,$F$2:$F$31)</f>
        <v>11</v>
      </c>
      <c r="I24" s="21" t="n">
        <f aca="false">SUMIF($F$2:$F$31,"&gt;="&amp;F24,$F$2:$F$31)/SUM($F$2:$F$31)</f>
        <v>0.811236801841801</v>
      </c>
      <c r="J24" s="23" t="str">
        <f aca="false">IF(I24&lt;=$M$2,"A",IF(I24&lt;=$M$3,"B","C"))</f>
        <v>B</v>
      </c>
    </row>
    <row r="25" customFormat="false" ht="15" hidden="false" customHeight="false" outlineLevel="0" collapsed="false">
      <c r="A25" s="17" t="s">
        <v>147</v>
      </c>
      <c r="B25" s="17" t="s">
        <v>148</v>
      </c>
      <c r="C25" s="17" t="s">
        <v>99</v>
      </c>
      <c r="D25" s="18" t="n">
        <v>290</v>
      </c>
      <c r="E25" s="19" t="n">
        <v>93500</v>
      </c>
      <c r="F25" s="20" t="n">
        <f aca="false">D25*E25</f>
        <v>27115000</v>
      </c>
      <c r="G25" s="21" t="n">
        <f aca="false">F25/SUM($F$2:$F$31)</f>
        <v>0.037358184597516</v>
      </c>
      <c r="H25" s="22" t="n">
        <f aca="false">RANK(F25,$F$2:$F$31)</f>
        <v>8</v>
      </c>
      <c r="I25" s="21" t="n">
        <f aca="false">SUMIF($F$2:$F$31,"&gt;="&amp;F25,$F$2:$F$31)/SUM($F$2:$F$31)</f>
        <v>0.721544092371091</v>
      </c>
      <c r="J25" s="23" t="str">
        <f aca="false">IF(I25&lt;=$M$2,"A",IF(I25&lt;=$M$3,"B","C"))</f>
        <v>B</v>
      </c>
    </row>
    <row r="26" customFormat="false" ht="15" hidden="false" customHeight="false" outlineLevel="0" collapsed="false">
      <c r="A26" s="17" t="s">
        <v>149</v>
      </c>
      <c r="B26" s="17" t="s">
        <v>150</v>
      </c>
      <c r="C26" s="17" t="s">
        <v>94</v>
      </c>
      <c r="D26" s="18" t="n">
        <v>38</v>
      </c>
      <c r="E26" s="19" t="n">
        <v>79500</v>
      </c>
      <c r="F26" s="20" t="n">
        <f aca="false">D26*E26</f>
        <v>3021000</v>
      </c>
      <c r="G26" s="21" t="n">
        <f aca="false">F26/SUM($F$2:$F$31)</f>
        <v>0.004162237715991</v>
      </c>
      <c r="H26" s="22" t="n">
        <f aca="false">RANK(F26,$F$2:$F$31)</f>
        <v>25</v>
      </c>
      <c r="I26" s="21" t="n">
        <f aca="false">SUMIF($F$2:$F$31,"&gt;="&amp;F26,$F$2:$F$31)/SUM($F$2:$F$31)</f>
        <v>0.987998950140636</v>
      </c>
      <c r="J26" s="23" t="str">
        <f aca="false">IF(I26&lt;=$M$2,"A",IF(I26&lt;=$M$3,"B","C"))</f>
        <v>C</v>
      </c>
    </row>
    <row r="27" customFormat="false" ht="15" hidden="false" customHeight="false" outlineLevel="0" collapsed="false">
      <c r="A27" s="17" t="s">
        <v>151</v>
      </c>
      <c r="B27" s="17" t="s">
        <v>152</v>
      </c>
      <c r="C27" s="17" t="s">
        <v>120</v>
      </c>
      <c r="D27" s="18" t="n">
        <v>190</v>
      </c>
      <c r="E27" s="19" t="n">
        <v>12000</v>
      </c>
      <c r="F27" s="20" t="n">
        <f aca="false">D27*E27</f>
        <v>2280000</v>
      </c>
      <c r="G27" s="21" t="n">
        <f aca="false">F27/SUM($F$2:$F$31)</f>
        <v>0.00314131148376679</v>
      </c>
      <c r="H27" s="22" t="n">
        <f aca="false">RANK(F27,$F$2:$F$31)</f>
        <v>27</v>
      </c>
      <c r="I27" s="21" t="n">
        <f aca="false">SUMIF($F$2:$F$31,"&gt;="&amp;F27,$F$2:$F$31)/SUM($F$2:$F$31)</f>
        <v>0.994777569658238</v>
      </c>
      <c r="J27" s="23" t="str">
        <f aca="false">IF(I27&lt;=$M$2,"A",IF(I27&lt;=$M$3,"B","C"))</f>
        <v>C</v>
      </c>
    </row>
    <row r="28" customFormat="false" ht="15" hidden="false" customHeight="false" outlineLevel="0" collapsed="false">
      <c r="A28" s="17" t="s">
        <v>153</v>
      </c>
      <c r="B28" s="17" t="s">
        <v>154</v>
      </c>
      <c r="C28" s="17" t="s">
        <v>104</v>
      </c>
      <c r="D28" s="18" t="n">
        <v>1600</v>
      </c>
      <c r="E28" s="19" t="n">
        <v>69000</v>
      </c>
      <c r="F28" s="20" t="n">
        <f aca="false">D28*E28</f>
        <v>110400000</v>
      </c>
      <c r="G28" s="21" t="n">
        <f aca="false">F28/SUM($F$2:$F$31)</f>
        <v>0.152105608687655</v>
      </c>
      <c r="H28" s="22" t="n">
        <f aca="false">RANK(F28,$F$2:$F$31)</f>
        <v>1</v>
      </c>
      <c r="I28" s="21" t="n">
        <f aca="false">SUMIF($F$2:$F$31,"&gt;="&amp;F28,$F$2:$F$31)/SUM($F$2:$F$31)</f>
        <v>0.152105608687655</v>
      </c>
      <c r="J28" s="23" t="str">
        <f aca="false">IF(I28&lt;=$M$2,"A",IF(I28&lt;=$M$3,"B","C"))</f>
        <v>A</v>
      </c>
    </row>
    <row r="29" customFormat="false" ht="15" hidden="false" customHeight="false" outlineLevel="0" collapsed="false">
      <c r="A29" s="17" t="s">
        <v>155</v>
      </c>
      <c r="B29" s="17" t="s">
        <v>156</v>
      </c>
      <c r="C29" s="17" t="s">
        <v>111</v>
      </c>
      <c r="D29" s="18" t="n">
        <v>400</v>
      </c>
      <c r="E29" s="19" t="n">
        <v>59500</v>
      </c>
      <c r="F29" s="20" t="n">
        <f aca="false">D29*E29</f>
        <v>23800000</v>
      </c>
      <c r="G29" s="21" t="n">
        <f aca="false">F29/SUM($F$2:$F$31)</f>
        <v>0.0327908830323025</v>
      </c>
      <c r="H29" s="22" t="n">
        <f aca="false">RANK(F29,$F$2:$F$31)</f>
        <v>9</v>
      </c>
      <c r="I29" s="21" t="n">
        <f aca="false">SUMIF($F$2:$F$31,"&gt;="&amp;F29,$F$2:$F$31)/SUM($F$2:$F$31)</f>
        <v>0.754334975403393</v>
      </c>
      <c r="J29" s="23" t="str">
        <f aca="false">IF(I29&lt;=$M$2,"A",IF(I29&lt;=$M$3,"B","C"))</f>
        <v>B</v>
      </c>
    </row>
    <row r="30" customFormat="false" ht="15" hidden="false" customHeight="false" outlineLevel="0" collapsed="false">
      <c r="A30" s="17" t="s">
        <v>157</v>
      </c>
      <c r="B30" s="17" t="s">
        <v>158</v>
      </c>
      <c r="C30" s="17" t="s">
        <v>99</v>
      </c>
      <c r="D30" s="18" t="n">
        <v>570</v>
      </c>
      <c r="E30" s="19" t="n">
        <v>31000</v>
      </c>
      <c r="F30" s="20" t="n">
        <f aca="false">D30*E30</f>
        <v>17670000</v>
      </c>
      <c r="G30" s="21" t="n">
        <f aca="false">F30/SUM($F$2:$F$31)</f>
        <v>0.0243451639991926</v>
      </c>
      <c r="H30" s="22" t="n">
        <f aca="false">RANK(F30,$F$2:$F$31)</f>
        <v>13</v>
      </c>
      <c r="I30" s="21" t="n">
        <f aca="false">SUMIF($F$2:$F$31,"&gt;="&amp;F30,$F$2:$F$31)/SUM($F$2:$F$31)</f>
        <v>0.861346231080659</v>
      </c>
      <c r="J30" s="23" t="str">
        <f aca="false">IF(I30&lt;=$M$2,"A",IF(I30&lt;=$M$3,"B","C"))</f>
        <v>B</v>
      </c>
    </row>
    <row r="31" customFormat="false" ht="15" hidden="false" customHeight="false" outlineLevel="0" collapsed="false">
      <c r="A31" s="17" t="s">
        <v>159</v>
      </c>
      <c r="B31" s="17" t="s">
        <v>160</v>
      </c>
      <c r="C31" s="17" t="s">
        <v>94</v>
      </c>
      <c r="D31" s="18" t="n">
        <v>240</v>
      </c>
      <c r="E31" s="19" t="n">
        <v>19500</v>
      </c>
      <c r="F31" s="20" t="n">
        <f aca="false">D31*E31</f>
        <v>4680000</v>
      </c>
      <c r="G31" s="21" t="n">
        <f aca="false">F31/SUM($F$2:$F$31)</f>
        <v>0.00644795515088973</v>
      </c>
      <c r="H31" s="22" t="n">
        <f aca="false">RANK(F31,$F$2:$F$31)</f>
        <v>24</v>
      </c>
      <c r="I31" s="21" t="n">
        <f aca="false">SUMIF($F$2:$F$31,"&gt;="&amp;F31,$F$2:$F$31)/SUM($F$2:$F$31)</f>
        <v>0.983836712424645</v>
      </c>
      <c r="J31" s="23" t="str">
        <f aca="false">IF(I31&lt;=$M$2,"A",IF(I31&lt;=$M$3,"B","C"))</f>
        <v>C</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17"/>
    <col collapsed="false" customWidth="true" hidden="false" outlineLevel="0" max="4" min="4" style="0" width="18"/>
    <col collapsed="false" customWidth="true" hidden="false" outlineLevel="0" max="5" min="5" style="0" width="21"/>
  </cols>
  <sheetData>
    <row r="1" customFormat="false" ht="33.75" hidden="false" customHeight="true" outlineLevel="0" collapsed="false">
      <c r="A1" s="11" t="s">
        <v>88</v>
      </c>
      <c r="B1" s="15" t="s">
        <v>161</v>
      </c>
      <c r="C1" s="15" t="s">
        <v>162</v>
      </c>
      <c r="D1" s="15" t="s">
        <v>163</v>
      </c>
      <c r="E1" s="15" t="s">
        <v>164</v>
      </c>
    </row>
    <row r="2" customFormat="false" ht="15" hidden="false" customHeight="false" outlineLevel="0" collapsed="false">
      <c r="A2" s="17" t="s">
        <v>165</v>
      </c>
      <c r="B2" s="22" t="n">
        <f aca="false">COUNTIF(Data!$J$2:$J$31,A2)</f>
        <v>7</v>
      </c>
      <c r="C2" s="20" t="n">
        <f aca="false">SUMIF(Data!$J$2:$J$31,A2,Data!$F$2:$F$31)</f>
        <v>496590000</v>
      </c>
      <c r="D2" s="21" t="n">
        <f aca="false">C2/SUM(Data!$F$2:$F$31)</f>
        <v>0.684185907773575</v>
      </c>
      <c r="E2" s="21" t="n">
        <f aca="false">B2/COUNTA(Data!$A$2:$A$31)</f>
        <v>0.233333333333333</v>
      </c>
    </row>
    <row r="3" customFormat="false" ht="15" hidden="false" customHeight="false" outlineLevel="0" collapsed="false">
      <c r="A3" s="17" t="s">
        <v>166</v>
      </c>
      <c r="B3" s="22" t="n">
        <f aca="false">COUNTIF(Data!$J$2:$J$31,A3)</f>
        <v>8</v>
      </c>
      <c r="C3" s="20" t="n">
        <f aca="false">SUMIF(Data!$J$2:$J$31,A3,Data!$F$2:$F$31)</f>
        <v>151790000</v>
      </c>
      <c r="D3" s="21" t="n">
        <f aca="false">C3/SUM(Data!$F$2:$F$31)</f>
        <v>0.209131434263579</v>
      </c>
      <c r="E3" s="21" t="n">
        <f aca="false">B3/COUNTA(Data!$A$2:$A$31)</f>
        <v>0.266666666666667</v>
      </c>
    </row>
    <row r="4" customFormat="false" ht="15" hidden="false" customHeight="false" outlineLevel="0" collapsed="false">
      <c r="A4" s="17" t="s">
        <v>167</v>
      </c>
      <c r="B4" s="22" t="n">
        <f aca="false">COUNTIF(Data!$J$2:$J$31,A4)</f>
        <v>15</v>
      </c>
      <c r="C4" s="20" t="n">
        <f aca="false">SUMIF(Data!$J$2:$J$31,A4,Data!$F$2:$F$31)</f>
        <v>77431500</v>
      </c>
      <c r="D4" s="21" t="n">
        <f aca="false">C4/SUM(Data!$F$2:$F$31)</f>
        <v>0.106682657962846</v>
      </c>
      <c r="E4" s="21" t="n">
        <f aca="false">B4/COUNTA(Data!$A$2:$A$31)</f>
        <v>0.5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168</v>
      </c>
      <c r="B1" s="26"/>
      <c r="C1" s="26"/>
      <c r="D1" s="26"/>
    </row>
    <row r="2" customFormat="false" ht="15" hidden="false" customHeight="false" outlineLevel="0" collapsed="false">
      <c r="A2" s="27" t="s">
        <v>169</v>
      </c>
      <c r="B2" s="27"/>
      <c r="C2" s="27"/>
      <c r="D2" s="27"/>
    </row>
    <row r="3" customFormat="false" ht="15" hidden="false" customHeight="false" outlineLevel="0" collapsed="false">
      <c r="A3" s="11" t="s">
        <v>19</v>
      </c>
      <c r="B3" s="11" t="s">
        <v>170</v>
      </c>
      <c r="C3" s="11" t="s">
        <v>171</v>
      </c>
      <c r="D3" s="11" t="s">
        <v>172</v>
      </c>
    </row>
    <row r="4" customFormat="false" ht="15" hidden="false" customHeight="false" outlineLevel="0" collapsed="false">
      <c r="A4" s="28" t="s">
        <v>173</v>
      </c>
      <c r="B4" s="29" t="s">
        <v>174</v>
      </c>
      <c r="C4" s="20" t="n">
        <f aca="false">SUM(Data!$F$2:$F$31)</f>
        <v>725811500</v>
      </c>
      <c r="D4" s="30" t="s">
        <v>175</v>
      </c>
    </row>
    <row r="5" customFormat="false" ht="15" hidden="false" customHeight="false" outlineLevel="0" collapsed="false">
      <c r="A5" s="28" t="s">
        <v>176</v>
      </c>
      <c r="B5" s="29" t="s">
        <v>177</v>
      </c>
      <c r="C5" s="20" t="n">
        <f aca="false">AVERAGE(Data!$F$2:$F$31)</f>
        <v>24193716.6666667</v>
      </c>
      <c r="D5" s="30" t="s">
        <v>178</v>
      </c>
    </row>
    <row r="6" customFormat="false" ht="15" hidden="false" customHeight="false" outlineLevel="0" collapsed="false">
      <c r="A6" s="28" t="s">
        <v>179</v>
      </c>
      <c r="B6" s="29" t="s">
        <v>180</v>
      </c>
      <c r="C6" s="22" t="n">
        <f aca="false">COUNTIF(Data!$J$2:$J$31,"A")</f>
        <v>7</v>
      </c>
      <c r="D6" s="30" t="s">
        <v>181</v>
      </c>
    </row>
    <row r="7" customFormat="false" ht="15" hidden="false" customHeight="false" outlineLevel="0" collapsed="false">
      <c r="A7" s="28" t="s">
        <v>182</v>
      </c>
      <c r="B7" s="29" t="s">
        <v>183</v>
      </c>
      <c r="C7" s="22" t="n">
        <f aca="false">COUNTIF(Data!$J$2:$J$31,"B")</f>
        <v>8</v>
      </c>
      <c r="D7" s="30" t="s">
        <v>184</v>
      </c>
    </row>
    <row r="8" customFormat="false" ht="15" hidden="false" customHeight="false" outlineLevel="0" collapsed="false">
      <c r="A8" s="28" t="s">
        <v>185</v>
      </c>
      <c r="B8" s="29" t="s">
        <v>186</v>
      </c>
      <c r="C8" s="22" t="n">
        <f aca="false">COUNTIF(Data!$J$2:$J$31,"C")</f>
        <v>15</v>
      </c>
      <c r="D8" s="30" t="s">
        <v>187</v>
      </c>
    </row>
    <row r="9" customFormat="false" ht="15" hidden="false" customHeight="false" outlineLevel="0" collapsed="false">
      <c r="A9" s="28" t="s">
        <v>188</v>
      </c>
      <c r="B9" s="29" t="s">
        <v>189</v>
      </c>
      <c r="C9" s="23" t="str">
        <f aca="false">INDEX(Data!$B$2:$B$31,MATCH(MAX(Data!$F$2:$F$31),Data!$F$2:$F$31,0))</f>
        <v>Semen 50 kg</v>
      </c>
      <c r="D9" s="30" t="s">
        <v>190</v>
      </c>
    </row>
    <row r="10" customFormat="false" ht="15" hidden="false" customHeight="false" outlineLevel="0" collapsed="false">
      <c r="A10" s="28" t="s">
        <v>191</v>
      </c>
      <c r="B10" s="29" t="s">
        <v>192</v>
      </c>
      <c r="C10" s="23" t="str">
        <f aca="false">INDEX(Data!$B$2:$B$31,MATCH(MIN(Data!$F$2:$F$31),Data!$F$2:$F$31,0))</f>
        <v>Sarung tangan kerja</v>
      </c>
      <c r="D10" s="30" t="s">
        <v>190</v>
      </c>
    </row>
    <row r="11" customFormat="false" ht="15" hidden="false" customHeight="false" outlineLevel="0" collapsed="false">
      <c r="A11" s="28" t="s">
        <v>193</v>
      </c>
      <c r="B11" s="29" t="s">
        <v>194</v>
      </c>
      <c r="C11" s="21" t="n">
        <f aca="false">INDEX(Acuan!$D$2:$D$4,MATCH("A",Acuan!$A$2:$A$4,0))</f>
        <v>0.684185907773575</v>
      </c>
      <c r="D11" s="30" t="s">
        <v>195</v>
      </c>
    </row>
    <row r="12" customFormat="false" ht="15" hidden="false" customHeight="false" outlineLevel="0" collapsed="false">
      <c r="A12" s="28" t="s">
        <v>196</v>
      </c>
      <c r="B12" s="29" t="s">
        <v>197</v>
      </c>
      <c r="C12" s="23" t="str">
        <f aca="false">INDEX(Acuan!$A$2:$A$4,MATCH(MAX(Acuan!$E$2:$E$4),Acuan!$E$2:$E$4,0))</f>
        <v>C</v>
      </c>
      <c r="D12" s="30" t="s">
        <v>198</v>
      </c>
    </row>
    <row r="13" customFormat="false" ht="15" hidden="false" customHeight="false" outlineLevel="0" collapsed="false">
      <c r="A13" s="28" t="s">
        <v>199</v>
      </c>
      <c r="B13" s="29" t="s">
        <v>200</v>
      </c>
      <c r="C13" s="22" t="n">
        <f aca="false">COUNTIFS(Data!$C$2:$C$31,"Besi dan Atap",Data!$J$2:$J$31,"A")</f>
        <v>4</v>
      </c>
      <c r="D13" s="30" t="s">
        <v>201</v>
      </c>
    </row>
    <row r="14" customFormat="false" ht="15" hidden="false" customHeight="false" outlineLevel="0" collapsed="false">
      <c r="A14" s="28" t="s">
        <v>202</v>
      </c>
      <c r="B14" s="29" t="s">
        <v>203</v>
      </c>
      <c r="C14" s="20" t="n">
        <f aca="false">SUMIFS(Data!$F$2:$F$31,Data!$C$2:$C$31,"Cat",Data!$J$2:$J$31,"C")</f>
        <v>17952500</v>
      </c>
      <c r="D14" s="30" t="s">
        <v>204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2026-10-17T07:49:34Z</dcterms:created>
  <dc:creator>PushExcel</dc:creator>
  <dc:description/>
  <dc:language>en-US</dc:language>
  <cp:lastModifiedBy/>
  <dcterms:modified xsi:type="dcterms:W3CDTF">2026-10-17T07:49:34Z</dcterms:modified>
  <cp:revision>0</cp:revision>
  <dc:subject/>
  <dc:title>Analisis ABC Persediaan Toko Bangunan - Kunci</dc:title>
</cp:coreProperties>
</file>

<file path=docProps/custom.xml><?xml version="1.0" encoding="utf-8"?>
<Properties xmlns="http://schemas.openxmlformats.org/officeDocument/2006/custom-properties" xmlns:vt="http://schemas.openxmlformats.org/officeDocument/2006/docPropsVTypes"/>
</file>