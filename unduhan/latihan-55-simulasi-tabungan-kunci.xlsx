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<sst xmlns="http://schemas.openxmlformats.org/spreadsheetml/2006/main" count="180" uniqueCount="160">
  <si>
    <t xml:space="preserve">Kunci Jawaban: Simulasi Tabungan dan Investasi Berjangka</t>
  </si>
  <si>
    <t xml:space="preserve">Latihan 55 dari 56  |  Tingkat: Lanjutan  |  Perkiraan waktu: 70 menit  |  pushexcel.github.io/Pushexcel</t>
  </si>
  <si>
    <t xml:space="preserve">Skenario</t>
  </si>
  <si>
    <t xml:space="preserve">Kamu perencana keuangan di Koperasi Dana Sejahtera yang membantu 16 anggota merencanakan tabungan berjangka untuk empat jenis tujuan. Tiap rencana punya setoran awal, setoran bulanan di akhir bulan, bunga per tahun (dihitung bulanan), jangka waktu, dan target dana. Kamu menghitung nilai tabungan di akhir jangka, membandingkannya dengan target, menghitung setoran bulanan yang sebenarnya dibutuhkan untuk mencapai target, serta lama waktu (tahun) bila setoran saat ini diteruskan sampai target tercapai. Fungsi keuangan Excel memakai tanda: uang yang kamu setor ditulis negatif, uang yang diterima positif. Beri tanda minus di depan argumen setoran, setoran awal, atau hasil bila perlu.</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</si>
  <si>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</si>
  <si>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</si>
  <si>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</si>
  <si>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</si>
  <si>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</si>
  <si>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</si>
  <si>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</si>
  <si>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</si>
  <si>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</si>
  <si>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</si>
  <si>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</si>
  <si>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</si>
  <si>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</si>
  <si>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Daftar soal</t>
  </si>
  <si>
    <t xml:space="preserve">No</t>
  </si>
  <si>
    <t xml:space="preserve">Soal</t>
  </si>
  <si>
    <t xml:space="preserve">Jawab di</t>
  </si>
  <si>
    <t xml:space="preserve">Rumus kunci</t>
  </si>
  <si>
    <t xml:space="preserve">1</t>
  </si>
  <si>
    <t xml:space="preserve">Hitung jumlah bulan setoran: jangka waktu dalam tahun dikali 12.</t>
  </si>
  <si>
    <t xml:space="preserve">Sheet Data, kolom H (Jumlah Bulan), baris 2 sampai 17</t>
  </si>
  <si>
    <t xml:space="preserve">=F2*12</t>
  </si>
  <si>
    <t xml:space="preserve">2</t>
  </si>
  <si>
    <t xml:space="preserve">Hitung nilai tabungan di akhir jangka memakai FV, dibulatkan ke rupiah. Bunga bulanan = bunga tahunan dibagi 12.</t>
  </si>
  <si>
    <t xml:space="preserve">Sheet Data, kolom I (Nilai Akhir), baris 2 sampai 17</t>
  </si>
  <si>
    <t xml:space="preserve">=ROUND(FV(E2/12;H2;-D2;-C2);0)</t>
  </si>
  <si>
    <t xml:space="preserve">3</t>
  </si>
  <si>
    <t xml:space="preserve">Hitung total uang yang disetor sendiri: setoran awal ditambah setoran bulanan kali jumlah bulan.</t>
  </si>
  <si>
    <t xml:space="preserve">Sheet Data, kolom J (Total Setoran), baris 2 sampai 17</t>
  </si>
  <si>
    <t xml:space="preserve">=C2+D2*H2</t>
  </si>
  <si>
    <t xml:space="preserve">4</t>
  </si>
  <si>
    <t xml:space="preserve">Hitung bunga yang diperoleh: nilai akhir dikurangi total setoran.</t>
  </si>
  <si>
    <t xml:space="preserve">Sheet Data, kolom K (Bunga Diperoleh), baris 2 sampai 17</t>
  </si>
  <si>
    <t xml:space="preserve">=I2-J2</t>
  </si>
  <si>
    <t xml:space="preserve">5</t>
  </si>
  <si>
    <t xml:space="preserve">Hitung selisih nilai akhir dan target dana. Hasil negatif berarti kurang dari target.</t>
  </si>
  <si>
    <t xml:space="preserve">Sheet Data, kolom L (Selisih Target), baris 2 sampai 17</t>
  </si>
  <si>
    <t xml:space="preserve">=I2-G2</t>
  </si>
  <si>
    <t xml:space="preserve">6</t>
  </si>
  <si>
    <t xml:space="preserve">Beri status Tercapai bila nilai akhir sama dengan atau di atas target dana. Selain itu Kurang.</t>
  </si>
  <si>
    <t xml:space="preserve">Sheet Data, kolom M (Status), baris 2 sampai 17</t>
  </si>
  <si>
    <t xml:space="preserve">=IF(I2&gt;=G2;"Tercapai";"Kurang")</t>
  </si>
  <si>
    <t xml:space="preserve">7</t>
  </si>
  <si>
    <t xml:space="preserve">Hitung setoran bulanan yang dibutuhkan agar mencapai target, dibulatkan ke atas ke ribuan terdekat. Setoran awal tetap dihitung.</t>
  </si>
  <si>
    <t xml:space="preserve">Sheet Data, kolom N (Setoran Dibutuhkan), baris 2 sampai 17</t>
  </si>
  <si>
    <t xml:space="preserve">=ROUNDUP(-PMT(E2/12;H2;-C2;G2);-3)</t>
  </si>
  <si>
    <t xml:space="preserve">8</t>
  </si>
  <si>
    <t xml:space="preserve">Hitung lama (dalam tahun, satu desimal) agar tabungan mencapai target bila setoran bulanan saat ini diteruskan.</t>
  </si>
  <si>
    <t xml:space="preserve">Sheet Data, kolom O (Lama Capai Target (Tahun)), baris 2 sampai 17</t>
  </si>
  <si>
    <t xml:space="preserve">=ROUND(NPER(E2/12;-D2;-C2;G2)/12;1)</t>
  </si>
  <si>
    <t xml:space="preserve">9</t>
  </si>
  <si>
    <t xml:space="preserve">Pada sheet Acuan, hitung jumlah rencana untuk tiap tujuan.</t>
  </si>
  <si>
    <t xml:space="preserve">Sheet Acuan, kolom B (Jumlah Rencana), baris 2 sampai 5</t>
  </si>
  <si>
    <t xml:space="preserve">=COUNTIF(Data!$B$2:$B$17;A2)</t>
  </si>
  <si>
    <t xml:space="preserve">10</t>
  </si>
  <si>
    <t xml:space="preserve">Pada sheet Acuan, hitung total nilai akhir tiap tujuan.</t>
  </si>
  <si>
    <t xml:space="preserve">Sheet Acuan, kolom C (Total Nilai Akhir), baris 2 sampai 5</t>
  </si>
  <si>
    <t xml:space="preserve">=SUMIF(Data!$B$2:$B$17;A2;Data!$I$2:$I$17)</t>
  </si>
  <si>
    <t xml:space="preserve">11</t>
  </si>
  <si>
    <t xml:space="preserve">Pada sheet Acuan, hitung rata-rata bunga per tahun tiap tujuan.</t>
  </si>
  <si>
    <t xml:space="preserve">Sheet Acuan, kolom D (Rata-rata Bunga), baris 2 sampai 5</t>
  </si>
  <si>
    <t xml:space="preserve">=AVERAGEIF(Data!$B$2:$B$17;A2;Data!$E$2:$E$17)</t>
  </si>
  <si>
    <t xml:space="preserve">12</t>
  </si>
  <si>
    <t xml:space="preserve">Berapa total setoran, total bunga yang diperoleh, dan total nilai akhir seluruh rencana?</t>
  </si>
  <si>
    <t xml:space="preserve">Sheet Ringkasan, sel C4 sampai C6</t>
  </si>
  <si>
    <t xml:space="preserve">=SUM(Data!$J$2:$J$17)
=SUM(Data!$K$2:$K$17)
=SUM(Data!$I$2:$I$17)</t>
  </si>
  <si>
    <t xml:space="preserve">13</t>
  </si>
  <si>
    <t xml:space="preserve">Rencana apa yang nilai akhirnya terbesar, dan tujuan apa yang total nilai akhirnya terbesar?</t>
  </si>
  <si>
    <t xml:space="preserve">Sheet Ringkasan, sel C7 sampai C8</t>
  </si>
  <si>
    <t xml:space="preserve">=INDEX(Data!$A$2:$A$17;MATCH(MAX(Data!$I$2:$I$17);Data!$I$2:$I$17;0))
=INDEX(Acuan!$A$2:$A$5;MATCH(MAX(Acuan!$C$2:$C$5);Acuan!$C$2:$C$5;0))</t>
  </si>
  <si>
    <t xml:space="preserve">14</t>
  </si>
  <si>
    <t xml:space="preserve">Berapa rencana yang Tercapai, dan berapa total kekurangan dana dari rencana yang belum tercapai?</t>
  </si>
  <si>
    <t xml:space="preserve">Sheet Ringkasan, sel C9 sampai C10</t>
  </si>
  <si>
    <t xml:space="preserve">=COUNTIF(Data!$M$2:$M$17;"Tercapai")
=-SUMIF(Data!$L$2:$L$17;"&lt;0")</t>
  </si>
  <si>
    <t xml:space="preserve">15</t>
  </si>
  <si>
    <t xml:space="preserve">Berapa setoran bulanan terbesar yang dibutuhkan, dan rencana siapa yang membutuhkannya?</t>
  </si>
  <si>
    <t xml:space="preserve">Sheet Ringkasan, sel C11 sampai C12</t>
  </si>
  <si>
    <t xml:space="preserve">=MAX(Data!$N$2:$N$17)
=INDEX(Data!$A$2:$A$17;MATCH(MAX(Data!$N$2:$N$17);Data!$N$2:$N$17;0))</t>
  </si>
  <si>
    <t xml:space="preserve">16</t>
  </si>
  <si>
    <t xml:space="preserve">Berapa rata-rata lama capai target untuk rencana berstatus Kurang, dan berapa total nilai akhir rencana Dana Pensiun yang Tercapai?</t>
  </si>
  <si>
    <t xml:space="preserve">Sheet Ringkasan, sel C13 sampai C14</t>
  </si>
  <si>
    <t xml:space="preserve">=AVERAGEIF(Data!$M$2:$M$17;"Kurang";Data!$O$2:$O$17)
=SUMIFS(Data!$I$2:$I$17;Data!$B$2:$B$17;"Dana Pensiun";Data!$M$2:$M$17;"Tercapai")</t>
  </si>
  <si>
    <t xml:space="preserve">Rencana</t>
  </si>
  <si>
    <t xml:space="preserve">Tujuan</t>
  </si>
  <si>
    <t xml:space="preserve">Setoran Awal</t>
  </si>
  <si>
    <t xml:space="preserve">Setoran Bulanan</t>
  </si>
  <si>
    <t xml:space="preserve">Bunga per Tahun</t>
  </si>
  <si>
    <t xml:space="preserve">Jangka (Tahun)</t>
  </si>
  <si>
    <t xml:space="preserve">Target Dana</t>
  </si>
  <si>
    <t xml:space="preserve">Jumlah Bulan</t>
  </si>
  <si>
    <t xml:space="preserve">Nilai Akhir</t>
  </si>
  <si>
    <t xml:space="preserve">Total Setoran</t>
  </si>
  <si>
    <t xml:space="preserve">Bunga Diperoleh</t>
  </si>
  <si>
    <t xml:space="preserve">Selisih Target</t>
  </si>
  <si>
    <t xml:space="preserve">Status</t>
  </si>
  <si>
    <t xml:space="preserve">Setoran Dibutuhkan</t>
  </si>
  <si>
    <t xml:space="preserve">Lama Capai Target (Tahun)</t>
  </si>
  <si>
    <t xml:space="preserve">Joko (Rencana 1)</t>
  </si>
  <si>
    <t xml:space="preserve">Pendidikan Anak</t>
  </si>
  <si>
    <t xml:space="preserve">Dewi (Rencana 2)</t>
  </si>
  <si>
    <t xml:space="preserve">Dana Pensiun</t>
  </si>
  <si>
    <t xml:space="preserve">Kartika (Rencana 3)</t>
  </si>
  <si>
    <t xml:space="preserve">Uang Muka Rumah</t>
  </si>
  <si>
    <t xml:space="preserve">Kartika (Rencana 4)</t>
  </si>
  <si>
    <t xml:space="preserve">Liburan Keluarga</t>
  </si>
  <si>
    <t xml:space="preserve">Jihan (Rencana 5)</t>
  </si>
  <si>
    <t xml:space="preserve">Galih (Rencana 6)</t>
  </si>
  <si>
    <t xml:space="preserve">Hadi (Rencana 7)</t>
  </si>
  <si>
    <t xml:space="preserve">Prasetyo (Rencana 8)</t>
  </si>
  <si>
    <t xml:space="preserve">Eka (Rencana 9)</t>
  </si>
  <si>
    <t xml:space="preserve">Ayu (Rencana 10)</t>
  </si>
  <si>
    <t xml:space="preserve">Eko (Rencana 11)</t>
  </si>
  <si>
    <t xml:space="preserve">Eka (Rencana 12)</t>
  </si>
  <si>
    <t xml:space="preserve">Nurul (Rencana 13)</t>
  </si>
  <si>
    <t xml:space="preserve">Vina (Rencana 14)</t>
  </si>
  <si>
    <t xml:space="preserve">Tono (Rencana 15)</t>
  </si>
  <si>
    <t xml:space="preserve">Citra (Rencana 16)</t>
  </si>
  <si>
    <t xml:space="preserve">Jumlah Rencana</t>
  </si>
  <si>
    <t xml:space="preserve">Total Nilai Akhir</t>
  </si>
  <si>
    <t xml:space="preserve">Rata-rata Bunga</t>
  </si>
  <si>
    <t xml:space="preserve">Ringkasan: lembar jawaban soal berjenis ringkasan</t>
  </si>
  <si>
    <t xml:space="preserve">Sel hijau berisi rumus kunci.</t>
  </si>
  <si>
    <t xml:space="preserve">Pertanyaan</t>
  </si>
  <si>
    <t xml:space="preserve">Jawaban</t>
  </si>
  <si>
    <t xml:space="preserve">Contoh format hasil</t>
  </si>
  <si>
    <t xml:space="preserve">12a</t>
  </si>
  <si>
    <t xml:space="preserve">Total setoran seluruh rencana</t>
  </si>
  <si>
    <t xml:space="preserve">Rupiah, mis. Rp 2.000.000.000</t>
  </si>
  <si>
    <t xml:space="preserve">12b</t>
  </si>
  <si>
    <t xml:space="preserve">Total bunga diperoleh</t>
  </si>
  <si>
    <t xml:space="preserve">Rupiah, mis. Rp 900.000.000</t>
  </si>
  <si>
    <t xml:space="preserve">12c</t>
  </si>
  <si>
    <t xml:space="preserve">Total nilai akhir</t>
  </si>
  <si>
    <t xml:space="preserve">Rupiah, mis. Rp 2.900.000.000</t>
  </si>
  <si>
    <t xml:space="preserve">13a</t>
  </si>
  <si>
    <t xml:space="preserve">Rencana dengan nilai akhir terbesar</t>
  </si>
  <si>
    <t xml:space="preserve">Teks: nama rencana</t>
  </si>
  <si>
    <t xml:space="preserve">13b</t>
  </si>
  <si>
    <t xml:space="preserve">Tujuan dengan total nilai akhir terbesar</t>
  </si>
  <si>
    <t xml:space="preserve">Teks: nama tujuan</t>
  </si>
  <si>
    <t xml:space="preserve">14a</t>
  </si>
  <si>
    <t xml:space="preserve">Rencana Tercapai</t>
  </si>
  <si>
    <t xml:space="preserve">Angka bulat, mis. 8</t>
  </si>
  <si>
    <t xml:space="preserve">14b</t>
  </si>
  <si>
    <t xml:space="preserve">Total kekurangan dana</t>
  </si>
  <si>
    <t xml:space="preserve">Rupiah, mis. Rp 150.000.000</t>
  </si>
  <si>
    <t xml:space="preserve">15a</t>
  </si>
  <si>
    <t xml:space="preserve">Setoran bulanan terbesar yang dibutuhkan</t>
  </si>
  <si>
    <t xml:space="preserve">Rupiah, mis. Rp 8.000.000</t>
  </si>
  <si>
    <t xml:space="preserve">15b</t>
  </si>
  <si>
    <t xml:space="preserve">Rencana dengan setoran dibutuhkan terbesar</t>
  </si>
  <si>
    <t xml:space="preserve">16a</t>
  </si>
  <si>
    <t xml:space="preserve">Rata-rata lama capai target rencana Kurang (tahun)</t>
  </si>
  <si>
    <t xml:space="preserve">Angka desimal, mis. 18,5</t>
  </si>
  <si>
    <t xml:space="preserve">16b</t>
  </si>
  <si>
    <t xml:space="preserve">Total nilai akhir Dana Pensiun yang Tercapai</t>
  </si>
</sst>
</file>

<file path=xl/styles.xml><?xml version="1.0" encoding="utf-8"?>
<styleSheet xmlns="http://schemas.openxmlformats.org/spreadsheetml/2006/main">
  <numFmts count="5">
    <numFmt numFmtId="164" formatCode="General"/>
    <numFmt numFmtId="165" formatCode="&quot;Rp &quot;#,##0"/>
    <numFmt numFmtId="166" formatCode="0.0%"/>
    <numFmt numFmtId="167" formatCode="0"/>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b val="true"/>
      <sz val="13"/>
      <color rgb="FF1F4E3D"/>
      <name val="Arial"/>
      <family val="0"/>
      <charset val="1"/>
    </font>
    <font>
      <i val="true"/>
      <sz val="9"/>
      <color rgb="FF595959"/>
      <name val="Arial"/>
      <family val="0"/>
      <charset val="1"/>
    </font>
  </fonts>
  <fills count="5">
    <fill>
      <patternFill patternType="none"/>
    </fill>
    <fill>
      <patternFill patternType="gray125"/>
    </fill>
    <fill>
      <patternFill patternType="solid">
        <fgColor rgb="FF1F4E3D"/>
        <bgColor rgb="FF003366"/>
      </patternFill>
    </fill>
    <fill>
      <patternFill patternType="solid">
        <fgColor rgb="FFB45F06"/>
        <bgColor rgb="FF8080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8" customFormat="false" ht="15" hidden="false" customHeight="false" outlineLevel="0" collapsed="false">
      <c r="A18" s="3" t="s">
        <v>17</v>
      </c>
    </row>
    <row r="19" customFormat="false" ht="15" hidden="false" customHeight="false" outlineLevel="0" collapsed="false">
      <c r="A19" s="10" t="s">
        <v>18</v>
      </c>
      <c r="B19" s="10" t="s">
        <v>19</v>
      </c>
      <c r="C19" s="10" t="s">
        <v>20</v>
      </c>
      <c r="D19" s="10" t="s">
        <v>21</v>
      </c>
    </row>
    <row r="20" customFormat="false" ht="30" hidden="false" customHeight="true" outlineLevel="0" collapsed="false">
      <c r="A20" s="11" t="s">
        <v>22</v>
      </c>
      <c r="B20" s="12" t="s">
        <v>23</v>
      </c>
      <c r="C20" s="12" t="s">
        <v>24</v>
      </c>
      <c r="D20" s="13" t="s">
        <v>25</v>
      </c>
    </row>
    <row r="21" customFormat="false" ht="30" hidden="false" customHeight="true" outlineLevel="0" collapsed="false">
      <c r="A21" s="11" t="s">
        <v>26</v>
      </c>
      <c r="B21" s="12" t="s">
        <v>27</v>
      </c>
      <c r="C21" s="12" t="s">
        <v>28</v>
      </c>
      <c r="D21" s="13" t="s">
        <v>29</v>
      </c>
    </row>
    <row r="22" customFormat="false" ht="30" hidden="false" customHeight="true" outlineLevel="0" collapsed="false">
      <c r="A22" s="11" t="s">
        <v>30</v>
      </c>
      <c r="B22" s="12" t="s">
        <v>31</v>
      </c>
      <c r="C22" s="12" t="s">
        <v>32</v>
      </c>
      <c r="D22" s="13" t="s">
        <v>33</v>
      </c>
    </row>
    <row r="23" customFormat="false" ht="30" hidden="false" customHeight="true" outlineLevel="0" collapsed="false">
      <c r="A23" s="11" t="s">
        <v>34</v>
      </c>
      <c r="B23" s="12" t="s">
        <v>35</v>
      </c>
      <c r="C23" s="12" t="s">
        <v>36</v>
      </c>
      <c r="D23" s="13" t="s">
        <v>37</v>
      </c>
    </row>
    <row r="24" customFormat="false" ht="30" hidden="false" customHeight="true" outlineLevel="0" collapsed="false">
      <c r="A24" s="11" t="s">
        <v>38</v>
      </c>
      <c r="B24" s="12" t="s">
        <v>39</v>
      </c>
      <c r="C24" s="12" t="s">
        <v>40</v>
      </c>
      <c r="D24" s="13" t="s">
        <v>41</v>
      </c>
    </row>
    <row r="25" customFormat="false" ht="30" hidden="false" customHeight="true" outlineLevel="0" collapsed="false">
      <c r="A25" s="11" t="s">
        <v>42</v>
      </c>
      <c r="B25" s="12" t="s">
        <v>43</v>
      </c>
      <c r="C25" s="12" t="s">
        <v>44</v>
      </c>
      <c r="D25" s="13" t="s">
        <v>45</v>
      </c>
    </row>
    <row r="26" customFormat="false" ht="42" hidden="false" customHeight="true" outlineLevel="0" collapsed="false">
      <c r="A26" s="11" t="s">
        <v>46</v>
      </c>
      <c r="B26" s="12" t="s">
        <v>47</v>
      </c>
      <c r="C26" s="12" t="s">
        <v>48</v>
      </c>
      <c r="D26" s="13" t="s">
        <v>49</v>
      </c>
    </row>
    <row r="27" customFormat="false" ht="30" hidden="false" customHeight="true" outlineLevel="0" collapsed="false">
      <c r="A27" s="11" t="s">
        <v>50</v>
      </c>
      <c r="B27" s="12" t="s">
        <v>51</v>
      </c>
      <c r="C27" s="12" t="s">
        <v>52</v>
      </c>
      <c r="D27" s="13" t="s">
        <v>53</v>
      </c>
    </row>
    <row r="28" customFormat="false" ht="30" hidden="false" customHeight="true" outlineLevel="0" collapsed="false">
      <c r="A28" s="11" t="s">
        <v>54</v>
      </c>
      <c r="B28" s="12" t="s">
        <v>55</v>
      </c>
      <c r="C28" s="12" t="s">
        <v>56</v>
      </c>
      <c r="D28" s="13" t="s">
        <v>57</v>
      </c>
    </row>
    <row r="29" customFormat="false" ht="30" hidden="false" customHeight="true" outlineLevel="0" collapsed="false">
      <c r="A29" s="11" t="s">
        <v>58</v>
      </c>
      <c r="B29" s="12" t="s">
        <v>59</v>
      </c>
      <c r="C29" s="12" t="s">
        <v>60</v>
      </c>
      <c r="D29" s="13" t="s">
        <v>61</v>
      </c>
    </row>
    <row r="30" customFormat="false" ht="30" hidden="false" customHeight="true" outlineLevel="0" collapsed="false">
      <c r="A30" s="11" t="s">
        <v>62</v>
      </c>
      <c r="B30" s="12" t="s">
        <v>63</v>
      </c>
      <c r="C30" s="12" t="s">
        <v>64</v>
      </c>
      <c r="D30" s="13" t="s">
        <v>65</v>
      </c>
    </row>
    <row r="31" customFormat="false" ht="57.75" hidden="false" customHeight="true" outlineLevel="0" collapsed="false">
      <c r="A31" s="11" t="s">
        <v>66</v>
      </c>
      <c r="B31" s="12" t="s">
        <v>67</v>
      </c>
      <c r="C31" s="12" t="s">
        <v>68</v>
      </c>
      <c r="D31" s="13" t="s">
        <v>69</v>
      </c>
    </row>
    <row r="32" customFormat="false" ht="55.5" hidden="false" customHeight="true" outlineLevel="0" collapsed="false">
      <c r="A32" s="11" t="s">
        <v>70</v>
      </c>
      <c r="B32" s="12" t="s">
        <v>71</v>
      </c>
      <c r="C32" s="12" t="s">
        <v>72</v>
      </c>
      <c r="D32" s="13" t="s">
        <v>73</v>
      </c>
    </row>
    <row r="33" customFormat="false" ht="43.5" hidden="false" customHeight="true" outlineLevel="0" collapsed="false">
      <c r="A33" s="11" t="s">
        <v>74</v>
      </c>
      <c r="B33" s="12" t="s">
        <v>75</v>
      </c>
      <c r="C33" s="12" t="s">
        <v>76</v>
      </c>
      <c r="D33" s="13" t="s">
        <v>77</v>
      </c>
    </row>
    <row r="34" customFormat="false" ht="43.5" hidden="false" customHeight="true" outlineLevel="0" collapsed="false">
      <c r="A34" s="11" t="s">
        <v>78</v>
      </c>
      <c r="B34" s="12" t="s">
        <v>79</v>
      </c>
      <c r="C34" s="12" t="s">
        <v>80</v>
      </c>
      <c r="D34" s="13" t="s">
        <v>81</v>
      </c>
    </row>
    <row r="35" customFormat="false" ht="55.5" hidden="false" customHeight="true" outlineLevel="0" collapsed="false">
      <c r="A35" s="11" t="s">
        <v>82</v>
      </c>
      <c r="B35" s="12" t="s">
        <v>83</v>
      </c>
      <c r="C35" s="12" t="s">
        <v>84</v>
      </c>
      <c r="D35" s="13" t="s">
        <v>85</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7"/>
    <col collapsed="false" customWidth="true" hidden="false" outlineLevel="0" max="3" min="3" style="0" width="14"/>
    <col collapsed="false" customWidth="true" hidden="false" outlineLevel="0" max="5" min="4" style="0" width="15"/>
    <col collapsed="false" customWidth="true" hidden="false" outlineLevel="0" max="6" min="6" style="0" width="14"/>
    <col collapsed="false" customWidth="true" hidden="false" outlineLevel="0" max="7" min="7" style="0" width="16"/>
    <col collapsed="false" customWidth="true" hidden="false" outlineLevel="0" max="8" min="8" style="0" width="13"/>
    <col collapsed="false" customWidth="true" hidden="false" outlineLevel="0" max="12" min="9" style="0" width="16"/>
    <col collapsed="false" customWidth="true" hidden="false" outlineLevel="0" max="13" min="13" style="0" width="10"/>
    <col collapsed="false" customWidth="true" hidden="false" outlineLevel="0" max="14" min="14" style="0" width="19"/>
    <col collapsed="false" customWidth="true" hidden="false" outlineLevel="0" max="15" min="15" style="0" width="24"/>
  </cols>
  <sheetData>
    <row r="1" customFormat="false" ht="33.75" hidden="false" customHeight="true" outlineLevel="0" collapsed="false">
      <c r="A1" s="10" t="s">
        <v>86</v>
      </c>
      <c r="B1" s="10" t="s">
        <v>87</v>
      </c>
      <c r="C1" s="10" t="s">
        <v>88</v>
      </c>
      <c r="D1" s="10" t="s">
        <v>89</v>
      </c>
      <c r="E1" s="10" t="s">
        <v>90</v>
      </c>
      <c r="F1" s="10" t="s">
        <v>91</v>
      </c>
      <c r="G1" s="10" t="s">
        <v>92</v>
      </c>
      <c r="H1" s="14" t="s">
        <v>93</v>
      </c>
      <c r="I1" s="14" t="s">
        <v>94</v>
      </c>
      <c r="J1" s="14" t="s">
        <v>95</v>
      </c>
      <c r="K1" s="14" t="s">
        <v>96</v>
      </c>
      <c r="L1" s="14" t="s">
        <v>97</v>
      </c>
      <c r="M1" s="14" t="s">
        <v>98</v>
      </c>
      <c r="N1" s="14" t="s">
        <v>99</v>
      </c>
      <c r="O1" s="14" t="s">
        <v>100</v>
      </c>
    </row>
    <row r="2" customFormat="false" ht="15" hidden="false" customHeight="false" outlineLevel="0" collapsed="false">
      <c r="A2" s="15" t="s">
        <v>101</v>
      </c>
      <c r="B2" s="15" t="s">
        <v>102</v>
      </c>
      <c r="C2" s="16" t="n">
        <v>5000000</v>
      </c>
      <c r="D2" s="16" t="n">
        <v>1500000</v>
      </c>
      <c r="E2" s="17" t="n">
        <v>0.06</v>
      </c>
      <c r="F2" s="18" t="n">
        <v>10</v>
      </c>
      <c r="G2" s="16" t="n">
        <v>280000000</v>
      </c>
      <c r="H2" s="19" t="n">
        <f aca="false">F2*12</f>
        <v>120</v>
      </c>
      <c r="I2" s="20" t="n">
        <f aca="false">ROUND(FV(E2/12,H2,-D2,-C2),0)</f>
        <v>254916004</v>
      </c>
      <c r="J2" s="20" t="n">
        <f aca="false">C2+D2*H2</f>
        <v>185000000</v>
      </c>
      <c r="K2" s="20" t="n">
        <f aca="false">I2-J2</f>
        <v>69916004</v>
      </c>
      <c r="L2" s="20" t="n">
        <f aca="false">I2-G2</f>
        <v>-25083996</v>
      </c>
      <c r="M2" s="21" t="str">
        <f aca="false">IF(I2&gt;=G2,"Tercapai","Kurang")</f>
        <v>Kurang</v>
      </c>
      <c r="N2" s="20" t="n">
        <f aca="false">ROUNDUP(-PMT(E2/12,H2,-C2,G2),-3)</f>
        <v>1654000</v>
      </c>
      <c r="O2" s="22" t="n">
        <f aca="false">ROUND(NPER(E2/12,-D2,-C2,G2)/12,1)</f>
        <v>10.7</v>
      </c>
    </row>
    <row r="3" customFormat="false" ht="15" hidden="false" customHeight="false" outlineLevel="0" collapsed="false">
      <c r="A3" s="15" t="s">
        <v>103</v>
      </c>
      <c r="B3" s="15" t="s">
        <v>104</v>
      </c>
      <c r="C3" s="16" t="n">
        <v>50000000</v>
      </c>
      <c r="D3" s="16" t="n">
        <v>2000000</v>
      </c>
      <c r="E3" s="17" t="n">
        <v>0.05</v>
      </c>
      <c r="F3" s="18" t="n">
        <v>30</v>
      </c>
      <c r="G3" s="16" t="n">
        <v>1690000000</v>
      </c>
      <c r="H3" s="19" t="n">
        <f aca="false">F3*12</f>
        <v>360</v>
      </c>
      <c r="I3" s="20" t="n">
        <f aca="false">ROUND(FV(E3/12,H3,-D3,-C3),0)</f>
        <v>1887904486</v>
      </c>
      <c r="J3" s="20" t="n">
        <f aca="false">C3+D3*H3</f>
        <v>770000000</v>
      </c>
      <c r="K3" s="20" t="n">
        <f aca="false">I3-J3</f>
        <v>1117904486</v>
      </c>
      <c r="L3" s="20" t="n">
        <f aca="false">I3-G3</f>
        <v>197904486</v>
      </c>
      <c r="M3" s="21" t="str">
        <f aca="false">IF(I3&gt;=G3,"Tercapai","Kurang")</f>
        <v>Tercapai</v>
      </c>
      <c r="N3" s="20" t="n">
        <f aca="false">ROUNDUP(-PMT(E3/12,H3,-C3,G3),-3)</f>
        <v>1763000</v>
      </c>
      <c r="O3" s="22" t="n">
        <f aca="false">ROUND(NPER(E3/12,-D3,-C3,G3)/12,1)</f>
        <v>28.3</v>
      </c>
    </row>
    <row r="4" customFormat="false" ht="15" hidden="false" customHeight="false" outlineLevel="0" collapsed="false">
      <c r="A4" s="15" t="s">
        <v>105</v>
      </c>
      <c r="B4" s="15" t="s">
        <v>106</v>
      </c>
      <c r="C4" s="16" t="n">
        <v>0</v>
      </c>
      <c r="D4" s="16" t="n">
        <v>1000000</v>
      </c>
      <c r="E4" s="17" t="n">
        <v>0.08</v>
      </c>
      <c r="F4" s="18" t="n">
        <v>10</v>
      </c>
      <c r="G4" s="16" t="n">
        <v>205000000</v>
      </c>
      <c r="H4" s="19" t="n">
        <f aca="false">F4*12</f>
        <v>120</v>
      </c>
      <c r="I4" s="20" t="n">
        <f aca="false">ROUND(FV(E4/12,H4,-D4,-C4),0)</f>
        <v>182946035</v>
      </c>
      <c r="J4" s="20" t="n">
        <f aca="false">C4+D4*H4</f>
        <v>120000000</v>
      </c>
      <c r="K4" s="20" t="n">
        <f aca="false">I4-J4</f>
        <v>62946035</v>
      </c>
      <c r="L4" s="20" t="n">
        <f aca="false">I4-G4</f>
        <v>-22053965</v>
      </c>
      <c r="M4" s="21" t="str">
        <f aca="false">IF(I4&gt;=G4,"Tercapai","Kurang")</f>
        <v>Kurang</v>
      </c>
      <c r="N4" s="20" t="n">
        <f aca="false">ROUNDUP(-PMT(E4/12,H4,-C4,G4),-3)</f>
        <v>1121000</v>
      </c>
      <c r="O4" s="22" t="n">
        <f aca="false">ROUND(NPER(E4/12,-D4,-C4,G4)/12,1)</f>
        <v>10.8</v>
      </c>
    </row>
    <row r="5" customFormat="false" ht="15" hidden="false" customHeight="false" outlineLevel="0" collapsed="false">
      <c r="A5" s="15" t="s">
        <v>107</v>
      </c>
      <c r="B5" s="15" t="s">
        <v>108</v>
      </c>
      <c r="C5" s="16" t="n">
        <v>5000000</v>
      </c>
      <c r="D5" s="16" t="n">
        <v>3000000</v>
      </c>
      <c r="E5" s="17" t="n">
        <v>0.08</v>
      </c>
      <c r="F5" s="18" t="n">
        <v>2</v>
      </c>
      <c r="G5" s="16" t="n">
        <v>70000000</v>
      </c>
      <c r="H5" s="19" t="n">
        <f aca="false">F5*12</f>
        <v>24</v>
      </c>
      <c r="I5" s="20" t="n">
        <f aca="false">ROUND(FV(E5/12,H5,-D5,-C5),0)</f>
        <v>83664009</v>
      </c>
      <c r="J5" s="20" t="n">
        <f aca="false">C5+D5*H5</f>
        <v>77000000</v>
      </c>
      <c r="K5" s="20" t="n">
        <f aca="false">I5-J5</f>
        <v>6664009</v>
      </c>
      <c r="L5" s="20" t="n">
        <f aca="false">I5-G5</f>
        <v>13664009</v>
      </c>
      <c r="M5" s="21" t="str">
        <f aca="false">IF(I5&gt;=G5,"Tercapai","Kurang")</f>
        <v>Tercapai</v>
      </c>
      <c r="N5" s="20" t="n">
        <f aca="false">ROUNDUP(-PMT(E5/12,H5,-C5,G5),-3)</f>
        <v>2474000</v>
      </c>
      <c r="O5" s="22" t="n">
        <f aca="false">ROUND(NPER(E5/12,-D5,-C5,G5)/12,1)</f>
        <v>1.7</v>
      </c>
    </row>
    <row r="6" customFormat="false" ht="15" hidden="false" customHeight="false" outlineLevel="0" collapsed="false">
      <c r="A6" s="15" t="s">
        <v>109</v>
      </c>
      <c r="B6" s="15" t="s">
        <v>102</v>
      </c>
      <c r="C6" s="16" t="n">
        <v>0</v>
      </c>
      <c r="D6" s="16" t="n">
        <v>3000000</v>
      </c>
      <c r="E6" s="17" t="n">
        <v>0.08</v>
      </c>
      <c r="F6" s="18" t="n">
        <v>12</v>
      </c>
      <c r="G6" s="16" t="n">
        <v>535000000</v>
      </c>
      <c r="H6" s="19" t="n">
        <f aca="false">F6*12</f>
        <v>144</v>
      </c>
      <c r="I6" s="20" t="n">
        <f aca="false">ROUND(FV(E6/12,H6,-D6,-C6),0)</f>
        <v>721525160</v>
      </c>
      <c r="J6" s="20" t="n">
        <f aca="false">C6+D6*H6</f>
        <v>432000000</v>
      </c>
      <c r="K6" s="20" t="n">
        <f aca="false">I6-J6</f>
        <v>289525160</v>
      </c>
      <c r="L6" s="20" t="n">
        <f aca="false">I6-G6</f>
        <v>186525160</v>
      </c>
      <c r="M6" s="21" t="str">
        <f aca="false">IF(I6&gt;=G6,"Tercapai","Kurang")</f>
        <v>Tercapai</v>
      </c>
      <c r="N6" s="20" t="n">
        <f aca="false">ROUNDUP(-PMT(E6/12,H6,-C6,G6),-3)</f>
        <v>2225000</v>
      </c>
      <c r="O6" s="22" t="n">
        <f aca="false">ROUND(NPER(E6/12,-D6,-C6,G6)/12,1)</f>
        <v>9.8</v>
      </c>
    </row>
    <row r="7" customFormat="false" ht="15" hidden="false" customHeight="false" outlineLevel="0" collapsed="false">
      <c r="A7" s="15" t="s">
        <v>110</v>
      </c>
      <c r="B7" s="15" t="s">
        <v>104</v>
      </c>
      <c r="C7" s="16" t="n">
        <v>50000000</v>
      </c>
      <c r="D7" s="16" t="n">
        <v>500000</v>
      </c>
      <c r="E7" s="17" t="n">
        <v>0.06</v>
      </c>
      <c r="F7" s="18" t="n">
        <v>25</v>
      </c>
      <c r="G7" s="16" t="n">
        <v>685000000</v>
      </c>
      <c r="H7" s="19" t="n">
        <f aca="false">F7*12</f>
        <v>300</v>
      </c>
      <c r="I7" s="20" t="n">
        <f aca="false">ROUND(FV(E7/12,H7,-D7,-C7),0)</f>
        <v>569745472</v>
      </c>
      <c r="J7" s="20" t="n">
        <f aca="false">C7+D7*H7</f>
        <v>200000000</v>
      </c>
      <c r="K7" s="20" t="n">
        <f aca="false">I7-J7</f>
        <v>369745472</v>
      </c>
      <c r="L7" s="20" t="n">
        <f aca="false">I7-G7</f>
        <v>-115254528</v>
      </c>
      <c r="M7" s="21" t="str">
        <f aca="false">IF(I7&gt;=G7,"Tercapai","Kurang")</f>
        <v>Kurang</v>
      </c>
      <c r="N7" s="20" t="n">
        <f aca="false">ROUNDUP(-PMT(E7/12,H7,-C7,G7),-3)</f>
        <v>667000</v>
      </c>
      <c r="O7" s="22" t="n">
        <f aca="false">ROUND(NPER(E7/12,-D7,-C7,G7)/12,1)</f>
        <v>27.7</v>
      </c>
    </row>
    <row r="8" customFormat="false" ht="15" hidden="false" customHeight="false" outlineLevel="0" collapsed="false">
      <c r="A8" s="15" t="s">
        <v>111</v>
      </c>
      <c r="B8" s="15" t="s">
        <v>106</v>
      </c>
      <c r="C8" s="16" t="n">
        <v>0</v>
      </c>
      <c r="D8" s="16" t="n">
        <v>1500000</v>
      </c>
      <c r="E8" s="17" t="n">
        <v>0.07</v>
      </c>
      <c r="F8" s="18" t="n">
        <v>5</v>
      </c>
      <c r="G8" s="16" t="n">
        <v>95000000</v>
      </c>
      <c r="H8" s="19" t="n">
        <f aca="false">F8*12</f>
        <v>60</v>
      </c>
      <c r="I8" s="20" t="n">
        <f aca="false">ROUND(FV(E8/12,H8,-D8,-C8),0)</f>
        <v>107389352</v>
      </c>
      <c r="J8" s="20" t="n">
        <f aca="false">C8+D8*H8</f>
        <v>90000000</v>
      </c>
      <c r="K8" s="20" t="n">
        <f aca="false">I8-J8</f>
        <v>17389352</v>
      </c>
      <c r="L8" s="20" t="n">
        <f aca="false">I8-G8</f>
        <v>12389352</v>
      </c>
      <c r="M8" s="21" t="str">
        <f aca="false">IF(I8&gt;=G8,"Tercapai","Kurang")</f>
        <v>Tercapai</v>
      </c>
      <c r="N8" s="20" t="n">
        <f aca="false">ROUNDUP(-PMT(E8/12,H8,-C8,G8),-3)</f>
        <v>1327000</v>
      </c>
      <c r="O8" s="22" t="n">
        <f aca="false">ROUND(NPER(E8/12,-D8,-C8,G8)/12,1)</f>
        <v>4.5</v>
      </c>
    </row>
    <row r="9" customFormat="false" ht="15" hidden="false" customHeight="false" outlineLevel="0" collapsed="false">
      <c r="A9" s="15" t="s">
        <v>112</v>
      </c>
      <c r="B9" s="15" t="s">
        <v>108</v>
      </c>
      <c r="C9" s="16" t="n">
        <v>10000000</v>
      </c>
      <c r="D9" s="16" t="n">
        <v>3000000</v>
      </c>
      <c r="E9" s="17" t="n">
        <v>0.05</v>
      </c>
      <c r="F9" s="18" t="n">
        <v>4</v>
      </c>
      <c r="G9" s="16" t="n">
        <v>205000000</v>
      </c>
      <c r="H9" s="19" t="n">
        <f aca="false">F9*12</f>
        <v>48</v>
      </c>
      <c r="I9" s="20" t="n">
        <f aca="false">ROUND(FV(E9/12,H9,-D9,-C9),0)</f>
        <v>171253609</v>
      </c>
      <c r="J9" s="20" t="n">
        <f aca="false">C9+D9*H9</f>
        <v>154000000</v>
      </c>
      <c r="K9" s="20" t="n">
        <f aca="false">I9-J9</f>
        <v>17253609</v>
      </c>
      <c r="L9" s="20" t="n">
        <f aca="false">I9-G9</f>
        <v>-33746391</v>
      </c>
      <c r="M9" s="21" t="str">
        <f aca="false">IF(I9&gt;=G9,"Tercapai","Kurang")</f>
        <v>Kurang</v>
      </c>
      <c r="N9" s="20" t="n">
        <f aca="false">ROUNDUP(-PMT(E9/12,H9,-C9,G9),-3)</f>
        <v>3637000</v>
      </c>
      <c r="O9" s="22" t="n">
        <f aca="false">ROUND(NPER(E9/12,-D9,-C9,G9)/12,1)</f>
        <v>4.7</v>
      </c>
    </row>
    <row r="10" customFormat="false" ht="15" hidden="false" customHeight="false" outlineLevel="0" collapsed="false">
      <c r="A10" s="15" t="s">
        <v>113</v>
      </c>
      <c r="B10" s="15" t="s">
        <v>102</v>
      </c>
      <c r="C10" s="16" t="n">
        <v>10000000</v>
      </c>
      <c r="D10" s="16" t="n">
        <v>3000000</v>
      </c>
      <c r="E10" s="17" t="n">
        <v>0.04</v>
      </c>
      <c r="F10" s="18" t="n">
        <v>15</v>
      </c>
      <c r="G10" s="16" t="n">
        <v>980000000</v>
      </c>
      <c r="H10" s="19" t="n">
        <f aca="false">F10*12</f>
        <v>180</v>
      </c>
      <c r="I10" s="20" t="n">
        <f aca="false">ROUND(FV(E10/12,H10,-D10,-C10),0)</f>
        <v>756474481</v>
      </c>
      <c r="J10" s="20" t="n">
        <f aca="false">C10+D10*H10</f>
        <v>550000000</v>
      </c>
      <c r="K10" s="20" t="n">
        <f aca="false">I10-J10</f>
        <v>206474481</v>
      </c>
      <c r="L10" s="20" t="n">
        <f aca="false">I10-G10</f>
        <v>-223525519</v>
      </c>
      <c r="M10" s="21" t="str">
        <f aca="false">IF(I10&gt;=G10,"Tercapai","Kurang")</f>
        <v>Kurang</v>
      </c>
      <c r="N10" s="20" t="n">
        <f aca="false">ROUNDUP(-PMT(E10/12,H10,-C10,G10),-3)</f>
        <v>3909000</v>
      </c>
      <c r="O10" s="22" t="n">
        <f aca="false">ROUND(NPER(E10/12,-D10,-C10,G10)/12,1)</f>
        <v>18.2</v>
      </c>
    </row>
    <row r="11" customFormat="false" ht="15" hidden="false" customHeight="false" outlineLevel="0" collapsed="false">
      <c r="A11" s="15" t="s">
        <v>114</v>
      </c>
      <c r="B11" s="15" t="s">
        <v>104</v>
      </c>
      <c r="C11" s="16" t="n">
        <v>5000000</v>
      </c>
      <c r="D11" s="16" t="n">
        <v>1500000</v>
      </c>
      <c r="E11" s="17" t="n">
        <v>0.07</v>
      </c>
      <c r="F11" s="18" t="n">
        <v>30</v>
      </c>
      <c r="G11" s="16" t="n">
        <v>1665000000</v>
      </c>
      <c r="H11" s="19" t="n">
        <f aca="false">F11*12</f>
        <v>360</v>
      </c>
      <c r="I11" s="20" t="n">
        <f aca="false">ROUND(FV(E11/12,H11,-D11,-C11),0)</f>
        <v>1870538981</v>
      </c>
      <c r="J11" s="20" t="n">
        <f aca="false">C11+D11*H11</f>
        <v>545000000</v>
      </c>
      <c r="K11" s="20" t="n">
        <f aca="false">I11-J11</f>
        <v>1325538981</v>
      </c>
      <c r="L11" s="20" t="n">
        <f aca="false">I11-G11</f>
        <v>205538981</v>
      </c>
      <c r="M11" s="21" t="str">
        <f aca="false">IF(I11&gt;=G11,"Tercapai","Kurang")</f>
        <v>Tercapai</v>
      </c>
      <c r="N11" s="20" t="n">
        <f aca="false">ROUNDUP(-PMT(E11/12,H11,-C11,G11),-3)</f>
        <v>1332000</v>
      </c>
      <c r="O11" s="22" t="n">
        <f aca="false">ROUND(NPER(E11/12,-D11,-C11,G11)/12,1)</f>
        <v>28.5</v>
      </c>
    </row>
    <row r="12" customFormat="false" ht="15" hidden="false" customHeight="false" outlineLevel="0" collapsed="false">
      <c r="A12" s="15" t="s">
        <v>115</v>
      </c>
      <c r="B12" s="15" t="s">
        <v>106</v>
      </c>
      <c r="C12" s="16" t="n">
        <v>50000000</v>
      </c>
      <c r="D12" s="16" t="n">
        <v>1000000</v>
      </c>
      <c r="E12" s="17" t="n">
        <v>0.06</v>
      </c>
      <c r="F12" s="18" t="n">
        <v>6</v>
      </c>
      <c r="G12" s="16" t="n">
        <v>180000000</v>
      </c>
      <c r="H12" s="19" t="n">
        <f aca="false">F12*12</f>
        <v>72</v>
      </c>
      <c r="I12" s="20" t="n">
        <f aca="false">ROUND(FV(E12/12,H12,-D12,-C12),0)</f>
        <v>158011070</v>
      </c>
      <c r="J12" s="20" t="n">
        <f aca="false">C12+D12*H12</f>
        <v>122000000</v>
      </c>
      <c r="K12" s="20" t="n">
        <f aca="false">I12-J12</f>
        <v>36011070</v>
      </c>
      <c r="L12" s="20" t="n">
        <f aca="false">I12-G12</f>
        <v>-21988930</v>
      </c>
      <c r="M12" s="21" t="str">
        <f aca="false">IF(I12&gt;=G12,"Tercapai","Kurang")</f>
        <v>Kurang</v>
      </c>
      <c r="N12" s="20" t="n">
        <f aca="false">ROUNDUP(-PMT(E12/12,H12,-C12,G12),-3)</f>
        <v>1255000</v>
      </c>
      <c r="O12" s="22" t="n">
        <f aca="false">ROUND(NPER(E12/12,-D12,-C12,G12)/12,1)</f>
        <v>7</v>
      </c>
    </row>
    <row r="13" customFormat="false" ht="15" hidden="false" customHeight="false" outlineLevel="0" collapsed="false">
      <c r="A13" s="15" t="s">
        <v>116</v>
      </c>
      <c r="B13" s="15" t="s">
        <v>108</v>
      </c>
      <c r="C13" s="16" t="n">
        <v>5000000</v>
      </c>
      <c r="D13" s="16" t="n">
        <v>750000</v>
      </c>
      <c r="E13" s="17" t="n">
        <v>0.04</v>
      </c>
      <c r="F13" s="18" t="n">
        <v>4</v>
      </c>
      <c r="G13" s="16" t="n">
        <v>50000000</v>
      </c>
      <c r="H13" s="19" t="n">
        <f aca="false">F13*12</f>
        <v>48</v>
      </c>
      <c r="I13" s="20" t="n">
        <f aca="false">ROUND(FV(E13/12,H13,-D13,-C13),0)</f>
        <v>44835694</v>
      </c>
      <c r="J13" s="20" t="n">
        <f aca="false">C13+D13*H13</f>
        <v>41000000</v>
      </c>
      <c r="K13" s="20" t="n">
        <f aca="false">I13-J13</f>
        <v>3835694</v>
      </c>
      <c r="L13" s="20" t="n">
        <f aca="false">I13-G13</f>
        <v>-5164306</v>
      </c>
      <c r="M13" s="21" t="str">
        <f aca="false">IF(I13&gt;=G13,"Tercapai","Kurang")</f>
        <v>Kurang</v>
      </c>
      <c r="N13" s="20" t="n">
        <f aca="false">ROUNDUP(-PMT(E13/12,H13,-C13,G13),-3)</f>
        <v>850000</v>
      </c>
      <c r="O13" s="22" t="n">
        <f aca="false">ROUND(NPER(E13/12,-D13,-C13,G13)/12,1)</f>
        <v>4.5</v>
      </c>
    </row>
    <row r="14" customFormat="false" ht="15" hidden="false" customHeight="false" outlineLevel="0" collapsed="false">
      <c r="A14" s="15" t="s">
        <v>117</v>
      </c>
      <c r="B14" s="15" t="s">
        <v>102</v>
      </c>
      <c r="C14" s="16" t="n">
        <v>0</v>
      </c>
      <c r="D14" s="16" t="n">
        <v>3000000</v>
      </c>
      <c r="E14" s="17" t="n">
        <v>0.06</v>
      </c>
      <c r="F14" s="18" t="n">
        <v>15</v>
      </c>
      <c r="G14" s="16" t="n">
        <v>1140000000</v>
      </c>
      <c r="H14" s="19" t="n">
        <f aca="false">F14*12</f>
        <v>180</v>
      </c>
      <c r="I14" s="20" t="n">
        <f aca="false">ROUND(FV(E14/12,H14,-D14,-C14),0)</f>
        <v>872456137</v>
      </c>
      <c r="J14" s="20" t="n">
        <f aca="false">C14+D14*H14</f>
        <v>540000000</v>
      </c>
      <c r="K14" s="20" t="n">
        <f aca="false">I14-J14</f>
        <v>332456137</v>
      </c>
      <c r="L14" s="20" t="n">
        <f aca="false">I14-G14</f>
        <v>-267543863</v>
      </c>
      <c r="M14" s="21" t="str">
        <f aca="false">IF(I14&gt;=G14,"Tercapai","Kurang")</f>
        <v>Kurang</v>
      </c>
      <c r="N14" s="20" t="n">
        <f aca="false">ROUNDUP(-PMT(E14/12,H14,-C14,G14),-3)</f>
        <v>3920000</v>
      </c>
      <c r="O14" s="22" t="n">
        <f aca="false">ROUND(NPER(E14/12,-D14,-C14,G14)/12,1)</f>
        <v>17.8</v>
      </c>
    </row>
    <row r="15" customFormat="false" ht="15" hidden="false" customHeight="false" outlineLevel="0" collapsed="false">
      <c r="A15" s="15" t="s">
        <v>118</v>
      </c>
      <c r="B15" s="15" t="s">
        <v>104</v>
      </c>
      <c r="C15" s="16" t="n">
        <v>10000000</v>
      </c>
      <c r="D15" s="16" t="n">
        <v>500000</v>
      </c>
      <c r="E15" s="17" t="n">
        <v>0.04</v>
      </c>
      <c r="F15" s="18" t="n">
        <v>30</v>
      </c>
      <c r="G15" s="16" t="n">
        <v>360000000</v>
      </c>
      <c r="H15" s="19" t="n">
        <f aca="false">F15*12</f>
        <v>360</v>
      </c>
      <c r="I15" s="20" t="n">
        <f aca="false">ROUND(FV(E15/12,H15,-D15,-C15),0)</f>
        <v>380159682</v>
      </c>
      <c r="J15" s="20" t="n">
        <f aca="false">C15+D15*H15</f>
        <v>190000000</v>
      </c>
      <c r="K15" s="20" t="n">
        <f aca="false">I15-J15</f>
        <v>190159682</v>
      </c>
      <c r="L15" s="20" t="n">
        <f aca="false">I15-G15</f>
        <v>20159682</v>
      </c>
      <c r="M15" s="21" t="str">
        <f aca="false">IF(I15&gt;=G15,"Tercapai","Kurang")</f>
        <v>Tercapai</v>
      </c>
      <c r="N15" s="20" t="n">
        <f aca="false">ROUNDUP(-PMT(E15/12,H15,-C15,G15),-3)</f>
        <v>471000</v>
      </c>
      <c r="O15" s="22" t="n">
        <f aca="false">ROUND(NPER(E15/12,-D15,-C15,G15)/12,1)</f>
        <v>29</v>
      </c>
    </row>
    <row r="16" customFormat="false" ht="15" hidden="false" customHeight="false" outlineLevel="0" collapsed="false">
      <c r="A16" s="15" t="s">
        <v>119</v>
      </c>
      <c r="B16" s="15" t="s">
        <v>106</v>
      </c>
      <c r="C16" s="16" t="n">
        <v>5000000</v>
      </c>
      <c r="D16" s="16" t="n">
        <v>3000000</v>
      </c>
      <c r="E16" s="17" t="n">
        <v>0.05</v>
      </c>
      <c r="F16" s="18" t="n">
        <v>10</v>
      </c>
      <c r="G16" s="16" t="n">
        <v>345000000</v>
      </c>
      <c r="H16" s="19" t="n">
        <f aca="false">F16*12</f>
        <v>120</v>
      </c>
      <c r="I16" s="20" t="n">
        <f aca="false">ROUND(FV(E16/12,H16,-D16,-C16),0)</f>
        <v>474081886</v>
      </c>
      <c r="J16" s="20" t="n">
        <f aca="false">C16+D16*H16</f>
        <v>365000000</v>
      </c>
      <c r="K16" s="20" t="n">
        <f aca="false">I16-J16</f>
        <v>109081886</v>
      </c>
      <c r="L16" s="20" t="n">
        <f aca="false">I16-G16</f>
        <v>129081886</v>
      </c>
      <c r="M16" s="21" t="str">
        <f aca="false">IF(I16&gt;=G16,"Tercapai","Kurang")</f>
        <v>Tercapai</v>
      </c>
      <c r="N16" s="20" t="n">
        <f aca="false">ROUNDUP(-PMT(E16/12,H16,-C16,G16),-3)</f>
        <v>2169000</v>
      </c>
      <c r="O16" s="22" t="n">
        <f aca="false">ROUND(NPER(E16/12,-D16,-C16,G16)/12,1)</f>
        <v>7.7</v>
      </c>
    </row>
    <row r="17" customFormat="false" ht="15" hidden="false" customHeight="false" outlineLevel="0" collapsed="false">
      <c r="A17" s="15" t="s">
        <v>120</v>
      </c>
      <c r="B17" s="15" t="s">
        <v>108</v>
      </c>
      <c r="C17" s="16" t="n">
        <v>5000000</v>
      </c>
      <c r="D17" s="16" t="n">
        <v>1000000</v>
      </c>
      <c r="E17" s="17" t="n">
        <v>0.06</v>
      </c>
      <c r="F17" s="18" t="n">
        <v>3</v>
      </c>
      <c r="G17" s="16" t="n">
        <v>55000000</v>
      </c>
      <c r="H17" s="19" t="n">
        <f aca="false">F17*12</f>
        <v>36</v>
      </c>
      <c r="I17" s="20" t="n">
        <f aca="false">ROUND(FV(E17/12,H17,-D17,-C17),0)</f>
        <v>45319508</v>
      </c>
      <c r="J17" s="20" t="n">
        <f aca="false">C17+D17*H17</f>
        <v>41000000</v>
      </c>
      <c r="K17" s="20" t="n">
        <f aca="false">I17-J17</f>
        <v>4319508</v>
      </c>
      <c r="L17" s="20" t="n">
        <f aca="false">I17-G17</f>
        <v>-9680492</v>
      </c>
      <c r="M17" s="21" t="str">
        <f aca="false">IF(I17&gt;=G17,"Tercapai","Kurang")</f>
        <v>Kurang</v>
      </c>
      <c r="N17" s="20" t="n">
        <f aca="false">ROUNDUP(-PMT(E17/12,H17,-C17,G17),-3)</f>
        <v>1247000</v>
      </c>
      <c r="O17" s="22" t="n">
        <f aca="false">ROUND(NPER(E17/12,-D17,-C17,G17)/12,1)</f>
        <v>3.6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6"/>
    <col collapsed="false" customWidth="true" hidden="false" outlineLevel="0" max="3" min="3" style="0" width="18"/>
    <col collapsed="false" customWidth="true" hidden="false" outlineLevel="0" max="4" min="4" style="0" width="16"/>
  </cols>
  <sheetData>
    <row r="1" customFormat="false" ht="33.75" hidden="false" customHeight="true" outlineLevel="0" collapsed="false">
      <c r="A1" s="10" t="s">
        <v>87</v>
      </c>
      <c r="B1" s="14" t="s">
        <v>121</v>
      </c>
      <c r="C1" s="14" t="s">
        <v>122</v>
      </c>
      <c r="D1" s="14" t="s">
        <v>123</v>
      </c>
    </row>
    <row r="2" customFormat="false" ht="15" hidden="false" customHeight="false" outlineLevel="0" collapsed="false">
      <c r="A2" s="15" t="s">
        <v>102</v>
      </c>
      <c r="B2" s="19" t="n">
        <f aca="false">COUNTIF(Data!$B$2:$B$17,A2)</f>
        <v>4</v>
      </c>
      <c r="C2" s="20" t="n">
        <f aca="false">SUMIF(Data!$B$2:$B$17,A2,Data!$I$2:$I$17)</f>
        <v>2605371782</v>
      </c>
      <c r="D2" s="23" t="n">
        <f aca="false">AVERAGEIF(Data!$B$2:$B$17,A2,Data!$E$2:$E$17)</f>
        <v>0.06</v>
      </c>
    </row>
    <row r="3" customFormat="false" ht="15" hidden="false" customHeight="false" outlineLevel="0" collapsed="false">
      <c r="A3" s="15" t="s">
        <v>104</v>
      </c>
      <c r="B3" s="19" t="n">
        <f aca="false">COUNTIF(Data!$B$2:$B$17,A3)</f>
        <v>4</v>
      </c>
      <c r="C3" s="20" t="n">
        <f aca="false">SUMIF(Data!$B$2:$B$17,A3,Data!$I$2:$I$17)</f>
        <v>4708348621</v>
      </c>
      <c r="D3" s="23" t="n">
        <f aca="false">AVERAGEIF(Data!$B$2:$B$17,A3,Data!$E$2:$E$17)</f>
        <v>0.055</v>
      </c>
    </row>
    <row r="4" customFormat="false" ht="15" hidden="false" customHeight="false" outlineLevel="0" collapsed="false">
      <c r="A4" s="15" t="s">
        <v>106</v>
      </c>
      <c r="B4" s="19" t="n">
        <f aca="false">COUNTIF(Data!$B$2:$B$17,A4)</f>
        <v>4</v>
      </c>
      <c r="C4" s="20" t="n">
        <f aca="false">SUMIF(Data!$B$2:$B$17,A4,Data!$I$2:$I$17)</f>
        <v>922428343</v>
      </c>
      <c r="D4" s="23" t="n">
        <f aca="false">AVERAGEIF(Data!$B$2:$B$17,A4,Data!$E$2:$E$17)</f>
        <v>0.065</v>
      </c>
    </row>
    <row r="5" customFormat="false" ht="15" hidden="false" customHeight="false" outlineLevel="0" collapsed="false">
      <c r="A5" s="15" t="s">
        <v>108</v>
      </c>
      <c r="B5" s="19" t="n">
        <f aca="false">COUNTIF(Data!$B$2:$B$17,A5)</f>
        <v>4</v>
      </c>
      <c r="C5" s="20" t="n">
        <f aca="false">SUMIF(Data!$B$2:$B$17,A5,Data!$I$2:$I$17)</f>
        <v>345072820</v>
      </c>
      <c r="D5" s="23" t="n">
        <f aca="false">AVERAGEIF(Data!$B$2:$B$17,A5,Data!$E$2:$E$17)</f>
        <v>0.0575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124</v>
      </c>
      <c r="B1" s="24"/>
      <c r="C1" s="24"/>
      <c r="D1" s="24"/>
    </row>
    <row r="2" customFormat="false" ht="15" hidden="false" customHeight="false" outlineLevel="0" collapsed="false">
      <c r="A2" s="25" t="s">
        <v>125</v>
      </c>
      <c r="B2" s="25"/>
      <c r="C2" s="25"/>
      <c r="D2" s="25"/>
    </row>
    <row r="3" customFormat="false" ht="15" hidden="false" customHeight="false" outlineLevel="0" collapsed="false">
      <c r="A3" s="10" t="s">
        <v>18</v>
      </c>
      <c r="B3" s="10" t="s">
        <v>126</v>
      </c>
      <c r="C3" s="10" t="s">
        <v>127</v>
      </c>
      <c r="D3" s="10" t="s">
        <v>128</v>
      </c>
    </row>
    <row r="4" customFormat="false" ht="15" hidden="false" customHeight="false" outlineLevel="0" collapsed="false">
      <c r="A4" s="26" t="s">
        <v>129</v>
      </c>
      <c r="B4" s="27" t="s">
        <v>130</v>
      </c>
      <c r="C4" s="20" t="n">
        <f aca="false">SUM(Data!$J$2:$J$17)</f>
        <v>4422000000</v>
      </c>
      <c r="D4" s="28" t="s">
        <v>131</v>
      </c>
    </row>
    <row r="5" customFormat="false" ht="15" hidden="false" customHeight="false" outlineLevel="0" collapsed="false">
      <c r="A5" s="26" t="s">
        <v>132</v>
      </c>
      <c r="B5" s="27" t="s">
        <v>133</v>
      </c>
      <c r="C5" s="20" t="n">
        <f aca="false">SUM(Data!$K$2:$K$17)</f>
        <v>4159221566</v>
      </c>
      <c r="D5" s="28" t="s">
        <v>134</v>
      </c>
    </row>
    <row r="6" customFormat="false" ht="15" hidden="false" customHeight="false" outlineLevel="0" collapsed="false">
      <c r="A6" s="26" t="s">
        <v>135</v>
      </c>
      <c r="B6" s="27" t="s">
        <v>136</v>
      </c>
      <c r="C6" s="20" t="n">
        <f aca="false">SUM(Data!$I$2:$I$17)</f>
        <v>8581221566</v>
      </c>
      <c r="D6" s="28" t="s">
        <v>137</v>
      </c>
    </row>
    <row r="7" customFormat="false" ht="15" hidden="false" customHeight="false" outlineLevel="0" collapsed="false">
      <c r="A7" s="26" t="s">
        <v>138</v>
      </c>
      <c r="B7" s="27" t="s">
        <v>139</v>
      </c>
      <c r="C7" s="21" t="str">
        <f aca="false">INDEX(Data!$A$2:$A$17,MATCH(MAX(Data!$I$2:$I$17),Data!$I$2:$I$17,0))</f>
        <v>Dewi (Rencana 2)</v>
      </c>
      <c r="D7" s="28" t="s">
        <v>140</v>
      </c>
    </row>
    <row r="8" customFormat="false" ht="15" hidden="false" customHeight="false" outlineLevel="0" collapsed="false">
      <c r="A8" s="26" t="s">
        <v>141</v>
      </c>
      <c r="B8" s="27" t="s">
        <v>142</v>
      </c>
      <c r="C8" s="21" t="str">
        <f aca="false">INDEX(Acuan!$A$2:$A$5,MATCH(MAX(Acuan!$C$2:$C$5),Acuan!$C$2:$C$5,0))</f>
        <v>Dana Pensiun</v>
      </c>
      <c r="D8" s="28" t="s">
        <v>143</v>
      </c>
    </row>
    <row r="9" customFormat="false" ht="15" hidden="false" customHeight="false" outlineLevel="0" collapsed="false">
      <c r="A9" s="26" t="s">
        <v>144</v>
      </c>
      <c r="B9" s="27" t="s">
        <v>145</v>
      </c>
      <c r="C9" s="19" t="n">
        <f aca="false">COUNTIF(Data!$M$2:$M$17,"Tercapai")</f>
        <v>7</v>
      </c>
      <c r="D9" s="28" t="s">
        <v>146</v>
      </c>
    </row>
    <row r="10" customFormat="false" ht="15" hidden="false" customHeight="false" outlineLevel="0" collapsed="false">
      <c r="A10" s="26" t="s">
        <v>147</v>
      </c>
      <c r="B10" s="27" t="s">
        <v>148</v>
      </c>
      <c r="C10" s="20" t="n">
        <f aca="false">-SUMIF(Data!$L$2:$L$17,"&lt;0")</f>
        <v>724041990</v>
      </c>
      <c r="D10" s="28" t="s">
        <v>149</v>
      </c>
    </row>
    <row r="11" customFormat="false" ht="15" hidden="false" customHeight="false" outlineLevel="0" collapsed="false">
      <c r="A11" s="26" t="s">
        <v>150</v>
      </c>
      <c r="B11" s="27" t="s">
        <v>151</v>
      </c>
      <c r="C11" s="20" t="n">
        <f aca="false">MAX(Data!$N$2:$N$17)</f>
        <v>3920000</v>
      </c>
      <c r="D11" s="28" t="s">
        <v>152</v>
      </c>
    </row>
    <row r="12" customFormat="false" ht="15" hidden="false" customHeight="false" outlineLevel="0" collapsed="false">
      <c r="A12" s="26" t="s">
        <v>153</v>
      </c>
      <c r="B12" s="27" t="s">
        <v>154</v>
      </c>
      <c r="C12" s="21" t="str">
        <f aca="false">INDEX(Data!$A$2:$A$17,MATCH(MAX(Data!$N$2:$N$17),Data!$N$2:$N$17,0))</f>
        <v>Nurul (Rencana 13)</v>
      </c>
      <c r="D12" s="28" t="s">
        <v>140</v>
      </c>
    </row>
    <row r="13" customFormat="false" ht="15" hidden="false" customHeight="false" outlineLevel="0" collapsed="false">
      <c r="A13" s="26" t="s">
        <v>155</v>
      </c>
      <c r="B13" s="27" t="s">
        <v>156</v>
      </c>
      <c r="C13" s="22" t="n">
        <f aca="false">AVERAGEIF(Data!$M$2:$M$17,"Kurang",Data!$O$2:$O$17)</f>
        <v>11.6666666666667</v>
      </c>
      <c r="D13" s="28" t="s">
        <v>157</v>
      </c>
    </row>
    <row r="14" customFormat="false" ht="15" hidden="false" customHeight="false" outlineLevel="0" collapsed="false">
      <c r="A14" s="26" t="s">
        <v>158</v>
      </c>
      <c r="B14" s="27" t="s">
        <v>159</v>
      </c>
      <c r="C14" s="20" t="n">
        <f aca="false">SUMIFS(Data!$I$2:$I$17,Data!$B$2:$B$17,"Dana Pensiun",Data!$M$2:$M$17,"Tercapai")</f>
        <v>4138603149</v>
      </c>
      <c r="D14" s="28" t="s">
        <v>134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2026-10-14T23:34:19Z</dcterms:created>
  <dc:creator>PushExcel</dc:creator>
  <dc:description/>
  <dc:language>en-US</dc:language>
  <cp:lastModifiedBy/>
  <dcterms:modified xsi:type="dcterms:W3CDTF">2026-10-14T23:34:19Z</dcterms:modified>
  <cp:revision>0</cp:revision>
  <dc:subject/>
  <dc:title>Simulasi Tabungan dan Investasi Berjangka - Kunci</dc:title>
</cp:coreProperties>
</file>

<file path=docProps/custom.xml><?xml version="1.0" encoding="utf-8"?>
<Properties xmlns="http://schemas.openxmlformats.org/officeDocument/2006/custom-properties" xmlns:vt="http://schemas.openxmlformats.org/officeDocument/2006/docPropsVTypes"/>
</file>