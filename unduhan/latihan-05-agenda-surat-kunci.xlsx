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<sst xmlns="http://schemas.openxmlformats.org/spreadsheetml/2006/main" count="274" uniqueCount="173">
  <si>
    <t xml:space="preserve">Kunci Jawaban: Buku Agenda Surat Masuk</t>
  </si>
  <si>
    <t xml:space="preserve">Latihan 5 dari 104  |  Tingkat: Menengah  |  Perkiraan waktu: 45 menit  |  pushexcel.github.io/Pushexcel</t>
  </si>
  <si>
    <t xml:space="preserve">Skenario</t>
  </si>
  <si>
    <t xml:space="preserve">Kamu sekretaris di sebuah kantor yang mencatat surat masuk pada buku agenda. Triwulan ini ada 30 surat dari Agustus sampai Oktober 2026. Pimpinan ingin tahu berapa surat yang sudah dibalas, berapa lama prosesnya, dan surat penting mana yang terlambat dibalas. Batas waktu balasan adalah 5 hari.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</si>
  <si>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</si>
  <si>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</si>
  <si>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</si>
  <si>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</si>
  <si>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</si>
  <si>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</si>
  <si>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</si>
  <si>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</si>
  <si>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</si>
  <si>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</si>
  <si>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</si>
  <si>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</si>
  <si>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</si>
  <si>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</si>
  <si>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</si>
  <si>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</si>
  <si>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</si>
  <si>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</si>
  <si>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</si>
  <si>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</si>
  <si>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Buat Nomor Agenda otomatis dengan pola AGD-nomor urut tiga digit/bulan/tahun, misalnya AGD-007/8/2026.</t>
  </si>
  <si>
    <t xml:space="preserve">Sheet Data, kolom I (Nomor Agenda), baris 2 sampai 31</t>
  </si>
  <si>
    <t xml:space="preserve">="AGD-"&amp;TEXT(A2;"000")&amp;"/"&amp;MONTH(B2)&amp;"/"&amp;YEAR(B2)</t>
  </si>
  <si>
    <t xml:space="preserve">2</t>
  </si>
  <si>
    <t xml:space="preserve">Ambil nomor bulan dari Tanggal Terima.</t>
  </si>
  <si>
    <t xml:space="preserve">Sheet Data, kolom J (Bulan Terima), baris 2 sampai 31</t>
  </si>
  <si>
    <t xml:space="preserve">=MONTH(B2)</t>
  </si>
  <si>
    <t xml:space="preserve">3</t>
  </si>
  <si>
    <t xml:space="preserve">Hitung lama proses dalam hari: Tanggal Dibalas dikurangi Tanggal Terima. Bila belum dibalas, biarkan kosong.</t>
  </si>
  <si>
    <t xml:space="preserve">Sheet Data, kolom K (Lama Proses (hari)), baris 2 sampai 31</t>
  </si>
  <si>
    <t xml:space="preserve">=IF(H2="";"";H2-B2)</t>
  </si>
  <si>
    <t xml:space="preserve">4</t>
  </si>
  <si>
    <t xml:space="preserve">Beri status Selesai bila sudah ada Tanggal Dibalas, selain itu Belum Dibalas.</t>
  </si>
  <si>
    <t xml:space="preserve">Sheet Data, kolom L (Status), baris 2 sampai 31</t>
  </si>
  <si>
    <t xml:space="preserve">=IF(H2="";"Belum Dibalas";"Selesai")</t>
  </si>
  <si>
    <t xml:space="preserve">5</t>
  </si>
  <si>
    <t xml:space="preserve">Beri Ketepatan Waktu: Tepat Waktu bila lama proses di dalam batas, Terlambat bila melebihi, dan tanda - bila belum dibalas.</t>
  </si>
  <si>
    <t xml:space="preserve">Sheet Data, kolom M (Ketepatan Waktu), baris 2 sampai 31</t>
  </si>
  <si>
    <t xml:space="preserve">=IF(H2="";"-";IF(K2&lt;=$P$2;"Tepat Waktu";"Terlambat"))</t>
  </si>
  <si>
    <t xml:space="preserve">6</t>
  </si>
  <si>
    <t xml:space="preserve">Berapa jumlah surat untuk tiap jenis: Undangan, Permohonan, Pemberitahuan, dan Penawaran?</t>
  </si>
  <si>
    <t xml:space="preserve">Sheet Ringkasan, sel C4 sampai C7</t>
  </si>
  <si>
    <t xml:space="preserve">=COUNTIF(Data!$F$2:$F$31;"Undangan")
=COUNTIF(Data!$F$2:$F$31;"Permohonan")
=COUNTIF(Data!$F$2:$F$31;"Pemberitahuan")
=COUNTIF(Data!$F$2:$F$31;"Penawaran")</t>
  </si>
  <si>
    <t xml:space="preserve">7</t>
  </si>
  <si>
    <t xml:space="preserve">Berapa jumlah surat yang diterima pada Agustus (8), September (9), dan Oktober (10)?</t>
  </si>
  <si>
    <t xml:space="preserve">Sheet Ringkasan, sel C8 sampai C10</t>
  </si>
  <si>
    <t xml:space="preserve">=COUNTIF(Data!$J$2:$J$31;8)
=COUNTIF(Data!$J$2:$J$31;9)
=COUNTIF(Data!$J$2:$J$31;10)</t>
  </si>
  <si>
    <t xml:space="preserve">8</t>
  </si>
  <si>
    <t xml:space="preserve">Berapa surat yang belum dibalas?</t>
  </si>
  <si>
    <t xml:space="preserve">Sheet Ringkasan, sel C11</t>
  </si>
  <si>
    <t xml:space="preserve">=COUNTIF(Data!$L$2:$L$31;"Belum Dibalas")</t>
  </si>
  <si>
    <t xml:space="preserve">9</t>
  </si>
  <si>
    <t xml:space="preserve">Berapa rata-rata lama proses surat yang sudah dibalas (dalam hari)?</t>
  </si>
  <si>
    <t xml:space="preserve">Sheet Ringkasan, sel C12</t>
  </si>
  <si>
    <t xml:space="preserve">=AVERAGE(Data!$K$2:$K$31)</t>
  </si>
  <si>
    <t xml:space="preserve">10</t>
  </si>
  <si>
    <t xml:space="preserve">Berapa surat bersifat Penting yang terlambat dibalas?</t>
  </si>
  <si>
    <t xml:space="preserve">Sheet Ringkasan, sel C13</t>
  </si>
  <si>
    <t xml:space="preserve">=COUNTIFS(Data!$G$2:$G$31;"Penting";Data!$M$2:$M$31;"Terlambat")</t>
  </si>
  <si>
    <t xml:space="preserve">11</t>
  </si>
  <si>
    <t xml:space="preserve">Surat dari pengirim mana yang paling lama diproses?</t>
  </si>
  <si>
    <t xml:space="preserve">Sheet Ringkasan, sel C14</t>
  </si>
  <si>
    <t xml:space="preserve">=INDEX(Data!$D$2:$D$31;MATCH(MAX(Data!$K$2:$K$31);Data!$K$2:$K$31;0))</t>
  </si>
  <si>
    <t xml:space="preserve">Tanggal Terima</t>
  </si>
  <si>
    <t xml:space="preserve">Nomor Surat</t>
  </si>
  <si>
    <t xml:space="preserve">Pengirim</t>
  </si>
  <si>
    <t xml:space="preserve">Perihal</t>
  </si>
  <si>
    <t xml:space="preserve">Jenis</t>
  </si>
  <si>
    <t xml:space="preserve">Sifat</t>
  </si>
  <si>
    <t xml:space="preserve">Tanggal Dibalas</t>
  </si>
  <si>
    <t xml:space="preserve">Nomor Agenda</t>
  </si>
  <si>
    <t xml:space="preserve">Bulan Terima</t>
  </si>
  <si>
    <t xml:space="preserve">Lama Proses (hari)</t>
  </si>
  <si>
    <t xml:space="preserve">Status</t>
  </si>
  <si>
    <t xml:space="preserve">Ketepatan Waktu</t>
  </si>
  <si>
    <t xml:space="preserve">Parameter</t>
  </si>
  <si>
    <t xml:space="preserve">Nilai</t>
  </si>
  <si>
    <t xml:space="preserve">Keterangan</t>
  </si>
  <si>
    <t xml:space="preserve">313/UND/HRD/VIII/2026</t>
  </si>
  <si>
    <t xml:space="preserve">Koperasi Tani Makmur</t>
  </si>
  <si>
    <t xml:space="preserve">Penawaran kerja sama pengadaan ATK</t>
  </si>
  <si>
    <t xml:space="preserve">Penawaran</t>
  </si>
  <si>
    <t xml:space="preserve">Biasa</t>
  </si>
  <si>
    <t xml:space="preserve">Batas waktu balasan (hari)</t>
  </si>
  <si>
    <t xml:space="preserve">Dibalas dalam batas ini = Tepat Waktu</t>
  </si>
  <si>
    <t xml:space="preserve">371/TWR/HRD/VIII/2026</t>
  </si>
  <si>
    <t xml:space="preserve">PT Bumi Lestari</t>
  </si>
  <si>
    <t xml:space="preserve">Undangan sosialisasi program</t>
  </si>
  <si>
    <t xml:space="preserve">Undangan</t>
  </si>
  <si>
    <t xml:space="preserve">090/TWR/HRD/VIII/2026</t>
  </si>
  <si>
    <t xml:space="preserve">Komite Sekolah</t>
  </si>
  <si>
    <t xml:space="preserve">Permohonan kunjungan industri</t>
  </si>
  <si>
    <t xml:space="preserve">Permohonan</t>
  </si>
  <si>
    <t xml:space="preserve">Segera</t>
  </si>
  <si>
    <t xml:space="preserve">430/PMH/SEK/VIII/2026</t>
  </si>
  <si>
    <t xml:space="preserve">CV Karya Mandiri</t>
  </si>
  <si>
    <t xml:space="preserve">Pemberitahuan perubahan jadwal</t>
  </si>
  <si>
    <t xml:space="preserve">Pemberitahuan</t>
  </si>
  <si>
    <t xml:space="preserve">430/TWR/KEU/VIII/2026</t>
  </si>
  <si>
    <t xml:space="preserve">Permohonan izin penggunaan ruangan</t>
  </si>
  <si>
    <t xml:space="preserve">Penting</t>
  </si>
  <si>
    <t xml:space="preserve">172/TWR/KEU/VIII/2026</t>
  </si>
  <si>
    <t xml:space="preserve">Dinas Pendidikan</t>
  </si>
  <si>
    <t xml:space="preserve">Penawaran layanan internet</t>
  </si>
  <si>
    <t xml:space="preserve">194/PMH/ADM/VIII/2026</t>
  </si>
  <si>
    <t xml:space="preserve">431/UND/KEU/VIII/2026</t>
  </si>
  <si>
    <t xml:space="preserve">Kantor Kecamatan</t>
  </si>
  <si>
    <t xml:space="preserve">Permohonan data kepegawaian</t>
  </si>
  <si>
    <t xml:space="preserve">381/TWR/ADM/VIII/2026</t>
  </si>
  <si>
    <t xml:space="preserve">Bank Daerah</t>
  </si>
  <si>
    <t xml:space="preserve">205/UND/HRD/VIII/2026</t>
  </si>
  <si>
    <t xml:space="preserve">Yayasan Harapan Bangsa</t>
  </si>
  <si>
    <t xml:space="preserve">341/UND/SEK/VIII/2026</t>
  </si>
  <si>
    <t xml:space="preserve">084/TWR/SEK/IX/2026</t>
  </si>
  <si>
    <t xml:space="preserve">339/PBR/SEK/IX/2026</t>
  </si>
  <si>
    <t xml:space="preserve">RS Sehat Sentosa</t>
  </si>
  <si>
    <t xml:space="preserve">Pemberitahuan libur operasional</t>
  </si>
  <si>
    <t xml:space="preserve">447/TWR/HRD/IX/2026</t>
  </si>
  <si>
    <t xml:space="preserve">Pemberitahuan pembaruan tarif</t>
  </si>
  <si>
    <t xml:space="preserve">151/PMH/KEU/IX/2026</t>
  </si>
  <si>
    <t xml:space="preserve">SMK Negeri 1</t>
  </si>
  <si>
    <t xml:space="preserve">325/PMH/ADM/IX/2026</t>
  </si>
  <si>
    <t xml:space="preserve">165/PBR/SEK/IX/2026</t>
  </si>
  <si>
    <t xml:space="preserve">UD Sumber Rezeki</t>
  </si>
  <si>
    <t xml:space="preserve">Undangan rapat koordinasi</t>
  </si>
  <si>
    <t xml:space="preserve">274/PBR/SEK/IX/2026</t>
  </si>
  <si>
    <t xml:space="preserve">113/TWR/SEK/IX/2026</t>
  </si>
  <si>
    <t xml:space="preserve">059/PBR/ADM/IX/2026</t>
  </si>
  <si>
    <t xml:space="preserve">356/UND/SEK/IX/2026</t>
  </si>
  <si>
    <t xml:space="preserve">350/PBR/HRD/IX/2026</t>
  </si>
  <si>
    <t xml:space="preserve">256/TWR/HRD/IX/2026</t>
  </si>
  <si>
    <t xml:space="preserve">062/TWR/HRD/X/2026</t>
  </si>
  <si>
    <t xml:space="preserve">383/UND/HRD/X/2026</t>
  </si>
  <si>
    <t xml:space="preserve">Penawaran jasa pelatihan</t>
  </si>
  <si>
    <t xml:space="preserve">295/TWR/ADM/X/2026</t>
  </si>
  <si>
    <t xml:space="preserve">Undangan acara peresmian</t>
  </si>
  <si>
    <t xml:space="preserve">203/TWR/ADM/X/2026</t>
  </si>
  <si>
    <t xml:space="preserve">055/TWR/KEU/X/2026</t>
  </si>
  <si>
    <t xml:space="preserve">214/PMH/HRD/X/2026</t>
  </si>
  <si>
    <t xml:space="preserve">107/PBR/ADM/X/2026</t>
  </si>
  <si>
    <t xml:space="preserve">Ringkasan: lembar jawaban soal berjenis ringkasan</t>
  </si>
  <si>
    <t xml:space="preserve">Sel hijau berisi rumus kunci.</t>
  </si>
  <si>
    <t xml:space="preserve">Pertanyaan</t>
  </si>
  <si>
    <t xml:space="preserve">Jawaban</t>
  </si>
  <si>
    <t xml:space="preserve">Contoh format hasil</t>
  </si>
  <si>
    <t xml:space="preserve">6a</t>
  </si>
  <si>
    <t xml:space="preserve">Jumlah surat jenis Undangan</t>
  </si>
  <si>
    <t xml:space="preserve">Angka bulat, mis. 8</t>
  </si>
  <si>
    <t xml:space="preserve">6b</t>
  </si>
  <si>
    <t xml:space="preserve">Jumlah surat jenis Permohonan</t>
  </si>
  <si>
    <t xml:space="preserve">6c</t>
  </si>
  <si>
    <t xml:space="preserve">Jumlah surat jenis Pemberitahuan</t>
  </si>
  <si>
    <t xml:space="preserve">6d</t>
  </si>
  <si>
    <t xml:space="preserve">Jumlah surat jenis Penawaran</t>
  </si>
  <si>
    <t xml:space="preserve">7a</t>
  </si>
  <si>
    <t xml:space="preserve">Jumlah surat diterima bulan Agustus</t>
  </si>
  <si>
    <t xml:space="preserve">Angka bulat, mis. 10</t>
  </si>
  <si>
    <t xml:space="preserve">7b</t>
  </si>
  <si>
    <t xml:space="preserve">Jumlah surat diterima bulan September</t>
  </si>
  <si>
    <t xml:space="preserve">7c</t>
  </si>
  <si>
    <t xml:space="preserve">Jumlah surat diterima bulan Oktober</t>
  </si>
  <si>
    <t xml:space="preserve">Jumlah surat belum dibalas</t>
  </si>
  <si>
    <t xml:space="preserve">Angka bulat, mis. 6</t>
  </si>
  <si>
    <t xml:space="preserve">Rata-rata lama proses surat yang sudah dibalas (hari)</t>
  </si>
  <si>
    <t xml:space="preserve">Angka desimal, mis. 4,6</t>
  </si>
  <si>
    <t xml:space="preserve">Jumlah surat Penting yang terlambat dibalas</t>
  </si>
  <si>
    <t xml:space="preserve">Angka bulat, mis. 3</t>
  </si>
  <si>
    <t xml:space="preserve">Pengirim surat dengan proses terlama</t>
  </si>
  <si>
    <t xml:space="preserve">Teks: nama pengirim</t>
  </si>
</sst>
</file>

<file path=xl/styles.xml><?xml version="1.0" encoding="utf-8"?>
<styleSheet xmlns="http://schemas.openxmlformats.org/spreadsheetml/2006/main">
  <numFmts count="4">
    <numFmt numFmtId="164" formatCode="General"/>
    <numFmt numFmtId="165" formatCode="0"/>
    <numFmt numFmtId="166" formatCode="dd/mm/yyyy"/>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42" hidden="false" customHeight="true" outlineLevel="0" collapsed="false">
      <c r="A25" s="13" t="s">
        <v>39</v>
      </c>
      <c r="B25" s="14" t="s">
        <v>40</v>
      </c>
      <c r="C25" s="14" t="s">
        <v>41</v>
      </c>
      <c r="D25" s="15" t="s">
        <v>42</v>
      </c>
    </row>
    <row r="26" customFormat="false" ht="84" hidden="false" customHeight="true" outlineLevel="0" collapsed="false">
      <c r="A26" s="13" t="s">
        <v>43</v>
      </c>
      <c r="B26" s="14" t="s">
        <v>44</v>
      </c>
      <c r="C26" s="14" t="s">
        <v>45</v>
      </c>
      <c r="D26" s="15" t="s">
        <v>46</v>
      </c>
    </row>
    <row r="27" customFormat="false" ht="55.5"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2"/>
    <col collapsed="false" customWidth="true" hidden="false" outlineLevel="0" max="4" min="4" style="0" width="24"/>
    <col collapsed="false" customWidth="true" hidden="false" outlineLevel="0" max="5" min="5" style="0" width="34"/>
    <col collapsed="false" customWidth="true" hidden="false" outlineLevel="0" max="6" min="6" style="0" width="14"/>
    <col collapsed="false" customWidth="true" hidden="false" outlineLevel="0" max="7" min="7" style="0" width="10"/>
    <col collapsed="false" customWidth="true" hidden="false" outlineLevel="0" max="8" min="8" style="0" width="14"/>
    <col collapsed="false" customWidth="true" hidden="false" outlineLevel="0" max="9" min="9" style="0" width="16"/>
    <col collapsed="false" customWidth="true" hidden="false" outlineLevel="0" max="10" min="10" style="0" width="10"/>
    <col collapsed="false" customWidth="true" hidden="false" outlineLevel="0" max="11" min="11" style="0" width="12"/>
    <col collapsed="false" customWidth="true" hidden="false" outlineLevel="0" max="13" min="12" style="0" width="14"/>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2" t="s">
        <v>19</v>
      </c>
      <c r="B1" s="12" t="s">
        <v>67</v>
      </c>
      <c r="C1" s="12" t="s">
        <v>68</v>
      </c>
      <c r="D1" s="12" t="s">
        <v>69</v>
      </c>
      <c r="E1" s="12" t="s">
        <v>70</v>
      </c>
      <c r="F1" s="12" t="s">
        <v>71</v>
      </c>
      <c r="G1" s="12" t="s">
        <v>72</v>
      </c>
      <c r="H1" s="12" t="s">
        <v>73</v>
      </c>
      <c r="I1" s="16" t="s">
        <v>74</v>
      </c>
      <c r="J1" s="16" t="s">
        <v>75</v>
      </c>
      <c r="K1" s="16" t="s">
        <v>76</v>
      </c>
      <c r="L1" s="16" t="s">
        <v>77</v>
      </c>
      <c r="M1" s="16" t="s">
        <v>78</v>
      </c>
      <c r="O1" s="17" t="s">
        <v>79</v>
      </c>
      <c r="P1" s="17" t="s">
        <v>80</v>
      </c>
      <c r="Q1" s="17" t="s">
        <v>81</v>
      </c>
    </row>
    <row r="2" customFormat="false" ht="15" hidden="false" customHeight="false" outlineLevel="0" collapsed="false">
      <c r="A2" s="18" t="n">
        <v>1</v>
      </c>
      <c r="B2" s="19" t="n">
        <v>46239</v>
      </c>
      <c r="C2" s="20" t="s">
        <v>82</v>
      </c>
      <c r="D2" s="20" t="s">
        <v>83</v>
      </c>
      <c r="E2" s="20" t="s">
        <v>84</v>
      </c>
      <c r="F2" s="20" t="s">
        <v>85</v>
      </c>
      <c r="G2" s="20" t="s">
        <v>86</v>
      </c>
      <c r="H2" s="19" t="n">
        <v>46245</v>
      </c>
      <c r="I2" s="21" t="str">
        <f aca="false">"AGD-"&amp;TEXT(A2,"000")&amp;"/"&amp;MONTH(B2)&amp;"/"&amp;YEAR(B2)</f>
        <v>AGD-001/8/2026</v>
      </c>
      <c r="J2" s="22" t="n">
        <f aca="false">MONTH(B2)</f>
        <v>8</v>
      </c>
      <c r="K2" s="22" t="n">
        <f aca="false">IF(H2="","",H2-B2)</f>
        <v>6</v>
      </c>
      <c r="L2" s="21" t="str">
        <f aca="false">IF(H2="","Belum Dibalas","Selesai")</f>
        <v>Selesai</v>
      </c>
      <c r="M2" s="21" t="str">
        <f aca="false">IF(H2="","-",IF(K2&lt;=$P$2,"Tepat Waktu","Terlambat"))</f>
        <v>Terlambat</v>
      </c>
      <c r="O2" s="23" t="s">
        <v>87</v>
      </c>
      <c r="P2" s="24" t="n">
        <v>5</v>
      </c>
      <c r="Q2" s="25" t="s">
        <v>88</v>
      </c>
    </row>
    <row r="3" customFormat="false" ht="15" hidden="false" customHeight="false" outlineLevel="0" collapsed="false">
      <c r="A3" s="18" t="n">
        <v>2</v>
      </c>
      <c r="B3" s="19" t="n">
        <v>46246</v>
      </c>
      <c r="C3" s="20" t="s">
        <v>89</v>
      </c>
      <c r="D3" s="20" t="s">
        <v>90</v>
      </c>
      <c r="E3" s="20" t="s">
        <v>91</v>
      </c>
      <c r="F3" s="20" t="s">
        <v>92</v>
      </c>
      <c r="G3" s="20" t="s">
        <v>86</v>
      </c>
      <c r="H3" s="19" t="n">
        <v>46252</v>
      </c>
      <c r="I3" s="21" t="str">
        <f aca="false">"AGD-"&amp;TEXT(A3,"000")&amp;"/"&amp;MONTH(B3)&amp;"/"&amp;YEAR(B3)</f>
        <v>AGD-002/8/2026</v>
      </c>
      <c r="J3" s="22" t="n">
        <f aca="false">MONTH(B3)</f>
        <v>8</v>
      </c>
      <c r="K3" s="22" t="n">
        <f aca="false">IF(H3="","",H3-B3)</f>
        <v>6</v>
      </c>
      <c r="L3" s="21" t="str">
        <f aca="false">IF(H3="","Belum Dibalas","Selesai")</f>
        <v>Selesai</v>
      </c>
      <c r="M3" s="21" t="str">
        <f aca="false">IF(H3="","-",IF(K3&lt;=$P$2,"Tepat Waktu","Terlambat"))</f>
        <v>Terlambat</v>
      </c>
    </row>
    <row r="4" customFormat="false" ht="15" hidden="false" customHeight="false" outlineLevel="0" collapsed="false">
      <c r="A4" s="18" t="n">
        <v>3</v>
      </c>
      <c r="B4" s="19" t="n">
        <v>46248</v>
      </c>
      <c r="C4" s="20" t="s">
        <v>93</v>
      </c>
      <c r="D4" s="20" t="s">
        <v>94</v>
      </c>
      <c r="E4" s="20" t="s">
        <v>95</v>
      </c>
      <c r="F4" s="20" t="s">
        <v>96</v>
      </c>
      <c r="G4" s="20" t="s">
        <v>97</v>
      </c>
      <c r="H4" s="19" t="n">
        <v>46250</v>
      </c>
      <c r="I4" s="21" t="str">
        <f aca="false">"AGD-"&amp;TEXT(A4,"000")&amp;"/"&amp;MONTH(B4)&amp;"/"&amp;YEAR(B4)</f>
        <v>AGD-003/8/2026</v>
      </c>
      <c r="J4" s="22" t="n">
        <f aca="false">MONTH(B4)</f>
        <v>8</v>
      </c>
      <c r="K4" s="22" t="n">
        <f aca="false">IF(H4="","",H4-B4)</f>
        <v>2</v>
      </c>
      <c r="L4" s="21" t="str">
        <f aca="false">IF(H4="","Belum Dibalas","Selesai")</f>
        <v>Selesai</v>
      </c>
      <c r="M4" s="21" t="str">
        <f aca="false">IF(H4="","-",IF(K4&lt;=$P$2,"Tepat Waktu","Terlambat"))</f>
        <v>Tepat Waktu</v>
      </c>
    </row>
    <row r="5" customFormat="false" ht="15" hidden="false" customHeight="false" outlineLevel="0" collapsed="false">
      <c r="A5" s="18" t="n">
        <v>4</v>
      </c>
      <c r="B5" s="19" t="n">
        <v>46252</v>
      </c>
      <c r="C5" s="20" t="s">
        <v>98</v>
      </c>
      <c r="D5" s="20" t="s">
        <v>99</v>
      </c>
      <c r="E5" s="20" t="s">
        <v>100</v>
      </c>
      <c r="F5" s="20" t="s">
        <v>101</v>
      </c>
      <c r="G5" s="20" t="s">
        <v>97</v>
      </c>
      <c r="H5" s="19" t="n">
        <v>46252</v>
      </c>
      <c r="I5" s="21" t="str">
        <f aca="false">"AGD-"&amp;TEXT(A5,"000")&amp;"/"&amp;MONTH(B5)&amp;"/"&amp;YEAR(B5)</f>
        <v>AGD-004/8/2026</v>
      </c>
      <c r="J5" s="22" t="n">
        <f aca="false">MONTH(B5)</f>
        <v>8</v>
      </c>
      <c r="K5" s="22" t="n">
        <f aca="false">IF(H5="","",H5-B5)</f>
        <v>0</v>
      </c>
      <c r="L5" s="21" t="str">
        <f aca="false">IF(H5="","Belum Dibalas","Selesai")</f>
        <v>Selesai</v>
      </c>
      <c r="M5" s="21" t="str">
        <f aca="false">IF(H5="","-",IF(K5&lt;=$P$2,"Tepat Waktu","Terlambat"))</f>
        <v>Tepat Waktu</v>
      </c>
    </row>
    <row r="6" customFormat="false" ht="15" hidden="false" customHeight="false" outlineLevel="0" collapsed="false">
      <c r="A6" s="18" t="n">
        <v>5</v>
      </c>
      <c r="B6" s="19" t="n">
        <v>46254</v>
      </c>
      <c r="C6" s="20" t="s">
        <v>102</v>
      </c>
      <c r="D6" s="20" t="s">
        <v>94</v>
      </c>
      <c r="E6" s="20" t="s">
        <v>103</v>
      </c>
      <c r="F6" s="20" t="s">
        <v>96</v>
      </c>
      <c r="G6" s="20" t="s">
        <v>104</v>
      </c>
      <c r="H6" s="19" t="n">
        <v>46255</v>
      </c>
      <c r="I6" s="21" t="str">
        <f aca="false">"AGD-"&amp;TEXT(A6,"000")&amp;"/"&amp;MONTH(B6)&amp;"/"&amp;YEAR(B6)</f>
        <v>AGD-005/8/2026</v>
      </c>
      <c r="J6" s="22" t="n">
        <f aca="false">MONTH(B6)</f>
        <v>8</v>
      </c>
      <c r="K6" s="22" t="n">
        <f aca="false">IF(H6="","",H6-B6)</f>
        <v>1</v>
      </c>
      <c r="L6" s="21" t="str">
        <f aca="false">IF(H6="","Belum Dibalas","Selesai")</f>
        <v>Selesai</v>
      </c>
      <c r="M6" s="21" t="str">
        <f aca="false">IF(H6="","-",IF(K6&lt;=$P$2,"Tepat Waktu","Terlambat"))</f>
        <v>Tepat Waktu</v>
      </c>
    </row>
    <row r="7" customFormat="false" ht="15" hidden="false" customHeight="false" outlineLevel="0" collapsed="false">
      <c r="A7" s="18" t="n">
        <v>6</v>
      </c>
      <c r="B7" s="19" t="n">
        <v>46255</v>
      </c>
      <c r="C7" s="20" t="s">
        <v>105</v>
      </c>
      <c r="D7" s="20" t="s">
        <v>106</v>
      </c>
      <c r="E7" s="20" t="s">
        <v>107</v>
      </c>
      <c r="F7" s="20" t="s">
        <v>85</v>
      </c>
      <c r="G7" s="20" t="s">
        <v>86</v>
      </c>
      <c r="H7" s="19" t="n">
        <v>46261</v>
      </c>
      <c r="I7" s="21" t="str">
        <f aca="false">"AGD-"&amp;TEXT(A7,"000")&amp;"/"&amp;MONTH(B7)&amp;"/"&amp;YEAR(B7)</f>
        <v>AGD-006/8/2026</v>
      </c>
      <c r="J7" s="22" t="n">
        <f aca="false">MONTH(B7)</f>
        <v>8</v>
      </c>
      <c r="K7" s="22" t="n">
        <f aca="false">IF(H7="","",H7-B7)</f>
        <v>6</v>
      </c>
      <c r="L7" s="21" t="str">
        <f aca="false">IF(H7="","Belum Dibalas","Selesai")</f>
        <v>Selesai</v>
      </c>
      <c r="M7" s="21" t="str">
        <f aca="false">IF(H7="","-",IF(K7&lt;=$P$2,"Tepat Waktu","Terlambat"))</f>
        <v>Terlambat</v>
      </c>
    </row>
    <row r="8" customFormat="false" ht="15" hidden="false" customHeight="false" outlineLevel="0" collapsed="false">
      <c r="A8" s="18" t="n">
        <v>7</v>
      </c>
      <c r="B8" s="19" t="n">
        <v>46258</v>
      </c>
      <c r="C8" s="20" t="s">
        <v>108</v>
      </c>
      <c r="D8" s="20" t="s">
        <v>99</v>
      </c>
      <c r="E8" s="20" t="s">
        <v>95</v>
      </c>
      <c r="F8" s="20" t="s">
        <v>96</v>
      </c>
      <c r="G8" s="20" t="s">
        <v>86</v>
      </c>
      <c r="H8" s="19"/>
      <c r="I8" s="21" t="str">
        <f aca="false">"AGD-"&amp;TEXT(A8,"000")&amp;"/"&amp;MONTH(B8)&amp;"/"&amp;YEAR(B8)</f>
        <v>AGD-007/8/2026</v>
      </c>
      <c r="J8" s="22" t="n">
        <f aca="false">MONTH(B8)</f>
        <v>8</v>
      </c>
      <c r="K8" s="22" t="str">
        <f aca="false">IF(H8="","",H8-B8)</f>
        <v/>
      </c>
      <c r="L8" s="21" t="str">
        <f aca="false">IF(H8="","Belum Dibalas","Selesai")</f>
        <v>Belum Dibalas</v>
      </c>
      <c r="M8" s="21" t="str">
        <f aca="false">IF(H8="","-",IF(K8&lt;=$P$2,"Tepat Waktu","Terlambat"))</f>
        <v>-</v>
      </c>
    </row>
    <row r="9" customFormat="false" ht="15" hidden="false" customHeight="false" outlineLevel="0" collapsed="false">
      <c r="A9" s="18" t="n">
        <v>8</v>
      </c>
      <c r="B9" s="19" t="n">
        <v>46259</v>
      </c>
      <c r="C9" s="20" t="s">
        <v>109</v>
      </c>
      <c r="D9" s="20" t="s">
        <v>110</v>
      </c>
      <c r="E9" s="20" t="s">
        <v>111</v>
      </c>
      <c r="F9" s="20" t="s">
        <v>96</v>
      </c>
      <c r="G9" s="20" t="s">
        <v>86</v>
      </c>
      <c r="H9" s="19" t="n">
        <v>46263</v>
      </c>
      <c r="I9" s="21" t="str">
        <f aca="false">"AGD-"&amp;TEXT(A9,"000")&amp;"/"&amp;MONTH(B9)&amp;"/"&amp;YEAR(B9)</f>
        <v>AGD-008/8/2026</v>
      </c>
      <c r="J9" s="22" t="n">
        <f aca="false">MONTH(B9)</f>
        <v>8</v>
      </c>
      <c r="K9" s="22" t="n">
        <f aca="false">IF(H9="","",H9-B9)</f>
        <v>4</v>
      </c>
      <c r="L9" s="21" t="str">
        <f aca="false">IF(H9="","Belum Dibalas","Selesai")</f>
        <v>Selesai</v>
      </c>
      <c r="M9" s="21" t="str">
        <f aca="false">IF(H9="","-",IF(K9&lt;=$P$2,"Tepat Waktu","Terlambat"))</f>
        <v>Tepat Waktu</v>
      </c>
    </row>
    <row r="10" customFormat="false" ht="15" hidden="false" customHeight="false" outlineLevel="0" collapsed="false">
      <c r="A10" s="18" t="n">
        <v>9</v>
      </c>
      <c r="B10" s="19" t="n">
        <v>46260</v>
      </c>
      <c r="C10" s="20" t="s">
        <v>112</v>
      </c>
      <c r="D10" s="20" t="s">
        <v>113</v>
      </c>
      <c r="E10" s="20" t="s">
        <v>111</v>
      </c>
      <c r="F10" s="20" t="s">
        <v>96</v>
      </c>
      <c r="G10" s="20" t="s">
        <v>86</v>
      </c>
      <c r="H10" s="19" t="n">
        <v>46266</v>
      </c>
      <c r="I10" s="21" t="str">
        <f aca="false">"AGD-"&amp;TEXT(A10,"000")&amp;"/"&amp;MONTH(B10)&amp;"/"&amp;YEAR(B10)</f>
        <v>AGD-009/8/2026</v>
      </c>
      <c r="J10" s="22" t="n">
        <f aca="false">MONTH(B10)</f>
        <v>8</v>
      </c>
      <c r="K10" s="22" t="n">
        <f aca="false">IF(H10="","",H10-B10)</f>
        <v>6</v>
      </c>
      <c r="L10" s="21" t="str">
        <f aca="false">IF(H10="","Belum Dibalas","Selesai")</f>
        <v>Selesai</v>
      </c>
      <c r="M10" s="21" t="str">
        <f aca="false">IF(H10="","-",IF(K10&lt;=$P$2,"Tepat Waktu","Terlambat"))</f>
        <v>Terlambat</v>
      </c>
    </row>
    <row r="11" customFormat="false" ht="15" hidden="false" customHeight="false" outlineLevel="0" collapsed="false">
      <c r="A11" s="18" t="n">
        <v>10</v>
      </c>
      <c r="B11" s="19" t="n">
        <v>46262</v>
      </c>
      <c r="C11" s="20" t="s">
        <v>114</v>
      </c>
      <c r="D11" s="20" t="s">
        <v>115</v>
      </c>
      <c r="E11" s="20" t="s">
        <v>100</v>
      </c>
      <c r="F11" s="20" t="s">
        <v>101</v>
      </c>
      <c r="G11" s="20" t="s">
        <v>86</v>
      </c>
      <c r="H11" s="19" t="n">
        <v>46265</v>
      </c>
      <c r="I11" s="21" t="str">
        <f aca="false">"AGD-"&amp;TEXT(A11,"000")&amp;"/"&amp;MONTH(B11)&amp;"/"&amp;YEAR(B11)</f>
        <v>AGD-010/8/2026</v>
      </c>
      <c r="J11" s="22" t="n">
        <f aca="false">MONTH(B11)</f>
        <v>8</v>
      </c>
      <c r="K11" s="22" t="n">
        <f aca="false">IF(H11="","",H11-B11)</f>
        <v>3</v>
      </c>
      <c r="L11" s="21" t="str">
        <f aca="false">IF(H11="","Belum Dibalas","Selesai")</f>
        <v>Selesai</v>
      </c>
      <c r="M11" s="21" t="str">
        <f aca="false">IF(H11="","-",IF(K11&lt;=$P$2,"Tepat Waktu","Terlambat"))</f>
        <v>Tepat Waktu</v>
      </c>
    </row>
    <row r="12" customFormat="false" ht="15" hidden="false" customHeight="false" outlineLevel="0" collapsed="false">
      <c r="A12" s="18" t="n">
        <v>11</v>
      </c>
      <c r="B12" s="19" t="n">
        <v>46265</v>
      </c>
      <c r="C12" s="20" t="s">
        <v>116</v>
      </c>
      <c r="D12" s="20" t="s">
        <v>90</v>
      </c>
      <c r="E12" s="20" t="s">
        <v>95</v>
      </c>
      <c r="F12" s="20" t="s">
        <v>96</v>
      </c>
      <c r="G12" s="20" t="s">
        <v>104</v>
      </c>
      <c r="H12" s="19" t="n">
        <v>46272</v>
      </c>
      <c r="I12" s="21" t="str">
        <f aca="false">"AGD-"&amp;TEXT(A12,"000")&amp;"/"&amp;MONTH(B12)&amp;"/"&amp;YEAR(B12)</f>
        <v>AGD-011/8/2026</v>
      </c>
      <c r="J12" s="22" t="n">
        <f aca="false">MONTH(B12)</f>
        <v>8</v>
      </c>
      <c r="K12" s="22" t="n">
        <f aca="false">IF(H12="","",H12-B12)</f>
        <v>7</v>
      </c>
      <c r="L12" s="21" t="str">
        <f aca="false">IF(H12="","Belum Dibalas","Selesai")</f>
        <v>Selesai</v>
      </c>
      <c r="M12" s="21" t="str">
        <f aca="false">IF(H12="","-",IF(K12&lt;=$P$2,"Tepat Waktu","Terlambat"))</f>
        <v>Terlambat</v>
      </c>
    </row>
    <row r="13" customFormat="false" ht="15" hidden="false" customHeight="false" outlineLevel="0" collapsed="false">
      <c r="A13" s="18" t="n">
        <v>12</v>
      </c>
      <c r="B13" s="19" t="n">
        <v>46266</v>
      </c>
      <c r="C13" s="20" t="s">
        <v>117</v>
      </c>
      <c r="D13" s="20" t="s">
        <v>106</v>
      </c>
      <c r="E13" s="20" t="s">
        <v>91</v>
      </c>
      <c r="F13" s="20" t="s">
        <v>92</v>
      </c>
      <c r="G13" s="20" t="s">
        <v>97</v>
      </c>
      <c r="H13" s="19" t="n">
        <v>46268</v>
      </c>
      <c r="I13" s="21" t="str">
        <f aca="false">"AGD-"&amp;TEXT(A13,"000")&amp;"/"&amp;MONTH(B13)&amp;"/"&amp;YEAR(B13)</f>
        <v>AGD-012/9/2026</v>
      </c>
      <c r="J13" s="22" t="n">
        <f aca="false">MONTH(B13)</f>
        <v>9</v>
      </c>
      <c r="K13" s="22" t="n">
        <f aca="false">IF(H13="","",H13-B13)</f>
        <v>2</v>
      </c>
      <c r="L13" s="21" t="str">
        <f aca="false">IF(H13="","Belum Dibalas","Selesai")</f>
        <v>Selesai</v>
      </c>
      <c r="M13" s="21" t="str">
        <f aca="false">IF(H13="","-",IF(K13&lt;=$P$2,"Tepat Waktu","Terlambat"))</f>
        <v>Tepat Waktu</v>
      </c>
    </row>
    <row r="14" customFormat="false" ht="15" hidden="false" customHeight="false" outlineLevel="0" collapsed="false">
      <c r="A14" s="18" t="n">
        <v>13</v>
      </c>
      <c r="B14" s="19" t="n">
        <v>46272</v>
      </c>
      <c r="C14" s="20" t="s">
        <v>118</v>
      </c>
      <c r="D14" s="20" t="s">
        <v>119</v>
      </c>
      <c r="E14" s="20" t="s">
        <v>120</v>
      </c>
      <c r="F14" s="20" t="s">
        <v>101</v>
      </c>
      <c r="G14" s="20" t="s">
        <v>86</v>
      </c>
      <c r="H14" s="19" t="n">
        <v>46276</v>
      </c>
      <c r="I14" s="21" t="str">
        <f aca="false">"AGD-"&amp;TEXT(A14,"000")&amp;"/"&amp;MONTH(B14)&amp;"/"&amp;YEAR(B14)</f>
        <v>AGD-013/9/2026</v>
      </c>
      <c r="J14" s="22" t="n">
        <f aca="false">MONTH(B14)</f>
        <v>9</v>
      </c>
      <c r="K14" s="22" t="n">
        <f aca="false">IF(H14="","",H14-B14)</f>
        <v>4</v>
      </c>
      <c r="L14" s="21" t="str">
        <f aca="false">IF(H14="","Belum Dibalas","Selesai")</f>
        <v>Selesai</v>
      </c>
      <c r="M14" s="21" t="str">
        <f aca="false">IF(H14="","-",IF(K14&lt;=$P$2,"Tepat Waktu","Terlambat"))</f>
        <v>Tepat Waktu</v>
      </c>
    </row>
    <row r="15" customFormat="false" ht="15" hidden="false" customHeight="false" outlineLevel="0" collapsed="false">
      <c r="A15" s="18" t="n">
        <v>14</v>
      </c>
      <c r="B15" s="19" t="n">
        <v>46273</v>
      </c>
      <c r="C15" s="20" t="s">
        <v>121</v>
      </c>
      <c r="D15" s="20" t="s">
        <v>90</v>
      </c>
      <c r="E15" s="20" t="s">
        <v>122</v>
      </c>
      <c r="F15" s="20" t="s">
        <v>101</v>
      </c>
      <c r="G15" s="20" t="s">
        <v>97</v>
      </c>
      <c r="H15" s="19" t="n">
        <v>46275</v>
      </c>
      <c r="I15" s="21" t="str">
        <f aca="false">"AGD-"&amp;TEXT(A15,"000")&amp;"/"&amp;MONTH(B15)&amp;"/"&amp;YEAR(B15)</f>
        <v>AGD-014/9/2026</v>
      </c>
      <c r="J15" s="22" t="n">
        <f aca="false">MONTH(B15)</f>
        <v>9</v>
      </c>
      <c r="K15" s="22" t="n">
        <f aca="false">IF(H15="","",H15-B15)</f>
        <v>2</v>
      </c>
      <c r="L15" s="21" t="str">
        <f aca="false">IF(H15="","Belum Dibalas","Selesai")</f>
        <v>Selesai</v>
      </c>
      <c r="M15" s="21" t="str">
        <f aca="false">IF(H15="","-",IF(K15&lt;=$P$2,"Tepat Waktu","Terlambat"))</f>
        <v>Tepat Waktu</v>
      </c>
    </row>
    <row r="16" customFormat="false" ht="15" hidden="false" customHeight="false" outlineLevel="0" collapsed="false">
      <c r="A16" s="18" t="n">
        <v>15</v>
      </c>
      <c r="B16" s="19" t="n">
        <v>46274</v>
      </c>
      <c r="C16" s="20" t="s">
        <v>123</v>
      </c>
      <c r="D16" s="20" t="s">
        <v>124</v>
      </c>
      <c r="E16" s="20" t="s">
        <v>95</v>
      </c>
      <c r="F16" s="20" t="s">
        <v>96</v>
      </c>
      <c r="G16" s="20" t="s">
        <v>86</v>
      </c>
      <c r="H16" s="19" t="n">
        <v>46280</v>
      </c>
      <c r="I16" s="21" t="str">
        <f aca="false">"AGD-"&amp;TEXT(A16,"000")&amp;"/"&amp;MONTH(B16)&amp;"/"&amp;YEAR(B16)</f>
        <v>AGD-015/9/2026</v>
      </c>
      <c r="J16" s="22" t="n">
        <f aca="false">MONTH(B16)</f>
        <v>9</v>
      </c>
      <c r="K16" s="22" t="n">
        <f aca="false">IF(H16="","",H16-B16)</f>
        <v>6</v>
      </c>
      <c r="L16" s="21" t="str">
        <f aca="false">IF(H16="","Belum Dibalas","Selesai")</f>
        <v>Selesai</v>
      </c>
      <c r="M16" s="21" t="str">
        <f aca="false">IF(H16="","-",IF(K16&lt;=$P$2,"Tepat Waktu","Terlambat"))</f>
        <v>Terlambat</v>
      </c>
    </row>
    <row r="17" customFormat="false" ht="15" hidden="false" customHeight="false" outlineLevel="0" collapsed="false">
      <c r="A17" s="18" t="n">
        <v>16</v>
      </c>
      <c r="B17" s="19" t="n">
        <v>46275</v>
      </c>
      <c r="C17" s="20" t="s">
        <v>125</v>
      </c>
      <c r="D17" s="20" t="s">
        <v>115</v>
      </c>
      <c r="E17" s="20" t="s">
        <v>84</v>
      </c>
      <c r="F17" s="20" t="s">
        <v>85</v>
      </c>
      <c r="G17" s="20" t="s">
        <v>86</v>
      </c>
      <c r="H17" s="19" t="n">
        <v>46277</v>
      </c>
      <c r="I17" s="21" t="str">
        <f aca="false">"AGD-"&amp;TEXT(A17,"000")&amp;"/"&amp;MONTH(B17)&amp;"/"&amp;YEAR(B17)</f>
        <v>AGD-016/9/2026</v>
      </c>
      <c r="J17" s="22" t="n">
        <f aca="false">MONTH(B17)</f>
        <v>9</v>
      </c>
      <c r="K17" s="22" t="n">
        <f aca="false">IF(H17="","",H17-B17)</f>
        <v>2</v>
      </c>
      <c r="L17" s="21" t="str">
        <f aca="false">IF(H17="","Belum Dibalas","Selesai")</f>
        <v>Selesai</v>
      </c>
      <c r="M17" s="21" t="str">
        <f aca="false">IF(H17="","-",IF(K17&lt;=$P$2,"Tepat Waktu","Terlambat"))</f>
        <v>Tepat Waktu</v>
      </c>
    </row>
    <row r="18" customFormat="false" ht="15" hidden="false" customHeight="false" outlineLevel="0" collapsed="false">
      <c r="A18" s="18" t="n">
        <v>17</v>
      </c>
      <c r="B18" s="19" t="n">
        <v>46276</v>
      </c>
      <c r="C18" s="20" t="s">
        <v>126</v>
      </c>
      <c r="D18" s="20" t="s">
        <v>127</v>
      </c>
      <c r="E18" s="20" t="s">
        <v>128</v>
      </c>
      <c r="F18" s="20" t="s">
        <v>92</v>
      </c>
      <c r="G18" s="20" t="s">
        <v>97</v>
      </c>
      <c r="H18" s="19" t="n">
        <v>46283</v>
      </c>
      <c r="I18" s="21" t="str">
        <f aca="false">"AGD-"&amp;TEXT(A18,"000")&amp;"/"&amp;MONTH(B18)&amp;"/"&amp;YEAR(B18)</f>
        <v>AGD-017/9/2026</v>
      </c>
      <c r="J18" s="22" t="n">
        <f aca="false">MONTH(B18)</f>
        <v>9</v>
      </c>
      <c r="K18" s="22" t="n">
        <f aca="false">IF(H18="","",H18-B18)</f>
        <v>7</v>
      </c>
      <c r="L18" s="21" t="str">
        <f aca="false">IF(H18="","Belum Dibalas","Selesai")</f>
        <v>Selesai</v>
      </c>
      <c r="M18" s="21" t="str">
        <f aca="false">IF(H18="","-",IF(K18&lt;=$P$2,"Tepat Waktu","Terlambat"))</f>
        <v>Terlambat</v>
      </c>
    </row>
    <row r="19" customFormat="false" ht="15" hidden="false" customHeight="false" outlineLevel="0" collapsed="false">
      <c r="A19" s="18" t="n">
        <v>18</v>
      </c>
      <c r="B19" s="19" t="n">
        <v>46280</v>
      </c>
      <c r="C19" s="20" t="s">
        <v>129</v>
      </c>
      <c r="D19" s="20" t="s">
        <v>83</v>
      </c>
      <c r="E19" s="20" t="s">
        <v>122</v>
      </c>
      <c r="F19" s="20" t="s">
        <v>101</v>
      </c>
      <c r="G19" s="20" t="s">
        <v>86</v>
      </c>
      <c r="H19" s="19" t="n">
        <v>46282</v>
      </c>
      <c r="I19" s="21" t="str">
        <f aca="false">"AGD-"&amp;TEXT(A19,"000")&amp;"/"&amp;MONTH(B19)&amp;"/"&amp;YEAR(B19)</f>
        <v>AGD-018/9/2026</v>
      </c>
      <c r="J19" s="22" t="n">
        <f aca="false">MONTH(B19)</f>
        <v>9</v>
      </c>
      <c r="K19" s="22" t="n">
        <f aca="false">IF(H19="","",H19-B19)</f>
        <v>2</v>
      </c>
      <c r="L19" s="21" t="str">
        <f aca="false">IF(H19="","Belum Dibalas","Selesai")</f>
        <v>Selesai</v>
      </c>
      <c r="M19" s="21" t="str">
        <f aca="false">IF(H19="","-",IF(K19&lt;=$P$2,"Tepat Waktu","Terlambat"))</f>
        <v>Tepat Waktu</v>
      </c>
    </row>
    <row r="20" customFormat="false" ht="15" hidden="false" customHeight="false" outlineLevel="0" collapsed="false">
      <c r="A20" s="18" t="n">
        <v>19</v>
      </c>
      <c r="B20" s="19" t="n">
        <v>46281</v>
      </c>
      <c r="C20" s="20" t="s">
        <v>130</v>
      </c>
      <c r="D20" s="20" t="s">
        <v>106</v>
      </c>
      <c r="E20" s="20" t="s">
        <v>111</v>
      </c>
      <c r="F20" s="20" t="s">
        <v>96</v>
      </c>
      <c r="G20" s="20" t="s">
        <v>104</v>
      </c>
      <c r="H20" s="19" t="n">
        <v>46283</v>
      </c>
      <c r="I20" s="21" t="str">
        <f aca="false">"AGD-"&amp;TEXT(A20,"000")&amp;"/"&amp;MONTH(B20)&amp;"/"&amp;YEAR(B20)</f>
        <v>AGD-019/9/2026</v>
      </c>
      <c r="J20" s="22" t="n">
        <f aca="false">MONTH(B20)</f>
        <v>9</v>
      </c>
      <c r="K20" s="22" t="n">
        <f aca="false">IF(H20="","",H20-B20)</f>
        <v>2</v>
      </c>
      <c r="L20" s="21" t="str">
        <f aca="false">IF(H20="","Belum Dibalas","Selesai")</f>
        <v>Selesai</v>
      </c>
      <c r="M20" s="21" t="str">
        <f aca="false">IF(H20="","-",IF(K20&lt;=$P$2,"Tepat Waktu","Terlambat"))</f>
        <v>Tepat Waktu</v>
      </c>
    </row>
    <row r="21" customFormat="false" ht="15" hidden="false" customHeight="false" outlineLevel="0" collapsed="false">
      <c r="A21" s="18" t="n">
        <v>20</v>
      </c>
      <c r="B21" s="19" t="n">
        <v>46282</v>
      </c>
      <c r="C21" s="20" t="s">
        <v>131</v>
      </c>
      <c r="D21" s="20" t="s">
        <v>127</v>
      </c>
      <c r="E21" s="20" t="s">
        <v>95</v>
      </c>
      <c r="F21" s="20" t="s">
        <v>96</v>
      </c>
      <c r="G21" s="20" t="s">
        <v>104</v>
      </c>
      <c r="H21" s="19" t="n">
        <v>46283</v>
      </c>
      <c r="I21" s="21" t="str">
        <f aca="false">"AGD-"&amp;TEXT(A21,"000")&amp;"/"&amp;MONTH(B21)&amp;"/"&amp;YEAR(B21)</f>
        <v>AGD-020/9/2026</v>
      </c>
      <c r="J21" s="22" t="n">
        <f aca="false">MONTH(B21)</f>
        <v>9</v>
      </c>
      <c r="K21" s="22" t="n">
        <f aca="false">IF(H21="","",H21-B21)</f>
        <v>1</v>
      </c>
      <c r="L21" s="21" t="str">
        <f aca="false">IF(H21="","Belum Dibalas","Selesai")</f>
        <v>Selesai</v>
      </c>
      <c r="M21" s="21" t="str">
        <f aca="false">IF(H21="","-",IF(K21&lt;=$P$2,"Tepat Waktu","Terlambat"))</f>
        <v>Tepat Waktu</v>
      </c>
    </row>
    <row r="22" customFormat="false" ht="15" hidden="false" customHeight="false" outlineLevel="0" collapsed="false">
      <c r="A22" s="18" t="n">
        <v>21</v>
      </c>
      <c r="B22" s="19" t="n">
        <v>46286</v>
      </c>
      <c r="C22" s="20" t="s">
        <v>132</v>
      </c>
      <c r="D22" s="20" t="s">
        <v>124</v>
      </c>
      <c r="E22" s="20" t="s">
        <v>120</v>
      </c>
      <c r="F22" s="20" t="s">
        <v>101</v>
      </c>
      <c r="G22" s="20" t="s">
        <v>104</v>
      </c>
      <c r="H22" s="19" t="n">
        <v>46293</v>
      </c>
      <c r="I22" s="21" t="str">
        <f aca="false">"AGD-"&amp;TEXT(A22,"000")&amp;"/"&amp;MONTH(B22)&amp;"/"&amp;YEAR(B22)</f>
        <v>AGD-021/9/2026</v>
      </c>
      <c r="J22" s="22" t="n">
        <f aca="false">MONTH(B22)</f>
        <v>9</v>
      </c>
      <c r="K22" s="22" t="n">
        <f aca="false">IF(H22="","",H22-B22)</f>
        <v>7</v>
      </c>
      <c r="L22" s="21" t="str">
        <f aca="false">IF(H22="","Belum Dibalas","Selesai")</f>
        <v>Selesai</v>
      </c>
      <c r="M22" s="21" t="str">
        <f aca="false">IF(H22="","-",IF(K22&lt;=$P$2,"Tepat Waktu","Terlambat"))</f>
        <v>Terlambat</v>
      </c>
    </row>
    <row r="23" customFormat="false" ht="15" hidden="false" customHeight="false" outlineLevel="0" collapsed="false">
      <c r="A23" s="18" t="n">
        <v>22</v>
      </c>
      <c r="B23" s="19" t="n">
        <v>46290</v>
      </c>
      <c r="C23" s="20" t="s">
        <v>133</v>
      </c>
      <c r="D23" s="20" t="s">
        <v>113</v>
      </c>
      <c r="E23" s="20" t="s">
        <v>103</v>
      </c>
      <c r="F23" s="20" t="s">
        <v>96</v>
      </c>
      <c r="G23" s="20" t="s">
        <v>97</v>
      </c>
      <c r="H23" s="19" t="n">
        <v>46298</v>
      </c>
      <c r="I23" s="21" t="str">
        <f aca="false">"AGD-"&amp;TEXT(A23,"000")&amp;"/"&amp;MONTH(B23)&amp;"/"&amp;YEAR(B23)</f>
        <v>AGD-022/9/2026</v>
      </c>
      <c r="J23" s="22" t="n">
        <f aca="false">MONTH(B23)</f>
        <v>9</v>
      </c>
      <c r="K23" s="22" t="n">
        <f aca="false">IF(H23="","",H23-B23)</f>
        <v>8</v>
      </c>
      <c r="L23" s="21" t="str">
        <f aca="false">IF(H23="","Belum Dibalas","Selesai")</f>
        <v>Selesai</v>
      </c>
      <c r="M23" s="21" t="str">
        <f aca="false">IF(H23="","-",IF(K23&lt;=$P$2,"Tepat Waktu","Terlambat"))</f>
        <v>Terlambat</v>
      </c>
    </row>
    <row r="24" customFormat="false" ht="15" hidden="false" customHeight="false" outlineLevel="0" collapsed="false">
      <c r="A24" s="18" t="n">
        <v>23</v>
      </c>
      <c r="B24" s="19" t="n">
        <v>46293</v>
      </c>
      <c r="C24" s="20" t="s">
        <v>134</v>
      </c>
      <c r="D24" s="20" t="s">
        <v>113</v>
      </c>
      <c r="E24" s="20" t="s">
        <v>107</v>
      </c>
      <c r="F24" s="20" t="s">
        <v>85</v>
      </c>
      <c r="G24" s="20" t="s">
        <v>86</v>
      </c>
      <c r="H24" s="19"/>
      <c r="I24" s="21" t="str">
        <f aca="false">"AGD-"&amp;TEXT(A24,"000")&amp;"/"&amp;MONTH(B24)&amp;"/"&amp;YEAR(B24)</f>
        <v>AGD-023/9/2026</v>
      </c>
      <c r="J24" s="22" t="n">
        <f aca="false">MONTH(B24)</f>
        <v>9</v>
      </c>
      <c r="K24" s="22" t="str">
        <f aca="false">IF(H24="","",H24-B24)</f>
        <v/>
      </c>
      <c r="L24" s="21" t="str">
        <f aca="false">IF(H24="","Belum Dibalas","Selesai")</f>
        <v>Belum Dibalas</v>
      </c>
      <c r="M24" s="21" t="str">
        <f aca="false">IF(H24="","-",IF(K24&lt;=$P$2,"Tepat Waktu","Terlambat"))</f>
        <v>-</v>
      </c>
    </row>
    <row r="25" customFormat="false" ht="15" hidden="false" customHeight="false" outlineLevel="0" collapsed="false">
      <c r="A25" s="18" t="n">
        <v>24</v>
      </c>
      <c r="B25" s="19" t="n">
        <v>46296</v>
      </c>
      <c r="C25" s="20" t="s">
        <v>135</v>
      </c>
      <c r="D25" s="20" t="s">
        <v>83</v>
      </c>
      <c r="E25" s="20" t="s">
        <v>100</v>
      </c>
      <c r="F25" s="20" t="s">
        <v>101</v>
      </c>
      <c r="G25" s="20" t="s">
        <v>86</v>
      </c>
      <c r="H25" s="19"/>
      <c r="I25" s="21" t="str">
        <f aca="false">"AGD-"&amp;TEXT(A25,"000")&amp;"/"&amp;MONTH(B25)&amp;"/"&amp;YEAR(B25)</f>
        <v>AGD-024/10/2026</v>
      </c>
      <c r="J25" s="22" t="n">
        <f aca="false">MONTH(B25)</f>
        <v>10</v>
      </c>
      <c r="K25" s="22" t="str">
        <f aca="false">IF(H25="","",H25-B25)</f>
        <v/>
      </c>
      <c r="L25" s="21" t="str">
        <f aca="false">IF(H25="","Belum Dibalas","Selesai")</f>
        <v>Belum Dibalas</v>
      </c>
      <c r="M25" s="21" t="str">
        <f aca="false">IF(H25="","-",IF(K25&lt;=$P$2,"Tepat Waktu","Terlambat"))</f>
        <v>-</v>
      </c>
    </row>
    <row r="26" customFormat="false" ht="15" hidden="false" customHeight="false" outlineLevel="0" collapsed="false">
      <c r="A26" s="18" t="n">
        <v>25</v>
      </c>
      <c r="B26" s="19" t="n">
        <v>46304</v>
      </c>
      <c r="C26" s="20" t="s">
        <v>136</v>
      </c>
      <c r="D26" s="20" t="s">
        <v>119</v>
      </c>
      <c r="E26" s="20" t="s">
        <v>137</v>
      </c>
      <c r="F26" s="20" t="s">
        <v>85</v>
      </c>
      <c r="G26" s="20" t="s">
        <v>86</v>
      </c>
      <c r="H26" s="19"/>
      <c r="I26" s="21" t="str">
        <f aca="false">"AGD-"&amp;TEXT(A26,"000")&amp;"/"&amp;MONTH(B26)&amp;"/"&amp;YEAR(B26)</f>
        <v>AGD-025/10/2026</v>
      </c>
      <c r="J26" s="22" t="n">
        <f aca="false">MONTH(B26)</f>
        <v>10</v>
      </c>
      <c r="K26" s="22" t="str">
        <f aca="false">IF(H26="","",H26-B26)</f>
        <v/>
      </c>
      <c r="L26" s="21" t="str">
        <f aca="false">IF(H26="","Belum Dibalas","Selesai")</f>
        <v>Belum Dibalas</v>
      </c>
      <c r="M26" s="21" t="str">
        <f aca="false">IF(H26="","-",IF(K26&lt;=$P$2,"Tepat Waktu","Terlambat"))</f>
        <v>-</v>
      </c>
    </row>
    <row r="27" customFormat="false" ht="15" hidden="false" customHeight="false" outlineLevel="0" collapsed="false">
      <c r="A27" s="18" t="n">
        <v>26</v>
      </c>
      <c r="B27" s="19" t="n">
        <v>46307</v>
      </c>
      <c r="C27" s="20" t="s">
        <v>138</v>
      </c>
      <c r="D27" s="20" t="s">
        <v>106</v>
      </c>
      <c r="E27" s="20" t="s">
        <v>139</v>
      </c>
      <c r="F27" s="20" t="s">
        <v>92</v>
      </c>
      <c r="G27" s="20" t="s">
        <v>86</v>
      </c>
      <c r="H27" s="19"/>
      <c r="I27" s="21" t="str">
        <f aca="false">"AGD-"&amp;TEXT(A27,"000")&amp;"/"&amp;MONTH(B27)&amp;"/"&amp;YEAR(B27)</f>
        <v>AGD-026/10/2026</v>
      </c>
      <c r="J27" s="22" t="n">
        <f aca="false">MONTH(B27)</f>
        <v>10</v>
      </c>
      <c r="K27" s="22" t="str">
        <f aca="false">IF(H27="","",H27-B27)</f>
        <v/>
      </c>
      <c r="L27" s="21" t="str">
        <f aca="false">IF(H27="","Belum Dibalas","Selesai")</f>
        <v>Belum Dibalas</v>
      </c>
      <c r="M27" s="21" t="str">
        <f aca="false">IF(H27="","-",IF(K27&lt;=$P$2,"Tepat Waktu","Terlambat"))</f>
        <v>-</v>
      </c>
    </row>
    <row r="28" customFormat="false" ht="15" hidden="false" customHeight="false" outlineLevel="0" collapsed="false">
      <c r="A28" s="18" t="n">
        <v>27</v>
      </c>
      <c r="B28" s="19" t="n">
        <v>46308</v>
      </c>
      <c r="C28" s="20" t="s">
        <v>140</v>
      </c>
      <c r="D28" s="20" t="s">
        <v>83</v>
      </c>
      <c r="E28" s="20" t="s">
        <v>122</v>
      </c>
      <c r="F28" s="20" t="s">
        <v>101</v>
      </c>
      <c r="G28" s="20" t="s">
        <v>86</v>
      </c>
      <c r="H28" s="19" t="n">
        <v>46317</v>
      </c>
      <c r="I28" s="21" t="str">
        <f aca="false">"AGD-"&amp;TEXT(A28,"000")&amp;"/"&amp;MONTH(B28)&amp;"/"&amp;YEAR(B28)</f>
        <v>AGD-027/10/2026</v>
      </c>
      <c r="J28" s="22" t="n">
        <f aca="false">MONTH(B28)</f>
        <v>10</v>
      </c>
      <c r="K28" s="22" t="n">
        <f aca="false">IF(H28="","",H28-B28)</f>
        <v>9</v>
      </c>
      <c r="L28" s="21" t="str">
        <f aca="false">IF(H28="","Belum Dibalas","Selesai")</f>
        <v>Selesai</v>
      </c>
      <c r="M28" s="21" t="str">
        <f aca="false">IF(H28="","-",IF(K28&lt;=$P$2,"Tepat Waktu","Terlambat"))</f>
        <v>Terlambat</v>
      </c>
    </row>
    <row r="29" customFormat="false" ht="15" hidden="false" customHeight="false" outlineLevel="0" collapsed="false">
      <c r="A29" s="18" t="n">
        <v>28</v>
      </c>
      <c r="B29" s="19" t="n">
        <v>46314</v>
      </c>
      <c r="C29" s="20" t="s">
        <v>141</v>
      </c>
      <c r="D29" s="20" t="s">
        <v>110</v>
      </c>
      <c r="E29" s="20" t="s">
        <v>139</v>
      </c>
      <c r="F29" s="20" t="s">
        <v>92</v>
      </c>
      <c r="G29" s="20" t="s">
        <v>104</v>
      </c>
      <c r="H29" s="19" t="n">
        <v>46318</v>
      </c>
      <c r="I29" s="21" t="str">
        <f aca="false">"AGD-"&amp;TEXT(A29,"000")&amp;"/"&amp;MONTH(B29)&amp;"/"&amp;YEAR(B29)</f>
        <v>AGD-028/10/2026</v>
      </c>
      <c r="J29" s="22" t="n">
        <f aca="false">MONTH(B29)</f>
        <v>10</v>
      </c>
      <c r="K29" s="22" t="n">
        <f aca="false">IF(H29="","",H29-B29)</f>
        <v>4</v>
      </c>
      <c r="L29" s="21" t="str">
        <f aca="false">IF(H29="","Belum Dibalas","Selesai")</f>
        <v>Selesai</v>
      </c>
      <c r="M29" s="21" t="str">
        <f aca="false">IF(H29="","-",IF(K29&lt;=$P$2,"Tepat Waktu","Terlambat"))</f>
        <v>Tepat Waktu</v>
      </c>
    </row>
    <row r="30" customFormat="false" ht="15" hidden="false" customHeight="false" outlineLevel="0" collapsed="false">
      <c r="A30" s="18" t="n">
        <v>29</v>
      </c>
      <c r="B30" s="19" t="n">
        <v>46316</v>
      </c>
      <c r="C30" s="20" t="s">
        <v>142</v>
      </c>
      <c r="D30" s="20" t="s">
        <v>83</v>
      </c>
      <c r="E30" s="20" t="s">
        <v>103</v>
      </c>
      <c r="F30" s="20" t="s">
        <v>96</v>
      </c>
      <c r="G30" s="20" t="s">
        <v>104</v>
      </c>
      <c r="H30" s="19" t="n">
        <v>46322</v>
      </c>
      <c r="I30" s="21" t="str">
        <f aca="false">"AGD-"&amp;TEXT(A30,"000")&amp;"/"&amp;MONTH(B30)&amp;"/"&amp;YEAR(B30)</f>
        <v>AGD-029/10/2026</v>
      </c>
      <c r="J30" s="22" t="n">
        <f aca="false">MONTH(B30)</f>
        <v>10</v>
      </c>
      <c r="K30" s="22" t="n">
        <f aca="false">IF(H30="","",H30-B30)</f>
        <v>6</v>
      </c>
      <c r="L30" s="21" t="str">
        <f aca="false">IF(H30="","Belum Dibalas","Selesai")</f>
        <v>Selesai</v>
      </c>
      <c r="M30" s="21" t="str">
        <f aca="false">IF(H30="","-",IF(K30&lt;=$P$2,"Tepat Waktu","Terlambat"))</f>
        <v>Terlambat</v>
      </c>
    </row>
    <row r="31" customFormat="false" ht="15" hidden="false" customHeight="false" outlineLevel="0" collapsed="false">
      <c r="A31" s="18" t="n">
        <v>30</v>
      </c>
      <c r="B31" s="19" t="n">
        <v>46322</v>
      </c>
      <c r="C31" s="20" t="s">
        <v>143</v>
      </c>
      <c r="D31" s="20" t="s">
        <v>115</v>
      </c>
      <c r="E31" s="20" t="s">
        <v>95</v>
      </c>
      <c r="F31" s="20" t="s">
        <v>96</v>
      </c>
      <c r="G31" s="20" t="s">
        <v>86</v>
      </c>
      <c r="H31" s="19"/>
      <c r="I31" s="21" t="str">
        <f aca="false">"AGD-"&amp;TEXT(A31,"000")&amp;"/"&amp;MONTH(B31)&amp;"/"&amp;YEAR(B31)</f>
        <v>AGD-030/10/2026</v>
      </c>
      <c r="J31" s="22" t="n">
        <f aca="false">MONTH(B31)</f>
        <v>10</v>
      </c>
      <c r="K31" s="22" t="str">
        <f aca="false">IF(H31="","",H31-B31)</f>
        <v/>
      </c>
      <c r="L31" s="21" t="str">
        <f aca="false">IF(H31="","Belum Dibalas","Selesai")</f>
        <v>Belum Dibalas</v>
      </c>
      <c r="M31" s="21" t="str">
        <f aca="false">IF(H31="","-",IF(K31&lt;=$P$2,"Tepat Waktu","Terlambat"))</f>
        <v>-</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144</v>
      </c>
      <c r="B1" s="26"/>
      <c r="C1" s="26"/>
      <c r="D1" s="26"/>
    </row>
    <row r="2" customFormat="false" ht="15" hidden="false" customHeight="false" outlineLevel="0" collapsed="false">
      <c r="A2" s="27" t="s">
        <v>145</v>
      </c>
      <c r="B2" s="27"/>
      <c r="C2" s="27"/>
      <c r="D2" s="27"/>
    </row>
    <row r="3" customFormat="false" ht="15" hidden="false" customHeight="false" outlineLevel="0" collapsed="false">
      <c r="A3" s="12" t="s">
        <v>19</v>
      </c>
      <c r="B3" s="12" t="s">
        <v>146</v>
      </c>
      <c r="C3" s="12" t="s">
        <v>147</v>
      </c>
      <c r="D3" s="12" t="s">
        <v>148</v>
      </c>
    </row>
    <row r="4" customFormat="false" ht="19.5" hidden="false" customHeight="true" outlineLevel="0" collapsed="false">
      <c r="A4" s="28" t="s">
        <v>149</v>
      </c>
      <c r="B4" s="29" t="s">
        <v>150</v>
      </c>
      <c r="C4" s="22" t="n">
        <f aca="false">COUNTIF(Data!$F$2:$F$31,"Undangan")</f>
        <v>5</v>
      </c>
      <c r="D4" s="25" t="s">
        <v>151</v>
      </c>
    </row>
    <row r="5" customFormat="false" ht="19.5" hidden="false" customHeight="true" outlineLevel="0" collapsed="false">
      <c r="A5" s="28" t="s">
        <v>152</v>
      </c>
      <c r="B5" s="29" t="s">
        <v>153</v>
      </c>
      <c r="C5" s="22" t="n">
        <f aca="false">COUNTIF(Data!$F$2:$F$31,"Permohonan")</f>
        <v>12</v>
      </c>
      <c r="D5" s="25" t="s">
        <v>151</v>
      </c>
    </row>
    <row r="6" customFormat="false" ht="19.5" hidden="false" customHeight="true" outlineLevel="0" collapsed="false">
      <c r="A6" s="28" t="s">
        <v>154</v>
      </c>
      <c r="B6" s="29" t="s">
        <v>155</v>
      </c>
      <c r="C6" s="22" t="n">
        <f aca="false">COUNTIF(Data!$F$2:$F$31,"Pemberitahuan")</f>
        <v>8</v>
      </c>
      <c r="D6" s="25" t="s">
        <v>151</v>
      </c>
    </row>
    <row r="7" customFormat="false" ht="19.5" hidden="false" customHeight="true" outlineLevel="0" collapsed="false">
      <c r="A7" s="28" t="s">
        <v>156</v>
      </c>
      <c r="B7" s="29" t="s">
        <v>157</v>
      </c>
      <c r="C7" s="22" t="n">
        <f aca="false">COUNTIF(Data!$F$2:$F$31,"Penawaran")</f>
        <v>5</v>
      </c>
      <c r="D7" s="25" t="s">
        <v>151</v>
      </c>
    </row>
    <row r="8" customFormat="false" ht="19.5" hidden="false" customHeight="true" outlineLevel="0" collapsed="false">
      <c r="A8" s="28" t="s">
        <v>158</v>
      </c>
      <c r="B8" s="29" t="s">
        <v>159</v>
      </c>
      <c r="C8" s="22" t="n">
        <f aca="false">COUNTIF(Data!$J$2:$J$31,8)</f>
        <v>11</v>
      </c>
      <c r="D8" s="25" t="s">
        <v>160</v>
      </c>
    </row>
    <row r="9" customFormat="false" ht="19.5" hidden="false" customHeight="true" outlineLevel="0" collapsed="false">
      <c r="A9" s="28" t="s">
        <v>161</v>
      </c>
      <c r="B9" s="29" t="s">
        <v>162</v>
      </c>
      <c r="C9" s="22" t="n">
        <f aca="false">COUNTIF(Data!$J$2:$J$31,9)</f>
        <v>12</v>
      </c>
      <c r="D9" s="25" t="s">
        <v>160</v>
      </c>
    </row>
    <row r="10" customFormat="false" ht="19.5" hidden="false" customHeight="true" outlineLevel="0" collapsed="false">
      <c r="A10" s="28" t="s">
        <v>163</v>
      </c>
      <c r="B10" s="29" t="s">
        <v>164</v>
      </c>
      <c r="C10" s="22" t="n">
        <f aca="false">COUNTIF(Data!$J$2:$J$31,10)</f>
        <v>7</v>
      </c>
      <c r="D10" s="25" t="s">
        <v>160</v>
      </c>
    </row>
    <row r="11" customFormat="false" ht="19.5" hidden="false" customHeight="true" outlineLevel="0" collapsed="false">
      <c r="A11" s="28" t="s">
        <v>51</v>
      </c>
      <c r="B11" s="29" t="s">
        <v>165</v>
      </c>
      <c r="C11" s="22" t="n">
        <f aca="false">COUNTIF(Data!$L$2:$L$31,"Belum Dibalas")</f>
        <v>6</v>
      </c>
      <c r="D11" s="25" t="s">
        <v>166</v>
      </c>
    </row>
    <row r="12" customFormat="false" ht="19.5" hidden="false" customHeight="true" outlineLevel="0" collapsed="false">
      <c r="A12" s="28" t="s">
        <v>55</v>
      </c>
      <c r="B12" s="29" t="s">
        <v>167</v>
      </c>
      <c r="C12" s="30" t="n">
        <f aca="false">AVERAGE(Data!$K$2:$K$31)</f>
        <v>4.29166666666667</v>
      </c>
      <c r="D12" s="25" t="s">
        <v>168</v>
      </c>
    </row>
    <row r="13" customFormat="false" ht="19.5" hidden="false" customHeight="true" outlineLevel="0" collapsed="false">
      <c r="A13" s="28" t="s">
        <v>59</v>
      </c>
      <c r="B13" s="29" t="s">
        <v>169</v>
      </c>
      <c r="C13" s="22" t="n">
        <f aca="false">COUNTIFS(Data!$G$2:$G$31,"Penting",Data!$M$2:$M$31,"Terlambat")</f>
        <v>3</v>
      </c>
      <c r="D13" s="25" t="s">
        <v>170</v>
      </c>
    </row>
    <row r="14" customFormat="false" ht="19.5" hidden="false" customHeight="true" outlineLevel="0" collapsed="false">
      <c r="A14" s="28" t="s">
        <v>63</v>
      </c>
      <c r="B14" s="29" t="s">
        <v>171</v>
      </c>
      <c r="C14" s="21" t="str">
        <f aca="false">INDEX(Data!$D$2:$D$31,MATCH(MAX(Data!$K$2:$K$31),Data!$K$2:$K$31,0))</f>
        <v>Koperasi Tani Makmur</v>
      </c>
      <c r="D14" s="25" t="s">
        <v>172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2026-10-10T06:49:16Z</dcterms:created>
  <dc:creator>PushExcel</dc:creator>
  <dc:description/>
  <dc:language>en-US</dc:language>
  <cp:lastModifiedBy/>
  <dcterms:modified xsi:type="dcterms:W3CDTF">2026-10-10T06:49:16Z</dcterms:modified>
  <cp:revision>0</cp:revision>
  <dc:subject/>
  <dc:title>Buku Agenda Surat Masuk - Kunci</dc:title>
</cp:coreProperties>
</file>

<file path=docProps/custom.xml><?xml version="1.0" encoding="utf-8"?>
<Properties xmlns="http://schemas.openxmlformats.org/officeDocument/2006/custom-properties" xmlns:vt="http://schemas.openxmlformats.org/officeDocument/2006/docPropsVTypes"/>
</file>