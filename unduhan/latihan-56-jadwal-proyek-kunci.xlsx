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<sst xmlns="http://schemas.openxmlformats.org/spreadsheetml/2006/main" count="246" uniqueCount="207">
  <si>
    <t xml:space="preserve">Kunci Jawaban: Jadwal dan Biaya Proyek Renovasi</t>
  </si>
  <si>
    <t xml:space="preserve">Latihan 56 dari 56  |  Tingkat: Lanjutan  |  Perkiraan waktu: 70 menit  |  pushexcel.github.io/Pushexcel</t>
  </si>
  <si>
    <t xml:space="preserve">Skenario</t>
  </si>
  <si>
    <t xml:space="preserve">Kamu pengendali proyek CV Bangun Karya yang merenovasi sebuah gedung dalam tiga fase. Setiap tugas punya tanggal mulai rencana, durasi rencana (hari kerja), tanggal mulai dan selesai aktual, serta biaya rencana dan aktual. Hari kerja adalah Senin sampai Jumat tanpa libur nasional. Selisih durasi adalah durasi aktual (hari kerja) dikurangi durasi rencana. Status jadwal: Lebih Cepat bila selisih negatif, Tepat Waktu bila 0, Terlambat Ringan bila selisih tidak lebih dari toleransi, dan Terlambat Berat bila lebih dari toleransi. Status biaya Overbudget bila selisih biaya sama dengan atau lebih dari 10 persen biaya rencana, selain itu Terkendali (toleransi dan batas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</si>
  <si>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</si>
  <si>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</si>
  <si>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</si>
  <si>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</si>
  <si>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</si>
  <si>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</si>
  <si>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</si>
  <si>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</si>
  <si>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</si>
  <si>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</si>
  <si>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</si>
  <si>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</si>
  <si>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</si>
  <si>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</si>
  <si>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</si>
  <si>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</si>
  <si>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</si>
  <si>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</si>
  <si>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</si>
  <si>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</si>
  <si>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tanggal selesai rencana: tanggal mulai rencana ditambah durasi rencana dalam hari kerja (hari mulai ikut dihitung, jadi durasi dikurangi 1).</t>
  </si>
  <si>
    <t xml:space="preserve">Sheet Data, kolom K (Selesai Rencana), baris 2 sampai 21</t>
  </si>
  <si>
    <t xml:space="preserve">=WORKDAY(E2;F2-1)</t>
  </si>
  <si>
    <t xml:space="preserve">2</t>
  </si>
  <si>
    <t xml:space="preserve">Hitung durasi aktual dalam hari kerja dari mulai aktual sampai selesai aktual (kedua hari dihitung).</t>
  </si>
  <si>
    <t xml:space="preserve">Sheet Data, kolom L (Durasi Aktual), baris 2 sampai 21</t>
  </si>
  <si>
    <t xml:space="preserve">=NETWORKDAYS(G2;H2)</t>
  </si>
  <si>
    <t xml:space="preserve">3</t>
  </si>
  <si>
    <t xml:space="preserve">Hitung selisih durasi: durasi aktual dikurangi durasi rencana. Boleh negatif.</t>
  </si>
  <si>
    <t xml:space="preserve">Sheet Data, kolom M (Selisih Durasi), baris 2 sampai 21</t>
  </si>
  <si>
    <t xml:space="preserve">=L2-F2</t>
  </si>
  <si>
    <t xml:space="preserve">4</t>
  </si>
  <si>
    <t xml:space="preserve">Beri status: Lebih Cepat bila selisih negatif, Tepat Waktu bila 0, Terlambat Ringan bila tidak lebih dari toleransi, selain itu Terlambat Berat.</t>
  </si>
  <si>
    <t xml:space="preserve">Sheet Data, kolom N (Status Jadwal), baris 2 sampai 21</t>
  </si>
  <si>
    <t xml:space="preserve">=IF(M2&lt;0;"Lebih Cepat";IF(M2=0;"Tepat Waktu";IF(M2&lt;=$T$2;"Terlambat Ringan";"Terlambat Berat")))</t>
  </si>
  <si>
    <t xml:space="preserve">5</t>
  </si>
  <si>
    <t xml:space="preserve">Hitung selisih biaya: biaya aktual dikurangi biaya rencana. Boleh negatif.</t>
  </si>
  <si>
    <t xml:space="preserve">Sheet Data, kolom O (Selisih Biaya), baris 2 sampai 21</t>
  </si>
  <si>
    <t xml:space="preserve">=J2-I2</t>
  </si>
  <si>
    <t xml:space="preserve">6</t>
  </si>
  <si>
    <t xml:space="preserve">Hitung persen selisih biaya terhadap biaya rencana.</t>
  </si>
  <si>
    <t xml:space="preserve">Sheet Data, kolom P (Persen Selisih Biaya), baris 2 sampai 21</t>
  </si>
  <si>
    <t xml:space="preserve">=O2/I2</t>
  </si>
  <si>
    <t xml:space="preserve">7</t>
  </si>
  <si>
    <t xml:space="preserve">Beri status Overbudget bila persen selisih biaya sama dengan atau lebih dari batas overbudget. Selain itu Terkendali.</t>
  </si>
  <si>
    <t xml:space="preserve">Sheet Data, kolom Q (Status Biaya), baris 2 sampai 21</t>
  </si>
  <si>
    <t xml:space="preserve">=IF(P2&gt;=$T$3;"Overbudget";"Terkendali")</t>
  </si>
  <si>
    <t xml:space="preserve">8</t>
  </si>
  <si>
    <t xml:space="preserve">Pada sheet Acuan, hitung jumlah tugas tiap fase.</t>
  </si>
  <si>
    <t xml:space="preserve">Sheet Acuan, kolom B (Jumlah Tugas), baris 2 sampai 4</t>
  </si>
  <si>
    <t xml:space="preserve">=COUNTIF(Data!$D$2:$D$21;A2)</t>
  </si>
  <si>
    <t xml:space="preserve">9</t>
  </si>
  <si>
    <t xml:space="preserve">Pada sheet Acuan, hitung total biaya rencana tiap fase.</t>
  </si>
  <si>
    <t xml:space="preserve">Sheet Acuan, kolom C (Total Biaya Rencana), baris 2 sampai 4</t>
  </si>
  <si>
    <t xml:space="preserve">=SUMIF(Data!$D$2:$D$21;A2;Data!$I$2:$I$21)</t>
  </si>
  <si>
    <t xml:space="preserve">10</t>
  </si>
  <si>
    <t xml:space="preserve">Pada sheet Acuan, hitung total biaya aktual tiap fase.</t>
  </si>
  <si>
    <t xml:space="preserve">Sheet Acuan, kolom D (Total Biaya Aktual), baris 2 sampai 4</t>
  </si>
  <si>
    <t xml:space="preserve">=SUMIF(Data!$D$2:$D$21;A2;Data!$J$2:$J$21)</t>
  </si>
  <si>
    <t xml:space="preserve">11</t>
  </si>
  <si>
    <t xml:space="preserve">Pada sheet Acuan, hitung persen selisih biaya tiap fase: (aktual dikurangi rencana) dibagi rencana.</t>
  </si>
  <si>
    <t xml:space="preserve">Sheet Acuan, kolom E (Persen Selisih Fase), baris 2 sampai 4</t>
  </si>
  <si>
    <t xml:space="preserve">=(D2-C2)/C2</t>
  </si>
  <si>
    <t xml:space="preserve">12</t>
  </si>
  <si>
    <t xml:space="preserve">Berapa total biaya rencana, total biaya aktual, dan selisih totalnya, dan berapa persen selisih itu terhadap rencana?</t>
  </si>
  <si>
    <t xml:space="preserve">Sheet Ringkasan, sel C4 sampai C7</t>
  </si>
  <si>
    <t xml:space="preserve">=SUM(Data!$I$2:$I$21)
=SUM(Data!$J$2:$J$21)
=C5-C4
=(C5-C4)/C4</t>
  </si>
  <si>
    <t xml:space="preserve">13</t>
  </si>
  <si>
    <t xml:space="preserve">Berapa tugas yang Lebih Cepat, yang Tepat Waktu, dan yang terlambat (ringan maupun berat)?</t>
  </si>
  <si>
    <t xml:space="preserve">Sheet Ringkasan, sel C8 sampai C10</t>
  </si>
  <si>
    <t xml:space="preserve">=COUNTIF(Data!$N$2:$N$21;"Lebih Cepat")
=COUNTIF(Data!$N$2:$N$21;"Tepat Waktu")
=COUNTIF(Data!$N$2:$N$21;"Terlambat Ringan")+COUNTIF(Data!$N$2:$N$21;"Terlambat Berat")</t>
  </si>
  <si>
    <t xml:space="preserve">14</t>
  </si>
  <si>
    <t xml:space="preserve">Tugas apa yang selisih durasinya terbesar, dan fase apa yang persen selisih biayanya terbesar?</t>
  </si>
  <si>
    <t xml:space="preserve">Sheet Ringkasan, sel C11 sampai C12</t>
  </si>
  <si>
    <t xml:space="preserve">=INDEX(Data!$B$2:$B$21;MATCH(MAX(Data!$M$2:$M$21);Data!$M$2:$M$21;0))
=INDEX(Acuan!$A$2:$A$4;MATCH(MAX(Acuan!$E$2:$E$4);Acuan!$E$2:$E$4;0))</t>
  </si>
  <si>
    <t xml:space="preserve">15</t>
  </si>
  <si>
    <t xml:space="preserve">Kapan tanggal mulai aktual paling awal dan tanggal selesai aktual paling akhir, dan berapa total hari kerja aktual seluruh tugas?</t>
  </si>
  <si>
    <t xml:space="preserve">Sheet Ringkasan, sel C13 sampai C15</t>
  </si>
  <si>
    <t xml:space="preserve">=MIN(Data!$G$2:$G$21)
=MAX(Data!$H$2:$H$21)
=SUM(Data!$L$2:$L$21)</t>
  </si>
  <si>
    <t xml:space="preserve">16</t>
  </si>
  <si>
    <t xml:space="preserve">Berapa tugas fase Pelaksanaan yang Overbudget, dan berapa total selisih durasi tugas yang dipegang Dimas Kurniawan?</t>
  </si>
  <si>
    <t xml:space="preserve">Sheet Ringkasan, sel C16 sampai C17</t>
  </si>
  <si>
    <t xml:space="preserve">=COUNTIFS(Data!$D$2:$D$21;"Pelaksanaan";Data!$Q$2:$Q$21;"Overbudget")
=SUMIF(Data!$C$2:$C$21;"Dimas Kurniawan";Data!$M$2:$M$21)</t>
  </si>
  <si>
    <t xml:space="preserve">ID</t>
  </si>
  <si>
    <t xml:space="preserve">Tugas</t>
  </si>
  <si>
    <t xml:space="preserve">Penanggung Jawab</t>
  </si>
  <si>
    <t xml:space="preserve">Fase</t>
  </si>
  <si>
    <t xml:space="preserve">Mulai Rencana</t>
  </si>
  <si>
    <t xml:space="preserve">Durasi Rencana</t>
  </si>
  <si>
    <t xml:space="preserve">Mulai Aktual</t>
  </si>
  <si>
    <t xml:space="preserve">Selesai Aktual</t>
  </si>
  <si>
    <t xml:space="preserve">Biaya Rencana</t>
  </si>
  <si>
    <t xml:space="preserve">Biaya Aktual</t>
  </si>
  <si>
    <t xml:space="preserve">Selesai Rencana</t>
  </si>
  <si>
    <t xml:space="preserve">Durasi Aktual</t>
  </si>
  <si>
    <t xml:space="preserve">Selisih Durasi</t>
  </si>
  <si>
    <t xml:space="preserve">Status Jadwal</t>
  </si>
  <si>
    <t xml:space="preserve">Selisih Biaya</t>
  </si>
  <si>
    <t xml:space="preserve">Persen Selisih Biaya</t>
  </si>
  <si>
    <t xml:space="preserve">Status Biaya</t>
  </si>
  <si>
    <t xml:space="preserve">Parameter</t>
  </si>
  <si>
    <t xml:space="preserve">Nilai</t>
  </si>
  <si>
    <t xml:space="preserve">Keterangan</t>
  </si>
  <si>
    <t xml:space="preserve">T-01</t>
  </si>
  <si>
    <t xml:space="preserve">Survei lokasi</t>
  </si>
  <si>
    <t xml:space="preserve">Dimas Kurniawan</t>
  </si>
  <si>
    <t xml:space="preserve">Persiapan</t>
  </si>
  <si>
    <t xml:space="preserve">Toleransi keterlambatan (hari kerja)</t>
  </si>
  <si>
    <t xml:space="preserve">T-02</t>
  </si>
  <si>
    <t xml:space="preserve">Perizinan</t>
  </si>
  <si>
    <t xml:space="preserve">Wahyu Syahputra</t>
  </si>
  <si>
    <t xml:space="preserve">Batas overbudget</t>
  </si>
  <si>
    <t xml:space="preserve">Persen selisih biaya terhadap biaya rencana</t>
  </si>
  <si>
    <t xml:space="preserve">T-03</t>
  </si>
  <si>
    <t xml:space="preserve">Desain gambar kerja</t>
  </si>
  <si>
    <t xml:space="preserve">T-04</t>
  </si>
  <si>
    <t xml:space="preserve">Pengadaan material</t>
  </si>
  <si>
    <t xml:space="preserve">T-05</t>
  </si>
  <si>
    <t xml:space="preserve">Rekrut tenaga kerja</t>
  </si>
  <si>
    <t xml:space="preserve">T-06</t>
  </si>
  <si>
    <t xml:space="preserve">Pondasi</t>
  </si>
  <si>
    <t xml:space="preserve">Dian Fauzi</t>
  </si>
  <si>
    <t xml:space="preserve">Pelaksanaan</t>
  </si>
  <si>
    <t xml:space="preserve">T-07</t>
  </si>
  <si>
    <t xml:space="preserve">Struktur lantai 1</t>
  </si>
  <si>
    <t xml:space="preserve">Maman Purnomo</t>
  </si>
  <si>
    <t xml:space="preserve">T-08</t>
  </si>
  <si>
    <t xml:space="preserve">Struktur lantai 2</t>
  </si>
  <si>
    <t xml:space="preserve">T-09</t>
  </si>
  <si>
    <t xml:space="preserve">Dinding dan plesteran</t>
  </si>
  <si>
    <t xml:space="preserve">T-10</t>
  </si>
  <si>
    <t xml:space="preserve">Atap</t>
  </si>
  <si>
    <t xml:space="preserve">Mulyadi Nugroho</t>
  </si>
  <si>
    <t xml:space="preserve">T-11</t>
  </si>
  <si>
    <t xml:space="preserve">Instalasi listrik</t>
  </si>
  <si>
    <t xml:space="preserve">T-12</t>
  </si>
  <si>
    <t xml:space="preserve">Instalasi air</t>
  </si>
  <si>
    <t xml:space="preserve">T-13</t>
  </si>
  <si>
    <t xml:space="preserve">Plafon</t>
  </si>
  <si>
    <t xml:space="preserve">T-14</t>
  </si>
  <si>
    <t xml:space="preserve">Keramik lantai</t>
  </si>
  <si>
    <t xml:space="preserve">T-15</t>
  </si>
  <si>
    <t xml:space="preserve">Pengecatan</t>
  </si>
  <si>
    <t xml:space="preserve">T-16</t>
  </si>
  <si>
    <t xml:space="preserve">Pembersihan area</t>
  </si>
  <si>
    <t xml:space="preserve">Penutupan</t>
  </si>
  <si>
    <t xml:space="preserve">T-17</t>
  </si>
  <si>
    <t xml:space="preserve">Uji fungsi instalasi</t>
  </si>
  <si>
    <t xml:space="preserve">T-18</t>
  </si>
  <si>
    <t xml:space="preserve">Pemeriksaan akhir</t>
  </si>
  <si>
    <t xml:space="preserve">T-19</t>
  </si>
  <si>
    <t xml:space="preserve">Perbaikan catatan</t>
  </si>
  <si>
    <t xml:space="preserve">T-20</t>
  </si>
  <si>
    <t xml:space="preserve">Serah terima</t>
  </si>
  <si>
    <t xml:space="preserve">Jumlah Tugas</t>
  </si>
  <si>
    <t xml:space="preserve">Total Biaya Rencana</t>
  </si>
  <si>
    <t xml:space="preserve">Total Biaya Aktual</t>
  </si>
  <si>
    <t xml:space="preserve">Persen Selisih Fase</t>
  </si>
  <si>
    <t xml:space="preserve">Ringkasan: lembar jawaban soal berjenis ringkasan</t>
  </si>
  <si>
    <t xml:space="preserve">Sel hijau berisi rumus kunci.</t>
  </si>
  <si>
    <t xml:space="preserve">Pertanyaan</t>
  </si>
  <si>
    <t xml:space="preserve">Jawaban</t>
  </si>
  <si>
    <t xml:space="preserve">Contoh format hasil</t>
  </si>
  <si>
    <t xml:space="preserve">12a</t>
  </si>
  <si>
    <t xml:space="preserve">Total biaya rencana</t>
  </si>
  <si>
    <t xml:space="preserve">Rupiah, mis. Rp 500.000.000</t>
  </si>
  <si>
    <t xml:space="preserve">12b</t>
  </si>
  <si>
    <t xml:space="preserve">Total biaya aktual</t>
  </si>
  <si>
    <t xml:space="preserve">Rupiah, mis. Rp 520.000.000</t>
  </si>
  <si>
    <t xml:space="preserve">12c</t>
  </si>
  <si>
    <t xml:space="preserve">Selisih total biaya</t>
  </si>
  <si>
    <t xml:space="preserve">Rupiah, mis. Rp 20.000.000</t>
  </si>
  <si>
    <t xml:space="preserve">12d</t>
  </si>
  <si>
    <t xml:space="preserve">Persen selisih total biaya</t>
  </si>
  <si>
    <t xml:space="preserve">Persen, mis. 4,5%</t>
  </si>
  <si>
    <t xml:space="preserve">13a</t>
  </si>
  <si>
    <t xml:space="preserve">Tugas Lebih Cepat</t>
  </si>
  <si>
    <t xml:space="preserve">Angka bulat, mis. 4</t>
  </si>
  <si>
    <t xml:space="preserve">13b</t>
  </si>
  <si>
    <t xml:space="preserve">Tugas Tepat Waktu</t>
  </si>
  <si>
    <t xml:space="preserve">Angka bulat, mis. 8</t>
  </si>
  <si>
    <t xml:space="preserve">13c</t>
  </si>
  <si>
    <t xml:space="preserve">Tugas terlambat (ringan dan berat)</t>
  </si>
  <si>
    <t xml:space="preserve">Angka bulat, mis. 11</t>
  </si>
  <si>
    <t xml:space="preserve">14a</t>
  </si>
  <si>
    <t xml:space="preserve">Tugas dengan selisih durasi terbesar</t>
  </si>
  <si>
    <t xml:space="preserve">Teks: nama tugas</t>
  </si>
  <si>
    <t xml:space="preserve">14b</t>
  </si>
  <si>
    <t xml:space="preserve">Fase dengan persen selisih biaya terbesar</t>
  </si>
  <si>
    <t xml:space="preserve">Teks: nama fase</t>
  </si>
  <si>
    <t xml:space="preserve">15a</t>
  </si>
  <si>
    <t xml:space="preserve">Mulai aktual paling awal</t>
  </si>
  <si>
    <t xml:space="preserve">Tanggal, mis. 14/10/2026</t>
  </si>
  <si>
    <t xml:space="preserve">15b</t>
  </si>
  <si>
    <t xml:space="preserve">Selesai aktual paling akhir</t>
  </si>
  <si>
    <t xml:space="preserve">15c</t>
  </si>
  <si>
    <t xml:space="preserve">Total hari kerja aktual</t>
  </si>
  <si>
    <t xml:space="preserve">Angka bulat, mis. 250</t>
  </si>
  <si>
    <t xml:space="preserve">16a</t>
  </si>
  <si>
    <t xml:space="preserve">Tugas Pelaksanaan yang Overbudget</t>
  </si>
  <si>
    <t xml:space="preserve">16b</t>
  </si>
  <si>
    <t xml:space="preserve">Total selisih durasi tugas Dimas Kurniawan</t>
  </si>
  <si>
    <t xml:space="preserve">Angka bulat, mis. 9</t>
  </si>
</sst>
</file>

<file path=xl/styles.xml><?xml version="1.0" encoding="utf-8"?>
<styleSheet xmlns="http://schemas.openxmlformats.org/spreadsheetml/2006/main">
  <numFmts count="6">
    <numFmt numFmtId="164" formatCode="General"/>
    <numFmt numFmtId="165" formatCode="dd/mm/yyyy"/>
    <numFmt numFmtId="166" formatCode="0"/>
    <numFmt numFmtId="167" formatCode="&quot;Rp &quot;#,##0"/>
    <numFmt numFmtId="168" formatCode="0.0%"/>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9"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42"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30" hidden="false" customHeight="true" outlineLevel="0" collapsed="false">
      <c r="A31" s="12" t="s">
        <v>63</v>
      </c>
      <c r="B31" s="13" t="s">
        <v>64</v>
      </c>
      <c r="C31" s="13" t="s">
        <v>65</v>
      </c>
      <c r="D31" s="14" t="s">
        <v>66</v>
      </c>
    </row>
    <row r="32" customFormat="false" ht="72" hidden="false" customHeight="true" outlineLevel="0" collapsed="false">
      <c r="A32" s="12" t="s">
        <v>67</v>
      </c>
      <c r="B32" s="13" t="s">
        <v>68</v>
      </c>
      <c r="C32" s="13" t="s">
        <v>69</v>
      </c>
      <c r="D32" s="14" t="s">
        <v>70</v>
      </c>
    </row>
    <row r="33" customFormat="false" ht="69.75" hidden="false" customHeight="true" outlineLevel="0" collapsed="false">
      <c r="A33" s="12" t="s">
        <v>71</v>
      </c>
      <c r="B33" s="13" t="s">
        <v>72</v>
      </c>
      <c r="C33" s="13" t="s">
        <v>73</v>
      </c>
      <c r="D33" s="14" t="s">
        <v>74</v>
      </c>
    </row>
    <row r="34" customFormat="false" ht="55.5" hidden="false" customHeight="true" outlineLevel="0" collapsed="false">
      <c r="A34" s="12" t="s">
        <v>75</v>
      </c>
      <c r="B34" s="13" t="s">
        <v>76</v>
      </c>
      <c r="C34" s="13" t="s">
        <v>77</v>
      </c>
      <c r="D34" s="14" t="s">
        <v>78</v>
      </c>
    </row>
    <row r="35" customFormat="false" ht="69.75" hidden="false" customHeight="true" outlineLevel="0" collapsed="false">
      <c r="A35" s="12" t="s">
        <v>79</v>
      </c>
      <c r="B35" s="13" t="s">
        <v>80</v>
      </c>
      <c r="C35" s="13" t="s">
        <v>81</v>
      </c>
      <c r="D35" s="14" t="s">
        <v>82</v>
      </c>
    </row>
    <row r="36" customFormat="false" ht="43.5" hidden="false" customHeight="true" outlineLevel="0" collapsed="false">
      <c r="A36" s="12" t="s">
        <v>83</v>
      </c>
      <c r="B36" s="13" t="s">
        <v>84</v>
      </c>
      <c r="C36" s="13" t="s">
        <v>85</v>
      </c>
      <c r="D36" s="14" t="s">
        <v>86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20"/>
    <col collapsed="false" customWidth="true" hidden="false" outlineLevel="0" max="4" min="4" style="0" width="12"/>
    <col collapsed="false" customWidth="true" hidden="false" outlineLevel="0" max="6" min="5" style="0" width="14"/>
    <col collapsed="false" customWidth="true" hidden="false" outlineLevel="0" max="7" min="7" style="0" width="13"/>
    <col collapsed="false" customWidth="true" hidden="false" outlineLevel="0" max="8" min="8" style="0" width="14"/>
    <col collapsed="false" customWidth="true" hidden="false" outlineLevel="0" max="11" min="9" style="0" width="15"/>
    <col collapsed="false" customWidth="true" hidden="false" outlineLevel="0" max="12" min="12" style="0" width="13"/>
    <col collapsed="false" customWidth="true" hidden="false" outlineLevel="0" max="13" min="13" style="0" width="14"/>
    <col collapsed="false" customWidth="true" hidden="false" outlineLevel="0" max="14" min="14" style="0" width="17"/>
    <col collapsed="false" customWidth="true" hidden="false" outlineLevel="0" max="15" min="15" style="0" width="14"/>
    <col collapsed="false" customWidth="true" hidden="false" outlineLevel="0" max="16" min="16" style="0" width="19"/>
    <col collapsed="false" customWidth="true" hidden="false" outlineLevel="0" max="17" min="17" style="0" width="12"/>
    <col collapsed="false" customWidth="true" hidden="false" outlineLevel="0" max="18" min="18" style="0" width="3"/>
    <col collapsed="false" customWidth="true" hidden="false" outlineLevel="0" max="19" min="19" style="0" width="39"/>
    <col collapsed="false" customWidth="true" hidden="false" outlineLevel="0" max="20" min="20" style="0" width="16"/>
    <col collapsed="false" customWidth="true" hidden="false" outlineLevel="0" max="21" min="21" style="0" width="42"/>
  </cols>
  <sheetData>
    <row r="1" customFormat="false" ht="33.75" hidden="false" customHeight="true" outlineLevel="0" collapsed="false">
      <c r="A1" s="11" t="s">
        <v>87</v>
      </c>
      <c r="B1" s="11" t="s">
        <v>88</v>
      </c>
      <c r="C1" s="11" t="s">
        <v>89</v>
      </c>
      <c r="D1" s="11" t="s">
        <v>90</v>
      </c>
      <c r="E1" s="11" t="s">
        <v>91</v>
      </c>
      <c r="F1" s="11" t="s">
        <v>92</v>
      </c>
      <c r="G1" s="11" t="s">
        <v>93</v>
      </c>
      <c r="H1" s="11" t="s">
        <v>94</v>
      </c>
      <c r="I1" s="11" t="s">
        <v>95</v>
      </c>
      <c r="J1" s="11" t="s">
        <v>96</v>
      </c>
      <c r="K1" s="15" t="s">
        <v>97</v>
      </c>
      <c r="L1" s="15" t="s">
        <v>98</v>
      </c>
      <c r="M1" s="15" t="s">
        <v>99</v>
      </c>
      <c r="N1" s="15" t="s">
        <v>100</v>
      </c>
      <c r="O1" s="15" t="s">
        <v>101</v>
      </c>
      <c r="P1" s="15" t="s">
        <v>102</v>
      </c>
      <c r="Q1" s="15" t="s">
        <v>103</v>
      </c>
      <c r="S1" s="16" t="s">
        <v>104</v>
      </c>
      <c r="T1" s="16" t="s">
        <v>105</v>
      </c>
      <c r="U1" s="16" t="s">
        <v>106</v>
      </c>
    </row>
    <row r="2" customFormat="false" ht="15" hidden="false" customHeight="false" outlineLevel="0" collapsed="false">
      <c r="A2" s="17" t="s">
        <v>107</v>
      </c>
      <c r="B2" s="17" t="s">
        <v>108</v>
      </c>
      <c r="C2" s="17" t="s">
        <v>109</v>
      </c>
      <c r="D2" s="17" t="s">
        <v>110</v>
      </c>
      <c r="E2" s="18" t="n">
        <v>46330</v>
      </c>
      <c r="F2" s="19" t="n">
        <v>10</v>
      </c>
      <c r="G2" s="18" t="n">
        <v>46332</v>
      </c>
      <c r="H2" s="18" t="n">
        <v>46343</v>
      </c>
      <c r="I2" s="20" t="n">
        <v>80000000</v>
      </c>
      <c r="J2" s="20" t="n">
        <v>96500000</v>
      </c>
      <c r="K2" s="21" t="n">
        <f aca="false">WORKDAY(E2,F2-1)</f>
        <v>46343</v>
      </c>
      <c r="L2" s="22" t="n">
        <f aca="false">NETWORKDAYS(G2,H2)</f>
        <v>8</v>
      </c>
      <c r="M2" s="22" t="n">
        <f aca="false">L2-F2</f>
        <v>-2</v>
      </c>
      <c r="N2" s="23" t="str">
        <f aca="false">IF(M2&lt;0,"Lebih Cepat",IF(M2=0,"Tepat Waktu",IF(M2&lt;=$T$2,"Terlambat Ringan","Terlambat Berat")))</f>
        <v>Lebih Cepat</v>
      </c>
      <c r="O2" s="24" t="n">
        <f aca="false">J2-I2</f>
        <v>16500000</v>
      </c>
      <c r="P2" s="25" t="n">
        <f aca="false">O2/I2</f>
        <v>0.20625</v>
      </c>
      <c r="Q2" s="23" t="str">
        <f aca="false">IF(P2&gt;=$T$3,"Overbudget","Terkendali")</f>
        <v>Overbudget</v>
      </c>
      <c r="S2" s="26" t="s">
        <v>111</v>
      </c>
      <c r="T2" s="27" t="n">
        <v>3</v>
      </c>
      <c r="U2" s="26"/>
    </row>
    <row r="3" customFormat="false" ht="15" hidden="false" customHeight="false" outlineLevel="0" collapsed="false">
      <c r="A3" s="17" t="s">
        <v>112</v>
      </c>
      <c r="B3" s="17" t="s">
        <v>113</v>
      </c>
      <c r="C3" s="17" t="s">
        <v>114</v>
      </c>
      <c r="D3" s="17" t="s">
        <v>110</v>
      </c>
      <c r="E3" s="18" t="n">
        <v>46337</v>
      </c>
      <c r="F3" s="19" t="n">
        <v>15</v>
      </c>
      <c r="G3" s="18" t="n">
        <v>46344</v>
      </c>
      <c r="H3" s="18" t="n">
        <v>46367</v>
      </c>
      <c r="I3" s="20" t="n">
        <v>60000000</v>
      </c>
      <c r="J3" s="20" t="n">
        <v>73500000</v>
      </c>
      <c r="K3" s="21" t="n">
        <f aca="false">WORKDAY(E3,F3-1)</f>
        <v>46357</v>
      </c>
      <c r="L3" s="22" t="n">
        <f aca="false">NETWORKDAYS(G3,H3)</f>
        <v>18</v>
      </c>
      <c r="M3" s="22" t="n">
        <f aca="false">L3-F3</f>
        <v>3</v>
      </c>
      <c r="N3" s="23" t="str">
        <f aca="false">IF(M3&lt;0,"Lebih Cepat",IF(M3=0,"Tepat Waktu",IF(M3&lt;=$T$2,"Terlambat Ringan","Terlambat Berat")))</f>
        <v>Terlambat Ringan</v>
      </c>
      <c r="O3" s="24" t="n">
        <f aca="false">J3-I3</f>
        <v>13500000</v>
      </c>
      <c r="P3" s="25" t="n">
        <f aca="false">O3/I3</f>
        <v>0.225</v>
      </c>
      <c r="Q3" s="23" t="str">
        <f aca="false">IF(P3&gt;=$T$3,"Overbudget","Terkendali")</f>
        <v>Overbudget</v>
      </c>
      <c r="S3" s="26" t="s">
        <v>115</v>
      </c>
      <c r="T3" s="28" t="n">
        <v>0.1</v>
      </c>
      <c r="U3" s="26" t="s">
        <v>116</v>
      </c>
    </row>
    <row r="4" customFormat="false" ht="15" hidden="false" customHeight="false" outlineLevel="0" collapsed="false">
      <c r="A4" s="17" t="s">
        <v>117</v>
      </c>
      <c r="B4" s="17" t="s">
        <v>118</v>
      </c>
      <c r="C4" s="17" t="s">
        <v>114</v>
      </c>
      <c r="D4" s="17" t="s">
        <v>110</v>
      </c>
      <c r="E4" s="18" t="n">
        <v>46346</v>
      </c>
      <c r="F4" s="19" t="n">
        <v>5</v>
      </c>
      <c r="G4" s="18" t="n">
        <v>46351</v>
      </c>
      <c r="H4" s="18" t="n">
        <v>46365</v>
      </c>
      <c r="I4" s="20" t="n">
        <v>30000000</v>
      </c>
      <c r="J4" s="20" t="n">
        <v>35500000</v>
      </c>
      <c r="K4" s="21" t="n">
        <f aca="false">WORKDAY(E4,F4-1)</f>
        <v>46352</v>
      </c>
      <c r="L4" s="22" t="n">
        <f aca="false">NETWORKDAYS(G4,H4)</f>
        <v>11</v>
      </c>
      <c r="M4" s="22" t="n">
        <f aca="false">L4-F4</f>
        <v>6</v>
      </c>
      <c r="N4" s="23" t="str">
        <f aca="false">IF(M4&lt;0,"Lebih Cepat",IF(M4=0,"Tepat Waktu",IF(M4&lt;=$T$2,"Terlambat Ringan","Terlambat Berat")))</f>
        <v>Terlambat Berat</v>
      </c>
      <c r="O4" s="24" t="n">
        <f aca="false">J4-I4</f>
        <v>5500000</v>
      </c>
      <c r="P4" s="25" t="n">
        <f aca="false">O4/I4</f>
        <v>0.183333333333333</v>
      </c>
      <c r="Q4" s="23" t="str">
        <f aca="false">IF(P4&gt;=$T$3,"Overbudget","Terkendali")</f>
        <v>Overbudget</v>
      </c>
    </row>
    <row r="5" customFormat="false" ht="15" hidden="false" customHeight="false" outlineLevel="0" collapsed="false">
      <c r="A5" s="17" t="s">
        <v>119</v>
      </c>
      <c r="B5" s="17" t="s">
        <v>120</v>
      </c>
      <c r="C5" s="17" t="s">
        <v>109</v>
      </c>
      <c r="D5" s="17" t="s">
        <v>110</v>
      </c>
      <c r="E5" s="18" t="n">
        <v>46350</v>
      </c>
      <c r="F5" s="19" t="n">
        <v>10</v>
      </c>
      <c r="G5" s="18" t="n">
        <v>46350</v>
      </c>
      <c r="H5" s="18" t="n">
        <v>46363</v>
      </c>
      <c r="I5" s="20" t="n">
        <v>45000000</v>
      </c>
      <c r="J5" s="20" t="n">
        <v>51500000</v>
      </c>
      <c r="K5" s="21" t="n">
        <f aca="false">WORKDAY(E5,F5-1)</f>
        <v>46363</v>
      </c>
      <c r="L5" s="22" t="n">
        <f aca="false">NETWORKDAYS(G5,H5)</f>
        <v>10</v>
      </c>
      <c r="M5" s="22" t="n">
        <f aca="false">L5-F5</f>
        <v>0</v>
      </c>
      <c r="N5" s="23" t="str">
        <f aca="false">IF(M5&lt;0,"Lebih Cepat",IF(M5=0,"Tepat Waktu",IF(M5&lt;=$T$2,"Terlambat Ringan","Terlambat Berat")))</f>
        <v>Tepat Waktu</v>
      </c>
      <c r="O5" s="24" t="n">
        <f aca="false">J5-I5</f>
        <v>6500000</v>
      </c>
      <c r="P5" s="25" t="n">
        <f aca="false">O5/I5</f>
        <v>0.144444444444444</v>
      </c>
      <c r="Q5" s="23" t="str">
        <f aca="false">IF(P5&gt;=$T$3,"Overbudget","Terkendali")</f>
        <v>Overbudget</v>
      </c>
    </row>
    <row r="6" customFormat="false" ht="15" hidden="false" customHeight="false" outlineLevel="0" collapsed="false">
      <c r="A6" s="17" t="s">
        <v>121</v>
      </c>
      <c r="B6" s="17" t="s">
        <v>122</v>
      </c>
      <c r="C6" s="17" t="s">
        <v>114</v>
      </c>
      <c r="D6" s="17" t="s">
        <v>110</v>
      </c>
      <c r="E6" s="18" t="n">
        <v>46357</v>
      </c>
      <c r="F6" s="19" t="n">
        <v>6</v>
      </c>
      <c r="G6" s="18" t="n">
        <v>46360</v>
      </c>
      <c r="H6" s="18" t="n">
        <v>46372</v>
      </c>
      <c r="I6" s="20" t="n">
        <v>15000000</v>
      </c>
      <c r="J6" s="20" t="n">
        <v>18000000</v>
      </c>
      <c r="K6" s="21" t="n">
        <f aca="false">WORKDAY(E6,F6-1)</f>
        <v>46364</v>
      </c>
      <c r="L6" s="22" t="n">
        <f aca="false">NETWORKDAYS(G6,H6)</f>
        <v>9</v>
      </c>
      <c r="M6" s="22" t="n">
        <f aca="false">L6-F6</f>
        <v>3</v>
      </c>
      <c r="N6" s="23" t="str">
        <f aca="false">IF(M6&lt;0,"Lebih Cepat",IF(M6=0,"Tepat Waktu",IF(M6&lt;=$T$2,"Terlambat Ringan","Terlambat Berat")))</f>
        <v>Terlambat Ringan</v>
      </c>
      <c r="O6" s="24" t="n">
        <f aca="false">J6-I6</f>
        <v>3000000</v>
      </c>
      <c r="P6" s="25" t="n">
        <f aca="false">O6/I6</f>
        <v>0.2</v>
      </c>
      <c r="Q6" s="23" t="str">
        <f aca="false">IF(P6&gt;=$T$3,"Overbudget","Terkendali")</f>
        <v>Overbudget</v>
      </c>
    </row>
    <row r="7" customFormat="false" ht="15" hidden="false" customHeight="false" outlineLevel="0" collapsed="false">
      <c r="A7" s="17" t="s">
        <v>123</v>
      </c>
      <c r="B7" s="17" t="s">
        <v>124</v>
      </c>
      <c r="C7" s="17" t="s">
        <v>125</v>
      </c>
      <c r="D7" s="17" t="s">
        <v>126</v>
      </c>
      <c r="E7" s="18" t="n">
        <v>46360</v>
      </c>
      <c r="F7" s="19" t="n">
        <v>3</v>
      </c>
      <c r="G7" s="18" t="n">
        <v>46365</v>
      </c>
      <c r="H7" s="18" t="n">
        <v>46371</v>
      </c>
      <c r="I7" s="20" t="n">
        <v>12000000</v>
      </c>
      <c r="J7" s="20" t="n">
        <v>12500000</v>
      </c>
      <c r="K7" s="21" t="n">
        <f aca="false">WORKDAY(E7,F7-1)</f>
        <v>46364</v>
      </c>
      <c r="L7" s="22" t="n">
        <f aca="false">NETWORKDAYS(G7,H7)</f>
        <v>5</v>
      </c>
      <c r="M7" s="22" t="n">
        <f aca="false">L7-F7</f>
        <v>2</v>
      </c>
      <c r="N7" s="23" t="str">
        <f aca="false">IF(M7&lt;0,"Lebih Cepat",IF(M7=0,"Tepat Waktu",IF(M7&lt;=$T$2,"Terlambat Ringan","Terlambat Berat")))</f>
        <v>Terlambat Ringan</v>
      </c>
      <c r="O7" s="24" t="n">
        <f aca="false">J7-I7</f>
        <v>500000</v>
      </c>
      <c r="P7" s="25" t="n">
        <f aca="false">O7/I7</f>
        <v>0.0416666666666667</v>
      </c>
      <c r="Q7" s="23" t="str">
        <f aca="false">IF(P7&gt;=$T$3,"Overbudget","Terkendali")</f>
        <v>Terkendali</v>
      </c>
    </row>
    <row r="8" customFormat="false" ht="15" hidden="false" customHeight="false" outlineLevel="0" collapsed="false">
      <c r="A8" s="17" t="s">
        <v>127</v>
      </c>
      <c r="B8" s="17" t="s">
        <v>128</v>
      </c>
      <c r="C8" s="17" t="s">
        <v>129</v>
      </c>
      <c r="D8" s="17" t="s">
        <v>126</v>
      </c>
      <c r="E8" s="18" t="n">
        <v>46365</v>
      </c>
      <c r="F8" s="19" t="n">
        <v>12</v>
      </c>
      <c r="G8" s="18" t="n">
        <v>46370</v>
      </c>
      <c r="H8" s="18" t="n">
        <v>46388</v>
      </c>
      <c r="I8" s="20" t="n">
        <v>80000000</v>
      </c>
      <c r="J8" s="20" t="n">
        <v>84000000</v>
      </c>
      <c r="K8" s="21" t="n">
        <f aca="false">WORKDAY(E8,F8-1)</f>
        <v>46380</v>
      </c>
      <c r="L8" s="22" t="n">
        <f aca="false">NETWORKDAYS(G8,H8)</f>
        <v>15</v>
      </c>
      <c r="M8" s="22" t="n">
        <f aca="false">L8-F8</f>
        <v>3</v>
      </c>
      <c r="N8" s="23" t="str">
        <f aca="false">IF(M8&lt;0,"Lebih Cepat",IF(M8=0,"Tepat Waktu",IF(M8&lt;=$T$2,"Terlambat Ringan","Terlambat Berat")))</f>
        <v>Terlambat Ringan</v>
      </c>
      <c r="O8" s="24" t="n">
        <f aca="false">J8-I8</f>
        <v>4000000</v>
      </c>
      <c r="P8" s="25" t="n">
        <f aca="false">O8/I8</f>
        <v>0.05</v>
      </c>
      <c r="Q8" s="23" t="str">
        <f aca="false">IF(P8&gt;=$T$3,"Overbudget","Terkendali")</f>
        <v>Terkendali</v>
      </c>
    </row>
    <row r="9" customFormat="false" ht="15" hidden="false" customHeight="false" outlineLevel="0" collapsed="false">
      <c r="A9" s="17" t="s">
        <v>130</v>
      </c>
      <c r="B9" s="17" t="s">
        <v>131</v>
      </c>
      <c r="C9" s="17" t="s">
        <v>114</v>
      </c>
      <c r="D9" s="17" t="s">
        <v>126</v>
      </c>
      <c r="E9" s="18" t="n">
        <v>46377</v>
      </c>
      <c r="F9" s="19" t="n">
        <v>15</v>
      </c>
      <c r="G9" s="18" t="n">
        <v>46377</v>
      </c>
      <c r="H9" s="18" t="n">
        <v>46400</v>
      </c>
      <c r="I9" s="20" t="n">
        <v>80000000</v>
      </c>
      <c r="J9" s="20" t="n">
        <v>88500000</v>
      </c>
      <c r="K9" s="21" t="n">
        <f aca="false">WORKDAY(E9,F9-1)</f>
        <v>46395</v>
      </c>
      <c r="L9" s="22" t="n">
        <f aca="false">NETWORKDAYS(G9,H9)</f>
        <v>18</v>
      </c>
      <c r="M9" s="22" t="n">
        <f aca="false">L9-F9</f>
        <v>3</v>
      </c>
      <c r="N9" s="23" t="str">
        <f aca="false">IF(M9&lt;0,"Lebih Cepat",IF(M9=0,"Tepat Waktu",IF(M9&lt;=$T$2,"Terlambat Ringan","Terlambat Berat")))</f>
        <v>Terlambat Ringan</v>
      </c>
      <c r="O9" s="24" t="n">
        <f aca="false">J9-I9</f>
        <v>8500000</v>
      </c>
      <c r="P9" s="25" t="n">
        <f aca="false">O9/I9</f>
        <v>0.10625</v>
      </c>
      <c r="Q9" s="23" t="str">
        <f aca="false">IF(P9&gt;=$T$3,"Overbudget","Terkendali")</f>
        <v>Overbudget</v>
      </c>
    </row>
    <row r="10" customFormat="false" ht="15" hidden="false" customHeight="false" outlineLevel="0" collapsed="false">
      <c r="A10" s="17" t="s">
        <v>132</v>
      </c>
      <c r="B10" s="17" t="s">
        <v>133</v>
      </c>
      <c r="C10" s="17" t="s">
        <v>109</v>
      </c>
      <c r="D10" s="17" t="s">
        <v>126</v>
      </c>
      <c r="E10" s="18" t="n">
        <v>46388</v>
      </c>
      <c r="F10" s="19" t="n">
        <v>4</v>
      </c>
      <c r="G10" s="18" t="n">
        <v>46388</v>
      </c>
      <c r="H10" s="18" t="n">
        <v>46401</v>
      </c>
      <c r="I10" s="20" t="n">
        <v>80000000</v>
      </c>
      <c r="J10" s="20" t="n">
        <v>85000000</v>
      </c>
      <c r="K10" s="21" t="n">
        <f aca="false">WORKDAY(E10,F10-1)</f>
        <v>46393</v>
      </c>
      <c r="L10" s="22" t="n">
        <f aca="false">NETWORKDAYS(G10,H10)</f>
        <v>10</v>
      </c>
      <c r="M10" s="22" t="n">
        <f aca="false">L10-F10</f>
        <v>6</v>
      </c>
      <c r="N10" s="23" t="str">
        <f aca="false">IF(M10&lt;0,"Lebih Cepat",IF(M10=0,"Tepat Waktu",IF(M10&lt;=$T$2,"Terlambat Ringan","Terlambat Berat")))</f>
        <v>Terlambat Berat</v>
      </c>
      <c r="O10" s="24" t="n">
        <f aca="false">J10-I10</f>
        <v>5000000</v>
      </c>
      <c r="P10" s="25" t="n">
        <f aca="false">O10/I10</f>
        <v>0.0625</v>
      </c>
      <c r="Q10" s="23" t="str">
        <f aca="false">IF(P10&gt;=$T$3,"Overbudget","Terkendali")</f>
        <v>Terkendali</v>
      </c>
    </row>
    <row r="11" customFormat="false" ht="15" hidden="false" customHeight="false" outlineLevel="0" collapsed="false">
      <c r="A11" s="17" t="s">
        <v>134</v>
      </c>
      <c r="B11" s="17" t="s">
        <v>135</v>
      </c>
      <c r="C11" s="17" t="s">
        <v>136</v>
      </c>
      <c r="D11" s="17" t="s">
        <v>126</v>
      </c>
      <c r="E11" s="18" t="n">
        <v>46394</v>
      </c>
      <c r="F11" s="19" t="n">
        <v>5</v>
      </c>
      <c r="G11" s="18" t="n">
        <v>46399</v>
      </c>
      <c r="H11" s="18" t="n">
        <v>46408</v>
      </c>
      <c r="I11" s="20" t="n">
        <v>20000000</v>
      </c>
      <c r="J11" s="20" t="n">
        <v>19500000</v>
      </c>
      <c r="K11" s="21" t="n">
        <f aca="false">WORKDAY(E11,F11-1)</f>
        <v>46400</v>
      </c>
      <c r="L11" s="22" t="n">
        <f aca="false">NETWORKDAYS(G11,H11)</f>
        <v>8</v>
      </c>
      <c r="M11" s="22" t="n">
        <f aca="false">L11-F11</f>
        <v>3</v>
      </c>
      <c r="N11" s="23" t="str">
        <f aca="false">IF(M11&lt;0,"Lebih Cepat",IF(M11=0,"Tepat Waktu",IF(M11&lt;=$T$2,"Terlambat Ringan","Terlambat Berat")))</f>
        <v>Terlambat Ringan</v>
      </c>
      <c r="O11" s="24" t="n">
        <f aca="false">J11-I11</f>
        <v>-500000</v>
      </c>
      <c r="P11" s="25" t="n">
        <f aca="false">O11/I11</f>
        <v>-0.025</v>
      </c>
      <c r="Q11" s="23" t="str">
        <f aca="false">IF(P11&gt;=$T$3,"Overbudget","Terkendali")</f>
        <v>Terkendali</v>
      </c>
    </row>
    <row r="12" customFormat="false" ht="15" hidden="false" customHeight="false" outlineLevel="0" collapsed="false">
      <c r="A12" s="17" t="s">
        <v>137</v>
      </c>
      <c r="B12" s="17" t="s">
        <v>138</v>
      </c>
      <c r="C12" s="17" t="s">
        <v>125</v>
      </c>
      <c r="D12" s="17" t="s">
        <v>126</v>
      </c>
      <c r="E12" s="18" t="n">
        <v>46398</v>
      </c>
      <c r="F12" s="19" t="n">
        <v>3</v>
      </c>
      <c r="G12" s="18" t="n">
        <v>46405</v>
      </c>
      <c r="H12" s="18" t="n">
        <v>46407</v>
      </c>
      <c r="I12" s="20" t="n">
        <v>20000000</v>
      </c>
      <c r="J12" s="20" t="n">
        <v>22500000</v>
      </c>
      <c r="K12" s="21" t="n">
        <f aca="false">WORKDAY(E12,F12-1)</f>
        <v>46400</v>
      </c>
      <c r="L12" s="22" t="n">
        <f aca="false">NETWORKDAYS(G12,H12)</f>
        <v>3</v>
      </c>
      <c r="M12" s="22" t="n">
        <f aca="false">L12-F12</f>
        <v>0</v>
      </c>
      <c r="N12" s="23" t="str">
        <f aca="false">IF(M12&lt;0,"Lebih Cepat",IF(M12=0,"Tepat Waktu",IF(M12&lt;=$T$2,"Terlambat Ringan","Terlambat Berat")))</f>
        <v>Tepat Waktu</v>
      </c>
      <c r="O12" s="24" t="n">
        <f aca="false">J12-I12</f>
        <v>2500000</v>
      </c>
      <c r="P12" s="25" t="n">
        <f aca="false">O12/I12</f>
        <v>0.125</v>
      </c>
      <c r="Q12" s="23" t="str">
        <f aca="false">IF(P12&gt;=$T$3,"Overbudget","Terkendali")</f>
        <v>Overbudget</v>
      </c>
    </row>
    <row r="13" customFormat="false" ht="15" hidden="false" customHeight="false" outlineLevel="0" collapsed="false">
      <c r="A13" s="17" t="s">
        <v>139</v>
      </c>
      <c r="B13" s="17" t="s">
        <v>140</v>
      </c>
      <c r="C13" s="17" t="s">
        <v>109</v>
      </c>
      <c r="D13" s="17" t="s">
        <v>126</v>
      </c>
      <c r="E13" s="18" t="n">
        <v>46399</v>
      </c>
      <c r="F13" s="19" t="n">
        <v>4</v>
      </c>
      <c r="G13" s="18" t="n">
        <v>46400</v>
      </c>
      <c r="H13" s="18" t="n">
        <v>46405</v>
      </c>
      <c r="I13" s="20" t="n">
        <v>80000000</v>
      </c>
      <c r="J13" s="20" t="n">
        <v>77000000</v>
      </c>
      <c r="K13" s="21" t="n">
        <f aca="false">WORKDAY(E13,F13-1)</f>
        <v>46402</v>
      </c>
      <c r="L13" s="22" t="n">
        <f aca="false">NETWORKDAYS(G13,H13)</f>
        <v>4</v>
      </c>
      <c r="M13" s="22" t="n">
        <f aca="false">L13-F13</f>
        <v>0</v>
      </c>
      <c r="N13" s="23" t="str">
        <f aca="false">IF(M13&lt;0,"Lebih Cepat",IF(M13=0,"Tepat Waktu",IF(M13&lt;=$T$2,"Terlambat Ringan","Terlambat Berat")))</f>
        <v>Tepat Waktu</v>
      </c>
      <c r="O13" s="24" t="n">
        <f aca="false">J13-I13</f>
        <v>-3000000</v>
      </c>
      <c r="P13" s="25" t="n">
        <f aca="false">O13/I13</f>
        <v>-0.0375</v>
      </c>
      <c r="Q13" s="23" t="str">
        <f aca="false">IF(P13&gt;=$T$3,"Overbudget","Terkendali")</f>
        <v>Terkendali</v>
      </c>
    </row>
    <row r="14" customFormat="false" ht="15" hidden="false" customHeight="false" outlineLevel="0" collapsed="false">
      <c r="A14" s="17" t="s">
        <v>141</v>
      </c>
      <c r="B14" s="17" t="s">
        <v>142</v>
      </c>
      <c r="C14" s="17" t="s">
        <v>109</v>
      </c>
      <c r="D14" s="17" t="s">
        <v>126</v>
      </c>
      <c r="E14" s="18" t="n">
        <v>46401</v>
      </c>
      <c r="F14" s="19" t="n">
        <v>3</v>
      </c>
      <c r="G14" s="18" t="n">
        <v>46405</v>
      </c>
      <c r="H14" s="18" t="n">
        <v>46409</v>
      </c>
      <c r="I14" s="20" t="n">
        <v>45000000</v>
      </c>
      <c r="J14" s="20" t="n">
        <v>53500000</v>
      </c>
      <c r="K14" s="21" t="n">
        <f aca="false">WORKDAY(E14,F14-1)</f>
        <v>46405</v>
      </c>
      <c r="L14" s="22" t="n">
        <f aca="false">NETWORKDAYS(G14,H14)</f>
        <v>5</v>
      </c>
      <c r="M14" s="22" t="n">
        <f aca="false">L14-F14</f>
        <v>2</v>
      </c>
      <c r="N14" s="23" t="str">
        <f aca="false">IF(M14&lt;0,"Lebih Cepat",IF(M14=0,"Tepat Waktu",IF(M14&lt;=$T$2,"Terlambat Ringan","Terlambat Berat")))</f>
        <v>Terlambat Ringan</v>
      </c>
      <c r="O14" s="24" t="n">
        <f aca="false">J14-I14</f>
        <v>8500000</v>
      </c>
      <c r="P14" s="25" t="n">
        <f aca="false">O14/I14</f>
        <v>0.188888888888889</v>
      </c>
      <c r="Q14" s="23" t="str">
        <f aca="false">IF(P14&gt;=$T$3,"Overbudget","Terkendali")</f>
        <v>Overbudget</v>
      </c>
    </row>
    <row r="15" customFormat="false" ht="15" hidden="false" customHeight="false" outlineLevel="0" collapsed="false">
      <c r="A15" s="17" t="s">
        <v>143</v>
      </c>
      <c r="B15" s="17" t="s">
        <v>144</v>
      </c>
      <c r="C15" s="17" t="s">
        <v>129</v>
      </c>
      <c r="D15" s="17" t="s">
        <v>126</v>
      </c>
      <c r="E15" s="18" t="n">
        <v>46402</v>
      </c>
      <c r="F15" s="19" t="n">
        <v>3</v>
      </c>
      <c r="G15" s="18" t="n">
        <v>46402</v>
      </c>
      <c r="H15" s="18" t="n">
        <v>46406</v>
      </c>
      <c r="I15" s="20" t="n">
        <v>15000000</v>
      </c>
      <c r="J15" s="20" t="n">
        <v>18500000</v>
      </c>
      <c r="K15" s="21" t="n">
        <f aca="false">WORKDAY(E15,F15-1)</f>
        <v>46406</v>
      </c>
      <c r="L15" s="22" t="n">
        <f aca="false">NETWORKDAYS(G15,H15)</f>
        <v>3</v>
      </c>
      <c r="M15" s="22" t="n">
        <f aca="false">L15-F15</f>
        <v>0</v>
      </c>
      <c r="N15" s="23" t="str">
        <f aca="false">IF(M15&lt;0,"Lebih Cepat",IF(M15=0,"Tepat Waktu",IF(M15&lt;=$T$2,"Terlambat Ringan","Terlambat Berat")))</f>
        <v>Tepat Waktu</v>
      </c>
      <c r="O15" s="24" t="n">
        <f aca="false">J15-I15</f>
        <v>3500000</v>
      </c>
      <c r="P15" s="25" t="n">
        <f aca="false">O15/I15</f>
        <v>0.233333333333333</v>
      </c>
      <c r="Q15" s="23" t="str">
        <f aca="false">IF(P15&gt;=$T$3,"Overbudget","Terkendali")</f>
        <v>Overbudget</v>
      </c>
    </row>
    <row r="16" customFormat="false" ht="15" hidden="false" customHeight="false" outlineLevel="0" collapsed="false">
      <c r="A16" s="17" t="s">
        <v>145</v>
      </c>
      <c r="B16" s="17" t="s">
        <v>146</v>
      </c>
      <c r="C16" s="17" t="s">
        <v>136</v>
      </c>
      <c r="D16" s="17" t="s">
        <v>126</v>
      </c>
      <c r="E16" s="18" t="n">
        <v>46405</v>
      </c>
      <c r="F16" s="19" t="n">
        <v>12</v>
      </c>
      <c r="G16" s="18" t="n">
        <v>46412</v>
      </c>
      <c r="H16" s="18" t="n">
        <v>46430</v>
      </c>
      <c r="I16" s="20" t="n">
        <v>45000000</v>
      </c>
      <c r="J16" s="20" t="n">
        <v>51000000</v>
      </c>
      <c r="K16" s="21" t="n">
        <f aca="false">WORKDAY(E16,F16-1)</f>
        <v>46420</v>
      </c>
      <c r="L16" s="22" t="n">
        <f aca="false">NETWORKDAYS(G16,H16)</f>
        <v>15</v>
      </c>
      <c r="M16" s="22" t="n">
        <f aca="false">L16-F16</f>
        <v>3</v>
      </c>
      <c r="N16" s="23" t="str">
        <f aca="false">IF(M16&lt;0,"Lebih Cepat",IF(M16=0,"Tepat Waktu",IF(M16&lt;=$T$2,"Terlambat Ringan","Terlambat Berat")))</f>
        <v>Terlambat Ringan</v>
      </c>
      <c r="O16" s="24" t="n">
        <f aca="false">J16-I16</f>
        <v>6000000</v>
      </c>
      <c r="P16" s="25" t="n">
        <f aca="false">O16/I16</f>
        <v>0.133333333333333</v>
      </c>
      <c r="Q16" s="23" t="str">
        <f aca="false">IF(P16&gt;=$T$3,"Overbudget","Terkendali")</f>
        <v>Overbudget</v>
      </c>
    </row>
    <row r="17" customFormat="false" ht="15" hidden="false" customHeight="false" outlineLevel="0" collapsed="false">
      <c r="A17" s="17" t="s">
        <v>147</v>
      </c>
      <c r="B17" s="17" t="s">
        <v>148</v>
      </c>
      <c r="C17" s="17" t="s">
        <v>136</v>
      </c>
      <c r="D17" s="17" t="s">
        <v>149</v>
      </c>
      <c r="E17" s="18" t="n">
        <v>46413</v>
      </c>
      <c r="F17" s="19" t="n">
        <v>6</v>
      </c>
      <c r="G17" s="18" t="n">
        <v>46420</v>
      </c>
      <c r="H17" s="18" t="n">
        <v>46427</v>
      </c>
      <c r="I17" s="20" t="n">
        <v>15000000</v>
      </c>
      <c r="J17" s="20" t="n">
        <v>17500000</v>
      </c>
      <c r="K17" s="21" t="n">
        <f aca="false">WORKDAY(E17,F17-1)</f>
        <v>46420</v>
      </c>
      <c r="L17" s="22" t="n">
        <f aca="false">NETWORKDAYS(G17,H17)</f>
        <v>6</v>
      </c>
      <c r="M17" s="22" t="n">
        <f aca="false">L17-F17</f>
        <v>0</v>
      </c>
      <c r="N17" s="23" t="str">
        <f aca="false">IF(M17&lt;0,"Lebih Cepat",IF(M17=0,"Tepat Waktu",IF(M17&lt;=$T$2,"Terlambat Ringan","Terlambat Berat")))</f>
        <v>Tepat Waktu</v>
      </c>
      <c r="O17" s="24" t="n">
        <f aca="false">J17-I17</f>
        <v>2500000</v>
      </c>
      <c r="P17" s="25" t="n">
        <f aca="false">O17/I17</f>
        <v>0.166666666666667</v>
      </c>
      <c r="Q17" s="23" t="str">
        <f aca="false">IF(P17&gt;=$T$3,"Overbudget","Terkendali")</f>
        <v>Overbudget</v>
      </c>
    </row>
    <row r="18" customFormat="false" ht="15" hidden="false" customHeight="false" outlineLevel="0" collapsed="false">
      <c r="A18" s="17" t="s">
        <v>150</v>
      </c>
      <c r="B18" s="17" t="s">
        <v>151</v>
      </c>
      <c r="C18" s="17" t="s">
        <v>114</v>
      </c>
      <c r="D18" s="17" t="s">
        <v>149</v>
      </c>
      <c r="E18" s="18" t="n">
        <v>46416</v>
      </c>
      <c r="F18" s="19" t="n">
        <v>10</v>
      </c>
      <c r="G18" s="18" t="n">
        <v>46416</v>
      </c>
      <c r="H18" s="18" t="n">
        <v>46428</v>
      </c>
      <c r="I18" s="20" t="n">
        <v>30000000</v>
      </c>
      <c r="J18" s="20" t="n">
        <v>32500000</v>
      </c>
      <c r="K18" s="21" t="n">
        <f aca="false">WORKDAY(E18,F18-1)</f>
        <v>46429</v>
      </c>
      <c r="L18" s="22" t="n">
        <f aca="false">NETWORKDAYS(G18,H18)</f>
        <v>9</v>
      </c>
      <c r="M18" s="22" t="n">
        <f aca="false">L18-F18</f>
        <v>-1</v>
      </c>
      <c r="N18" s="23" t="str">
        <f aca="false">IF(M18&lt;0,"Lebih Cepat",IF(M18=0,"Tepat Waktu",IF(M18&lt;=$T$2,"Terlambat Ringan","Terlambat Berat")))</f>
        <v>Lebih Cepat</v>
      </c>
      <c r="O18" s="24" t="n">
        <f aca="false">J18-I18</f>
        <v>2500000</v>
      </c>
      <c r="P18" s="25" t="n">
        <f aca="false">O18/I18</f>
        <v>0.0833333333333333</v>
      </c>
      <c r="Q18" s="23" t="str">
        <f aca="false">IF(P18&gt;=$T$3,"Overbudget","Terkendali")</f>
        <v>Terkendali</v>
      </c>
    </row>
    <row r="19" customFormat="false" ht="15" hidden="false" customHeight="false" outlineLevel="0" collapsed="false">
      <c r="A19" s="17" t="s">
        <v>152</v>
      </c>
      <c r="B19" s="17" t="s">
        <v>153</v>
      </c>
      <c r="C19" s="17" t="s">
        <v>125</v>
      </c>
      <c r="D19" s="17" t="s">
        <v>149</v>
      </c>
      <c r="E19" s="18" t="n">
        <v>46427</v>
      </c>
      <c r="F19" s="19" t="n">
        <v>6</v>
      </c>
      <c r="G19" s="18" t="n">
        <v>46428</v>
      </c>
      <c r="H19" s="18" t="n">
        <v>46447</v>
      </c>
      <c r="I19" s="20" t="n">
        <v>20000000</v>
      </c>
      <c r="J19" s="20" t="n">
        <v>21500000</v>
      </c>
      <c r="K19" s="21" t="n">
        <f aca="false">WORKDAY(E19,F19-1)</f>
        <v>46434</v>
      </c>
      <c r="L19" s="22" t="n">
        <f aca="false">NETWORKDAYS(G19,H19)</f>
        <v>14</v>
      </c>
      <c r="M19" s="22" t="n">
        <f aca="false">L19-F19</f>
        <v>8</v>
      </c>
      <c r="N19" s="23" t="str">
        <f aca="false">IF(M19&lt;0,"Lebih Cepat",IF(M19=0,"Tepat Waktu",IF(M19&lt;=$T$2,"Terlambat Ringan","Terlambat Berat")))</f>
        <v>Terlambat Berat</v>
      </c>
      <c r="O19" s="24" t="n">
        <f aca="false">J19-I19</f>
        <v>1500000</v>
      </c>
      <c r="P19" s="25" t="n">
        <f aca="false">O19/I19</f>
        <v>0.075</v>
      </c>
      <c r="Q19" s="23" t="str">
        <f aca="false">IF(P19&gt;=$T$3,"Overbudget","Terkendali")</f>
        <v>Terkendali</v>
      </c>
    </row>
    <row r="20" customFormat="false" ht="15" hidden="false" customHeight="false" outlineLevel="0" collapsed="false">
      <c r="A20" s="17" t="s">
        <v>154</v>
      </c>
      <c r="B20" s="17" t="s">
        <v>155</v>
      </c>
      <c r="C20" s="17" t="s">
        <v>125</v>
      </c>
      <c r="D20" s="17" t="s">
        <v>149</v>
      </c>
      <c r="E20" s="18" t="n">
        <v>46430</v>
      </c>
      <c r="F20" s="19" t="n">
        <v>12</v>
      </c>
      <c r="G20" s="18" t="n">
        <v>46437</v>
      </c>
      <c r="H20" s="18" t="n">
        <v>46451</v>
      </c>
      <c r="I20" s="20" t="n">
        <v>12000000</v>
      </c>
      <c r="J20" s="20" t="n">
        <v>12000000</v>
      </c>
      <c r="K20" s="21" t="n">
        <f aca="false">WORKDAY(E20,F20-1)</f>
        <v>46447</v>
      </c>
      <c r="L20" s="22" t="n">
        <f aca="false">NETWORKDAYS(G20,H20)</f>
        <v>11</v>
      </c>
      <c r="M20" s="22" t="n">
        <f aca="false">L20-F20</f>
        <v>-1</v>
      </c>
      <c r="N20" s="23" t="str">
        <f aca="false">IF(M20&lt;0,"Lebih Cepat",IF(M20=0,"Tepat Waktu",IF(M20&lt;=$T$2,"Terlambat Ringan","Terlambat Berat")))</f>
        <v>Lebih Cepat</v>
      </c>
      <c r="O20" s="24" t="n">
        <f aca="false">J20-I20</f>
        <v>0</v>
      </c>
      <c r="P20" s="25" t="n">
        <f aca="false">O20/I20</f>
        <v>0</v>
      </c>
      <c r="Q20" s="23" t="str">
        <f aca="false">IF(P20&gt;=$T$3,"Overbudget","Terkendali")</f>
        <v>Terkendali</v>
      </c>
    </row>
    <row r="21" customFormat="false" ht="15" hidden="false" customHeight="false" outlineLevel="0" collapsed="false">
      <c r="A21" s="17" t="s">
        <v>156</v>
      </c>
      <c r="B21" s="17" t="s">
        <v>157</v>
      </c>
      <c r="C21" s="17" t="s">
        <v>114</v>
      </c>
      <c r="D21" s="17" t="s">
        <v>149</v>
      </c>
      <c r="E21" s="18" t="n">
        <v>46440</v>
      </c>
      <c r="F21" s="19" t="n">
        <v>12</v>
      </c>
      <c r="G21" s="18" t="n">
        <v>46442</v>
      </c>
      <c r="H21" s="18" t="n">
        <v>46458</v>
      </c>
      <c r="I21" s="20" t="n">
        <v>60000000</v>
      </c>
      <c r="J21" s="20" t="n">
        <v>69500000</v>
      </c>
      <c r="K21" s="21" t="n">
        <f aca="false">WORKDAY(E21,F21-1)</f>
        <v>46455</v>
      </c>
      <c r="L21" s="22" t="n">
        <f aca="false">NETWORKDAYS(G21,H21)</f>
        <v>13</v>
      </c>
      <c r="M21" s="22" t="n">
        <f aca="false">L21-F21</f>
        <v>1</v>
      </c>
      <c r="N21" s="23" t="str">
        <f aca="false">IF(M21&lt;0,"Lebih Cepat",IF(M21=0,"Tepat Waktu",IF(M21&lt;=$T$2,"Terlambat Ringan","Terlambat Berat")))</f>
        <v>Terlambat Ringan</v>
      </c>
      <c r="O21" s="24" t="n">
        <f aca="false">J21-I21</f>
        <v>9500000</v>
      </c>
      <c r="P21" s="25" t="n">
        <f aca="false">O21/I21</f>
        <v>0.158333333333333</v>
      </c>
      <c r="Q21" s="23" t="str">
        <f aca="false">IF(P21&gt;=$T$3,"Overbudget","Terkendali")</f>
        <v>Overbudget</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9"/>
    <col collapsed="false" customWidth="true" hidden="false" outlineLevel="0" max="5" min="4" style="0" width="18"/>
  </cols>
  <sheetData>
    <row r="1" customFormat="false" ht="33.75" hidden="false" customHeight="true" outlineLevel="0" collapsed="false">
      <c r="A1" s="11" t="s">
        <v>90</v>
      </c>
      <c r="B1" s="15" t="s">
        <v>158</v>
      </c>
      <c r="C1" s="15" t="s">
        <v>159</v>
      </c>
      <c r="D1" s="15" t="s">
        <v>160</v>
      </c>
      <c r="E1" s="15" t="s">
        <v>161</v>
      </c>
    </row>
    <row r="2" customFormat="false" ht="15" hidden="false" customHeight="false" outlineLevel="0" collapsed="false">
      <c r="A2" s="17" t="s">
        <v>110</v>
      </c>
      <c r="B2" s="22" t="n">
        <f aca="false">COUNTIF(Data!$D$2:$D$21,A2)</f>
        <v>5</v>
      </c>
      <c r="C2" s="24" t="n">
        <f aca="false">SUMIF(Data!$D$2:$D$21,A2,Data!$I$2:$I$21)</f>
        <v>230000000</v>
      </c>
      <c r="D2" s="24" t="n">
        <f aca="false">SUMIF(Data!$D$2:$D$21,A2,Data!$J$2:$J$21)</f>
        <v>275000000</v>
      </c>
      <c r="E2" s="25" t="n">
        <f aca="false">(D2-C2)/C2</f>
        <v>0.195652173913044</v>
      </c>
    </row>
    <row r="3" customFormat="false" ht="15" hidden="false" customHeight="false" outlineLevel="0" collapsed="false">
      <c r="A3" s="17" t="s">
        <v>126</v>
      </c>
      <c r="B3" s="22" t="n">
        <f aca="false">COUNTIF(Data!$D$2:$D$21,A3)</f>
        <v>10</v>
      </c>
      <c r="C3" s="24" t="n">
        <f aca="false">SUMIF(Data!$D$2:$D$21,A3,Data!$I$2:$I$21)</f>
        <v>477000000</v>
      </c>
      <c r="D3" s="24" t="n">
        <f aca="false">SUMIF(Data!$D$2:$D$21,A3,Data!$J$2:$J$21)</f>
        <v>512000000</v>
      </c>
      <c r="E3" s="25" t="n">
        <f aca="false">(D3-C3)/C3</f>
        <v>0.0733752620545073</v>
      </c>
    </row>
    <row r="4" customFormat="false" ht="15" hidden="false" customHeight="false" outlineLevel="0" collapsed="false">
      <c r="A4" s="17" t="s">
        <v>149</v>
      </c>
      <c r="B4" s="22" t="n">
        <f aca="false">COUNTIF(Data!$D$2:$D$21,A4)</f>
        <v>5</v>
      </c>
      <c r="C4" s="24" t="n">
        <f aca="false">SUMIF(Data!$D$2:$D$21,A4,Data!$I$2:$I$21)</f>
        <v>137000000</v>
      </c>
      <c r="D4" s="24" t="n">
        <f aca="false">SUMIF(Data!$D$2:$D$21,A4,Data!$J$2:$J$21)</f>
        <v>153000000</v>
      </c>
      <c r="E4" s="25" t="n">
        <f aca="false">(D4-C4)/C4</f>
        <v>0.116788321167883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162</v>
      </c>
      <c r="B1" s="29"/>
      <c r="C1" s="29"/>
      <c r="D1" s="29"/>
    </row>
    <row r="2" customFormat="false" ht="15" hidden="false" customHeight="false" outlineLevel="0" collapsed="false">
      <c r="A2" s="30" t="s">
        <v>163</v>
      </c>
      <c r="B2" s="30"/>
      <c r="C2" s="30"/>
      <c r="D2" s="30"/>
    </row>
    <row r="3" customFormat="false" ht="15" hidden="false" customHeight="false" outlineLevel="0" collapsed="false">
      <c r="A3" s="11" t="s">
        <v>19</v>
      </c>
      <c r="B3" s="11" t="s">
        <v>164</v>
      </c>
      <c r="C3" s="11" t="s">
        <v>165</v>
      </c>
      <c r="D3" s="11" t="s">
        <v>166</v>
      </c>
    </row>
    <row r="4" customFormat="false" ht="15" hidden="false" customHeight="false" outlineLevel="0" collapsed="false">
      <c r="A4" s="31" t="s">
        <v>167</v>
      </c>
      <c r="B4" s="32" t="s">
        <v>168</v>
      </c>
      <c r="C4" s="24" t="n">
        <f aca="false">SUM(Data!$I$2:$I$21)</f>
        <v>844000000</v>
      </c>
      <c r="D4" s="33" t="s">
        <v>169</v>
      </c>
    </row>
    <row r="5" customFormat="false" ht="15" hidden="false" customHeight="false" outlineLevel="0" collapsed="false">
      <c r="A5" s="31" t="s">
        <v>170</v>
      </c>
      <c r="B5" s="32" t="s">
        <v>171</v>
      </c>
      <c r="C5" s="24" t="n">
        <f aca="false">SUM(Data!$J$2:$J$21)</f>
        <v>940000000</v>
      </c>
      <c r="D5" s="33" t="s">
        <v>172</v>
      </c>
    </row>
    <row r="6" customFormat="false" ht="15" hidden="false" customHeight="false" outlineLevel="0" collapsed="false">
      <c r="A6" s="31" t="s">
        <v>173</v>
      </c>
      <c r="B6" s="32" t="s">
        <v>174</v>
      </c>
      <c r="C6" s="24" t="n">
        <f aca="false">C5-C4</f>
        <v>96000000</v>
      </c>
      <c r="D6" s="33" t="s">
        <v>175</v>
      </c>
    </row>
    <row r="7" customFormat="false" ht="15" hidden="false" customHeight="false" outlineLevel="0" collapsed="false">
      <c r="A7" s="31" t="s">
        <v>176</v>
      </c>
      <c r="B7" s="32" t="s">
        <v>177</v>
      </c>
      <c r="C7" s="25" t="n">
        <f aca="false">(C5-C4)/C4</f>
        <v>0.113744075829384</v>
      </c>
      <c r="D7" s="33" t="s">
        <v>178</v>
      </c>
    </row>
    <row r="8" customFormat="false" ht="15" hidden="false" customHeight="false" outlineLevel="0" collapsed="false">
      <c r="A8" s="31" t="s">
        <v>179</v>
      </c>
      <c r="B8" s="32" t="s">
        <v>180</v>
      </c>
      <c r="C8" s="22" t="n">
        <f aca="false">COUNTIF(Data!$N$2:$N$21,"Lebih Cepat")</f>
        <v>3</v>
      </c>
      <c r="D8" s="33" t="s">
        <v>181</v>
      </c>
    </row>
    <row r="9" customFormat="false" ht="15" hidden="false" customHeight="false" outlineLevel="0" collapsed="false">
      <c r="A9" s="31" t="s">
        <v>182</v>
      </c>
      <c r="B9" s="32" t="s">
        <v>183</v>
      </c>
      <c r="C9" s="22" t="n">
        <f aca="false">COUNTIF(Data!$N$2:$N$21,"Tepat Waktu")</f>
        <v>5</v>
      </c>
      <c r="D9" s="33" t="s">
        <v>184</v>
      </c>
    </row>
    <row r="10" customFormat="false" ht="15" hidden="false" customHeight="false" outlineLevel="0" collapsed="false">
      <c r="A10" s="31" t="s">
        <v>185</v>
      </c>
      <c r="B10" s="32" t="s">
        <v>186</v>
      </c>
      <c r="C10" s="22" t="n">
        <f aca="false">COUNTIF(Data!$N$2:$N$21,"Terlambat Ringan")+COUNTIF(Data!$N$2:$N$21,"Terlambat Berat")</f>
        <v>12</v>
      </c>
      <c r="D10" s="33" t="s">
        <v>187</v>
      </c>
    </row>
    <row r="11" customFormat="false" ht="15" hidden="false" customHeight="false" outlineLevel="0" collapsed="false">
      <c r="A11" s="31" t="s">
        <v>188</v>
      </c>
      <c r="B11" s="32" t="s">
        <v>189</v>
      </c>
      <c r="C11" s="23" t="str">
        <f aca="false">INDEX(Data!$B$2:$B$21,MATCH(MAX(Data!$M$2:$M$21),Data!$M$2:$M$21,0))</f>
        <v>Pemeriksaan akhir</v>
      </c>
      <c r="D11" s="33" t="s">
        <v>190</v>
      </c>
    </row>
    <row r="12" customFormat="false" ht="15" hidden="false" customHeight="false" outlineLevel="0" collapsed="false">
      <c r="A12" s="31" t="s">
        <v>191</v>
      </c>
      <c r="B12" s="32" t="s">
        <v>192</v>
      </c>
      <c r="C12" s="23" t="str">
        <f aca="false">INDEX(Acuan!$A$2:$A$4,MATCH(MAX(Acuan!$E$2:$E$4),Acuan!$E$2:$E$4,0))</f>
        <v>Persiapan</v>
      </c>
      <c r="D12" s="33" t="s">
        <v>193</v>
      </c>
    </row>
    <row r="13" customFormat="false" ht="15" hidden="false" customHeight="false" outlineLevel="0" collapsed="false">
      <c r="A13" s="31" t="s">
        <v>194</v>
      </c>
      <c r="B13" s="32" t="s">
        <v>195</v>
      </c>
      <c r="C13" s="21" t="n">
        <f aca="false">MIN(Data!$G$2:$G$21)</f>
        <v>46332</v>
      </c>
      <c r="D13" s="33" t="s">
        <v>196</v>
      </c>
    </row>
    <row r="14" customFormat="false" ht="15" hidden="false" customHeight="false" outlineLevel="0" collapsed="false">
      <c r="A14" s="31" t="s">
        <v>197</v>
      </c>
      <c r="B14" s="32" t="s">
        <v>198</v>
      </c>
      <c r="C14" s="21" t="n">
        <f aca="false">MAX(Data!$H$2:$H$21)</f>
        <v>46458</v>
      </c>
      <c r="D14" s="33" t="s">
        <v>196</v>
      </c>
    </row>
    <row r="15" customFormat="false" ht="15" hidden="false" customHeight="false" outlineLevel="0" collapsed="false">
      <c r="A15" s="31" t="s">
        <v>199</v>
      </c>
      <c r="B15" s="32" t="s">
        <v>200</v>
      </c>
      <c r="C15" s="22" t="n">
        <f aca="false">SUM(Data!$L$2:$L$21)</f>
        <v>195</v>
      </c>
      <c r="D15" s="33" t="s">
        <v>201</v>
      </c>
    </row>
    <row r="16" customFormat="false" ht="15" hidden="false" customHeight="false" outlineLevel="0" collapsed="false">
      <c r="A16" s="31" t="s">
        <v>202</v>
      </c>
      <c r="B16" s="32" t="s">
        <v>203</v>
      </c>
      <c r="C16" s="22" t="n">
        <f aca="false">COUNTIFS(Data!$D$2:$D$21,"Pelaksanaan",Data!$Q$2:$Q$21,"Overbudget")</f>
        <v>5</v>
      </c>
      <c r="D16" s="33" t="s">
        <v>181</v>
      </c>
    </row>
    <row r="17" customFormat="false" ht="15" hidden="false" customHeight="false" outlineLevel="0" collapsed="false">
      <c r="A17" s="31" t="s">
        <v>204</v>
      </c>
      <c r="B17" s="32" t="s">
        <v>205</v>
      </c>
      <c r="C17" s="22" t="n">
        <f aca="false">SUMIF(Data!$C$2:$C$21,"Dimas Kurniawan",Data!$M$2:$M$21)</f>
        <v>6</v>
      </c>
      <c r="D17" s="33" t="s">
        <v>206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2026-10-14T23:34:21Z</dcterms:created>
  <dc:creator>PushExcel</dc:creator>
  <dc:description/>
  <dc:language>en-US</dc:language>
  <cp:lastModifiedBy/>
  <dcterms:modified xsi:type="dcterms:W3CDTF">2026-10-14T23:34:21Z</dcterms:modified>
  <cp:revision>0</cp:revision>
  <dc:subject/>
  <dc:title>Jadwal dan Biaya Proyek Renovasi - Kunci</dc:title>
</cp:coreProperties>
</file>

<file path=docProps/custom.xml><?xml version="1.0" encoding="utf-8"?>
<Properties xmlns="http://schemas.openxmlformats.org/officeDocument/2006/custom-properties" xmlns:vt="http://schemas.openxmlformats.org/officeDocument/2006/docPropsVTypes"/>
</file>