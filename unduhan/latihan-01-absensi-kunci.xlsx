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Ringkasa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<sst xmlns="http://schemas.openxmlformats.org/spreadsheetml/2006/main" count="136" uniqueCount="129">
  <si>
    <t xml:space="preserve">Kunci Jawaban: Absensi dan Uang Makan Pegawai</t>
  </si>
  <si>
    <t xml:space="preserve">Latihan 1 dari 104  |  Tingkat: Pemula  |  Perkiraan waktu: 30 menit  |  pushexcel.github.io/Pushexcel</t>
  </si>
  <si>
    <t xml:space="preserve">Skenario</t>
  </si>
  <si>
    <t xml:space="preserve">Kamu admin di CV Maju Sentosa. Awal bulan, atasan meminta rekap absensi bulan September 2026 untuk 20 pegawai. Dari rekap itu kamu menghitung persentase kehadiran, memberi predikat, lalu menghitung uang makan setelah dipotong alpa dan keterlambatan. Hari kerja bulan ini ada 22 hari.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</si>
  <si>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</si>
  <si>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</si>
  <si>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</si>
  <si>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</si>
  <si>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</si>
  <si>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</si>
  <si>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</si>
  <si>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</si>
  <si>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</si>
  <si>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</si>
  <si>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</si>
  <si>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</si>
  <si>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</si>
  <si>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</si>
  <si>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</si>
  <si>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</si>
  <si>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</si>
  <si>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</si>
  <si>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</si>
  <si>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</si>
  <si>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hari tercatat tiap pegawai (hadir + sakit + izin + alpa). Hasilnya harus sama dengan hari kerja bulan ini.</t>
  </si>
  <si>
    <t xml:space="preserve">Sheet Data, kolom H (Total Hari Tercatat), baris 2 sampai 21</t>
  </si>
  <si>
    <t xml:space="preserve">=SUM(C2:F2)</t>
  </si>
  <si>
    <t xml:space="preserve">2</t>
  </si>
  <si>
    <t xml:space="preserve">Hitung persentase kehadiran: hari hadir dibagi hari kerja bulan ini.</t>
  </si>
  <si>
    <t xml:space="preserve">Sheet Data, kolom I (Persentase Kehadiran), baris 2 sampai 21</t>
  </si>
  <si>
    <t xml:space="preserve">=C2/$R$2</t>
  </si>
  <si>
    <t xml:space="preserve">3</t>
  </si>
  <si>
    <t xml:space="preserve">Tentukan predikat. Sangat Baik bila kehadiran sama dengan atau di atas batas Sangat Baik, Baik bila sama dengan atau di atas batas Baik, selain itu Perlu Pembinaan.</t>
  </si>
  <si>
    <t xml:space="preserve">Sheet Data, kolom J (Predikat), baris 2 sampai 21</t>
  </si>
  <si>
    <t xml:space="preserve">=IF(I2&gt;=$R$6;"Sangat Baik";IF(I2&gt;=$R$7;"Baik";"Perlu Pembinaan"))</t>
  </si>
  <si>
    <t xml:space="preserve">4</t>
  </si>
  <si>
    <t xml:space="preserve">Hitung uang makan: hari hadir dikalikan uang makan per hari.</t>
  </si>
  <si>
    <t xml:space="preserve">Sheet Data, kolom K (Uang Makan), baris 2 sampai 21</t>
  </si>
  <si>
    <t xml:space="preserve">=C2*$R$3</t>
  </si>
  <si>
    <t xml:space="preserve">5</t>
  </si>
  <si>
    <t xml:space="preserve">Hitung potongan alpa: jumlah hari alpa dikalikan potongan per hari alpa.</t>
  </si>
  <si>
    <t xml:space="preserve">Sheet Data, kolom L (Potongan Alpa), baris 2 sampai 21</t>
  </si>
  <si>
    <t xml:space="preserve">=F2*$R$4</t>
  </si>
  <si>
    <t xml:space="preserve">6</t>
  </si>
  <si>
    <t xml:space="preserve">Hitung potongan keterlambatan: jumlah keterlambatan dikalikan potongan per kali.</t>
  </si>
  <si>
    <t xml:space="preserve">Sheet Data, kolom M (Potongan Terlambat), baris 2 sampai 21</t>
  </si>
  <si>
    <t xml:space="preserve">=G2*$R$5</t>
  </si>
  <si>
    <t xml:space="preserve">7</t>
  </si>
  <si>
    <t xml:space="preserve">Hitung total yang diterima: uang makan dikurangi potongan alpa dan potongan keterlambatan.</t>
  </si>
  <si>
    <t xml:space="preserve">Sheet Data, kolom N (Total Diterima), baris 2 sampai 21</t>
  </si>
  <si>
    <t xml:space="preserve">=K2-L2-M2</t>
  </si>
  <si>
    <t xml:space="preserve">8</t>
  </si>
  <si>
    <t xml:space="preserve">Beri peringkat kehadiran, dari persentase tertinggi (peringkat 1). Pegawai dengan persentase sama mendapat peringkat sama.</t>
  </si>
  <si>
    <t xml:space="preserve">Sheet Data, kolom O (Peringkat Kehadiran), baris 2 sampai 21</t>
  </si>
  <si>
    <t xml:space="preserve">=RANK(I2;$I$2:$I$21)</t>
  </si>
  <si>
    <t xml:space="preserve">9</t>
  </si>
  <si>
    <t xml:space="preserve">Hitung rata-rata persentase kehadiran seluruh pegawai.</t>
  </si>
  <si>
    <t xml:space="preserve">Sheet Ringkasan, sel C4</t>
  </si>
  <si>
    <t xml:space="preserve">=AVERAGE(Data!$I$2:$I$21)</t>
  </si>
  <si>
    <t xml:space="preserve">10</t>
  </si>
  <si>
    <t xml:space="preserve">Berapa pegawai yang berpredikat Perlu Pembinaan?</t>
  </si>
  <si>
    <t xml:space="preserve">Sheet Ringkasan, sel C5</t>
  </si>
  <si>
    <t xml:space="preserve">=COUNTIF(Data!$J$2:$J$21;"Perlu Pembinaan")</t>
  </si>
  <si>
    <t xml:space="preserve">11</t>
  </si>
  <si>
    <t xml:space="preserve">Berapa total uang makan bersih yang harus disiapkan perusahaan untuk seluruh pegawai?</t>
  </si>
  <si>
    <t xml:space="preserve">Sheet Ringkasan, sel C6</t>
  </si>
  <si>
    <t xml:space="preserve">=SUM(Data!$N$2:$N$21)</t>
  </si>
  <si>
    <t xml:space="preserve">12</t>
  </si>
  <si>
    <t xml:space="preserve">Siapa pegawai dengan hari alpa terbanyak?</t>
  </si>
  <si>
    <t xml:space="preserve">Sheet Ringkasan, sel C7</t>
  </si>
  <si>
    <t xml:space="preserve">=INDEX(Data!$B$2:$B$21;MATCH(MAX(Data!$F$2:$F$21);Data!$F$2:$F$21;0))</t>
  </si>
  <si>
    <t xml:space="preserve">Nama Pegawai</t>
  </si>
  <si>
    <t xml:space="preserve">Hadir (hari)</t>
  </si>
  <si>
    <t xml:space="preserve">Sakit (hari)</t>
  </si>
  <si>
    <t xml:space="preserve">Izin (hari)</t>
  </si>
  <si>
    <t xml:space="preserve">Alpa (hari)</t>
  </si>
  <si>
    <t xml:space="preserve">Terlambat (kali)</t>
  </si>
  <si>
    <t xml:space="preserve">Total Hari Tercatat</t>
  </si>
  <si>
    <t xml:space="preserve">Persentase Kehadiran</t>
  </si>
  <si>
    <t xml:space="preserve">Predikat</t>
  </si>
  <si>
    <t xml:space="preserve">Uang Makan</t>
  </si>
  <si>
    <t xml:space="preserve">Potongan Alpa</t>
  </si>
  <si>
    <t xml:space="preserve">Potongan Terlambat</t>
  </si>
  <si>
    <t xml:space="preserve">Total Diterima</t>
  </si>
  <si>
    <t xml:space="preserve">Peringkat Kehadiran</t>
  </si>
  <si>
    <t xml:space="preserve">Parameter</t>
  </si>
  <si>
    <t xml:space="preserve">Nilai</t>
  </si>
  <si>
    <t xml:space="preserve">Keterangan</t>
  </si>
  <si>
    <t xml:space="preserve">Tika Handayani</t>
  </si>
  <si>
    <t xml:space="preserve">Hari kerja bulan ini</t>
  </si>
  <si>
    <t xml:space="preserve">Jumlah hari kerja efektif</t>
  </si>
  <si>
    <t xml:space="preserve">Kartika Wibowo</t>
  </si>
  <si>
    <t xml:space="preserve">Uang makan per hari hadir</t>
  </si>
  <si>
    <t xml:space="preserve">Zahra Nugroho</t>
  </si>
  <si>
    <t xml:space="preserve">Potongan per hari alpa</t>
  </si>
  <si>
    <t xml:space="preserve">Joko Purnomo</t>
  </si>
  <si>
    <t xml:space="preserve">Potongan per kali terlambat</t>
  </si>
  <si>
    <t xml:space="preserve">Arif Utomo</t>
  </si>
  <si>
    <t xml:space="preserve">Batas predikat Sangat Baik</t>
  </si>
  <si>
    <t xml:space="preserve">Kehadiran sama dengan atau di atas nilai ini</t>
  </si>
  <si>
    <t xml:space="preserve">Wati Anggraini</t>
  </si>
  <si>
    <t xml:space="preserve">Batas predikat Baik</t>
  </si>
  <si>
    <t xml:space="preserve">Kartika Nugroho</t>
  </si>
  <si>
    <t xml:space="preserve">Vina Setiawan</t>
  </si>
  <si>
    <t xml:space="preserve">Lukman Susanto</t>
  </si>
  <si>
    <t xml:space="preserve">Arif Setiawan</t>
  </si>
  <si>
    <t xml:space="preserve">Lia Firmansyah</t>
  </si>
  <si>
    <t xml:space="preserve">Wawan Syahputra</t>
  </si>
  <si>
    <t xml:space="preserve">Wahyu Pratama</t>
  </si>
  <si>
    <t xml:space="preserve">Ahmad Rahayu</t>
  </si>
  <si>
    <t xml:space="preserve">Anwar Wijaya</t>
  </si>
  <si>
    <t xml:space="preserve">Edi Syahputra</t>
  </si>
  <si>
    <t xml:space="preserve">Eko Kurniawan</t>
  </si>
  <si>
    <t xml:space="preserve">Wati Hidayat</t>
  </si>
  <si>
    <t xml:space="preserve">Indah Firmansyah</t>
  </si>
  <si>
    <t xml:space="preserve">Lukman Saputra</t>
  </si>
  <si>
    <t xml:space="preserve">Ringkasan: lembar jawaban soal berjenis ringkasan</t>
  </si>
  <si>
    <t xml:space="preserve">Sel hijau berisi rumus kunci.</t>
  </si>
  <si>
    <t xml:space="preserve">Pertanyaan</t>
  </si>
  <si>
    <t xml:space="preserve">Jawaban</t>
  </si>
  <si>
    <t xml:space="preserve">Contoh format hasil</t>
  </si>
  <si>
    <t xml:space="preserve">Rata-rata persentase kehadiran seluruh pegawai</t>
  </si>
  <si>
    <t xml:space="preserve">Persen, mis. 93,2%</t>
  </si>
  <si>
    <t xml:space="preserve">Jumlah pegawai berpredikat Perlu Pembinaan</t>
  </si>
  <si>
    <t xml:space="preserve">Angka bulat, mis. 4</t>
  </si>
  <si>
    <t xml:space="preserve">Total uang makan bersih seluruh pegawai</t>
  </si>
  <si>
    <t xml:space="preserve">Rupiah, mis. Rp 9.800.000</t>
  </si>
  <si>
    <t xml:space="preserve">Nama pegawai dengan alpa terbanyak</t>
  </si>
  <si>
    <t xml:space="preserve">Teks: nama pegawai</t>
  </si>
</sst>
</file>

<file path=xl/styles.xml><?xml version="1.0" encoding="utf-8"?>
<styleSheet xmlns="http://schemas.openxmlformats.org/spreadsheetml/2006/main">
  <numFmts count="5">
    <numFmt numFmtId="164" formatCode="General"/>
    <numFmt numFmtId="165" formatCode="0"/>
    <numFmt numFmtId="166" formatCode="0.0%"/>
    <numFmt numFmtId="167" formatCode="&quot;Rp &quot;#,##0"/>
    <numFmt numFmtId="168"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42"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42"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6" min="3" style="0" width="11"/>
    <col collapsed="false" customWidth="true" hidden="false" outlineLevel="0" max="7" min="7" style="0" width="12"/>
    <col collapsed="false" customWidth="true" hidden="false" outlineLevel="0" max="9" min="8" style="0" width="14"/>
    <col collapsed="false" customWidth="true" hidden="false" outlineLevel="0" max="10" min="10" style="0" width="18"/>
    <col collapsed="false" customWidth="true" hidden="false" outlineLevel="0" max="14" min="11" style="0" width="14"/>
    <col collapsed="false" customWidth="true" hidden="false" outlineLevel="0" max="15" min="15" style="0" width="13"/>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2" t="s">
        <v>19</v>
      </c>
      <c r="B1" s="12" t="s">
        <v>71</v>
      </c>
      <c r="C1" s="12" t="s">
        <v>72</v>
      </c>
      <c r="D1" s="12" t="s">
        <v>73</v>
      </c>
      <c r="E1" s="12" t="s">
        <v>74</v>
      </c>
      <c r="F1" s="12" t="s">
        <v>75</v>
      </c>
      <c r="G1" s="12" t="s">
        <v>76</v>
      </c>
      <c r="H1" s="16" t="s">
        <v>77</v>
      </c>
      <c r="I1" s="16" t="s">
        <v>78</v>
      </c>
      <c r="J1" s="16" t="s">
        <v>79</v>
      </c>
      <c r="K1" s="16" t="s">
        <v>80</v>
      </c>
      <c r="L1" s="16" t="s">
        <v>81</v>
      </c>
      <c r="M1" s="16" t="s">
        <v>82</v>
      </c>
      <c r="N1" s="16" t="s">
        <v>83</v>
      </c>
      <c r="O1" s="16" t="s">
        <v>84</v>
      </c>
      <c r="Q1" s="17" t="s">
        <v>85</v>
      </c>
      <c r="R1" s="17" t="s">
        <v>86</v>
      </c>
      <c r="S1" s="17" t="s">
        <v>87</v>
      </c>
    </row>
    <row r="2" customFormat="false" ht="15" hidden="false" customHeight="false" outlineLevel="0" collapsed="false">
      <c r="A2" s="18" t="n">
        <v>1</v>
      </c>
      <c r="B2" s="19" t="s">
        <v>88</v>
      </c>
      <c r="C2" s="18" t="n">
        <v>21</v>
      </c>
      <c r="D2" s="18" t="n">
        <v>1</v>
      </c>
      <c r="E2" s="18" t="n">
        <v>0</v>
      </c>
      <c r="F2" s="18" t="n">
        <v>0</v>
      </c>
      <c r="G2" s="18" t="n">
        <v>0</v>
      </c>
      <c r="H2" s="20" t="n">
        <f aca="false">SUM(C2:F2)</f>
        <v>22</v>
      </c>
      <c r="I2" s="21" t="n">
        <f aca="false">C2/$R$2</f>
        <v>0.954545454545455</v>
      </c>
      <c r="J2" s="22" t="str">
        <f aca="false">IF(I2&gt;=$R$6,"Sangat Baik",IF(I2&gt;=$R$7,"Baik","Perlu Pembinaan"))</f>
        <v>Sangat Baik</v>
      </c>
      <c r="K2" s="23" t="n">
        <f aca="false">C2*$R$3</f>
        <v>525000</v>
      </c>
      <c r="L2" s="23" t="n">
        <f aca="false">F2*$R$4</f>
        <v>0</v>
      </c>
      <c r="M2" s="23" t="n">
        <f aca="false">G2*$R$5</f>
        <v>0</v>
      </c>
      <c r="N2" s="23" t="n">
        <f aca="false">K2-L2-M2</f>
        <v>525000</v>
      </c>
      <c r="O2" s="20" t="n">
        <f aca="false">RANK(I2,$I$2:$I$21)</f>
        <v>2</v>
      </c>
      <c r="Q2" s="24" t="s">
        <v>89</v>
      </c>
      <c r="R2" s="25" t="n">
        <v>22</v>
      </c>
      <c r="S2" s="26" t="s">
        <v>90</v>
      </c>
    </row>
    <row r="3" customFormat="false" ht="15" hidden="false" customHeight="false" outlineLevel="0" collapsed="false">
      <c r="A3" s="18" t="n">
        <v>2</v>
      </c>
      <c r="B3" s="19" t="s">
        <v>91</v>
      </c>
      <c r="C3" s="18" t="n">
        <v>21</v>
      </c>
      <c r="D3" s="18" t="n">
        <v>1</v>
      </c>
      <c r="E3" s="18" t="n">
        <v>0</v>
      </c>
      <c r="F3" s="18" t="n">
        <v>0</v>
      </c>
      <c r="G3" s="18" t="n">
        <v>6</v>
      </c>
      <c r="H3" s="20" t="n">
        <f aca="false">SUM(C3:F3)</f>
        <v>22</v>
      </c>
      <c r="I3" s="21" t="n">
        <f aca="false">C3/$R$2</f>
        <v>0.954545454545455</v>
      </c>
      <c r="J3" s="22" t="str">
        <f aca="false">IF(I3&gt;=$R$6,"Sangat Baik",IF(I3&gt;=$R$7,"Baik","Perlu Pembinaan"))</f>
        <v>Sangat Baik</v>
      </c>
      <c r="K3" s="23" t="n">
        <f aca="false">C3*$R$3</f>
        <v>525000</v>
      </c>
      <c r="L3" s="23" t="n">
        <f aca="false">F3*$R$4</f>
        <v>0</v>
      </c>
      <c r="M3" s="23" t="n">
        <f aca="false">G3*$R$5</f>
        <v>30000</v>
      </c>
      <c r="N3" s="23" t="n">
        <f aca="false">K3-L3-M3</f>
        <v>495000</v>
      </c>
      <c r="O3" s="20" t="n">
        <f aca="false">RANK(I3,$I$2:$I$21)</f>
        <v>2</v>
      </c>
      <c r="Q3" s="24" t="s">
        <v>92</v>
      </c>
      <c r="R3" s="27" t="n">
        <v>25000</v>
      </c>
      <c r="S3" s="26"/>
    </row>
    <row r="4" customFormat="false" ht="15" hidden="false" customHeight="false" outlineLevel="0" collapsed="false">
      <c r="A4" s="18" t="n">
        <v>3</v>
      </c>
      <c r="B4" s="19" t="s">
        <v>93</v>
      </c>
      <c r="C4" s="18" t="n">
        <v>20</v>
      </c>
      <c r="D4" s="18" t="n">
        <v>1</v>
      </c>
      <c r="E4" s="18" t="n">
        <v>0</v>
      </c>
      <c r="F4" s="18" t="n">
        <v>1</v>
      </c>
      <c r="G4" s="18" t="n">
        <v>2</v>
      </c>
      <c r="H4" s="20" t="n">
        <f aca="false">SUM(C4:F4)</f>
        <v>22</v>
      </c>
      <c r="I4" s="21" t="n">
        <f aca="false">C4/$R$2</f>
        <v>0.909090909090909</v>
      </c>
      <c r="J4" s="22" t="str">
        <f aca="false">IF(I4&gt;=$R$6,"Sangat Baik",IF(I4&gt;=$R$7,"Baik","Perlu Pembinaan"))</f>
        <v>Baik</v>
      </c>
      <c r="K4" s="23" t="n">
        <f aca="false">C4*$R$3</f>
        <v>500000</v>
      </c>
      <c r="L4" s="23" t="n">
        <f aca="false">F4*$R$4</f>
        <v>50000</v>
      </c>
      <c r="M4" s="23" t="n">
        <f aca="false">G4*$R$5</f>
        <v>10000</v>
      </c>
      <c r="N4" s="23" t="n">
        <f aca="false">K4-L4-M4</f>
        <v>440000</v>
      </c>
      <c r="O4" s="20" t="n">
        <f aca="false">RANK(I4,$I$2:$I$21)</f>
        <v>12</v>
      </c>
      <c r="Q4" s="24" t="s">
        <v>94</v>
      </c>
      <c r="R4" s="27" t="n">
        <v>50000</v>
      </c>
      <c r="S4" s="26"/>
    </row>
    <row r="5" customFormat="false" ht="15" hidden="false" customHeight="false" outlineLevel="0" collapsed="false">
      <c r="A5" s="18" t="n">
        <v>4</v>
      </c>
      <c r="B5" s="19" t="s">
        <v>95</v>
      </c>
      <c r="C5" s="18" t="n">
        <v>19</v>
      </c>
      <c r="D5" s="18" t="n">
        <v>0</v>
      </c>
      <c r="E5" s="18" t="n">
        <v>2</v>
      </c>
      <c r="F5" s="18" t="n">
        <v>1</v>
      </c>
      <c r="G5" s="18" t="n">
        <v>0</v>
      </c>
      <c r="H5" s="20" t="n">
        <f aca="false">SUM(C5:F5)</f>
        <v>22</v>
      </c>
      <c r="I5" s="21" t="n">
        <f aca="false">C5/$R$2</f>
        <v>0.863636363636364</v>
      </c>
      <c r="J5" s="22" t="str">
        <f aca="false">IF(I5&gt;=$R$6,"Sangat Baik",IF(I5&gt;=$R$7,"Baik","Perlu Pembinaan"))</f>
        <v>Perlu Pembinaan</v>
      </c>
      <c r="K5" s="23" t="n">
        <f aca="false">C5*$R$3</f>
        <v>475000</v>
      </c>
      <c r="L5" s="23" t="n">
        <f aca="false">F5*$R$4</f>
        <v>50000</v>
      </c>
      <c r="M5" s="23" t="n">
        <f aca="false">G5*$R$5</f>
        <v>0</v>
      </c>
      <c r="N5" s="23" t="n">
        <f aca="false">K5-L5-M5</f>
        <v>425000</v>
      </c>
      <c r="O5" s="20" t="n">
        <f aca="false">RANK(I5,$I$2:$I$21)</f>
        <v>18</v>
      </c>
      <c r="Q5" s="24" t="s">
        <v>96</v>
      </c>
      <c r="R5" s="27" t="n">
        <v>5000</v>
      </c>
      <c r="S5" s="26"/>
    </row>
    <row r="6" customFormat="false" ht="15" hidden="false" customHeight="false" outlineLevel="0" collapsed="false">
      <c r="A6" s="18" t="n">
        <v>5</v>
      </c>
      <c r="B6" s="19" t="s">
        <v>97</v>
      </c>
      <c r="C6" s="18" t="n">
        <v>18</v>
      </c>
      <c r="D6" s="18" t="n">
        <v>3</v>
      </c>
      <c r="E6" s="18" t="n">
        <v>0</v>
      </c>
      <c r="F6" s="18" t="n">
        <v>1</v>
      </c>
      <c r="G6" s="18" t="n">
        <v>3</v>
      </c>
      <c r="H6" s="20" t="n">
        <f aca="false">SUM(C6:F6)</f>
        <v>22</v>
      </c>
      <c r="I6" s="21" t="n">
        <f aca="false">C6/$R$2</f>
        <v>0.818181818181818</v>
      </c>
      <c r="J6" s="22" t="str">
        <f aca="false">IF(I6&gt;=$R$6,"Sangat Baik",IF(I6&gt;=$R$7,"Baik","Perlu Pembinaan"))</f>
        <v>Perlu Pembinaan</v>
      </c>
      <c r="K6" s="23" t="n">
        <f aca="false">C6*$R$3</f>
        <v>450000</v>
      </c>
      <c r="L6" s="23" t="n">
        <f aca="false">F6*$R$4</f>
        <v>50000</v>
      </c>
      <c r="M6" s="23" t="n">
        <f aca="false">G6*$R$5</f>
        <v>15000</v>
      </c>
      <c r="N6" s="23" t="n">
        <f aca="false">K6-L6-M6</f>
        <v>385000</v>
      </c>
      <c r="O6" s="20" t="n">
        <f aca="false">RANK(I6,$I$2:$I$21)</f>
        <v>19</v>
      </c>
      <c r="Q6" s="24" t="s">
        <v>98</v>
      </c>
      <c r="R6" s="28" t="n">
        <v>0.95</v>
      </c>
      <c r="S6" s="26" t="s">
        <v>99</v>
      </c>
    </row>
    <row r="7" customFormat="false" ht="15" hidden="false" customHeight="false" outlineLevel="0" collapsed="false">
      <c r="A7" s="18" t="n">
        <v>6</v>
      </c>
      <c r="B7" s="19" t="s">
        <v>100</v>
      </c>
      <c r="C7" s="18" t="n">
        <v>21</v>
      </c>
      <c r="D7" s="18" t="n">
        <v>0</v>
      </c>
      <c r="E7" s="18" t="n">
        <v>0</v>
      </c>
      <c r="F7" s="18" t="n">
        <v>1</v>
      </c>
      <c r="G7" s="18" t="n">
        <v>7</v>
      </c>
      <c r="H7" s="20" t="n">
        <f aca="false">SUM(C7:F7)</f>
        <v>22</v>
      </c>
      <c r="I7" s="21" t="n">
        <f aca="false">C7/$R$2</f>
        <v>0.954545454545455</v>
      </c>
      <c r="J7" s="22" t="str">
        <f aca="false">IF(I7&gt;=$R$6,"Sangat Baik",IF(I7&gt;=$R$7,"Baik","Perlu Pembinaan"))</f>
        <v>Sangat Baik</v>
      </c>
      <c r="K7" s="23" t="n">
        <f aca="false">C7*$R$3</f>
        <v>525000</v>
      </c>
      <c r="L7" s="23" t="n">
        <f aca="false">F7*$R$4</f>
        <v>50000</v>
      </c>
      <c r="M7" s="23" t="n">
        <f aca="false">G7*$R$5</f>
        <v>35000</v>
      </c>
      <c r="N7" s="23" t="n">
        <f aca="false">K7-L7-M7</f>
        <v>440000</v>
      </c>
      <c r="O7" s="20" t="n">
        <f aca="false">RANK(I7,$I$2:$I$21)</f>
        <v>2</v>
      </c>
      <c r="Q7" s="24" t="s">
        <v>101</v>
      </c>
      <c r="R7" s="28" t="n">
        <v>0.9</v>
      </c>
      <c r="S7" s="26" t="s">
        <v>99</v>
      </c>
    </row>
    <row r="8" customFormat="false" ht="15" hidden="false" customHeight="false" outlineLevel="0" collapsed="false">
      <c r="A8" s="18" t="n">
        <v>7</v>
      </c>
      <c r="B8" s="19" t="s">
        <v>102</v>
      </c>
      <c r="C8" s="18" t="n">
        <v>20</v>
      </c>
      <c r="D8" s="18" t="n">
        <v>1</v>
      </c>
      <c r="E8" s="18" t="n">
        <v>0</v>
      </c>
      <c r="F8" s="18" t="n">
        <v>1</v>
      </c>
      <c r="G8" s="18" t="n">
        <v>2</v>
      </c>
      <c r="H8" s="20" t="n">
        <f aca="false">SUM(C8:F8)</f>
        <v>22</v>
      </c>
      <c r="I8" s="21" t="n">
        <f aca="false">C8/$R$2</f>
        <v>0.909090909090909</v>
      </c>
      <c r="J8" s="22" t="str">
        <f aca="false">IF(I8&gt;=$R$6,"Sangat Baik",IF(I8&gt;=$R$7,"Baik","Perlu Pembinaan"))</f>
        <v>Baik</v>
      </c>
      <c r="K8" s="23" t="n">
        <f aca="false">C8*$R$3</f>
        <v>500000</v>
      </c>
      <c r="L8" s="23" t="n">
        <f aca="false">F8*$R$4</f>
        <v>50000</v>
      </c>
      <c r="M8" s="23" t="n">
        <f aca="false">G8*$R$5</f>
        <v>10000</v>
      </c>
      <c r="N8" s="23" t="n">
        <f aca="false">K8-L8-M8</f>
        <v>440000</v>
      </c>
      <c r="O8" s="20" t="n">
        <f aca="false">RANK(I8,$I$2:$I$21)</f>
        <v>12</v>
      </c>
    </row>
    <row r="9" customFormat="false" ht="15" hidden="false" customHeight="false" outlineLevel="0" collapsed="false">
      <c r="A9" s="18" t="n">
        <v>8</v>
      </c>
      <c r="B9" s="19" t="s">
        <v>103</v>
      </c>
      <c r="C9" s="18" t="n">
        <v>20</v>
      </c>
      <c r="D9" s="18" t="n">
        <v>1</v>
      </c>
      <c r="E9" s="18" t="n">
        <v>1</v>
      </c>
      <c r="F9" s="18" t="n">
        <v>0</v>
      </c>
      <c r="G9" s="18" t="n">
        <v>0</v>
      </c>
      <c r="H9" s="20" t="n">
        <f aca="false">SUM(C9:F9)</f>
        <v>22</v>
      </c>
      <c r="I9" s="21" t="n">
        <f aca="false">C9/$R$2</f>
        <v>0.909090909090909</v>
      </c>
      <c r="J9" s="22" t="str">
        <f aca="false">IF(I9&gt;=$R$6,"Sangat Baik",IF(I9&gt;=$R$7,"Baik","Perlu Pembinaan"))</f>
        <v>Baik</v>
      </c>
      <c r="K9" s="23" t="n">
        <f aca="false">C9*$R$3</f>
        <v>500000</v>
      </c>
      <c r="L9" s="23" t="n">
        <f aca="false">F9*$R$4</f>
        <v>0</v>
      </c>
      <c r="M9" s="23" t="n">
        <f aca="false">G9*$R$5</f>
        <v>0</v>
      </c>
      <c r="N9" s="23" t="n">
        <f aca="false">K9-L9-M9</f>
        <v>500000</v>
      </c>
      <c r="O9" s="20" t="n">
        <f aca="false">RANK(I9,$I$2:$I$21)</f>
        <v>12</v>
      </c>
    </row>
    <row r="10" customFormat="false" ht="15" hidden="false" customHeight="false" outlineLevel="0" collapsed="false">
      <c r="A10" s="18" t="n">
        <v>9</v>
      </c>
      <c r="B10" s="19" t="s">
        <v>104</v>
      </c>
      <c r="C10" s="18" t="n">
        <v>21</v>
      </c>
      <c r="D10" s="18" t="n">
        <v>1</v>
      </c>
      <c r="E10" s="18" t="n">
        <v>0</v>
      </c>
      <c r="F10" s="18" t="n">
        <v>0</v>
      </c>
      <c r="G10" s="18" t="n">
        <v>0</v>
      </c>
      <c r="H10" s="20" t="n">
        <f aca="false">SUM(C10:F10)</f>
        <v>22</v>
      </c>
      <c r="I10" s="21" t="n">
        <f aca="false">C10/$R$2</f>
        <v>0.954545454545455</v>
      </c>
      <c r="J10" s="22" t="str">
        <f aca="false">IF(I10&gt;=$R$6,"Sangat Baik",IF(I10&gt;=$R$7,"Baik","Perlu Pembinaan"))</f>
        <v>Sangat Baik</v>
      </c>
      <c r="K10" s="23" t="n">
        <f aca="false">C10*$R$3</f>
        <v>525000</v>
      </c>
      <c r="L10" s="23" t="n">
        <f aca="false">F10*$R$4</f>
        <v>0</v>
      </c>
      <c r="M10" s="23" t="n">
        <f aca="false">G10*$R$5</f>
        <v>0</v>
      </c>
      <c r="N10" s="23" t="n">
        <f aca="false">K10-L10-M10</f>
        <v>525000</v>
      </c>
      <c r="O10" s="20" t="n">
        <f aca="false">RANK(I10,$I$2:$I$21)</f>
        <v>2</v>
      </c>
    </row>
    <row r="11" customFormat="false" ht="15" hidden="false" customHeight="false" outlineLevel="0" collapsed="false">
      <c r="A11" s="18" t="n">
        <v>10</v>
      </c>
      <c r="B11" s="19" t="s">
        <v>105</v>
      </c>
      <c r="C11" s="18" t="n">
        <v>20</v>
      </c>
      <c r="D11" s="18" t="n">
        <v>0</v>
      </c>
      <c r="E11" s="18" t="n">
        <v>2</v>
      </c>
      <c r="F11" s="18" t="n">
        <v>0</v>
      </c>
      <c r="G11" s="18" t="n">
        <v>1</v>
      </c>
      <c r="H11" s="20" t="n">
        <f aca="false">SUM(C11:F11)</f>
        <v>22</v>
      </c>
      <c r="I11" s="21" t="n">
        <f aca="false">C11/$R$2</f>
        <v>0.909090909090909</v>
      </c>
      <c r="J11" s="22" t="str">
        <f aca="false">IF(I11&gt;=$R$6,"Sangat Baik",IF(I11&gt;=$R$7,"Baik","Perlu Pembinaan"))</f>
        <v>Baik</v>
      </c>
      <c r="K11" s="23" t="n">
        <f aca="false">C11*$R$3</f>
        <v>500000</v>
      </c>
      <c r="L11" s="23" t="n">
        <f aca="false">F11*$R$4</f>
        <v>0</v>
      </c>
      <c r="M11" s="23" t="n">
        <f aca="false">G11*$R$5</f>
        <v>5000</v>
      </c>
      <c r="N11" s="23" t="n">
        <f aca="false">K11-L11-M11</f>
        <v>495000</v>
      </c>
      <c r="O11" s="20" t="n">
        <f aca="false">RANK(I11,$I$2:$I$21)</f>
        <v>12</v>
      </c>
    </row>
    <row r="12" customFormat="false" ht="15" hidden="false" customHeight="false" outlineLevel="0" collapsed="false">
      <c r="A12" s="18" t="n">
        <v>11</v>
      </c>
      <c r="B12" s="19" t="s">
        <v>106</v>
      </c>
      <c r="C12" s="18" t="n">
        <v>21</v>
      </c>
      <c r="D12" s="18" t="n">
        <v>0</v>
      </c>
      <c r="E12" s="18" t="n">
        <v>0</v>
      </c>
      <c r="F12" s="18" t="n">
        <v>1</v>
      </c>
      <c r="G12" s="18" t="n">
        <v>8</v>
      </c>
      <c r="H12" s="20" t="n">
        <f aca="false">SUM(C12:F12)</f>
        <v>22</v>
      </c>
      <c r="I12" s="21" t="n">
        <f aca="false">C12/$R$2</f>
        <v>0.954545454545455</v>
      </c>
      <c r="J12" s="22" t="str">
        <f aca="false">IF(I12&gt;=$R$6,"Sangat Baik",IF(I12&gt;=$R$7,"Baik","Perlu Pembinaan"))</f>
        <v>Sangat Baik</v>
      </c>
      <c r="K12" s="23" t="n">
        <f aca="false">C12*$R$3</f>
        <v>525000</v>
      </c>
      <c r="L12" s="23" t="n">
        <f aca="false">F12*$R$4</f>
        <v>50000</v>
      </c>
      <c r="M12" s="23" t="n">
        <f aca="false">G12*$R$5</f>
        <v>40000</v>
      </c>
      <c r="N12" s="23" t="n">
        <f aca="false">K12-L12-M12</f>
        <v>435000</v>
      </c>
      <c r="O12" s="20" t="n">
        <f aca="false">RANK(I12,$I$2:$I$21)</f>
        <v>2</v>
      </c>
    </row>
    <row r="13" customFormat="false" ht="15" hidden="false" customHeight="false" outlineLevel="0" collapsed="false">
      <c r="A13" s="18" t="n">
        <v>12</v>
      </c>
      <c r="B13" s="19" t="s">
        <v>107</v>
      </c>
      <c r="C13" s="18" t="n">
        <v>22</v>
      </c>
      <c r="D13" s="18" t="n">
        <v>0</v>
      </c>
      <c r="E13" s="18" t="n">
        <v>0</v>
      </c>
      <c r="F13" s="18" t="n">
        <v>0</v>
      </c>
      <c r="G13" s="18" t="n">
        <v>2</v>
      </c>
      <c r="H13" s="20" t="n">
        <f aca="false">SUM(C13:F13)</f>
        <v>22</v>
      </c>
      <c r="I13" s="21" t="n">
        <f aca="false">C13/$R$2</f>
        <v>1</v>
      </c>
      <c r="J13" s="22" t="str">
        <f aca="false">IF(I13&gt;=$R$6,"Sangat Baik",IF(I13&gt;=$R$7,"Baik","Perlu Pembinaan"))</f>
        <v>Sangat Baik</v>
      </c>
      <c r="K13" s="23" t="n">
        <f aca="false">C13*$R$3</f>
        <v>550000</v>
      </c>
      <c r="L13" s="23" t="n">
        <f aca="false">F13*$R$4</f>
        <v>0</v>
      </c>
      <c r="M13" s="23" t="n">
        <f aca="false">G13*$R$5</f>
        <v>10000</v>
      </c>
      <c r="N13" s="23" t="n">
        <f aca="false">K13-L13-M13</f>
        <v>540000</v>
      </c>
      <c r="O13" s="20" t="n">
        <f aca="false">RANK(I13,$I$2:$I$21)</f>
        <v>1</v>
      </c>
    </row>
    <row r="14" customFormat="false" ht="15" hidden="false" customHeight="false" outlineLevel="0" collapsed="false">
      <c r="A14" s="18" t="n">
        <v>13</v>
      </c>
      <c r="B14" s="19" t="s">
        <v>108</v>
      </c>
      <c r="C14" s="18" t="n">
        <v>20</v>
      </c>
      <c r="D14" s="18" t="n">
        <v>0</v>
      </c>
      <c r="E14" s="18" t="n">
        <v>2</v>
      </c>
      <c r="F14" s="18" t="n">
        <v>0</v>
      </c>
      <c r="G14" s="18" t="n">
        <v>5</v>
      </c>
      <c r="H14" s="20" t="n">
        <f aca="false">SUM(C14:F14)</f>
        <v>22</v>
      </c>
      <c r="I14" s="21" t="n">
        <f aca="false">C14/$R$2</f>
        <v>0.909090909090909</v>
      </c>
      <c r="J14" s="22" t="str">
        <f aca="false">IF(I14&gt;=$R$6,"Sangat Baik",IF(I14&gt;=$R$7,"Baik","Perlu Pembinaan"))</f>
        <v>Baik</v>
      </c>
      <c r="K14" s="23" t="n">
        <f aca="false">C14*$R$3</f>
        <v>500000</v>
      </c>
      <c r="L14" s="23" t="n">
        <f aca="false">F14*$R$4</f>
        <v>0</v>
      </c>
      <c r="M14" s="23" t="n">
        <f aca="false">G14*$R$5</f>
        <v>25000</v>
      </c>
      <c r="N14" s="23" t="n">
        <f aca="false">K14-L14-M14</f>
        <v>475000</v>
      </c>
      <c r="O14" s="20" t="n">
        <f aca="false">RANK(I14,$I$2:$I$21)</f>
        <v>12</v>
      </c>
    </row>
    <row r="15" customFormat="false" ht="15" hidden="false" customHeight="false" outlineLevel="0" collapsed="false">
      <c r="A15" s="18" t="n">
        <v>14</v>
      </c>
      <c r="B15" s="19" t="s">
        <v>109</v>
      </c>
      <c r="C15" s="18" t="n">
        <v>20</v>
      </c>
      <c r="D15" s="18" t="n">
        <v>2</v>
      </c>
      <c r="E15" s="18" t="n">
        <v>0</v>
      </c>
      <c r="F15" s="18" t="n">
        <v>0</v>
      </c>
      <c r="G15" s="18" t="n">
        <v>5</v>
      </c>
      <c r="H15" s="20" t="n">
        <f aca="false">SUM(C15:F15)</f>
        <v>22</v>
      </c>
      <c r="I15" s="21" t="n">
        <f aca="false">C15/$R$2</f>
        <v>0.909090909090909</v>
      </c>
      <c r="J15" s="22" t="str">
        <f aca="false">IF(I15&gt;=$R$6,"Sangat Baik",IF(I15&gt;=$R$7,"Baik","Perlu Pembinaan"))</f>
        <v>Baik</v>
      </c>
      <c r="K15" s="23" t="n">
        <f aca="false">C15*$R$3</f>
        <v>500000</v>
      </c>
      <c r="L15" s="23" t="n">
        <f aca="false">F15*$R$4</f>
        <v>0</v>
      </c>
      <c r="M15" s="23" t="n">
        <f aca="false">G15*$R$5</f>
        <v>25000</v>
      </c>
      <c r="N15" s="23" t="n">
        <f aca="false">K15-L15-M15</f>
        <v>475000</v>
      </c>
      <c r="O15" s="20" t="n">
        <f aca="false">RANK(I15,$I$2:$I$21)</f>
        <v>12</v>
      </c>
    </row>
    <row r="16" customFormat="false" ht="15" hidden="false" customHeight="false" outlineLevel="0" collapsed="false">
      <c r="A16" s="18" t="n">
        <v>15</v>
      </c>
      <c r="B16" s="19" t="s">
        <v>110</v>
      </c>
      <c r="C16" s="18" t="n">
        <v>21</v>
      </c>
      <c r="D16" s="18" t="n">
        <v>0</v>
      </c>
      <c r="E16" s="18" t="n">
        <v>0</v>
      </c>
      <c r="F16" s="18" t="n">
        <v>1</v>
      </c>
      <c r="G16" s="18" t="n">
        <v>5</v>
      </c>
      <c r="H16" s="20" t="n">
        <f aca="false">SUM(C16:F16)</f>
        <v>22</v>
      </c>
      <c r="I16" s="21" t="n">
        <f aca="false">C16/$R$2</f>
        <v>0.954545454545455</v>
      </c>
      <c r="J16" s="22" t="str">
        <f aca="false">IF(I16&gt;=$R$6,"Sangat Baik",IF(I16&gt;=$R$7,"Baik","Perlu Pembinaan"))</f>
        <v>Sangat Baik</v>
      </c>
      <c r="K16" s="23" t="n">
        <f aca="false">C16*$R$3</f>
        <v>525000</v>
      </c>
      <c r="L16" s="23" t="n">
        <f aca="false">F16*$R$4</f>
        <v>50000</v>
      </c>
      <c r="M16" s="23" t="n">
        <f aca="false">G16*$R$5</f>
        <v>25000</v>
      </c>
      <c r="N16" s="23" t="n">
        <f aca="false">K16-L16-M16</f>
        <v>450000</v>
      </c>
      <c r="O16" s="20" t="n">
        <f aca="false">RANK(I16,$I$2:$I$21)</f>
        <v>2</v>
      </c>
    </row>
    <row r="17" customFormat="false" ht="15" hidden="false" customHeight="false" outlineLevel="0" collapsed="false">
      <c r="A17" s="18" t="n">
        <v>16</v>
      </c>
      <c r="B17" s="19" t="s">
        <v>111</v>
      </c>
      <c r="C17" s="18" t="n">
        <v>18</v>
      </c>
      <c r="D17" s="18" t="n">
        <v>2</v>
      </c>
      <c r="E17" s="18" t="n">
        <v>0</v>
      </c>
      <c r="F17" s="18" t="n">
        <v>2</v>
      </c>
      <c r="G17" s="18" t="n">
        <v>4</v>
      </c>
      <c r="H17" s="20" t="n">
        <f aca="false">SUM(C17:F17)</f>
        <v>22</v>
      </c>
      <c r="I17" s="21" t="n">
        <f aca="false">C17/$R$2</f>
        <v>0.818181818181818</v>
      </c>
      <c r="J17" s="22" t="str">
        <f aca="false">IF(I17&gt;=$R$6,"Sangat Baik",IF(I17&gt;=$R$7,"Baik","Perlu Pembinaan"))</f>
        <v>Perlu Pembinaan</v>
      </c>
      <c r="K17" s="23" t="n">
        <f aca="false">C17*$R$3</f>
        <v>450000</v>
      </c>
      <c r="L17" s="23" t="n">
        <f aca="false">F17*$R$4</f>
        <v>100000</v>
      </c>
      <c r="M17" s="23" t="n">
        <f aca="false">G17*$R$5</f>
        <v>20000</v>
      </c>
      <c r="N17" s="23" t="n">
        <f aca="false">K17-L17-M17</f>
        <v>330000</v>
      </c>
      <c r="O17" s="20" t="n">
        <f aca="false">RANK(I17,$I$2:$I$21)</f>
        <v>19</v>
      </c>
    </row>
    <row r="18" customFormat="false" ht="15" hidden="false" customHeight="false" outlineLevel="0" collapsed="false">
      <c r="A18" s="18" t="n">
        <v>17</v>
      </c>
      <c r="B18" s="19" t="s">
        <v>112</v>
      </c>
      <c r="C18" s="18" t="n">
        <v>21</v>
      </c>
      <c r="D18" s="18" t="n">
        <v>0</v>
      </c>
      <c r="E18" s="18" t="n">
        <v>0</v>
      </c>
      <c r="F18" s="18" t="n">
        <v>1</v>
      </c>
      <c r="G18" s="18" t="n">
        <v>0</v>
      </c>
      <c r="H18" s="20" t="n">
        <f aca="false">SUM(C18:F18)</f>
        <v>22</v>
      </c>
      <c r="I18" s="21" t="n">
        <f aca="false">C18/$R$2</f>
        <v>0.954545454545455</v>
      </c>
      <c r="J18" s="22" t="str">
        <f aca="false">IF(I18&gt;=$R$6,"Sangat Baik",IF(I18&gt;=$R$7,"Baik","Perlu Pembinaan"))</f>
        <v>Sangat Baik</v>
      </c>
      <c r="K18" s="23" t="n">
        <f aca="false">C18*$R$3</f>
        <v>525000</v>
      </c>
      <c r="L18" s="23" t="n">
        <f aca="false">F18*$R$4</f>
        <v>50000</v>
      </c>
      <c r="M18" s="23" t="n">
        <f aca="false">G18*$R$5</f>
        <v>0</v>
      </c>
      <c r="N18" s="23" t="n">
        <f aca="false">K18-L18-M18</f>
        <v>475000</v>
      </c>
      <c r="O18" s="20" t="n">
        <f aca="false">RANK(I18,$I$2:$I$21)</f>
        <v>2</v>
      </c>
    </row>
    <row r="19" customFormat="false" ht="15" hidden="false" customHeight="false" outlineLevel="0" collapsed="false">
      <c r="A19" s="18" t="n">
        <v>18</v>
      </c>
      <c r="B19" s="19" t="s">
        <v>113</v>
      </c>
      <c r="C19" s="18" t="n">
        <v>21</v>
      </c>
      <c r="D19" s="18" t="n">
        <v>1</v>
      </c>
      <c r="E19" s="18" t="n">
        <v>0</v>
      </c>
      <c r="F19" s="18" t="n">
        <v>0</v>
      </c>
      <c r="G19" s="18" t="n">
        <v>7</v>
      </c>
      <c r="H19" s="20" t="n">
        <f aca="false">SUM(C19:F19)</f>
        <v>22</v>
      </c>
      <c r="I19" s="21" t="n">
        <f aca="false">C19/$R$2</f>
        <v>0.954545454545455</v>
      </c>
      <c r="J19" s="22" t="str">
        <f aca="false">IF(I19&gt;=$R$6,"Sangat Baik",IF(I19&gt;=$R$7,"Baik","Perlu Pembinaan"))</f>
        <v>Sangat Baik</v>
      </c>
      <c r="K19" s="23" t="n">
        <f aca="false">C19*$R$3</f>
        <v>525000</v>
      </c>
      <c r="L19" s="23" t="n">
        <f aca="false">F19*$R$4</f>
        <v>0</v>
      </c>
      <c r="M19" s="23" t="n">
        <f aca="false">G19*$R$5</f>
        <v>35000</v>
      </c>
      <c r="N19" s="23" t="n">
        <f aca="false">K19-L19-M19</f>
        <v>490000</v>
      </c>
      <c r="O19" s="20" t="n">
        <f aca="false">RANK(I19,$I$2:$I$21)</f>
        <v>2</v>
      </c>
    </row>
    <row r="20" customFormat="false" ht="15" hidden="false" customHeight="false" outlineLevel="0" collapsed="false">
      <c r="A20" s="18" t="n">
        <v>19</v>
      </c>
      <c r="B20" s="19" t="s">
        <v>114</v>
      </c>
      <c r="C20" s="18" t="n">
        <v>21</v>
      </c>
      <c r="D20" s="18" t="n">
        <v>1</v>
      </c>
      <c r="E20" s="18" t="n">
        <v>0</v>
      </c>
      <c r="F20" s="18" t="n">
        <v>0</v>
      </c>
      <c r="G20" s="18" t="n">
        <v>6</v>
      </c>
      <c r="H20" s="20" t="n">
        <f aca="false">SUM(C20:F20)</f>
        <v>22</v>
      </c>
      <c r="I20" s="21" t="n">
        <f aca="false">C20/$R$2</f>
        <v>0.954545454545455</v>
      </c>
      <c r="J20" s="22" t="str">
        <f aca="false">IF(I20&gt;=$R$6,"Sangat Baik",IF(I20&gt;=$R$7,"Baik","Perlu Pembinaan"))</f>
        <v>Sangat Baik</v>
      </c>
      <c r="K20" s="23" t="n">
        <f aca="false">C20*$R$3</f>
        <v>525000</v>
      </c>
      <c r="L20" s="23" t="n">
        <f aca="false">F20*$R$4</f>
        <v>0</v>
      </c>
      <c r="M20" s="23" t="n">
        <f aca="false">G20*$R$5</f>
        <v>30000</v>
      </c>
      <c r="N20" s="23" t="n">
        <f aca="false">K20-L20-M20</f>
        <v>495000</v>
      </c>
      <c r="O20" s="20" t="n">
        <f aca="false">RANK(I20,$I$2:$I$21)</f>
        <v>2</v>
      </c>
    </row>
    <row r="21" customFormat="false" ht="15" hidden="false" customHeight="false" outlineLevel="0" collapsed="false">
      <c r="A21" s="18" t="n">
        <v>20</v>
      </c>
      <c r="B21" s="19" t="s">
        <v>115</v>
      </c>
      <c r="C21" s="18" t="n">
        <v>21</v>
      </c>
      <c r="D21" s="18" t="n">
        <v>0</v>
      </c>
      <c r="E21" s="18" t="n">
        <v>1</v>
      </c>
      <c r="F21" s="18" t="n">
        <v>0</v>
      </c>
      <c r="G21" s="18" t="n">
        <v>3</v>
      </c>
      <c r="H21" s="20" t="n">
        <f aca="false">SUM(C21:F21)</f>
        <v>22</v>
      </c>
      <c r="I21" s="21" t="n">
        <f aca="false">C21/$R$2</f>
        <v>0.954545454545455</v>
      </c>
      <c r="J21" s="22" t="str">
        <f aca="false">IF(I21&gt;=$R$6,"Sangat Baik",IF(I21&gt;=$R$7,"Baik","Perlu Pembinaan"))</f>
        <v>Sangat Baik</v>
      </c>
      <c r="K21" s="23" t="n">
        <f aca="false">C21*$R$3</f>
        <v>525000</v>
      </c>
      <c r="L21" s="23" t="n">
        <f aca="false">F21*$R$4</f>
        <v>0</v>
      </c>
      <c r="M21" s="23" t="n">
        <f aca="false">G21*$R$5</f>
        <v>15000</v>
      </c>
      <c r="N21" s="23" t="n">
        <f aca="false">K21-L21-M21</f>
        <v>510000</v>
      </c>
      <c r="O21" s="20" t="n">
        <f aca="false">RANK(I21,$I$2:$I$21)</f>
        <v>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116</v>
      </c>
      <c r="B1" s="29"/>
      <c r="C1" s="29"/>
      <c r="D1" s="29"/>
    </row>
    <row r="2" customFormat="false" ht="15" hidden="false" customHeight="false" outlineLevel="0" collapsed="false">
      <c r="A2" s="30" t="s">
        <v>117</v>
      </c>
      <c r="B2" s="30"/>
      <c r="C2" s="30"/>
      <c r="D2" s="30"/>
    </row>
    <row r="3" customFormat="false" ht="15" hidden="false" customHeight="false" outlineLevel="0" collapsed="false">
      <c r="A3" s="12" t="s">
        <v>19</v>
      </c>
      <c r="B3" s="12" t="s">
        <v>118</v>
      </c>
      <c r="C3" s="12" t="s">
        <v>119</v>
      </c>
      <c r="D3" s="12" t="s">
        <v>120</v>
      </c>
    </row>
    <row r="4" customFormat="false" ht="19.5" hidden="false" customHeight="true" outlineLevel="0" collapsed="false">
      <c r="A4" s="31" t="s">
        <v>55</v>
      </c>
      <c r="B4" s="32" t="s">
        <v>121</v>
      </c>
      <c r="C4" s="21" t="n">
        <f aca="false">AVERAGE(Data!$I$2:$I$21)</f>
        <v>0.925</v>
      </c>
      <c r="D4" s="26" t="s">
        <v>122</v>
      </c>
    </row>
    <row r="5" customFormat="false" ht="19.5" hidden="false" customHeight="true" outlineLevel="0" collapsed="false">
      <c r="A5" s="31" t="s">
        <v>59</v>
      </c>
      <c r="B5" s="32" t="s">
        <v>123</v>
      </c>
      <c r="C5" s="20" t="n">
        <f aca="false">COUNTIF(Data!$J$2:$J$21,"Perlu Pembinaan")</f>
        <v>3</v>
      </c>
      <c r="D5" s="26" t="s">
        <v>124</v>
      </c>
    </row>
    <row r="6" customFormat="false" ht="19.5" hidden="false" customHeight="true" outlineLevel="0" collapsed="false">
      <c r="A6" s="31" t="s">
        <v>63</v>
      </c>
      <c r="B6" s="32" t="s">
        <v>125</v>
      </c>
      <c r="C6" s="23" t="n">
        <f aca="false">SUM(Data!$N$2:$N$21)</f>
        <v>9345000</v>
      </c>
      <c r="D6" s="26" t="s">
        <v>126</v>
      </c>
    </row>
    <row r="7" customFormat="false" ht="19.5" hidden="false" customHeight="true" outlineLevel="0" collapsed="false">
      <c r="A7" s="31" t="s">
        <v>67</v>
      </c>
      <c r="B7" s="32" t="s">
        <v>127</v>
      </c>
      <c r="C7" s="22" t="str">
        <f aca="false">INDEX(Data!$B$2:$B$21,MATCH(MAX(Data!$F$2:$F$21),Data!$F$2:$F$21,0))</f>
        <v>Edi Syahputra</v>
      </c>
      <c r="D7" s="26" t="s">
        <v>128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2026-10-10T06:49:16Z</dcterms:created>
  <dc:creator>PushExcel</dc:creator>
  <dc:description/>
  <dc:language>en-US</dc:language>
  <cp:lastModifiedBy/>
  <dcterms:modified xsi:type="dcterms:W3CDTF">2026-10-10T06:49:16Z</dcterms:modified>
  <cp:revision>0</cp:revision>
  <dc:subject/>
  <dc:title>Absensi dan Uang Makan Pegawai - Kunci</dc:title>
</cp:coreProperties>
</file>

<file path=docProps/custom.xml><?xml version="1.0" encoding="utf-8"?>
<Properties xmlns="http://schemas.openxmlformats.org/officeDocument/2006/custom-properties" xmlns:vt="http://schemas.openxmlformats.org/officeDocument/2006/docPropsVTypes"/>
</file>