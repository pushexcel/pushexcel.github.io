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<sst xmlns="http://schemas.openxmlformats.org/spreadsheetml/2006/main" count="208" uniqueCount="159">
  <si>
    <t xml:space="preserve">Kunci Jawaban: Inventaris Barang per Ruangan dan Kondisinya</t>
  </si>
  <si>
    <t xml:space="preserve">Latihan 28 dari 56  |  Tingkat: Pemula  |  Perkiraan waktu: 40 menit  |  pushexcel.github.io/Pushexcel</t>
  </si>
  <si>
    <t xml:space="preserve">Skenario</t>
  </si>
  <si>
    <t xml:space="preserve">Kamu petugas sarana prasarana SMP Harapan Bangsa. Hasil pendataan barang di enam ruangan sudah dicatat: jumlah barang yang baik, rusak ringan, dan rusak berat beserta harga satuan. Barang berstatus Perlu Perbaikan bila persentase barang rusak (ringan ditambah berat) sama dengan atau lebih dari 25 persen dari total unit. Kamu menyusun rekap untuk wakil kepala sekolah.</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</si>
  <si>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</si>
  <si>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</si>
  <si>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</si>
  <si>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</si>
  <si>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</si>
  <si>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</si>
  <si>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</si>
  <si>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</si>
  <si>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</si>
  <si>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</si>
  <si>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</si>
  <si>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</si>
  <si>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</si>
  <si>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</si>
  <si>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</si>
  <si>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</si>
  <si>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</si>
  <si>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</si>
  <si>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</si>
  <si>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</si>
  <si>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total unit tiap barang: baik ditambah rusak ringan ditambah rusak berat.</t>
  </si>
  <si>
    <t xml:space="preserve">Sheet Data, kolom H (Total Unit), baris 2 sampai 28</t>
  </si>
  <si>
    <t xml:space="preserve">=D2+E2+F2</t>
  </si>
  <si>
    <t xml:space="preserve">2</t>
  </si>
  <si>
    <t xml:space="preserve">Hitung persen barang rusak: (rusak ringan + rusak berat) dibagi total unit.</t>
  </si>
  <si>
    <t xml:space="preserve">Sheet Data, kolom I (Persen Rusak), baris 2 sampai 28</t>
  </si>
  <si>
    <t xml:space="preserve">=(E2+F2)/H2</t>
  </si>
  <si>
    <t xml:space="preserve">3</t>
  </si>
  <si>
    <t xml:space="preserve">Hitung nilai aset yang masih baik: jumlah barang baik dikali harga satuan.</t>
  </si>
  <si>
    <t xml:space="preserve">Sheet Data, kolom J (Nilai Aset Baik), baris 2 sampai 28</t>
  </si>
  <si>
    <t xml:space="preserve">=D2*G2</t>
  </si>
  <si>
    <t xml:space="preserve">4</t>
  </si>
  <si>
    <t xml:space="preserve">Beri status Perlu Perbaikan bila persen rusak sama dengan atau di atas batas persen rusak. Selain itu Layak.</t>
  </si>
  <si>
    <t xml:space="preserve">Sheet Data, kolom K (Status), baris 2 sampai 28</t>
  </si>
  <si>
    <t xml:space="preserve">=IF(I2&gt;=$N$2;"Perlu Perbaikan";"Layak")</t>
  </si>
  <si>
    <t xml:space="preserve">5</t>
  </si>
  <si>
    <t xml:space="preserve">Pada sheet Acuan, hitung berapa jenis barang yang tercatat di tiap ruangan.</t>
  </si>
  <si>
    <t xml:space="preserve">Sheet Acuan, kolom B (Jenis Barang), baris 2 sampai 7</t>
  </si>
  <si>
    <t xml:space="preserve">=COUNTIF(Data!$C$2:$C$28;A2)</t>
  </si>
  <si>
    <t xml:space="preserve">6</t>
  </si>
  <si>
    <t xml:space="preserve">Pada sheet Acuan, hitung total unit barang di tiap ruangan.</t>
  </si>
  <si>
    <t xml:space="preserve">Sheet Acuan, kolom C (Total Unit), baris 2 sampai 7</t>
  </si>
  <si>
    <t xml:space="preserve">=SUMIF(Data!$C$2:$C$28;A2;Data!$H$2:$H$28)</t>
  </si>
  <si>
    <t xml:space="preserve">7</t>
  </si>
  <si>
    <t xml:space="preserve">Pada sheet Acuan, hitung nilai aset baik di tiap ruangan.</t>
  </si>
  <si>
    <t xml:space="preserve">Sheet Acuan, kolom D (Nilai Aset Baik), baris 2 sampai 7</t>
  </si>
  <si>
    <t xml:space="preserve">=SUMIF(Data!$C$2:$C$28;A2;Data!$J$2:$J$28)</t>
  </si>
  <si>
    <t xml:space="preserve">8</t>
  </si>
  <si>
    <t xml:space="preserve">Berapa total unit seluruh barang, dan berapa unit yang rusak berat?</t>
  </si>
  <si>
    <t xml:space="preserve">Sheet Ringkasan, sel C4 sampai C5</t>
  </si>
  <si>
    <t xml:space="preserve">=SUM(Data!$H$2:$H$28)
=SUM(Data!$F$2:$F$28)</t>
  </si>
  <si>
    <t xml:space="preserve">9</t>
  </si>
  <si>
    <t xml:space="preserve">Berapa persen seluruh barang yang rusak (ringan dan berat) dari total unit?</t>
  </si>
  <si>
    <t xml:space="preserve">Sheet Ringkasan, sel C6</t>
  </si>
  <si>
    <t xml:space="preserve">=(SUM(Data!$E$2:$E$28)+SUM(Data!$F$2:$F$28))/SUM(Data!$H$2:$H$28)</t>
  </si>
  <si>
    <t xml:space="preserve">10</t>
  </si>
  <si>
    <t xml:space="preserve">Berapa total nilai aset yang masih baik?</t>
  </si>
  <si>
    <t xml:space="preserve">Sheet Ringkasan, sel C7</t>
  </si>
  <si>
    <t xml:space="preserve">=SUM(Data!$J$2:$J$28)</t>
  </si>
  <si>
    <t xml:space="preserve">11</t>
  </si>
  <si>
    <t xml:space="preserve">Berapa jenis barang yang berstatus Perlu Perbaikan, dan berapa yang Layak?</t>
  </si>
  <si>
    <t xml:space="preserve">Sheet Ringkasan, sel C8 sampai C9</t>
  </si>
  <si>
    <t xml:space="preserve">=COUNTIF(Data!$K$2:$K$28;"Perlu Perbaikan")
=COUNTIF(Data!$K$2:$K$28;"Layak")</t>
  </si>
  <si>
    <t xml:space="preserve">12</t>
  </si>
  <si>
    <t xml:space="preserve">Ruangan mana yang nilai aset baiknya terbesar, dan barang apa yang unitnya paling banyak?</t>
  </si>
  <si>
    <t xml:space="preserve">Sheet Ringkasan, sel C10 sampai C11</t>
  </si>
  <si>
    <t xml:space="preserve">=INDEX(Acuan!$A$2:$A$7;MATCH(MAX(Acuan!$D$2:$D$7);Acuan!$D$2:$D$7;0))
=INDEX(Data!$B$2:$B$28;MATCH(MAX(Data!$H$2:$H$28);Data!$H$2:$H$28;0))</t>
  </si>
  <si>
    <t xml:space="preserve">Kode</t>
  </si>
  <si>
    <t xml:space="preserve">Nama Barang</t>
  </si>
  <si>
    <t xml:space="preserve">Ruangan</t>
  </si>
  <si>
    <t xml:space="preserve">Baik</t>
  </si>
  <si>
    <t xml:space="preserve">Rusak Ringan</t>
  </si>
  <si>
    <t xml:space="preserve">Rusak Berat</t>
  </si>
  <si>
    <t xml:space="preserve">Harga Satuan</t>
  </si>
  <si>
    <t xml:space="preserve">Total Unit</t>
  </si>
  <si>
    <t xml:space="preserve">Persen Rusak</t>
  </si>
  <si>
    <t xml:space="preserve">Nilai Aset Baik</t>
  </si>
  <si>
    <t xml:space="preserve">Status</t>
  </si>
  <si>
    <t xml:space="preserve">Parameter</t>
  </si>
  <si>
    <t xml:space="preserve">Nilai</t>
  </si>
  <si>
    <t xml:space="preserve">Keterangan</t>
  </si>
  <si>
    <t xml:space="preserve">INV-001</t>
  </si>
  <si>
    <t xml:space="preserve">Meja Siswa</t>
  </si>
  <si>
    <t xml:space="preserve">Kelas VII A</t>
  </si>
  <si>
    <t xml:space="preserve">Batas persen rusak</t>
  </si>
  <si>
    <t xml:space="preserve">Persen rusak sama dengan atau di atas batas = Perlu Perbaikan</t>
  </si>
  <si>
    <t xml:space="preserve">INV-002</t>
  </si>
  <si>
    <t xml:space="preserve">Kursi Siswa</t>
  </si>
  <si>
    <t xml:space="preserve">INV-003</t>
  </si>
  <si>
    <t xml:space="preserve">Papan Tulis</t>
  </si>
  <si>
    <t xml:space="preserve">INV-004</t>
  </si>
  <si>
    <t xml:space="preserve">Kipas Dinding</t>
  </si>
  <si>
    <t xml:space="preserve">INV-005</t>
  </si>
  <si>
    <t xml:space="preserve">Kelas VII B</t>
  </si>
  <si>
    <t xml:space="preserve">INV-006</t>
  </si>
  <si>
    <t xml:space="preserve">INV-007</t>
  </si>
  <si>
    <t xml:space="preserve">INV-008</t>
  </si>
  <si>
    <t xml:space="preserve">INV-009</t>
  </si>
  <si>
    <t xml:space="preserve">Kelas VIII A</t>
  </si>
  <si>
    <t xml:space="preserve">INV-010</t>
  </si>
  <si>
    <t xml:space="preserve">INV-011</t>
  </si>
  <si>
    <t xml:space="preserve">INV-012</t>
  </si>
  <si>
    <t xml:space="preserve">INV-013</t>
  </si>
  <si>
    <t xml:space="preserve">Komputer</t>
  </si>
  <si>
    <t xml:space="preserve">Laboratorium Komputer</t>
  </si>
  <si>
    <t xml:space="preserve">INV-014</t>
  </si>
  <si>
    <t xml:space="preserve">Monitor</t>
  </si>
  <si>
    <t xml:space="preserve">INV-015</t>
  </si>
  <si>
    <t xml:space="preserve">Proyektor</t>
  </si>
  <si>
    <t xml:space="preserve">INV-016</t>
  </si>
  <si>
    <t xml:space="preserve">INV-017</t>
  </si>
  <si>
    <t xml:space="preserve">INV-018</t>
  </si>
  <si>
    <t xml:space="preserve">Rak Buku</t>
  </si>
  <si>
    <t xml:space="preserve">Perpustakaan</t>
  </si>
  <si>
    <t xml:space="preserve">INV-019</t>
  </si>
  <si>
    <t xml:space="preserve">INV-020</t>
  </si>
  <si>
    <t xml:space="preserve">INV-021</t>
  </si>
  <si>
    <t xml:space="preserve">INV-022</t>
  </si>
  <si>
    <t xml:space="preserve">Printer</t>
  </si>
  <si>
    <t xml:space="preserve">INV-023</t>
  </si>
  <si>
    <t xml:space="preserve">Lemari Arsip</t>
  </si>
  <si>
    <t xml:space="preserve">Ruang Guru</t>
  </si>
  <si>
    <t xml:space="preserve">INV-024</t>
  </si>
  <si>
    <t xml:space="preserve">Meja Guru</t>
  </si>
  <si>
    <t xml:space="preserve">INV-025</t>
  </si>
  <si>
    <t xml:space="preserve">INV-026</t>
  </si>
  <si>
    <t xml:space="preserve">Dispenser</t>
  </si>
  <si>
    <t xml:space="preserve">INV-027</t>
  </si>
  <si>
    <t xml:space="preserve">Jenis Barang</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</si>
  <si>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</si>
  <si>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</si>
  <si>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</si>
  <si>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</si>
  <si>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</si>
  <si>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</si>
  <si>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Total unit seluruh barang</t>
  </si>
  <si>
    <t xml:space="preserve">Angka bulat, mis. 300</t>
  </si>
  <si>
    <t xml:space="preserve">8b</t>
  </si>
  <si>
    <t xml:space="preserve">Total unit rusak berat</t>
  </si>
  <si>
    <t xml:space="preserve">Angka bulat, mis. 20</t>
  </si>
  <si>
    <t xml:space="preserve">Persen barang rusak keseluruhan</t>
  </si>
  <si>
    <t xml:space="preserve">Persen, mis. 12,5%</t>
  </si>
  <si>
    <t xml:space="preserve">Total nilai aset baik</t>
  </si>
  <si>
    <t xml:space="preserve">Rupiah, mis. Rp 150.000.000</t>
  </si>
  <si>
    <t xml:space="preserve">11a</t>
  </si>
  <si>
    <t xml:space="preserve">Jumlah barang Perlu Perbaikan</t>
  </si>
  <si>
    <t xml:space="preserve">Angka bulat, mis. 6</t>
  </si>
  <si>
    <t xml:space="preserve">11b</t>
  </si>
  <si>
    <t xml:space="preserve">Jumlah barang Layak</t>
  </si>
  <si>
    <t xml:space="preserve">12a</t>
  </si>
  <si>
    <t xml:space="preserve">Ruangan dengan nilai aset baik terbesar</t>
  </si>
  <si>
    <t xml:space="preserve">Teks: nama ruangan</t>
  </si>
  <si>
    <t xml:space="preserve">12b</t>
  </si>
  <si>
    <t xml:space="preserve">Barang dengan unit terbanyak</t>
  </si>
  <si>
    <t xml:space="preserve">Teks: nama barang</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</si>
</sst>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43.5"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22"/>
    <col collapsed="false" customWidth="true" hidden="false" outlineLevel="0" max="4" min="4" style="0" width="8"/>
    <col collapsed="false" customWidth="true" hidden="false" outlineLevel="0" max="6" min="5" style="0" width="9"/>
    <col collapsed="false" customWidth="true" hidden="false" outlineLevel="0" max="7" min="7" style="0" width="14"/>
    <col collapsed="false" customWidth="true" hidden="false" outlineLevel="0" max="8" min="8" style="0" width="10"/>
    <col collapsed="false" customWidth="true" hidden="false" outlineLevel="0" max="9" min="9" style="0" width="11"/>
    <col collapsed="false" customWidth="true" hidden="false" outlineLevel="0" max="10" min="10" style="0" width="15"/>
    <col collapsed="false" customWidth="true" hidden="false" outlineLevel="0" max="11" min="11" style="0" width="16"/>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71</v>
      </c>
      <c r="B1" s="11" t="s">
        <v>72</v>
      </c>
      <c r="C1" s="11" t="s">
        <v>73</v>
      </c>
      <c r="D1" s="11" t="s">
        <v>74</v>
      </c>
      <c r="E1" s="11" t="s">
        <v>75</v>
      </c>
      <c r="F1" s="11" t="s">
        <v>76</v>
      </c>
      <c r="G1" s="11" t="s">
        <v>77</v>
      </c>
      <c r="H1" s="15" t="s">
        <v>78</v>
      </c>
      <c r="I1" s="15" t="s">
        <v>79</v>
      </c>
      <c r="J1" s="15" t="s">
        <v>80</v>
      </c>
      <c r="K1" s="15" t="s">
        <v>81</v>
      </c>
      <c r="M1" s="16" t="s">
        <v>82</v>
      </c>
      <c r="N1" s="16" t="s">
        <v>83</v>
      </c>
      <c r="O1" s="16" t="s">
        <v>84</v>
      </c>
    </row>
    <row r="2" customFormat="false" ht="15" hidden="false" customHeight="false" outlineLevel="0" collapsed="false">
      <c r="A2" s="17" t="s">
        <v>85</v>
      </c>
      <c r="B2" s="17" t="s">
        <v>86</v>
      </c>
      <c r="C2" s="17" t="s">
        <v>87</v>
      </c>
      <c r="D2" s="18" t="n">
        <v>20</v>
      </c>
      <c r="E2" s="18" t="n">
        <v>6</v>
      </c>
      <c r="F2" s="18" t="n">
        <v>1</v>
      </c>
      <c r="G2" s="19" t="n">
        <v>185000</v>
      </c>
      <c r="H2" s="20" t="n">
        <f aca="false">D2+E2+F2</f>
        <v>27</v>
      </c>
      <c r="I2" s="21" t="n">
        <f aca="false">(E2+F2)/H2</f>
        <v>0.259259259259259</v>
      </c>
      <c r="J2" s="22" t="n">
        <f aca="false">D2*G2</f>
        <v>3700000</v>
      </c>
      <c r="K2" s="23" t="str">
        <f aca="false">IF(I2&gt;=$N$2,"Perlu Perbaikan","Layak")</f>
        <v>Perlu Perbaikan</v>
      </c>
      <c r="M2" s="24" t="s">
        <v>88</v>
      </c>
      <c r="N2" s="25" t="n">
        <v>0.25</v>
      </c>
      <c r="O2" s="24" t="s">
        <v>89</v>
      </c>
    </row>
    <row r="3" customFormat="false" ht="15" hidden="false" customHeight="false" outlineLevel="0" collapsed="false">
      <c r="A3" s="17" t="s">
        <v>90</v>
      </c>
      <c r="B3" s="17" t="s">
        <v>91</v>
      </c>
      <c r="C3" s="17" t="s">
        <v>87</v>
      </c>
      <c r="D3" s="18" t="n">
        <v>17</v>
      </c>
      <c r="E3" s="18" t="n">
        <v>5</v>
      </c>
      <c r="F3" s="18" t="n">
        <v>3</v>
      </c>
      <c r="G3" s="19" t="n">
        <v>120000</v>
      </c>
      <c r="H3" s="20" t="n">
        <f aca="false">D3+E3+F3</f>
        <v>25</v>
      </c>
      <c r="I3" s="21" t="n">
        <f aca="false">(E3+F3)/H3</f>
        <v>0.32</v>
      </c>
      <c r="J3" s="22" t="n">
        <f aca="false">D3*G3</f>
        <v>2040000</v>
      </c>
      <c r="K3" s="23" t="str">
        <f aca="false">IF(I3&gt;=$N$2,"Perlu Perbaikan","Layak")</f>
        <v>Perlu Perbaikan</v>
      </c>
    </row>
    <row r="4" customFormat="false" ht="15" hidden="false" customHeight="false" outlineLevel="0" collapsed="false">
      <c r="A4" s="17" t="s">
        <v>92</v>
      </c>
      <c r="B4" s="17" t="s">
        <v>93</v>
      </c>
      <c r="C4" s="17" t="s">
        <v>87</v>
      </c>
      <c r="D4" s="18" t="n">
        <v>1</v>
      </c>
      <c r="E4" s="18" t="n">
        <v>0</v>
      </c>
      <c r="F4" s="18" t="n">
        <v>1</v>
      </c>
      <c r="G4" s="19" t="n">
        <v>650000</v>
      </c>
      <c r="H4" s="20" t="n">
        <f aca="false">D4+E4+F4</f>
        <v>2</v>
      </c>
      <c r="I4" s="21" t="n">
        <f aca="false">(E4+F4)/H4</f>
        <v>0.5</v>
      </c>
      <c r="J4" s="22" t="n">
        <f aca="false">D4*G4</f>
        <v>650000</v>
      </c>
      <c r="K4" s="23" t="str">
        <f aca="false">IF(I4&gt;=$N$2,"Perlu Perbaikan","Layak")</f>
        <v>Perlu Perbaikan</v>
      </c>
    </row>
    <row r="5" customFormat="false" ht="15" hidden="false" customHeight="false" outlineLevel="0" collapsed="false">
      <c r="A5" s="17" t="s">
        <v>94</v>
      </c>
      <c r="B5" s="17" t="s">
        <v>95</v>
      </c>
      <c r="C5" s="17" t="s">
        <v>87</v>
      </c>
      <c r="D5" s="18" t="n">
        <v>3</v>
      </c>
      <c r="E5" s="18" t="n">
        <v>0</v>
      </c>
      <c r="F5" s="18" t="n">
        <v>0</v>
      </c>
      <c r="G5" s="19" t="n">
        <v>280000</v>
      </c>
      <c r="H5" s="20" t="n">
        <f aca="false">D5+E5+F5</f>
        <v>3</v>
      </c>
      <c r="I5" s="21" t="n">
        <f aca="false">(E5+F5)/H5</f>
        <v>0</v>
      </c>
      <c r="J5" s="22" t="n">
        <f aca="false">D5*G5</f>
        <v>840000</v>
      </c>
      <c r="K5" s="23" t="str">
        <f aca="false">IF(I5&gt;=$N$2,"Perlu Perbaikan","Layak")</f>
        <v>Layak</v>
      </c>
    </row>
    <row r="6" customFormat="false" ht="15" hidden="false" customHeight="false" outlineLevel="0" collapsed="false">
      <c r="A6" s="17" t="s">
        <v>96</v>
      </c>
      <c r="B6" s="17" t="s">
        <v>86</v>
      </c>
      <c r="C6" s="17" t="s">
        <v>97</v>
      </c>
      <c r="D6" s="18" t="n">
        <v>24</v>
      </c>
      <c r="E6" s="18" t="n">
        <v>7</v>
      </c>
      <c r="F6" s="18" t="n">
        <v>0</v>
      </c>
      <c r="G6" s="19" t="n">
        <v>185000</v>
      </c>
      <c r="H6" s="20" t="n">
        <f aca="false">D6+E6+F6</f>
        <v>31</v>
      </c>
      <c r="I6" s="21" t="n">
        <f aca="false">(E6+F6)/H6</f>
        <v>0.225806451612903</v>
      </c>
      <c r="J6" s="22" t="n">
        <f aca="false">D6*G6</f>
        <v>4440000</v>
      </c>
      <c r="K6" s="23" t="str">
        <f aca="false">IF(I6&gt;=$N$2,"Perlu Perbaikan","Layak")</f>
        <v>Layak</v>
      </c>
    </row>
    <row r="7" customFormat="false" ht="15" hidden="false" customHeight="false" outlineLevel="0" collapsed="false">
      <c r="A7" s="17" t="s">
        <v>98</v>
      </c>
      <c r="B7" s="17" t="s">
        <v>91</v>
      </c>
      <c r="C7" s="17" t="s">
        <v>97</v>
      </c>
      <c r="D7" s="18" t="n">
        <v>17</v>
      </c>
      <c r="E7" s="18" t="n">
        <v>3</v>
      </c>
      <c r="F7" s="18" t="n">
        <v>2</v>
      </c>
      <c r="G7" s="19" t="n">
        <v>120000</v>
      </c>
      <c r="H7" s="20" t="n">
        <f aca="false">D7+E7+F7</f>
        <v>22</v>
      </c>
      <c r="I7" s="21" t="n">
        <f aca="false">(E7+F7)/H7</f>
        <v>0.227272727272727</v>
      </c>
      <c r="J7" s="22" t="n">
        <f aca="false">D7*G7</f>
        <v>2040000</v>
      </c>
      <c r="K7" s="23" t="str">
        <f aca="false">IF(I7&gt;=$N$2,"Perlu Perbaikan","Layak")</f>
        <v>Layak</v>
      </c>
    </row>
    <row r="8" customFormat="false" ht="15" hidden="false" customHeight="false" outlineLevel="0" collapsed="false">
      <c r="A8" s="17" t="s">
        <v>99</v>
      </c>
      <c r="B8" s="17" t="s">
        <v>93</v>
      </c>
      <c r="C8" s="17" t="s">
        <v>97</v>
      </c>
      <c r="D8" s="18" t="n">
        <v>4</v>
      </c>
      <c r="E8" s="18" t="n">
        <v>0</v>
      </c>
      <c r="F8" s="18" t="n">
        <v>0</v>
      </c>
      <c r="G8" s="19" t="n">
        <v>650000</v>
      </c>
      <c r="H8" s="20" t="n">
        <f aca="false">D8+E8+F8</f>
        <v>4</v>
      </c>
      <c r="I8" s="21" t="n">
        <f aca="false">(E8+F8)/H8</f>
        <v>0</v>
      </c>
      <c r="J8" s="22" t="n">
        <f aca="false">D8*G8</f>
        <v>2600000</v>
      </c>
      <c r="K8" s="23" t="str">
        <f aca="false">IF(I8&gt;=$N$2,"Perlu Perbaikan","Layak")</f>
        <v>Layak</v>
      </c>
    </row>
    <row r="9" customFormat="false" ht="15" hidden="false" customHeight="false" outlineLevel="0" collapsed="false">
      <c r="A9" s="17" t="s">
        <v>100</v>
      </c>
      <c r="B9" s="17" t="s">
        <v>95</v>
      </c>
      <c r="C9" s="17" t="s">
        <v>97</v>
      </c>
      <c r="D9" s="18" t="n">
        <v>1</v>
      </c>
      <c r="E9" s="18" t="n">
        <v>1</v>
      </c>
      <c r="F9" s="18" t="n">
        <v>1</v>
      </c>
      <c r="G9" s="19" t="n">
        <v>280000</v>
      </c>
      <c r="H9" s="20" t="n">
        <f aca="false">D9+E9+F9</f>
        <v>3</v>
      </c>
      <c r="I9" s="21" t="n">
        <f aca="false">(E9+F9)/H9</f>
        <v>0.666666666666667</v>
      </c>
      <c r="J9" s="22" t="n">
        <f aca="false">D9*G9</f>
        <v>280000</v>
      </c>
      <c r="K9" s="23" t="str">
        <f aca="false">IF(I9&gt;=$N$2,"Perlu Perbaikan","Layak")</f>
        <v>Perlu Perbaikan</v>
      </c>
    </row>
    <row r="10" customFormat="false" ht="15" hidden="false" customHeight="false" outlineLevel="0" collapsed="false">
      <c r="A10" s="17" t="s">
        <v>101</v>
      </c>
      <c r="B10" s="17" t="s">
        <v>86</v>
      </c>
      <c r="C10" s="17" t="s">
        <v>102</v>
      </c>
      <c r="D10" s="18" t="n">
        <v>20</v>
      </c>
      <c r="E10" s="18" t="n">
        <v>7</v>
      </c>
      <c r="F10" s="18" t="n">
        <v>1</v>
      </c>
      <c r="G10" s="19" t="n">
        <v>185000</v>
      </c>
      <c r="H10" s="20" t="n">
        <f aca="false">D10+E10+F10</f>
        <v>28</v>
      </c>
      <c r="I10" s="21" t="n">
        <f aca="false">(E10+F10)/H10</f>
        <v>0.285714285714286</v>
      </c>
      <c r="J10" s="22" t="n">
        <f aca="false">D10*G10</f>
        <v>3700000</v>
      </c>
      <c r="K10" s="23" t="str">
        <f aca="false">IF(I10&gt;=$N$2,"Perlu Perbaikan","Layak")</f>
        <v>Perlu Perbaikan</v>
      </c>
    </row>
    <row r="11" customFormat="false" ht="15" hidden="false" customHeight="false" outlineLevel="0" collapsed="false">
      <c r="A11" s="17" t="s">
        <v>103</v>
      </c>
      <c r="B11" s="17" t="s">
        <v>91</v>
      </c>
      <c r="C11" s="17" t="s">
        <v>102</v>
      </c>
      <c r="D11" s="18" t="n">
        <v>22</v>
      </c>
      <c r="E11" s="18" t="n">
        <v>1</v>
      </c>
      <c r="F11" s="18" t="n">
        <v>1</v>
      </c>
      <c r="G11" s="19" t="n">
        <v>120000</v>
      </c>
      <c r="H11" s="20" t="n">
        <f aca="false">D11+E11+F11</f>
        <v>24</v>
      </c>
      <c r="I11" s="21" t="n">
        <f aca="false">(E11+F11)/H11</f>
        <v>0.0833333333333333</v>
      </c>
      <c r="J11" s="22" t="n">
        <f aca="false">D11*G11</f>
        <v>2640000</v>
      </c>
      <c r="K11" s="23" t="str">
        <f aca="false">IF(I11&gt;=$N$2,"Perlu Perbaikan","Layak")</f>
        <v>Layak</v>
      </c>
    </row>
    <row r="12" customFormat="false" ht="15" hidden="false" customHeight="false" outlineLevel="0" collapsed="false">
      <c r="A12" s="17" t="s">
        <v>104</v>
      </c>
      <c r="B12" s="17" t="s">
        <v>93</v>
      </c>
      <c r="C12" s="17" t="s">
        <v>102</v>
      </c>
      <c r="D12" s="18" t="n">
        <v>3</v>
      </c>
      <c r="E12" s="18" t="n">
        <v>0</v>
      </c>
      <c r="F12" s="18" t="n">
        <v>1</v>
      </c>
      <c r="G12" s="19" t="n">
        <v>650000</v>
      </c>
      <c r="H12" s="20" t="n">
        <f aca="false">D12+E12+F12</f>
        <v>4</v>
      </c>
      <c r="I12" s="21" t="n">
        <f aca="false">(E12+F12)/H12</f>
        <v>0.25</v>
      </c>
      <c r="J12" s="22" t="n">
        <f aca="false">D12*G12</f>
        <v>1950000</v>
      </c>
      <c r="K12" s="23" t="str">
        <f aca="false">IF(I12&gt;=$N$2,"Perlu Perbaikan","Layak")</f>
        <v>Perlu Perbaikan</v>
      </c>
    </row>
    <row r="13" customFormat="false" ht="15" hidden="false" customHeight="false" outlineLevel="0" collapsed="false">
      <c r="A13" s="17" t="s">
        <v>105</v>
      </c>
      <c r="B13" s="17" t="s">
        <v>95</v>
      </c>
      <c r="C13" s="17" t="s">
        <v>102</v>
      </c>
      <c r="D13" s="18" t="n">
        <v>4</v>
      </c>
      <c r="E13" s="18" t="n">
        <v>1</v>
      </c>
      <c r="F13" s="18" t="n">
        <v>1</v>
      </c>
      <c r="G13" s="19" t="n">
        <v>280000</v>
      </c>
      <c r="H13" s="20" t="n">
        <f aca="false">D13+E13+F13</f>
        <v>6</v>
      </c>
      <c r="I13" s="21" t="n">
        <f aca="false">(E13+F13)/H13</f>
        <v>0.333333333333333</v>
      </c>
      <c r="J13" s="22" t="n">
        <f aca="false">D13*G13</f>
        <v>1120000</v>
      </c>
      <c r="K13" s="23" t="str">
        <f aca="false">IF(I13&gt;=$N$2,"Perlu Perbaikan","Layak")</f>
        <v>Perlu Perbaikan</v>
      </c>
    </row>
    <row r="14" customFormat="false" ht="15" hidden="false" customHeight="false" outlineLevel="0" collapsed="false">
      <c r="A14" s="17" t="s">
        <v>106</v>
      </c>
      <c r="B14" s="17" t="s">
        <v>107</v>
      </c>
      <c r="C14" s="17" t="s">
        <v>108</v>
      </c>
      <c r="D14" s="18" t="n">
        <v>6</v>
      </c>
      <c r="E14" s="18" t="n">
        <v>0</v>
      </c>
      <c r="F14" s="18" t="n">
        <v>0</v>
      </c>
      <c r="G14" s="19" t="n">
        <v>5200000</v>
      </c>
      <c r="H14" s="20" t="n">
        <f aca="false">D14+E14+F14</f>
        <v>6</v>
      </c>
      <c r="I14" s="21" t="n">
        <f aca="false">(E14+F14)/H14</f>
        <v>0</v>
      </c>
      <c r="J14" s="22" t="n">
        <f aca="false">D14*G14</f>
        <v>31200000</v>
      </c>
      <c r="K14" s="23" t="str">
        <f aca="false">IF(I14&gt;=$N$2,"Perlu Perbaikan","Layak")</f>
        <v>Layak</v>
      </c>
    </row>
    <row r="15" customFormat="false" ht="15" hidden="false" customHeight="false" outlineLevel="0" collapsed="false">
      <c r="A15" s="17" t="s">
        <v>109</v>
      </c>
      <c r="B15" s="17" t="s">
        <v>110</v>
      </c>
      <c r="C15" s="17" t="s">
        <v>108</v>
      </c>
      <c r="D15" s="18" t="n">
        <v>3</v>
      </c>
      <c r="E15" s="18" t="n">
        <v>0</v>
      </c>
      <c r="F15" s="18" t="n">
        <v>2</v>
      </c>
      <c r="G15" s="19" t="n">
        <v>1350000</v>
      </c>
      <c r="H15" s="20" t="n">
        <f aca="false">D15+E15+F15</f>
        <v>5</v>
      </c>
      <c r="I15" s="21" t="n">
        <f aca="false">(E15+F15)/H15</f>
        <v>0.4</v>
      </c>
      <c r="J15" s="22" t="n">
        <f aca="false">D15*G15</f>
        <v>4050000</v>
      </c>
      <c r="K15" s="23" t="str">
        <f aca="false">IF(I15&gt;=$N$2,"Perlu Perbaikan","Layak")</f>
        <v>Perlu Perbaikan</v>
      </c>
    </row>
    <row r="16" customFormat="false" ht="15" hidden="false" customHeight="false" outlineLevel="0" collapsed="false">
      <c r="A16" s="17" t="s">
        <v>111</v>
      </c>
      <c r="B16" s="17" t="s">
        <v>112</v>
      </c>
      <c r="C16" s="17" t="s">
        <v>108</v>
      </c>
      <c r="D16" s="18" t="n">
        <v>5</v>
      </c>
      <c r="E16" s="18" t="n">
        <v>0</v>
      </c>
      <c r="F16" s="18" t="n">
        <v>1</v>
      </c>
      <c r="G16" s="19" t="n">
        <v>3900000</v>
      </c>
      <c r="H16" s="20" t="n">
        <f aca="false">D16+E16+F16</f>
        <v>6</v>
      </c>
      <c r="I16" s="21" t="n">
        <f aca="false">(E16+F16)/H16</f>
        <v>0.166666666666667</v>
      </c>
      <c r="J16" s="22" t="n">
        <f aca="false">D16*G16</f>
        <v>19500000</v>
      </c>
      <c r="K16" s="23" t="str">
        <f aca="false">IF(I16&gt;=$N$2,"Perlu Perbaikan","Layak")</f>
        <v>Layak</v>
      </c>
    </row>
    <row r="17" customFormat="false" ht="15" hidden="false" customHeight="false" outlineLevel="0" collapsed="false">
      <c r="A17" s="17" t="s">
        <v>113</v>
      </c>
      <c r="B17" s="17" t="s">
        <v>95</v>
      </c>
      <c r="C17" s="17" t="s">
        <v>108</v>
      </c>
      <c r="D17" s="18" t="n">
        <v>2</v>
      </c>
      <c r="E17" s="18" t="n">
        <v>0</v>
      </c>
      <c r="F17" s="18" t="n">
        <v>1</v>
      </c>
      <c r="G17" s="19" t="n">
        <v>280000</v>
      </c>
      <c r="H17" s="20" t="n">
        <f aca="false">D17+E17+F17</f>
        <v>3</v>
      </c>
      <c r="I17" s="21" t="n">
        <f aca="false">(E17+F17)/H17</f>
        <v>0.333333333333333</v>
      </c>
      <c r="J17" s="22" t="n">
        <f aca="false">D17*G17</f>
        <v>560000</v>
      </c>
      <c r="K17" s="23" t="str">
        <f aca="false">IF(I17&gt;=$N$2,"Perlu Perbaikan","Layak")</f>
        <v>Perlu Perbaikan</v>
      </c>
    </row>
    <row r="18" customFormat="false" ht="15" hidden="false" customHeight="false" outlineLevel="0" collapsed="false">
      <c r="A18" s="17" t="s">
        <v>114</v>
      </c>
      <c r="B18" s="17" t="s">
        <v>86</v>
      </c>
      <c r="C18" s="17" t="s">
        <v>108</v>
      </c>
      <c r="D18" s="18" t="n">
        <v>32</v>
      </c>
      <c r="E18" s="18" t="n">
        <v>1</v>
      </c>
      <c r="F18" s="18" t="n">
        <v>0</v>
      </c>
      <c r="G18" s="19" t="n">
        <v>185000</v>
      </c>
      <c r="H18" s="20" t="n">
        <f aca="false">D18+E18+F18</f>
        <v>33</v>
      </c>
      <c r="I18" s="21" t="n">
        <f aca="false">(E18+F18)/H18</f>
        <v>0.0303030303030303</v>
      </c>
      <c r="J18" s="22" t="n">
        <f aca="false">D18*G18</f>
        <v>5920000</v>
      </c>
      <c r="K18" s="23" t="str">
        <f aca="false">IF(I18&gt;=$N$2,"Perlu Perbaikan","Layak")</f>
        <v>Layak</v>
      </c>
    </row>
    <row r="19" customFormat="false" ht="15" hidden="false" customHeight="false" outlineLevel="0" collapsed="false">
      <c r="A19" s="17" t="s">
        <v>115</v>
      </c>
      <c r="B19" s="17" t="s">
        <v>116</v>
      </c>
      <c r="C19" s="17" t="s">
        <v>117</v>
      </c>
      <c r="D19" s="18" t="n">
        <v>4</v>
      </c>
      <c r="E19" s="18" t="n">
        <v>0</v>
      </c>
      <c r="F19" s="18" t="n">
        <v>2</v>
      </c>
      <c r="G19" s="19" t="n">
        <v>850000</v>
      </c>
      <c r="H19" s="20" t="n">
        <f aca="false">D19+E19+F19</f>
        <v>6</v>
      </c>
      <c r="I19" s="21" t="n">
        <f aca="false">(E19+F19)/H19</f>
        <v>0.333333333333333</v>
      </c>
      <c r="J19" s="22" t="n">
        <f aca="false">D19*G19</f>
        <v>3400000</v>
      </c>
      <c r="K19" s="23" t="str">
        <f aca="false">IF(I19&gt;=$N$2,"Perlu Perbaikan","Layak")</f>
        <v>Perlu Perbaikan</v>
      </c>
    </row>
    <row r="20" customFormat="false" ht="15" hidden="false" customHeight="false" outlineLevel="0" collapsed="false">
      <c r="A20" s="17" t="s">
        <v>118</v>
      </c>
      <c r="B20" s="17" t="s">
        <v>86</v>
      </c>
      <c r="C20" s="17" t="s">
        <v>117</v>
      </c>
      <c r="D20" s="18" t="n">
        <v>20</v>
      </c>
      <c r="E20" s="18" t="n">
        <v>0</v>
      </c>
      <c r="F20" s="18" t="n">
        <v>0</v>
      </c>
      <c r="G20" s="19" t="n">
        <v>185000</v>
      </c>
      <c r="H20" s="20" t="n">
        <f aca="false">D20+E20+F20</f>
        <v>20</v>
      </c>
      <c r="I20" s="21" t="n">
        <f aca="false">(E20+F20)/H20</f>
        <v>0</v>
      </c>
      <c r="J20" s="22" t="n">
        <f aca="false">D20*G20</f>
        <v>3700000</v>
      </c>
      <c r="K20" s="23" t="str">
        <f aca="false">IF(I20&gt;=$N$2,"Perlu Perbaikan","Layak")</f>
        <v>Layak</v>
      </c>
    </row>
    <row r="21" customFormat="false" ht="15" hidden="false" customHeight="false" outlineLevel="0" collapsed="false">
      <c r="A21" s="17" t="s">
        <v>119</v>
      </c>
      <c r="B21" s="17" t="s">
        <v>91</v>
      </c>
      <c r="C21" s="17" t="s">
        <v>117</v>
      </c>
      <c r="D21" s="18" t="n">
        <v>14</v>
      </c>
      <c r="E21" s="18" t="n">
        <v>4</v>
      </c>
      <c r="F21" s="18" t="n">
        <v>3</v>
      </c>
      <c r="G21" s="19" t="n">
        <v>120000</v>
      </c>
      <c r="H21" s="20" t="n">
        <f aca="false">D21+E21+F21</f>
        <v>21</v>
      </c>
      <c r="I21" s="21" t="n">
        <f aca="false">(E21+F21)/H21</f>
        <v>0.333333333333333</v>
      </c>
      <c r="J21" s="22" t="n">
        <f aca="false">D21*G21</f>
        <v>1680000</v>
      </c>
      <c r="K21" s="23" t="str">
        <f aca="false">IF(I21&gt;=$N$2,"Perlu Perbaikan","Layak")</f>
        <v>Perlu Perbaikan</v>
      </c>
    </row>
    <row r="22" customFormat="false" ht="15" hidden="false" customHeight="false" outlineLevel="0" collapsed="false">
      <c r="A22" s="17" t="s">
        <v>120</v>
      </c>
      <c r="B22" s="17" t="s">
        <v>95</v>
      </c>
      <c r="C22" s="17" t="s">
        <v>117</v>
      </c>
      <c r="D22" s="18" t="n">
        <v>1</v>
      </c>
      <c r="E22" s="18" t="n">
        <v>1</v>
      </c>
      <c r="F22" s="18" t="n">
        <v>1</v>
      </c>
      <c r="G22" s="19" t="n">
        <v>280000</v>
      </c>
      <c r="H22" s="20" t="n">
        <f aca="false">D22+E22+F22</f>
        <v>3</v>
      </c>
      <c r="I22" s="21" t="n">
        <f aca="false">(E22+F22)/H22</f>
        <v>0.666666666666667</v>
      </c>
      <c r="J22" s="22" t="n">
        <f aca="false">D22*G22</f>
        <v>280000</v>
      </c>
      <c r="K22" s="23" t="str">
        <f aca="false">IF(I22&gt;=$N$2,"Perlu Perbaikan","Layak")</f>
        <v>Perlu Perbaikan</v>
      </c>
    </row>
    <row r="23" customFormat="false" ht="15" hidden="false" customHeight="false" outlineLevel="0" collapsed="false">
      <c r="A23" s="17" t="s">
        <v>121</v>
      </c>
      <c r="B23" s="17" t="s">
        <v>122</v>
      </c>
      <c r="C23" s="17" t="s">
        <v>117</v>
      </c>
      <c r="D23" s="18" t="n">
        <v>2</v>
      </c>
      <c r="E23" s="18" t="n">
        <v>0</v>
      </c>
      <c r="F23" s="18" t="n">
        <v>1</v>
      </c>
      <c r="G23" s="19" t="n">
        <v>1750000</v>
      </c>
      <c r="H23" s="20" t="n">
        <f aca="false">D23+E23+F23</f>
        <v>3</v>
      </c>
      <c r="I23" s="21" t="n">
        <f aca="false">(E23+F23)/H23</f>
        <v>0.333333333333333</v>
      </c>
      <c r="J23" s="22" t="n">
        <f aca="false">D23*G23</f>
        <v>3500000</v>
      </c>
      <c r="K23" s="23" t="str">
        <f aca="false">IF(I23&gt;=$N$2,"Perlu Perbaikan","Layak")</f>
        <v>Perlu Perbaikan</v>
      </c>
    </row>
    <row r="24" customFormat="false" ht="15" hidden="false" customHeight="false" outlineLevel="0" collapsed="false">
      <c r="A24" s="17" t="s">
        <v>123</v>
      </c>
      <c r="B24" s="17" t="s">
        <v>124</v>
      </c>
      <c r="C24" s="17" t="s">
        <v>125</v>
      </c>
      <c r="D24" s="18" t="n">
        <v>4</v>
      </c>
      <c r="E24" s="18" t="n">
        <v>1</v>
      </c>
      <c r="F24" s="18" t="n">
        <v>0</v>
      </c>
      <c r="G24" s="19" t="n">
        <v>1450000</v>
      </c>
      <c r="H24" s="20" t="n">
        <f aca="false">D24+E24+F24</f>
        <v>5</v>
      </c>
      <c r="I24" s="21" t="n">
        <f aca="false">(E24+F24)/H24</f>
        <v>0.2</v>
      </c>
      <c r="J24" s="22" t="n">
        <f aca="false">D24*G24</f>
        <v>5800000</v>
      </c>
      <c r="K24" s="23" t="str">
        <f aca="false">IF(I24&gt;=$N$2,"Perlu Perbaikan","Layak")</f>
        <v>Layak</v>
      </c>
    </row>
    <row r="25" customFormat="false" ht="15" hidden="false" customHeight="false" outlineLevel="0" collapsed="false">
      <c r="A25" s="17" t="s">
        <v>126</v>
      </c>
      <c r="B25" s="17" t="s">
        <v>127</v>
      </c>
      <c r="C25" s="17" t="s">
        <v>125</v>
      </c>
      <c r="D25" s="18" t="n">
        <v>3</v>
      </c>
      <c r="E25" s="18" t="n">
        <v>0</v>
      </c>
      <c r="F25" s="18" t="n">
        <v>1</v>
      </c>
      <c r="G25" s="19" t="n">
        <v>540000</v>
      </c>
      <c r="H25" s="20" t="n">
        <f aca="false">D25+E25+F25</f>
        <v>4</v>
      </c>
      <c r="I25" s="21" t="n">
        <f aca="false">(E25+F25)/H25</f>
        <v>0.25</v>
      </c>
      <c r="J25" s="22" t="n">
        <f aca="false">D25*G25</f>
        <v>1620000</v>
      </c>
      <c r="K25" s="23" t="str">
        <f aca="false">IF(I25&gt;=$N$2,"Perlu Perbaikan","Layak")</f>
        <v>Perlu Perbaikan</v>
      </c>
    </row>
    <row r="26" customFormat="false" ht="15" hidden="false" customHeight="false" outlineLevel="0" collapsed="false">
      <c r="A26" s="17" t="s">
        <v>128</v>
      </c>
      <c r="B26" s="17" t="s">
        <v>122</v>
      </c>
      <c r="C26" s="17" t="s">
        <v>125</v>
      </c>
      <c r="D26" s="18" t="n">
        <v>0</v>
      </c>
      <c r="E26" s="18" t="n">
        <v>1</v>
      </c>
      <c r="F26" s="18" t="n">
        <v>1</v>
      </c>
      <c r="G26" s="19" t="n">
        <v>1750000</v>
      </c>
      <c r="H26" s="20" t="n">
        <f aca="false">D26+E26+F26</f>
        <v>2</v>
      </c>
      <c r="I26" s="21" t="n">
        <f aca="false">(E26+F26)/H26</f>
        <v>1</v>
      </c>
      <c r="J26" s="22" t="n">
        <f aca="false">D26*G26</f>
        <v>0</v>
      </c>
      <c r="K26" s="23" t="str">
        <f aca="false">IF(I26&gt;=$N$2,"Perlu Perbaikan","Layak")</f>
        <v>Perlu Perbaikan</v>
      </c>
    </row>
    <row r="27" customFormat="false" ht="15" hidden="false" customHeight="false" outlineLevel="0" collapsed="false">
      <c r="A27" s="17" t="s">
        <v>129</v>
      </c>
      <c r="B27" s="17" t="s">
        <v>130</v>
      </c>
      <c r="C27" s="17" t="s">
        <v>125</v>
      </c>
      <c r="D27" s="18" t="n">
        <v>3</v>
      </c>
      <c r="E27" s="18" t="n">
        <v>0</v>
      </c>
      <c r="F27" s="18" t="n">
        <v>1</v>
      </c>
      <c r="G27" s="19" t="n">
        <v>520000</v>
      </c>
      <c r="H27" s="20" t="n">
        <f aca="false">D27+E27+F27</f>
        <v>4</v>
      </c>
      <c r="I27" s="21" t="n">
        <f aca="false">(E27+F27)/H27</f>
        <v>0.25</v>
      </c>
      <c r="J27" s="22" t="n">
        <f aca="false">D27*G27</f>
        <v>1560000</v>
      </c>
      <c r="K27" s="23" t="str">
        <f aca="false">IF(I27&gt;=$N$2,"Perlu Perbaikan","Layak")</f>
        <v>Perlu Perbaikan</v>
      </c>
    </row>
    <row r="28" customFormat="false" ht="15" hidden="false" customHeight="false" outlineLevel="0" collapsed="false">
      <c r="A28" s="17" t="s">
        <v>131</v>
      </c>
      <c r="B28" s="17" t="s">
        <v>95</v>
      </c>
      <c r="C28" s="17" t="s">
        <v>125</v>
      </c>
      <c r="D28" s="18" t="n">
        <v>3</v>
      </c>
      <c r="E28" s="18" t="n">
        <v>1</v>
      </c>
      <c r="F28" s="18" t="n">
        <v>1</v>
      </c>
      <c r="G28" s="19" t="n">
        <v>280000</v>
      </c>
      <c r="H28" s="20" t="n">
        <f aca="false">D28+E28+F28</f>
        <v>5</v>
      </c>
      <c r="I28" s="21" t="n">
        <f aca="false">(E28+F28)/H28</f>
        <v>0.4</v>
      </c>
      <c r="J28" s="22" t="n">
        <f aca="false">D28*G28</f>
        <v>840000</v>
      </c>
      <c r="K28" s="23" t="str">
        <f aca="false">IF(I28&gt;=$N$2,"Perlu Perbaikan","Layak")</f>
        <v>Perlu Perbaikan</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1"/>
    <col collapsed="false" customWidth="true" hidden="false" outlineLevel="0" max="4" min="4" style="0" width="16"/>
  </cols>
  <sheetData>
    <row r="1" customFormat="false" ht="33.75" hidden="false" customHeight="true" outlineLevel="0" collapsed="false">
      <c r="A1" s="11" t="s">
        <v>73</v>
      </c>
      <c r="B1" s="15" t="s">
        <v>132</v>
      </c>
      <c r="C1" s="15" t="s">
        <v>78</v>
      </c>
      <c r="D1" s="15" t="s">
        <v>80</v>
      </c>
    </row>
    <row r="2" customFormat="false" ht="15" hidden="false" customHeight="false" outlineLevel="0" collapsed="false">
      <c r="A2" s="17" t="s">
        <v>87</v>
      </c>
      <c r="B2" s="20" t="n">
        <f aca="false">COUNTIF(Data!$C$2:$C$28,A2)</f>
        <v>4</v>
      </c>
      <c r="C2" s="20" t="n">
        <f aca="false">SUMIF(Data!$C$2:$C$28,A2,Data!$H$2:$H$28)</f>
        <v>57</v>
      </c>
      <c r="D2" s="22" t="n">
        <f aca="false">SUMIF(Data!$C$2:$C$28,A2,Data!$J$2:$J$28)</f>
        <v>7230000</v>
      </c>
    </row>
    <row r="3" customFormat="false" ht="15" hidden="false" customHeight="false" outlineLevel="0" collapsed="false">
      <c r="A3" s="17" t="s">
        <v>97</v>
      </c>
      <c r="B3" s="20" t="n">
        <f aca="false">COUNTIF(Data!$C$2:$C$28,A3)</f>
        <v>4</v>
      </c>
      <c r="C3" s="20" t="n">
        <f aca="false">SUMIF(Data!$C$2:$C$28,A3,Data!$H$2:$H$28)</f>
        <v>60</v>
      </c>
      <c r="D3" s="22" t="n">
        <f aca="false">SUMIF(Data!$C$2:$C$28,A3,Data!$J$2:$J$28)</f>
        <v>9360000</v>
      </c>
    </row>
    <row r="4" customFormat="false" ht="15" hidden="false" customHeight="false" outlineLevel="0" collapsed="false">
      <c r="A4" s="17" t="s">
        <v>102</v>
      </c>
      <c r="B4" s="20" t="n">
        <f aca="false">COUNTIF(Data!$C$2:$C$28,A4)</f>
        <v>4</v>
      </c>
      <c r="C4" s="20" t="n">
        <f aca="false">SUMIF(Data!$C$2:$C$28,A4,Data!$H$2:$H$28)</f>
        <v>62</v>
      </c>
      <c r="D4" s="22" t="n">
        <f aca="false">SUMIF(Data!$C$2:$C$28,A4,Data!$J$2:$J$28)</f>
        <v>9410000</v>
      </c>
    </row>
    <row r="5" customFormat="false" ht="15" hidden="false" customHeight="false" outlineLevel="0" collapsed="false">
      <c r="A5" s="17" t="s">
        <v>108</v>
      </c>
      <c r="B5" s="20" t="n">
        <f aca="false">COUNTIF(Data!$C$2:$C$28,A5)</f>
        <v>5</v>
      </c>
      <c r="C5" s="20" t="n">
        <f aca="false">SUMIF(Data!$C$2:$C$28,A5,Data!$H$2:$H$28)</f>
        <v>53</v>
      </c>
      <c r="D5" s="22" t="n">
        <f aca="false">SUMIF(Data!$C$2:$C$28,A5,Data!$J$2:$J$28)</f>
        <v>61230000</v>
      </c>
    </row>
    <row r="6" customFormat="false" ht="15" hidden="false" customHeight="false" outlineLevel="0" collapsed="false">
      <c r="A6" s="17" t="s">
        <v>117</v>
      </c>
      <c r="B6" s="20" t="n">
        <f aca="false">COUNTIF(Data!$C$2:$C$28,A6)</f>
        <v>5</v>
      </c>
      <c r="C6" s="20" t="n">
        <f aca="false">SUMIF(Data!$C$2:$C$28,A6,Data!$H$2:$H$28)</f>
        <v>53</v>
      </c>
      <c r="D6" s="22" t="n">
        <f aca="false">SUMIF(Data!$C$2:$C$28,A6,Data!$J$2:$J$28)</f>
        <v>12560000</v>
      </c>
    </row>
    <row r="7" customFormat="false" ht="15" hidden="false" customHeight="false" outlineLevel="0" collapsed="false">
      <c r="A7" s="17" t="s">
        <v>125</v>
      </c>
      <c r="B7" s="20" t="n">
        <f aca="false">COUNTIF(Data!$C$2:$C$28,A7)</f>
        <v>5</v>
      </c>
      <c r="C7" s="20" t="n">
        <f aca="false">SUMIF(Data!$C$2:$C$28,A7,Data!$H$2:$H$28)</f>
        <v>20</v>
      </c>
      <c r="D7" s="22" t="n">
        <f aca="false">SUMIF(Data!$C$2:$C$28,A7,Data!$J$2:$J$28)</f>
        <v>9820000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133</v>
      </c>
      <c r="B1" s="26"/>
      <c r="C1" s="26"/>
      <c r="D1" s="26"/>
    </row>
    <row r="2" customFormat="false" ht="15" hidden="false" customHeight="false" outlineLevel="0" collapsed="false">
      <c r="A2" s="27" t="s">
        <v>134</v>
      </c>
      <c r="B2" s="27"/>
      <c r="C2" s="27"/>
      <c r="D2" s="27"/>
    </row>
    <row r="3" customFormat="false" ht="15" hidden="false" customHeight="false" outlineLevel="0" collapsed="false">
      <c r="A3" s="11" t="s">
        <v>19</v>
      </c>
      <c r="B3" s="11" t="s">
        <v>135</v>
      </c>
      <c r="C3" s="11" t="s">
        <v>136</v>
      </c>
      <c r="D3" s="11" t="s">
        <v>137</v>
      </c>
    </row>
    <row r="4" customFormat="false" ht="15" hidden="false" customHeight="false" outlineLevel="0" collapsed="false">
      <c r="A4" s="28" t="s">
        <v>138</v>
      </c>
      <c r="B4" s="29" t="s">
        <v>139</v>
      </c>
      <c r="C4" s="20" t="n">
        <f aca="false">SUM(Data!$H$2:$H$28)</f>
        <v>305</v>
      </c>
      <c r="D4" s="30" t="s">
        <v>140</v>
      </c>
    </row>
    <row r="5" customFormat="false" ht="15" hidden="false" customHeight="false" outlineLevel="0" collapsed="false">
      <c r="A5" s="28" t="s">
        <v>141</v>
      </c>
      <c r="B5" s="29" t="s">
        <v>142</v>
      </c>
      <c r="C5" s="20" t="n">
        <f aca="false">SUM(Data!$F$2:$F$28)</f>
        <v>27</v>
      </c>
      <c r="D5" s="30" t="s">
        <v>143</v>
      </c>
    </row>
    <row r="6" customFormat="false" ht="15" hidden="false" customHeight="false" outlineLevel="0" collapsed="false">
      <c r="A6" s="28" t="s">
        <v>55</v>
      </c>
      <c r="B6" s="29" t="s">
        <v>144</v>
      </c>
      <c r="C6" s="21" t="n">
        <f aca="false">(SUM(Data!$E$2:$E$28)+SUM(Data!$F$2:$F$28))/SUM(Data!$H$2:$H$28)</f>
        <v>0.219672131147541</v>
      </c>
      <c r="D6" s="30" t="s">
        <v>145</v>
      </c>
    </row>
    <row r="7" customFormat="false" ht="15" hidden="false" customHeight="false" outlineLevel="0" collapsed="false">
      <c r="A7" s="28" t="s">
        <v>59</v>
      </c>
      <c r="B7" s="29" t="s">
        <v>146</v>
      </c>
      <c r="C7" s="22" t="n">
        <f aca="false">SUM(Data!$J$2:$J$28)</f>
        <v>109610000</v>
      </c>
      <c r="D7" s="30" t="s">
        <v>147</v>
      </c>
    </row>
    <row r="8" customFormat="false" ht="15" hidden="false" customHeight="false" outlineLevel="0" collapsed="false">
      <c r="A8" s="28" t="s">
        <v>148</v>
      </c>
      <c r="B8" s="29" t="s">
        <v>149</v>
      </c>
      <c r="C8" s="20" t="n">
        <f aca="false">COUNTIF(Data!$K$2:$K$28,"Perlu Perbaikan")</f>
        <v>17</v>
      </c>
      <c r="D8" s="30" t="s">
        <v>150</v>
      </c>
    </row>
    <row r="9" customFormat="false" ht="15" hidden="false" customHeight="false" outlineLevel="0" collapsed="false">
      <c r="A9" s="28" t="s">
        <v>151</v>
      </c>
      <c r="B9" s="29" t="s">
        <v>152</v>
      </c>
      <c r="C9" s="20" t="n">
        <f aca="false">COUNTIF(Data!$K$2:$K$28,"Layak")</f>
        <v>10</v>
      </c>
      <c r="D9" s="30" t="s">
        <v>143</v>
      </c>
    </row>
    <row r="10" customFormat="false" ht="15" hidden="false" customHeight="false" outlineLevel="0" collapsed="false">
      <c r="A10" s="28" t="s">
        <v>153</v>
      </c>
      <c r="B10" s="29" t="s">
        <v>154</v>
      </c>
      <c r="C10" s="23" t="str">
        <f aca="false">INDEX(Acuan!$A$2:$A$7,MATCH(MAX(Acuan!$D$2:$D$7),Acuan!$D$2:$D$7,0))</f>
        <v>Laboratorium Komputer</v>
      </c>
      <c r="D10" s="30" t="s">
        <v>155</v>
      </c>
    </row>
    <row r="11" customFormat="false" ht="15" hidden="false" customHeight="false" outlineLevel="0" collapsed="false">
      <c r="A11" s="28" t="s">
        <v>156</v>
      </c>
      <c r="B11" s="29" t="s">
        <v>157</v>
      </c>
      <c r="C11" s="23" t="str">
        <f aca="false">INDEX(Data!$B$2:$B$28,MATCH(MAX(Data!$H$2:$H$28),Data!$H$2:$H$28,0))</f>
        <v>Meja Siswa</v>
      </c>
      <c r="D11" s="30" t="s">
        <v>158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2026-10-14T23:33:41Z</dcterms:created>
  <dc:creator>PushExcel</dc:creator>
  <dc:description/>
  <dc:language>en-US</dc:language>
  <cp:lastModifiedBy/>
  <dcterms:modified xsi:type="dcterms:W3CDTF">2026-10-14T23:33:41Z</dcterms:modified>
  <cp:revision>0</cp:revision>
  <dc:subject/>
  <dc:title>Inventaris Barang per Ruangan dan Kondisinya - Kunci</dc:title>
</cp:coreProperties>
</file>

<file path=docProps/custom.xml><?xml version="1.0" encoding="utf-8"?>
<Properties xmlns="http://schemas.openxmlformats.org/officeDocument/2006/custom-properties" xmlns:vt="http://schemas.openxmlformats.org/officeDocument/2006/docPropsVTypes"/>
</file>