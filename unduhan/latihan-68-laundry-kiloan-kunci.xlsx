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officedocument/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Compatibility="false"/>
  <workbookProtection/>
  <bookViews>
    <workbookView showHorizontalScroll="true" showVerticalScroll="true" showSheetTabs="true" xWindow="0" yWindow="0" windowWidth="16384" windowHeight="8192" tabRatio="600" firstSheet="0" activeTab="0"/>
  </bookViews>
  <sheets>
    <sheet name="Petunjuk" sheetId="1" state="visible" r:id="rId3"/>
    <sheet name="Data" sheetId="2" state="visible" r:id="rId4"/>
    <sheet name="Acuan" sheetId="3" state="visible" r:id="rId5"/>
    <sheet name="Ringkasan" sheetId="4" state="visible" r:id="rId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<sst xmlns="http://schemas.openxmlformats.org/spreadsheetml/2006/main" count="274" uniqueCount="185">
  <si>
    <t xml:space="preserve">Kunci Jawaban: Nota Laundry Kiloan dan Status Pengambilan</t>
  </si>
  <si>
    <t xml:space="preserve">Latihan 68 dari 40  |  Tingkat: Pemula  |  Perkiraan waktu: 35 menit  |  pushexcel.github.io/Pushexcel</t>
  </si>
  <si>
    <t xml:space="preserve">Skenario</t>
  </si>
  <si>
    <t xml:space="preserve">Kamu kasir Laundry Bersih Wangi yang melayani cuci kering, cuci setrika, setrika saja, dan cuci selimut dengan tarif per kg di sheet Acuan. Ada 30 nota pekan ini, lengkap dengan berat cucian (kg), pilihan ekspres, dan status pengambilan. Layanan ekspres dikenai tambahan 30 persen dari subtotal (angkanya ada di blok Parameter), layanan biasa tanpa tambahan. Nota yang statusnya Belum Diambil berarti uangnya belum diterima, jadi kamu mencatatnya sebagai tagihan tertunda.</t>
  </si>
  <si>
    <t xml:space="preserve">Cara memakai kunci</t>
  </si>
  <si>
    <t xml:space="preserve">1.</t>
  </si>
  <si>
    <t xml:space="preserve">Sel hijau berisi rumus kunci yang sudah dihitung. Klik sel untuk melihat rumusnya.</t>
  </si>
  <si>
    <t xml:space="preserve">2.</t>
  </si>
  <si>
    <t xml:space="preserve">Kolom Rumus kunci di bawah menampilkan rumus untuk baris pertama atau tiap sel jawaban.</t>
  </si>
  <si>
    <t xml:space="preserve">3.</t>
  </si>
  <si>
    <t xml:space="preserve">Rumus ditulis dengan titik koma (;). Ganti dengan koma (,) bila Excel kamu berbahasa Inggris.</t>
  </si>
  <si>
    <t xml:space="preserve">4.</t>
  </si>
  <si>
    <t xml:space="preserve">Jawaban lain yang benar secara logika juga boleh, selama hasilnya sama.</t>
  </si>
  <si>
    <t xml:space="preserve">Arti warna</t>
  </si>
  <si>
    <t xml:space="preserve">Judul kolom data yang sudah diberikan</t>
  </si>
  <si>
    <t xml:space="preserve">Judul kolom hasil hitung</t>
  </si>
  <si>
    <t xml:space="preserve">Sel berisi rumus kunci</t>
  </si>
  <si>
    <t xml:space="preserve">Angka berwarna biru pada blok Parameter = nilai tetap yang boleh dirujuk</t>
  </si>
  <si>
    <t xml:space="preserve">Daftar soal</t>
  </si>
  <si>
    <t xml:space="preserve">No</t>
  </si>
  <si>
    <t xml:space="preserve">Soal</t>
  </si>
  <si>
    <t xml:space="preserve">Jawab di</t>
  </si>
  <si>
    <t xml:space="preserve">Rumus kunci</t>
  </si>
  <si>
    <t xml:space="preserve">1</t>
  </si>
  <si>
    <t xml:space="preserve">Ambil tarif per kg tiap nota dari tabel tarif di sheet Acuan berdasarkan layanannya (pencocokan persis).</t>
  </si>
  <si>
    <t xml:space="preserve">Sheet Data, kolom G (Tarif per Kg), baris 2 sampai 31</t>
  </si>
  <si>
    <t xml:space="preserve">=VLOOKUP(C2;Acuan!$A$2:$B$5;2;FALSE)</t>
  </si>
  <si>
    <t xml:space="preserve">2</t>
  </si>
  <si>
    <t xml:space="preserve">Hitung subtotal: berat cucian dikali tarif per kg.</t>
  </si>
  <si>
    <t xml:space="preserve">Sheet Data, kolom H (Subtotal), baris 2 sampai 31</t>
  </si>
  <si>
    <t xml:space="preserve">=D2*G2</t>
  </si>
  <si>
    <t xml:space="preserve">3</t>
  </si>
  <si>
    <t xml:space="preserve">Hitung biaya ekspres: bila Ekspres berisi Ya, subtotal dikali persen tambahan ekspres. Bila tidak, biayanya 0.</t>
  </si>
  <si>
    <t xml:space="preserve">Sheet Data, kolom I (Biaya Ekspres), baris 2 sampai 31</t>
  </si>
  <si>
    <t xml:space="preserve">=IF(E2="Ya";H2*$N$2;0)</t>
  </si>
  <si>
    <t xml:space="preserve">4</t>
  </si>
  <si>
    <t xml:space="preserve">Hitung total bayar: subtotal ditambah biaya ekspres.</t>
  </si>
  <si>
    <t xml:space="preserve">Sheet Data, kolom J (Total Bayar), baris 2 sampai 31</t>
  </si>
  <si>
    <t xml:space="preserve">=H2+I2</t>
  </si>
  <si>
    <t xml:space="preserve">5</t>
  </si>
  <si>
    <t xml:space="preserve">Isi total bayar bila Status Ambil adalah Belum Diambil. Bila sudah diambil, isi 0.</t>
  </si>
  <si>
    <t xml:space="preserve">Sheet Data, kolom K (Tagihan Tertunda), baris 2 sampai 31</t>
  </si>
  <si>
    <t xml:space="preserve">=IF(F2="Belum Diambil";J2;0)</t>
  </si>
  <si>
    <t xml:space="preserve">6</t>
  </si>
  <si>
    <t xml:space="preserve">Pada sheet Acuan, hitung jumlah nota tiap layanan.</t>
  </si>
  <si>
    <t xml:space="preserve">Sheet Acuan, kolom C (Jumlah Nota), baris 2 sampai 5</t>
  </si>
  <si>
    <t xml:space="preserve">=COUNTIF(Data!$C$2:$C$31;A2)</t>
  </si>
  <si>
    <t xml:space="preserve">7</t>
  </si>
  <si>
    <t xml:space="preserve">Pada sheet Acuan, hitung total pendapatan tiap layanan dari kolom Total Bayar.</t>
  </si>
  <si>
    <t xml:space="preserve">Sheet Acuan, kolom D (Total Pendapatan), baris 2 sampai 5</t>
  </si>
  <si>
    <t xml:space="preserve">=SUMIF(Data!$C$2:$C$31;A2;Data!$J$2:$J$31)</t>
  </si>
  <si>
    <t xml:space="preserve">8</t>
  </si>
  <si>
    <t xml:space="preserve">Berapa jumlah nota, total berat cucian, dan total pendapatan dari seluruh nota?</t>
  </si>
  <si>
    <t xml:space="preserve">Sheet Ringkasan, sel C4 sampai C6</t>
  </si>
  <si>
    <t xml:space="preserve">=COUNTA(Data!$A$2:$A$31)
=SUM(Data!$D$2:$D$31)
=SUM(Data!$J$2:$J$31)</t>
  </si>
  <si>
    <t xml:space="preserve">9</t>
  </si>
  <si>
    <t xml:space="preserve">Berapa nota yang memakai layanan ekspres, dan berapa total biaya ekspresnya?</t>
  </si>
  <si>
    <t xml:space="preserve">Sheet Ringkasan, sel C7 sampai C8</t>
  </si>
  <si>
    <t xml:space="preserve">=COUNTIF(Data!$E$2:$E$31;"Ya")
=SUM(Data!$I$2:$I$31)</t>
  </si>
  <si>
    <t xml:space="preserve">10</t>
  </si>
  <si>
    <t xml:space="preserve">Siapa pelanggan dengan total bayar terbesar, dan layanan apa yang total pendapatannya terbesar?</t>
  </si>
  <si>
    <t xml:space="preserve">Sheet Ringkasan, sel C9 sampai C10</t>
  </si>
  <si>
    <t xml:space="preserve">=INDEX(Data!$B$2:$B$31;MATCH(MAX(Data!$J$2:$J$31);Data!$J$2:$J$31;0))
=INDEX(Acuan!$A$2:$A$5;MATCH(MAX(Acuan!$D$2:$D$5);Acuan!$D$2:$D$5;0))</t>
  </si>
  <si>
    <t xml:space="preserve">11</t>
  </si>
  <si>
    <t xml:space="preserve">Berapa nota yang belum diambil, dan berapa total tagihan tertundanya?</t>
  </si>
  <si>
    <t xml:space="preserve">Sheet Ringkasan, sel C11 sampai C12</t>
  </si>
  <si>
    <t xml:space="preserve">=COUNTIF(Data!$F$2:$F$31;"Belum Diambil")
=SUM(Data!$K$2:$K$31)</t>
  </si>
  <si>
    <t xml:space="preserve">No Nota</t>
  </si>
  <si>
    <t xml:space="preserve">Pelanggan</t>
  </si>
  <si>
    <t xml:space="preserve">Layanan</t>
  </si>
  <si>
    <t xml:space="preserve">Berat (Kg)</t>
  </si>
  <si>
    <t xml:space="preserve">Ekspres</t>
  </si>
  <si>
    <t xml:space="preserve">Status Ambil</t>
  </si>
  <si>
    <t xml:space="preserve">Tarif per Kg</t>
  </si>
  <si>
    <t xml:space="preserve">Subtotal</t>
  </si>
  <si>
    <t xml:space="preserve">Biaya Ekspres</t>
  </si>
  <si>
    <t xml:space="preserve">Total Bayar</t>
  </si>
  <si>
    <t xml:space="preserve">Tagihan Tertunda</t>
  </si>
  <si>
    <t xml:space="preserve">Parameter</t>
  </si>
  <si>
    <t xml:space="preserve">Nilai</t>
  </si>
  <si>
    <t xml:space="preserve">Keterangan</t>
  </si>
  <si>
    <t xml:space="preserve">LD-001</t>
  </si>
  <si>
    <t xml:space="preserve">Fajar Lestari</t>
  </si>
  <si>
    <t xml:space="preserve">Cuci Kering</t>
  </si>
  <si>
    <t xml:space="preserve">Tidak</t>
  </si>
  <si>
    <t xml:space="preserve">Sudah Diambil</t>
  </si>
  <si>
    <t xml:space="preserve">Tambahan ekspres</t>
  </si>
  <si>
    <t xml:space="preserve">Persen dari subtotal untuk layanan ekspres</t>
  </si>
  <si>
    <t xml:space="preserve">LD-002</t>
  </si>
  <si>
    <t xml:space="preserve">Mulyadi Santoso</t>
  </si>
  <si>
    <t xml:space="preserve">Cuci Setrika</t>
  </si>
  <si>
    <t xml:space="preserve">Ya</t>
  </si>
  <si>
    <t xml:space="preserve">Belum Diambil</t>
  </si>
  <si>
    <t xml:space="preserve">LD-003</t>
  </si>
  <si>
    <t xml:space="preserve">Wawan Amalia</t>
  </si>
  <si>
    <t xml:space="preserve">Setrika Saja</t>
  </si>
  <si>
    <t xml:space="preserve">LD-004</t>
  </si>
  <si>
    <t xml:space="preserve">Oki Suryani</t>
  </si>
  <si>
    <t xml:space="preserve">Cuci Selimut</t>
  </si>
  <si>
    <t xml:space="preserve">LD-005</t>
  </si>
  <si>
    <t xml:space="preserve">Khoirul Permana</t>
  </si>
  <si>
    <t xml:space="preserve">LD-006</t>
  </si>
  <si>
    <t xml:space="preserve">Vivi Wibowo</t>
  </si>
  <si>
    <t xml:space="preserve">LD-007</t>
  </si>
  <si>
    <t xml:space="preserve">Ayu Sari</t>
  </si>
  <si>
    <t xml:space="preserve">LD-008</t>
  </si>
  <si>
    <t xml:space="preserve">Bayu Handayani</t>
  </si>
  <si>
    <t xml:space="preserve">LD-009</t>
  </si>
  <si>
    <t xml:space="preserve">Rahmat Kusuma</t>
  </si>
  <si>
    <t xml:space="preserve">LD-010</t>
  </si>
  <si>
    <t xml:space="preserve">Zainal Pangestu</t>
  </si>
  <si>
    <t xml:space="preserve">LD-011</t>
  </si>
  <si>
    <t xml:space="preserve">Andi Hidayat</t>
  </si>
  <si>
    <t xml:space="preserve">LD-012</t>
  </si>
  <si>
    <t xml:space="preserve">Gita Utomo</t>
  </si>
  <si>
    <t xml:space="preserve">LD-013</t>
  </si>
  <si>
    <t xml:space="preserve">Bayu Susanto</t>
  </si>
  <si>
    <t xml:space="preserve">LD-014</t>
  </si>
  <si>
    <t xml:space="preserve">Agus Susanto</t>
  </si>
  <si>
    <t xml:space="preserve">LD-015</t>
  </si>
  <si>
    <t xml:space="preserve">Lina Handayani</t>
  </si>
  <si>
    <t xml:space="preserve">LD-016</t>
  </si>
  <si>
    <t xml:space="preserve">Vivi Pangestu</t>
  </si>
  <si>
    <t xml:space="preserve">LD-017</t>
  </si>
  <si>
    <t xml:space="preserve">Fitri Hidayat</t>
  </si>
  <si>
    <t xml:space="preserve">LD-018</t>
  </si>
  <si>
    <t xml:space="preserve">Eka Pratama</t>
  </si>
  <si>
    <t xml:space="preserve">LD-019</t>
  </si>
  <si>
    <t xml:space="preserve">Eko Suryani</t>
  </si>
  <si>
    <t xml:space="preserve">LD-020</t>
  </si>
  <si>
    <t xml:space="preserve">Yoga Wibowo</t>
  </si>
  <si>
    <t xml:space="preserve">LD-021</t>
  </si>
  <si>
    <t xml:space="preserve">Fitri Purnomo</t>
  </si>
  <si>
    <t xml:space="preserve">LD-022</t>
  </si>
  <si>
    <t xml:space="preserve">Siti Sari</t>
  </si>
  <si>
    <t xml:space="preserve">LD-023</t>
  </si>
  <si>
    <t xml:space="preserve">Intan Kurniawan</t>
  </si>
  <si>
    <t xml:space="preserve">LD-024</t>
  </si>
  <si>
    <t xml:space="preserve">Siti Hidayat</t>
  </si>
  <si>
    <t xml:space="preserve">LD-025</t>
  </si>
  <si>
    <t xml:space="preserve">Rizki Amalia</t>
  </si>
  <si>
    <t xml:space="preserve">LD-026</t>
  </si>
  <si>
    <t xml:space="preserve">Maman Susanto</t>
  </si>
  <si>
    <t xml:space="preserve">LD-027</t>
  </si>
  <si>
    <t xml:space="preserve">Kartika Handayani</t>
  </si>
  <si>
    <t xml:space="preserve">LD-028</t>
  </si>
  <si>
    <t xml:space="preserve">Joko Yulianto</t>
  </si>
  <si>
    <t xml:space="preserve">LD-029</t>
  </si>
  <si>
    <t xml:space="preserve">Dewi Pangestu</t>
  </si>
  <si>
    <t xml:space="preserve">LD-030</t>
  </si>
  <si>
    <t xml:space="preserve">Vina Kusuma</t>
  </si>
  <si>
    <t xml:space="preserve">Jumlah Nota</t>
  </si>
  <si>
    <t xml:space="preserve">Total Pendapatan</t>
  </si>
  <si>
    <t xml:space="preserve">Ringkasan: lembar jawaban soal berjenis ringkasan</t>
  </si>
  <si>
    <t xml:space="preserve">Sel hijau berisi rumus kunci.</t>
  </si>
  <si>
    <t xml:space="preserve">Pertanyaan</t>
  </si>
  <si>
    <t xml:space="preserve">Jawaban</t>
  </si>
  <si>
    <t xml:space="preserve">Contoh format hasil</t>
  </si>
  <si>
    <t xml:space="preserve">8a</t>
  </si>
  <si>
    <t xml:space="preserve">Jumlah nota</t>
  </si>
  <si>
    <t xml:space="preserve">Angka bulat, mis. 25</t>
  </si>
  <si>
    <t xml:space="preserve">8b</t>
  </si>
  <si>
    <t xml:space="preserve">Total berat cucian (kg)</t>
  </si>
  <si>
    <t xml:space="preserve">Angka desimal, mis. 120,5</t>
  </si>
  <si>
    <t xml:space="preserve">8c</t>
  </si>
  <si>
    <t xml:space="preserve">Total pendapatan</t>
  </si>
  <si>
    <t xml:space="preserve">Rupiah, mis. Rp 1.500.000</t>
  </si>
  <si>
    <t xml:space="preserve">9a</t>
  </si>
  <si>
    <t xml:space="preserve">Nota ekspres</t>
  </si>
  <si>
    <t xml:space="preserve">Angka bulat, mis. 9</t>
  </si>
  <si>
    <t xml:space="preserve">9b</t>
  </si>
  <si>
    <t xml:space="preserve">Total biaya ekspres</t>
  </si>
  <si>
    <t xml:space="preserve">Rupiah, mis. Rp 85.000</t>
  </si>
  <si>
    <t xml:space="preserve">10a</t>
  </si>
  <si>
    <t xml:space="preserve">Pelanggan dengan total bayar terbesar</t>
  </si>
  <si>
    <t xml:space="preserve">Teks: nama pelanggan</t>
  </si>
  <si>
    <t xml:space="preserve">10b</t>
  </si>
  <si>
    <t xml:space="preserve">Layanan dengan pendapatan terbesar</t>
  </si>
  <si>
    <t xml:space="preserve">Teks: nama layanan</t>
  </si>
  <si>
    <t xml:space="preserve">11a</t>
  </si>
  <si>
    <t xml:space="preserve">Nota belum diambil</t>
  </si>
  <si>
    <t xml:space="preserve">Angka bulat, mis. 6</t>
  </si>
  <si>
    <t xml:space="preserve">11b</t>
  </si>
  <si>
    <t xml:space="preserve">Total tagihan tertunda</t>
  </si>
  <si>
    <t xml:space="preserve">Rupiah, mis. Rp 300.000</t>
  </si>
</sst>
</file>

<file path=xl/styles.xml><?xml version="1.0" encoding="utf-8"?>
<styleSheet xmlns="http://schemas.openxmlformats.org/spreadsheetml/2006/main">
  <numFmts count="5">
    <numFmt numFmtId="164" formatCode="General"/>
    <numFmt numFmtId="165" formatCode="0.0"/>
    <numFmt numFmtId="166" formatCode="&quot;Rp &quot;#,##0"/>
    <numFmt numFmtId="167" formatCode="0%"/>
    <numFmt numFmtId="168" formatCode="0"/>
  </numFmts>
  <fonts count="13">
    <font>
      <sz val="11"/>
      <color theme="1"/>
      <name val="Calibri"/>
      <family val="2"/>
      <charset val="1"/>
    </font>
    <font>
      <sz val="10"/>
      <name val="Arial"/>
      <family val="0"/>
    </font>
    <font>
      <sz val="10"/>
      <name val="Arial"/>
      <family val="0"/>
    </font>
    <font>
      <sz val="10"/>
      <name val="Arial"/>
      <family val="0"/>
    </font>
    <font>
      <b val="true"/>
      <sz val="16"/>
      <color rgb="FF1F4E3D"/>
      <name val="Arial"/>
      <family val="0"/>
      <charset val="1"/>
    </font>
    <font>
      <sz val="9"/>
      <color rgb="FF595959"/>
      <name val="Arial"/>
      <family val="0"/>
      <charset val="1"/>
    </font>
    <font>
      <b val="true"/>
      <sz val="11"/>
      <name val="Arial"/>
      <family val="0"/>
      <charset val="1"/>
    </font>
    <font>
      <sz val="10"/>
      <name val="Arial"/>
      <family val="0"/>
      <charset val="1"/>
    </font>
    <font>
      <b val="true"/>
      <sz val="10"/>
      <color rgb="FFFFFFFF"/>
      <name val="Arial"/>
      <family val="0"/>
      <charset val="1"/>
    </font>
    <font>
      <sz val="9"/>
      <name val="Consolas"/>
      <family val="0"/>
      <charset val="1"/>
    </font>
    <font>
      <sz val="10"/>
      <color rgb="FF0000FF"/>
      <name val="Arial"/>
      <family val="0"/>
      <charset val="1"/>
    </font>
    <font>
      <b val="true"/>
      <sz val="13"/>
      <color rgb="FF1F4E3D"/>
      <name val="Arial"/>
      <family val="0"/>
      <charset val="1"/>
    </font>
    <font>
      <i val="true"/>
      <sz val="9"/>
      <color rgb="FF595959"/>
      <name val="Arial"/>
      <family val="0"/>
      <charset val="1"/>
    </font>
  </fonts>
  <fills count="7">
    <fill>
      <patternFill patternType="none"/>
    </fill>
    <fill>
      <patternFill patternType="gray125"/>
    </fill>
    <fill>
      <patternFill patternType="solid">
        <fgColor rgb="FF1F4E3D"/>
        <bgColor rgb="FF44546A"/>
      </patternFill>
    </fill>
    <fill>
      <patternFill patternType="solid">
        <fgColor rgb="FFB45F06"/>
        <bgColor rgb="FF808000"/>
      </patternFill>
    </fill>
    <fill>
      <patternFill patternType="solid">
        <fgColor rgb="FFE2EFDA"/>
        <bgColor rgb="FFFFFFCC"/>
      </patternFill>
    </fill>
    <fill>
      <patternFill patternType="solid">
        <fgColor rgb="FFFFFFFF"/>
        <bgColor rgb="FFFFFFCC"/>
      </patternFill>
    </fill>
    <fill>
      <patternFill patternType="solid">
        <fgColor rgb="FF44546A"/>
        <bgColor rgb="FF595959"/>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right" vertical="top" textRotation="0" wrapText="false" indent="0" shrinkToFit="false"/>
      <protection locked="true" hidden="false"/>
    </xf>
    <xf numFmtId="164" fontId="0" fillId="2" borderId="1" xfId="0" applyFont="false" applyBorder="tru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0" fillId="3" borderId="1" xfId="0" applyFont="false" applyBorder="true" applyAlignment="false" applyProtection="false">
      <alignment horizontal="general" vertical="bottom" textRotation="0" wrapText="false" indent="0" shrinkToFit="false"/>
      <protection locked="true" hidden="false"/>
    </xf>
    <xf numFmtId="164" fontId="0" fillId="4" borderId="1" xfId="0" applyFont="false" applyBorder="true" applyAlignment="false" applyProtection="false">
      <alignment horizontal="general" vertical="bottom" textRotation="0" wrapText="false" indent="0" shrinkToFit="false"/>
      <protection locked="true" hidden="false"/>
    </xf>
    <xf numFmtId="164" fontId="0" fillId="5" borderId="1" xfId="0" applyFont="false" applyBorder="true" applyAlignment="false" applyProtection="false">
      <alignment horizontal="general" vertical="bottom" textRotation="0" wrapText="false" indent="0" shrinkToFit="false"/>
      <protection locked="true" hidden="false"/>
    </xf>
    <xf numFmtId="164" fontId="8" fillId="2"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center" vertical="top" textRotation="0" wrapText="fals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9" fillId="0" borderId="1" xfId="0" applyFont="true" applyBorder="true" applyAlignment="true" applyProtection="false">
      <alignment horizontal="general" vertical="top" textRotation="0" wrapText="true" indent="0" shrinkToFit="false"/>
      <protection locked="true" hidden="false"/>
    </xf>
    <xf numFmtId="164" fontId="8" fillId="3" borderId="1" xfId="0" applyFont="true" applyBorder="true" applyAlignment="true" applyProtection="false">
      <alignment horizontal="center" vertical="center" textRotation="0" wrapText="true" indent="0" shrinkToFit="false"/>
      <protection locked="true" hidden="false"/>
    </xf>
    <xf numFmtId="164" fontId="8" fillId="6"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left" vertical="center" textRotation="0" wrapText="false" indent="0" shrinkToFit="false"/>
      <protection locked="true" hidden="false"/>
    </xf>
    <xf numFmtId="165" fontId="7" fillId="0" borderId="1" xfId="0" applyFont="true" applyBorder="true" applyAlignment="true" applyProtection="false">
      <alignment horizontal="right" vertical="center" textRotation="0" wrapText="false" indent="0" shrinkToFit="false"/>
      <protection locked="true" hidden="false"/>
    </xf>
    <xf numFmtId="166" fontId="7" fillId="4" borderId="1" xfId="0" applyFont="true" applyBorder="true" applyAlignment="true" applyProtection="false">
      <alignment horizontal="right" vertical="center" textRotation="0" wrapText="fals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7" fontId="10" fillId="0" borderId="1" xfId="0" applyFont="true" applyBorder="true" applyAlignment="true" applyProtection="false">
      <alignment horizontal="right" vertical="center" textRotation="0" wrapText="false" indent="0" shrinkToFit="false"/>
      <protection locked="true" hidden="false"/>
    </xf>
    <xf numFmtId="166" fontId="7" fillId="0" borderId="1" xfId="0" applyFont="true" applyBorder="true" applyAlignment="true" applyProtection="false">
      <alignment horizontal="right" vertical="center" textRotation="0" wrapText="false" indent="0" shrinkToFit="false"/>
      <protection locked="true" hidden="false"/>
    </xf>
    <xf numFmtId="168" fontId="7" fillId="4" borderId="1" xfId="0" applyFont="true" applyBorder="true" applyAlignment="true" applyProtection="false">
      <alignment horizontal="right" vertical="center" textRotation="0" wrapText="false" indent="0" shrinkToFit="false"/>
      <protection locked="true" hidden="false"/>
    </xf>
    <xf numFmtId="164" fontId="11" fillId="0" borderId="0" xfId="0" applyFont="true" applyBorder="true" applyAlignment="false" applyProtection="false">
      <alignment horizontal="general" vertical="bottom" textRotation="0" wrapText="false" indent="0" shrinkToFit="false"/>
      <protection locked="true" hidden="false"/>
    </xf>
    <xf numFmtId="164" fontId="12" fillId="0" borderId="0" xfId="0" applyFont="true" applyBorder="true" applyAlignment="fals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center" vertical="center" textRotation="0" wrapText="false" indent="0" shrinkToFit="false"/>
      <protection locked="true" hidden="false"/>
    </xf>
    <xf numFmtId="164" fontId="7" fillId="0" borderId="1" xfId="0" applyFont="true" applyBorder="true" applyAlignment="true" applyProtection="false">
      <alignment horizontal="general" vertical="center" textRotation="0" wrapText="true" indent="0" shrinkToFit="false"/>
      <protection locked="true" hidden="false"/>
    </xf>
    <xf numFmtId="164" fontId="12" fillId="0" borderId="1" xfId="0" applyFont="true" applyBorder="true" applyAlignment="true" applyProtection="false">
      <alignment horizontal="general" vertical="center" textRotation="0" wrapText="true" indent="0" shrinkToFit="false"/>
      <protection locked="true" hidden="false"/>
    </xf>
    <xf numFmtId="165" fontId="7" fillId="4" borderId="1" xfId="0" applyFont="true" applyBorder="true" applyAlignment="true" applyProtection="false">
      <alignment horizontal="right" vertical="center" textRotation="0" wrapText="false" indent="0" shrinkToFit="false"/>
      <protection locked="true" hidden="false"/>
    </xf>
    <xf numFmtId="164" fontId="7" fillId="4" borderId="1" xfId="0" applyFont="true" applyBorder="true" applyAlignment="true" applyProtection="false">
      <alignment horizontal="left"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003366"/>
      <rgbColor rgb="FF339966"/>
      <rgbColor rgb="FF003300"/>
      <rgbColor rgb="FF333300"/>
      <rgbColor rgb="FFB45F06"/>
      <rgbColor rgb="FF993366"/>
      <rgbColor rgb="FF44546A"/>
      <rgbColor rgb="FF1F4E3D"/>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E31"/>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62"/>
    <col collapsed="false" customWidth="true" hidden="false" outlineLevel="0" max="3" min="3" style="0" width="40"/>
    <col collapsed="false" customWidth="true" hidden="false" outlineLevel="0" max="4" min="4" style="0" width="70"/>
    <col collapsed="false" customWidth="true" hidden="false" outlineLevel="0" max="5" min="5" style="0" width="30"/>
  </cols>
  <sheetData>
    <row r="1" customFormat="false" ht="19.7" hidden="false" customHeight="false" outlineLevel="0" collapsed="false">
      <c r="A1" s="1" t="s">
        <v>0</v>
      </c>
      <c r="B1" s="1"/>
      <c r="C1" s="1"/>
      <c r="D1" s="1"/>
      <c r="E1" s="1"/>
    </row>
    <row r="2" customFormat="false" ht="15" hidden="false" customHeight="false" outlineLevel="0" collapsed="false">
      <c r="A2" s="2" t="s">
        <v>1</v>
      </c>
      <c r="B2" s="2"/>
      <c r="C2" s="2"/>
      <c r="D2" s="2"/>
      <c r="E2" s="2"/>
    </row>
    <row r="4" customFormat="false" ht="15" hidden="false" customHeight="false" outlineLevel="0" collapsed="false">
      <c r="A4" s="3" t="s">
        <v>2</v>
      </c>
    </row>
    <row r="5" customFormat="false" ht="66" hidden="false" customHeight="true" outlineLevel="0" collapsed="false">
      <c r="A5" s="4" t="s">
        <v>3</v>
      </c>
      <c r="B5" s="4"/>
      <c r="C5" s="4"/>
      <c r="D5" s="4"/>
      <c r="E5" s="4"/>
    </row>
    <row r="7" customFormat="false" ht="15" hidden="false" customHeight="false" outlineLevel="0" collapsed="false">
      <c r="A7" s="3" t="s">
        <v>4</v>
      </c>
    </row>
    <row r="8" customFormat="false" ht="15" hidden="false" customHeight="true" outlineLevel="0" collapsed="false">
      <c r="A8" s="5" t="s">
        <v>5</v>
      </c>
      <c r="B8" s="4" t="s">
        <v>6</v>
      </c>
      <c r="C8" s="4"/>
      <c r="D8" s="4"/>
      <c r="E8" s="4"/>
    </row>
    <row r="9" customFormat="false" ht="15" hidden="false" customHeight="true" outlineLevel="0" collapsed="false">
      <c r="A9" s="5" t="s">
        <v>7</v>
      </c>
      <c r="B9" s="4" t="s">
        <v>8</v>
      </c>
      <c r="C9" s="4"/>
      <c r="D9" s="4"/>
      <c r="E9" s="4"/>
    </row>
    <row r="10" customFormat="false" ht="15" hidden="false" customHeight="true" outlineLevel="0" collapsed="false">
      <c r="A10" s="5" t="s">
        <v>9</v>
      </c>
      <c r="B10" s="4" t="s">
        <v>10</v>
      </c>
      <c r="C10" s="4"/>
      <c r="D10" s="4"/>
      <c r="E10" s="4"/>
    </row>
    <row r="11" customFormat="false" ht="15" hidden="false" customHeight="true" outlineLevel="0" collapsed="false">
      <c r="A11" s="5" t="s">
        <v>11</v>
      </c>
      <c r="B11" s="4" t="s">
        <v>12</v>
      </c>
      <c r="C11" s="4"/>
      <c r="D11" s="4"/>
      <c r="E11" s="4"/>
    </row>
    <row r="13" customFormat="false" ht="15" hidden="false" customHeight="false" outlineLevel="0" collapsed="false">
      <c r="A13" s="3" t="s">
        <v>13</v>
      </c>
    </row>
    <row r="14" customFormat="false" ht="15" hidden="false" customHeight="false" outlineLevel="0" collapsed="false">
      <c r="A14" s="6"/>
      <c r="B14" s="7" t="s">
        <v>14</v>
      </c>
    </row>
    <row r="15" customFormat="false" ht="15" hidden="false" customHeight="false" outlineLevel="0" collapsed="false">
      <c r="A15" s="8"/>
      <c r="B15" s="7" t="s">
        <v>15</v>
      </c>
    </row>
    <row r="16" customFormat="false" ht="15" hidden="false" customHeight="false" outlineLevel="0" collapsed="false">
      <c r="A16" s="9"/>
      <c r="B16" s="7" t="s">
        <v>16</v>
      </c>
    </row>
    <row r="17" customFormat="false" ht="15" hidden="false" customHeight="false" outlineLevel="0" collapsed="false">
      <c r="A17" s="10"/>
      <c r="B17" s="7" t="s">
        <v>17</v>
      </c>
    </row>
    <row r="19" customFormat="false" ht="15" hidden="false" customHeight="false" outlineLevel="0" collapsed="false">
      <c r="A19" s="3" t="s">
        <v>18</v>
      </c>
    </row>
    <row r="20" customFormat="false" ht="15" hidden="false" customHeight="false" outlineLevel="0" collapsed="false">
      <c r="A20" s="11" t="s">
        <v>19</v>
      </c>
      <c r="B20" s="11" t="s">
        <v>20</v>
      </c>
      <c r="C20" s="11" t="s">
        <v>21</v>
      </c>
      <c r="D20" s="11" t="s">
        <v>22</v>
      </c>
    </row>
    <row r="21" customFormat="false" ht="30" hidden="false" customHeight="true" outlineLevel="0" collapsed="false">
      <c r="A21" s="12" t="s">
        <v>23</v>
      </c>
      <c r="B21" s="13" t="s">
        <v>24</v>
      </c>
      <c r="C21" s="13" t="s">
        <v>25</v>
      </c>
      <c r="D21" s="14" t="s">
        <v>26</v>
      </c>
    </row>
    <row r="22" customFormat="false" ht="30" hidden="false" customHeight="true" outlineLevel="0" collapsed="false">
      <c r="A22" s="12" t="s">
        <v>27</v>
      </c>
      <c r="B22" s="13" t="s">
        <v>28</v>
      </c>
      <c r="C22" s="13" t="s">
        <v>29</v>
      </c>
      <c r="D22" s="14" t="s">
        <v>30</v>
      </c>
    </row>
    <row r="23" customFormat="false" ht="30" hidden="false" customHeight="true" outlineLevel="0" collapsed="false">
      <c r="A23" s="12" t="s">
        <v>31</v>
      </c>
      <c r="B23" s="13" t="s">
        <v>32</v>
      </c>
      <c r="C23" s="13" t="s">
        <v>33</v>
      </c>
      <c r="D23" s="14" t="s">
        <v>34</v>
      </c>
    </row>
    <row r="24" customFormat="false" ht="30" hidden="false" customHeight="true" outlineLevel="0" collapsed="false">
      <c r="A24" s="12" t="s">
        <v>35</v>
      </c>
      <c r="B24" s="13" t="s">
        <v>36</v>
      </c>
      <c r="C24" s="13" t="s">
        <v>37</v>
      </c>
      <c r="D24" s="14" t="s">
        <v>38</v>
      </c>
    </row>
    <row r="25" customFormat="false" ht="30" hidden="false" customHeight="true" outlineLevel="0" collapsed="false">
      <c r="A25" s="12" t="s">
        <v>39</v>
      </c>
      <c r="B25" s="13" t="s">
        <v>40</v>
      </c>
      <c r="C25" s="13" t="s">
        <v>41</v>
      </c>
      <c r="D25" s="14" t="s">
        <v>42</v>
      </c>
    </row>
    <row r="26" customFormat="false" ht="30" hidden="false" customHeight="true" outlineLevel="0" collapsed="false">
      <c r="A26" s="12" t="s">
        <v>43</v>
      </c>
      <c r="B26" s="13" t="s">
        <v>44</v>
      </c>
      <c r="C26" s="13" t="s">
        <v>45</v>
      </c>
      <c r="D26" s="14" t="s">
        <v>46</v>
      </c>
    </row>
    <row r="27" customFormat="false" ht="30" hidden="false" customHeight="true" outlineLevel="0" collapsed="false">
      <c r="A27" s="12" t="s">
        <v>47</v>
      </c>
      <c r="B27" s="13" t="s">
        <v>48</v>
      </c>
      <c r="C27" s="13" t="s">
        <v>49</v>
      </c>
      <c r="D27" s="14" t="s">
        <v>50</v>
      </c>
    </row>
    <row r="28" customFormat="false" ht="57.75" hidden="false" customHeight="true" outlineLevel="0" collapsed="false">
      <c r="A28" s="12" t="s">
        <v>51</v>
      </c>
      <c r="B28" s="13" t="s">
        <v>52</v>
      </c>
      <c r="C28" s="13" t="s">
        <v>53</v>
      </c>
      <c r="D28" s="14" t="s">
        <v>54</v>
      </c>
    </row>
    <row r="29" customFormat="false" ht="43.5" hidden="false" customHeight="true" outlineLevel="0" collapsed="false">
      <c r="A29" s="12" t="s">
        <v>55</v>
      </c>
      <c r="B29" s="13" t="s">
        <v>56</v>
      </c>
      <c r="C29" s="13" t="s">
        <v>57</v>
      </c>
      <c r="D29" s="14" t="s">
        <v>58</v>
      </c>
    </row>
    <row r="30" customFormat="false" ht="55.5" hidden="false" customHeight="true" outlineLevel="0" collapsed="false">
      <c r="A30" s="12" t="s">
        <v>59</v>
      </c>
      <c r="B30" s="13" t="s">
        <v>60</v>
      </c>
      <c r="C30" s="13" t="s">
        <v>61</v>
      </c>
      <c r="D30" s="14" t="s">
        <v>62</v>
      </c>
    </row>
    <row r="31" customFormat="false" ht="43.5" hidden="false" customHeight="true" outlineLevel="0" collapsed="false">
      <c r="A31" s="12" t="s">
        <v>63</v>
      </c>
      <c r="B31" s="13" t="s">
        <v>64</v>
      </c>
      <c r="C31" s="13" t="s">
        <v>65</v>
      </c>
      <c r="D31" s="14" t="s">
        <v>66</v>
      </c>
    </row>
  </sheetData>
  <mergeCells count="7">
    <mergeCell ref="A1:E1"/>
    <mergeCell ref="A2:E2"/>
    <mergeCell ref="A5:E5"/>
    <mergeCell ref="B8:E8"/>
    <mergeCell ref="B9:E9"/>
    <mergeCell ref="B10:E10"/>
    <mergeCell ref="B11:E11"/>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O3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22"/>
    <col collapsed="false" customWidth="true" hidden="false" outlineLevel="0" max="3" min="3" style="0" width="14"/>
    <col collapsed="false" customWidth="true" hidden="false" outlineLevel="0" max="4" min="4" style="0" width="11"/>
    <col collapsed="false" customWidth="true" hidden="false" outlineLevel="0" max="5" min="5" style="0" width="9"/>
    <col collapsed="false" customWidth="true" hidden="false" outlineLevel="0" max="6" min="6" style="0" width="15"/>
    <col collapsed="false" customWidth="true" hidden="false" outlineLevel="0" max="8" min="7" style="0" width="12"/>
    <col collapsed="false" customWidth="true" hidden="false" outlineLevel="0" max="10" min="9" style="0" width="13"/>
    <col collapsed="false" customWidth="true" hidden="false" outlineLevel="0" max="11" min="11" style="0" width="15"/>
    <col collapsed="false" customWidth="true" hidden="false" outlineLevel="0" max="12" min="12" style="0" width="3"/>
    <col collapsed="false" customWidth="true" hidden="false" outlineLevel="0" max="13" min="13" style="0" width="30"/>
    <col collapsed="false" customWidth="true" hidden="false" outlineLevel="0" max="14" min="14" style="0" width="16"/>
    <col collapsed="false" customWidth="true" hidden="false" outlineLevel="0" max="15" min="15" style="0" width="42"/>
  </cols>
  <sheetData>
    <row r="1" customFormat="false" ht="33.75" hidden="false" customHeight="true" outlineLevel="0" collapsed="false">
      <c r="A1" s="11" t="s">
        <v>67</v>
      </c>
      <c r="B1" s="11" t="s">
        <v>68</v>
      </c>
      <c r="C1" s="11" t="s">
        <v>69</v>
      </c>
      <c r="D1" s="11" t="s">
        <v>70</v>
      </c>
      <c r="E1" s="11" t="s">
        <v>71</v>
      </c>
      <c r="F1" s="11" t="s">
        <v>72</v>
      </c>
      <c r="G1" s="15" t="s">
        <v>73</v>
      </c>
      <c r="H1" s="15" t="s">
        <v>74</v>
      </c>
      <c r="I1" s="15" t="s">
        <v>75</v>
      </c>
      <c r="J1" s="15" t="s">
        <v>76</v>
      </c>
      <c r="K1" s="15" t="s">
        <v>77</v>
      </c>
      <c r="M1" s="16" t="s">
        <v>78</v>
      </c>
      <c r="N1" s="16" t="s">
        <v>79</v>
      </c>
      <c r="O1" s="16" t="s">
        <v>80</v>
      </c>
    </row>
    <row r="2" customFormat="false" ht="15" hidden="false" customHeight="false" outlineLevel="0" collapsed="false">
      <c r="A2" s="17" t="s">
        <v>81</v>
      </c>
      <c r="B2" s="17" t="s">
        <v>82</v>
      </c>
      <c r="C2" s="17" t="s">
        <v>83</v>
      </c>
      <c r="D2" s="18" t="n">
        <v>4</v>
      </c>
      <c r="E2" s="17" t="s">
        <v>84</v>
      </c>
      <c r="F2" s="17" t="s">
        <v>85</v>
      </c>
      <c r="G2" s="19" t="n">
        <f aca="false">VLOOKUP(C2,Acuan!$A$2:$B$5,2,FALSE())</f>
        <v>6000</v>
      </c>
      <c r="H2" s="19" t="n">
        <f aca="false">D2*G2</f>
        <v>24000</v>
      </c>
      <c r="I2" s="19" t="n">
        <f aca="false">IF(E2="Ya",H2*$N$2,0)</f>
        <v>0</v>
      </c>
      <c r="J2" s="19" t="n">
        <f aca="false">H2+I2</f>
        <v>24000</v>
      </c>
      <c r="K2" s="19" t="n">
        <f aca="false">IF(F2="Belum Diambil",J2,0)</f>
        <v>0</v>
      </c>
      <c r="M2" s="20" t="s">
        <v>86</v>
      </c>
      <c r="N2" s="21" t="n">
        <v>0.3</v>
      </c>
      <c r="O2" s="20" t="s">
        <v>87</v>
      </c>
    </row>
    <row r="3" customFormat="false" ht="15" hidden="false" customHeight="false" outlineLevel="0" collapsed="false">
      <c r="A3" s="17" t="s">
        <v>88</v>
      </c>
      <c r="B3" s="17" t="s">
        <v>89</v>
      </c>
      <c r="C3" s="17" t="s">
        <v>90</v>
      </c>
      <c r="D3" s="18" t="n">
        <v>3</v>
      </c>
      <c r="E3" s="17" t="s">
        <v>91</v>
      </c>
      <c r="F3" s="17" t="s">
        <v>92</v>
      </c>
      <c r="G3" s="19" t="n">
        <f aca="false">VLOOKUP(C3,Acuan!$A$2:$B$5,2,FALSE())</f>
        <v>8000</v>
      </c>
      <c r="H3" s="19" t="n">
        <f aca="false">D3*G3</f>
        <v>24000</v>
      </c>
      <c r="I3" s="19" t="n">
        <f aca="false">IF(E3="Ya",H3*$N$2,0)</f>
        <v>7200</v>
      </c>
      <c r="J3" s="19" t="n">
        <f aca="false">H3+I3</f>
        <v>31200</v>
      </c>
      <c r="K3" s="19" t="n">
        <f aca="false">IF(F3="Belum Diambil",J3,0)</f>
        <v>31200</v>
      </c>
    </row>
    <row r="4" customFormat="false" ht="15" hidden="false" customHeight="false" outlineLevel="0" collapsed="false">
      <c r="A4" s="17" t="s">
        <v>93</v>
      </c>
      <c r="B4" s="17" t="s">
        <v>94</v>
      </c>
      <c r="C4" s="17" t="s">
        <v>95</v>
      </c>
      <c r="D4" s="18" t="n">
        <v>7</v>
      </c>
      <c r="E4" s="17" t="s">
        <v>91</v>
      </c>
      <c r="F4" s="17" t="s">
        <v>85</v>
      </c>
      <c r="G4" s="19" t="n">
        <f aca="false">VLOOKUP(C4,Acuan!$A$2:$B$5,2,FALSE())</f>
        <v>5000</v>
      </c>
      <c r="H4" s="19" t="n">
        <f aca="false">D4*G4</f>
        <v>35000</v>
      </c>
      <c r="I4" s="19" t="n">
        <f aca="false">IF(E4="Ya",H4*$N$2,0)</f>
        <v>10500</v>
      </c>
      <c r="J4" s="19" t="n">
        <f aca="false">H4+I4</f>
        <v>45500</v>
      </c>
      <c r="K4" s="19" t="n">
        <f aca="false">IF(F4="Belum Diambil",J4,0)</f>
        <v>0</v>
      </c>
    </row>
    <row r="5" customFormat="false" ht="15" hidden="false" customHeight="false" outlineLevel="0" collapsed="false">
      <c r="A5" s="17" t="s">
        <v>96</v>
      </c>
      <c r="B5" s="17" t="s">
        <v>97</v>
      </c>
      <c r="C5" s="17" t="s">
        <v>98</v>
      </c>
      <c r="D5" s="18" t="n">
        <v>5</v>
      </c>
      <c r="E5" s="17" t="s">
        <v>91</v>
      </c>
      <c r="F5" s="17" t="s">
        <v>85</v>
      </c>
      <c r="G5" s="19" t="n">
        <f aca="false">VLOOKUP(C5,Acuan!$A$2:$B$5,2,FALSE())</f>
        <v>12000</v>
      </c>
      <c r="H5" s="19" t="n">
        <f aca="false">D5*G5</f>
        <v>60000</v>
      </c>
      <c r="I5" s="19" t="n">
        <f aca="false">IF(E5="Ya",H5*$N$2,0)</f>
        <v>18000</v>
      </c>
      <c r="J5" s="19" t="n">
        <f aca="false">H5+I5</f>
        <v>78000</v>
      </c>
      <c r="K5" s="19" t="n">
        <f aca="false">IF(F5="Belum Diambil",J5,0)</f>
        <v>0</v>
      </c>
    </row>
    <row r="6" customFormat="false" ht="15" hidden="false" customHeight="false" outlineLevel="0" collapsed="false">
      <c r="A6" s="17" t="s">
        <v>99</v>
      </c>
      <c r="B6" s="17" t="s">
        <v>100</v>
      </c>
      <c r="C6" s="17" t="s">
        <v>83</v>
      </c>
      <c r="D6" s="18" t="n">
        <v>3</v>
      </c>
      <c r="E6" s="17" t="s">
        <v>84</v>
      </c>
      <c r="F6" s="17" t="s">
        <v>85</v>
      </c>
      <c r="G6" s="19" t="n">
        <f aca="false">VLOOKUP(C6,Acuan!$A$2:$B$5,2,FALSE())</f>
        <v>6000</v>
      </c>
      <c r="H6" s="19" t="n">
        <f aca="false">D6*G6</f>
        <v>18000</v>
      </c>
      <c r="I6" s="19" t="n">
        <f aca="false">IF(E6="Ya",H6*$N$2,0)</f>
        <v>0</v>
      </c>
      <c r="J6" s="19" t="n">
        <f aca="false">H6+I6</f>
        <v>18000</v>
      </c>
      <c r="K6" s="19" t="n">
        <f aca="false">IF(F6="Belum Diambil",J6,0)</f>
        <v>0</v>
      </c>
    </row>
    <row r="7" customFormat="false" ht="15" hidden="false" customHeight="false" outlineLevel="0" collapsed="false">
      <c r="A7" s="17" t="s">
        <v>101</v>
      </c>
      <c r="B7" s="17" t="s">
        <v>102</v>
      </c>
      <c r="C7" s="17" t="s">
        <v>90</v>
      </c>
      <c r="D7" s="18" t="n">
        <v>8</v>
      </c>
      <c r="E7" s="17" t="s">
        <v>84</v>
      </c>
      <c r="F7" s="17" t="s">
        <v>92</v>
      </c>
      <c r="G7" s="19" t="n">
        <f aca="false">VLOOKUP(C7,Acuan!$A$2:$B$5,2,FALSE())</f>
        <v>8000</v>
      </c>
      <c r="H7" s="19" t="n">
        <f aca="false">D7*G7</f>
        <v>64000</v>
      </c>
      <c r="I7" s="19" t="n">
        <f aca="false">IF(E7="Ya",H7*$N$2,0)</f>
        <v>0</v>
      </c>
      <c r="J7" s="19" t="n">
        <f aca="false">H7+I7</f>
        <v>64000</v>
      </c>
      <c r="K7" s="19" t="n">
        <f aca="false">IF(F7="Belum Diambil",J7,0)</f>
        <v>64000</v>
      </c>
    </row>
    <row r="8" customFormat="false" ht="15" hidden="false" customHeight="false" outlineLevel="0" collapsed="false">
      <c r="A8" s="17" t="s">
        <v>103</v>
      </c>
      <c r="B8" s="17" t="s">
        <v>104</v>
      </c>
      <c r="C8" s="17" t="s">
        <v>95</v>
      </c>
      <c r="D8" s="18" t="n">
        <v>6</v>
      </c>
      <c r="E8" s="17" t="s">
        <v>91</v>
      </c>
      <c r="F8" s="17" t="s">
        <v>85</v>
      </c>
      <c r="G8" s="19" t="n">
        <f aca="false">VLOOKUP(C8,Acuan!$A$2:$B$5,2,FALSE())</f>
        <v>5000</v>
      </c>
      <c r="H8" s="19" t="n">
        <f aca="false">D8*G8</f>
        <v>30000</v>
      </c>
      <c r="I8" s="19" t="n">
        <f aca="false">IF(E8="Ya",H8*$N$2,0)</f>
        <v>9000</v>
      </c>
      <c r="J8" s="19" t="n">
        <f aca="false">H8+I8</f>
        <v>39000</v>
      </c>
      <c r="K8" s="19" t="n">
        <f aca="false">IF(F8="Belum Diambil",J8,0)</f>
        <v>0</v>
      </c>
    </row>
    <row r="9" customFormat="false" ht="15" hidden="false" customHeight="false" outlineLevel="0" collapsed="false">
      <c r="A9" s="17" t="s">
        <v>105</v>
      </c>
      <c r="B9" s="17" t="s">
        <v>106</v>
      </c>
      <c r="C9" s="17" t="s">
        <v>98</v>
      </c>
      <c r="D9" s="18" t="n">
        <v>2</v>
      </c>
      <c r="E9" s="17" t="s">
        <v>91</v>
      </c>
      <c r="F9" s="17" t="s">
        <v>85</v>
      </c>
      <c r="G9" s="19" t="n">
        <f aca="false">VLOOKUP(C9,Acuan!$A$2:$B$5,2,FALSE())</f>
        <v>12000</v>
      </c>
      <c r="H9" s="19" t="n">
        <f aca="false">D9*G9</f>
        <v>24000</v>
      </c>
      <c r="I9" s="19" t="n">
        <f aca="false">IF(E9="Ya",H9*$N$2,0)</f>
        <v>7200</v>
      </c>
      <c r="J9" s="19" t="n">
        <f aca="false">H9+I9</f>
        <v>31200</v>
      </c>
      <c r="K9" s="19" t="n">
        <f aca="false">IF(F9="Belum Diambil",J9,0)</f>
        <v>0</v>
      </c>
    </row>
    <row r="10" customFormat="false" ht="15" hidden="false" customHeight="false" outlineLevel="0" collapsed="false">
      <c r="A10" s="17" t="s">
        <v>107</v>
      </c>
      <c r="B10" s="17" t="s">
        <v>108</v>
      </c>
      <c r="C10" s="17" t="s">
        <v>83</v>
      </c>
      <c r="D10" s="18" t="n">
        <v>2.5</v>
      </c>
      <c r="E10" s="17" t="s">
        <v>84</v>
      </c>
      <c r="F10" s="17" t="s">
        <v>85</v>
      </c>
      <c r="G10" s="19" t="n">
        <f aca="false">VLOOKUP(C10,Acuan!$A$2:$B$5,2,FALSE())</f>
        <v>6000</v>
      </c>
      <c r="H10" s="19" t="n">
        <f aca="false">D10*G10</f>
        <v>15000</v>
      </c>
      <c r="I10" s="19" t="n">
        <f aca="false">IF(E10="Ya",H10*$N$2,0)</f>
        <v>0</v>
      </c>
      <c r="J10" s="19" t="n">
        <f aca="false">H10+I10</f>
        <v>15000</v>
      </c>
      <c r="K10" s="19" t="n">
        <f aca="false">IF(F10="Belum Diambil",J10,0)</f>
        <v>0</v>
      </c>
    </row>
    <row r="11" customFormat="false" ht="15" hidden="false" customHeight="false" outlineLevel="0" collapsed="false">
      <c r="A11" s="17" t="s">
        <v>109</v>
      </c>
      <c r="B11" s="17" t="s">
        <v>110</v>
      </c>
      <c r="C11" s="17" t="s">
        <v>90</v>
      </c>
      <c r="D11" s="18" t="n">
        <v>4</v>
      </c>
      <c r="E11" s="17" t="s">
        <v>91</v>
      </c>
      <c r="F11" s="17" t="s">
        <v>85</v>
      </c>
      <c r="G11" s="19" t="n">
        <f aca="false">VLOOKUP(C11,Acuan!$A$2:$B$5,2,FALSE())</f>
        <v>8000</v>
      </c>
      <c r="H11" s="19" t="n">
        <f aca="false">D11*G11</f>
        <v>32000</v>
      </c>
      <c r="I11" s="19" t="n">
        <f aca="false">IF(E11="Ya",H11*$N$2,0)</f>
        <v>9600</v>
      </c>
      <c r="J11" s="19" t="n">
        <f aca="false">H11+I11</f>
        <v>41600</v>
      </c>
      <c r="K11" s="19" t="n">
        <f aca="false">IF(F11="Belum Diambil",J11,0)</f>
        <v>0</v>
      </c>
    </row>
    <row r="12" customFormat="false" ht="15" hidden="false" customHeight="false" outlineLevel="0" collapsed="false">
      <c r="A12" s="17" t="s">
        <v>111</v>
      </c>
      <c r="B12" s="17" t="s">
        <v>112</v>
      </c>
      <c r="C12" s="17" t="s">
        <v>95</v>
      </c>
      <c r="D12" s="18" t="n">
        <v>3.5</v>
      </c>
      <c r="E12" s="17" t="s">
        <v>91</v>
      </c>
      <c r="F12" s="17" t="s">
        <v>92</v>
      </c>
      <c r="G12" s="19" t="n">
        <f aca="false">VLOOKUP(C12,Acuan!$A$2:$B$5,2,FALSE())</f>
        <v>5000</v>
      </c>
      <c r="H12" s="19" t="n">
        <f aca="false">D12*G12</f>
        <v>17500</v>
      </c>
      <c r="I12" s="19" t="n">
        <f aca="false">IF(E12="Ya",H12*$N$2,0)</f>
        <v>5250</v>
      </c>
      <c r="J12" s="19" t="n">
        <f aca="false">H12+I12</f>
        <v>22750</v>
      </c>
      <c r="K12" s="19" t="n">
        <f aca="false">IF(F12="Belum Diambil",J12,0)</f>
        <v>22750</v>
      </c>
    </row>
    <row r="13" customFormat="false" ht="15" hidden="false" customHeight="false" outlineLevel="0" collapsed="false">
      <c r="A13" s="17" t="s">
        <v>113</v>
      </c>
      <c r="B13" s="17" t="s">
        <v>114</v>
      </c>
      <c r="C13" s="17" t="s">
        <v>98</v>
      </c>
      <c r="D13" s="18" t="n">
        <v>3</v>
      </c>
      <c r="E13" s="17" t="s">
        <v>84</v>
      </c>
      <c r="F13" s="17" t="s">
        <v>85</v>
      </c>
      <c r="G13" s="19" t="n">
        <f aca="false">VLOOKUP(C13,Acuan!$A$2:$B$5,2,FALSE())</f>
        <v>12000</v>
      </c>
      <c r="H13" s="19" t="n">
        <f aca="false">D13*G13</f>
        <v>36000</v>
      </c>
      <c r="I13" s="19" t="n">
        <f aca="false">IF(E13="Ya",H13*$N$2,0)</f>
        <v>0</v>
      </c>
      <c r="J13" s="19" t="n">
        <f aca="false">H13+I13</f>
        <v>36000</v>
      </c>
      <c r="K13" s="19" t="n">
        <f aca="false">IF(F13="Belum Diambil",J13,0)</f>
        <v>0</v>
      </c>
    </row>
    <row r="14" customFormat="false" ht="15" hidden="false" customHeight="false" outlineLevel="0" collapsed="false">
      <c r="A14" s="17" t="s">
        <v>115</v>
      </c>
      <c r="B14" s="17" t="s">
        <v>116</v>
      </c>
      <c r="C14" s="17" t="s">
        <v>83</v>
      </c>
      <c r="D14" s="18" t="n">
        <v>4.5</v>
      </c>
      <c r="E14" s="17" t="s">
        <v>84</v>
      </c>
      <c r="F14" s="17" t="s">
        <v>92</v>
      </c>
      <c r="G14" s="19" t="n">
        <f aca="false">VLOOKUP(C14,Acuan!$A$2:$B$5,2,FALSE())</f>
        <v>6000</v>
      </c>
      <c r="H14" s="19" t="n">
        <f aca="false">D14*G14</f>
        <v>27000</v>
      </c>
      <c r="I14" s="19" t="n">
        <f aca="false">IF(E14="Ya",H14*$N$2,0)</f>
        <v>0</v>
      </c>
      <c r="J14" s="19" t="n">
        <f aca="false">H14+I14</f>
        <v>27000</v>
      </c>
      <c r="K14" s="19" t="n">
        <f aca="false">IF(F14="Belum Diambil",J14,0)</f>
        <v>27000</v>
      </c>
    </row>
    <row r="15" customFormat="false" ht="15" hidden="false" customHeight="false" outlineLevel="0" collapsed="false">
      <c r="A15" s="17" t="s">
        <v>117</v>
      </c>
      <c r="B15" s="17" t="s">
        <v>118</v>
      </c>
      <c r="C15" s="17" t="s">
        <v>90</v>
      </c>
      <c r="D15" s="18" t="n">
        <v>2.5</v>
      </c>
      <c r="E15" s="17" t="s">
        <v>91</v>
      </c>
      <c r="F15" s="17" t="s">
        <v>85</v>
      </c>
      <c r="G15" s="19" t="n">
        <f aca="false">VLOOKUP(C15,Acuan!$A$2:$B$5,2,FALSE())</f>
        <v>8000</v>
      </c>
      <c r="H15" s="19" t="n">
        <f aca="false">D15*G15</f>
        <v>20000</v>
      </c>
      <c r="I15" s="19" t="n">
        <f aca="false">IF(E15="Ya",H15*$N$2,0)</f>
        <v>6000</v>
      </c>
      <c r="J15" s="19" t="n">
        <f aca="false">H15+I15</f>
        <v>26000</v>
      </c>
      <c r="K15" s="19" t="n">
        <f aca="false">IF(F15="Belum Diambil",J15,0)</f>
        <v>0</v>
      </c>
    </row>
    <row r="16" customFormat="false" ht="15" hidden="false" customHeight="false" outlineLevel="0" collapsed="false">
      <c r="A16" s="17" t="s">
        <v>119</v>
      </c>
      <c r="B16" s="17" t="s">
        <v>120</v>
      </c>
      <c r="C16" s="17" t="s">
        <v>95</v>
      </c>
      <c r="D16" s="18" t="n">
        <v>5</v>
      </c>
      <c r="E16" s="17" t="s">
        <v>84</v>
      </c>
      <c r="F16" s="17" t="s">
        <v>85</v>
      </c>
      <c r="G16" s="19" t="n">
        <f aca="false">VLOOKUP(C16,Acuan!$A$2:$B$5,2,FALSE())</f>
        <v>5000</v>
      </c>
      <c r="H16" s="19" t="n">
        <f aca="false">D16*G16</f>
        <v>25000</v>
      </c>
      <c r="I16" s="19" t="n">
        <f aca="false">IF(E16="Ya",H16*$N$2,0)</f>
        <v>0</v>
      </c>
      <c r="J16" s="19" t="n">
        <f aca="false">H16+I16</f>
        <v>25000</v>
      </c>
      <c r="K16" s="19" t="n">
        <f aca="false">IF(F16="Belum Diambil",J16,0)</f>
        <v>0</v>
      </c>
    </row>
    <row r="17" customFormat="false" ht="15" hidden="false" customHeight="false" outlineLevel="0" collapsed="false">
      <c r="A17" s="17" t="s">
        <v>121</v>
      </c>
      <c r="B17" s="17" t="s">
        <v>122</v>
      </c>
      <c r="C17" s="17" t="s">
        <v>98</v>
      </c>
      <c r="D17" s="18" t="n">
        <v>3.5</v>
      </c>
      <c r="E17" s="17" t="s">
        <v>84</v>
      </c>
      <c r="F17" s="17" t="s">
        <v>85</v>
      </c>
      <c r="G17" s="19" t="n">
        <f aca="false">VLOOKUP(C17,Acuan!$A$2:$B$5,2,FALSE())</f>
        <v>12000</v>
      </c>
      <c r="H17" s="19" t="n">
        <f aca="false">D17*G17</f>
        <v>42000</v>
      </c>
      <c r="I17" s="19" t="n">
        <f aca="false">IF(E17="Ya",H17*$N$2,0)</f>
        <v>0</v>
      </c>
      <c r="J17" s="19" t="n">
        <f aca="false">H17+I17</f>
        <v>42000</v>
      </c>
      <c r="K17" s="19" t="n">
        <f aca="false">IF(F17="Belum Diambil",J17,0)</f>
        <v>0</v>
      </c>
    </row>
    <row r="18" customFormat="false" ht="15" hidden="false" customHeight="false" outlineLevel="0" collapsed="false">
      <c r="A18" s="17" t="s">
        <v>123</v>
      </c>
      <c r="B18" s="17" t="s">
        <v>124</v>
      </c>
      <c r="C18" s="17" t="s">
        <v>83</v>
      </c>
      <c r="D18" s="18" t="n">
        <v>4.5</v>
      </c>
      <c r="E18" s="17" t="s">
        <v>84</v>
      </c>
      <c r="F18" s="17" t="s">
        <v>85</v>
      </c>
      <c r="G18" s="19" t="n">
        <f aca="false">VLOOKUP(C18,Acuan!$A$2:$B$5,2,FALSE())</f>
        <v>6000</v>
      </c>
      <c r="H18" s="19" t="n">
        <f aca="false">D18*G18</f>
        <v>27000</v>
      </c>
      <c r="I18" s="19" t="n">
        <f aca="false">IF(E18="Ya",H18*$N$2,0)</f>
        <v>0</v>
      </c>
      <c r="J18" s="19" t="n">
        <f aca="false">H18+I18</f>
        <v>27000</v>
      </c>
      <c r="K18" s="19" t="n">
        <f aca="false">IF(F18="Belum Diambil",J18,0)</f>
        <v>0</v>
      </c>
    </row>
    <row r="19" customFormat="false" ht="15" hidden="false" customHeight="false" outlineLevel="0" collapsed="false">
      <c r="A19" s="17" t="s">
        <v>125</v>
      </c>
      <c r="B19" s="17" t="s">
        <v>126</v>
      </c>
      <c r="C19" s="17" t="s">
        <v>90</v>
      </c>
      <c r="D19" s="18" t="n">
        <v>4.5</v>
      </c>
      <c r="E19" s="17" t="s">
        <v>91</v>
      </c>
      <c r="F19" s="17" t="s">
        <v>92</v>
      </c>
      <c r="G19" s="19" t="n">
        <f aca="false">VLOOKUP(C19,Acuan!$A$2:$B$5,2,FALSE())</f>
        <v>8000</v>
      </c>
      <c r="H19" s="19" t="n">
        <f aca="false">D19*G19</f>
        <v>36000</v>
      </c>
      <c r="I19" s="19" t="n">
        <f aca="false">IF(E19="Ya",H19*$N$2,0)</f>
        <v>10800</v>
      </c>
      <c r="J19" s="19" t="n">
        <f aca="false">H19+I19</f>
        <v>46800</v>
      </c>
      <c r="K19" s="19" t="n">
        <f aca="false">IF(F19="Belum Diambil",J19,0)</f>
        <v>46800</v>
      </c>
    </row>
    <row r="20" customFormat="false" ht="15" hidden="false" customHeight="false" outlineLevel="0" collapsed="false">
      <c r="A20" s="17" t="s">
        <v>127</v>
      </c>
      <c r="B20" s="17" t="s">
        <v>128</v>
      </c>
      <c r="C20" s="17" t="s">
        <v>95</v>
      </c>
      <c r="D20" s="18" t="n">
        <v>5</v>
      </c>
      <c r="E20" s="17" t="s">
        <v>91</v>
      </c>
      <c r="F20" s="17" t="s">
        <v>92</v>
      </c>
      <c r="G20" s="19" t="n">
        <f aca="false">VLOOKUP(C20,Acuan!$A$2:$B$5,2,FALSE())</f>
        <v>5000</v>
      </c>
      <c r="H20" s="19" t="n">
        <f aca="false">D20*G20</f>
        <v>25000</v>
      </c>
      <c r="I20" s="19" t="n">
        <f aca="false">IF(E20="Ya",H20*$N$2,0)</f>
        <v>7500</v>
      </c>
      <c r="J20" s="19" t="n">
        <f aca="false">H20+I20</f>
        <v>32500</v>
      </c>
      <c r="K20" s="19" t="n">
        <f aca="false">IF(F20="Belum Diambil",J20,0)</f>
        <v>32500</v>
      </c>
    </row>
    <row r="21" customFormat="false" ht="15" hidden="false" customHeight="false" outlineLevel="0" collapsed="false">
      <c r="A21" s="17" t="s">
        <v>129</v>
      </c>
      <c r="B21" s="17" t="s">
        <v>130</v>
      </c>
      <c r="C21" s="17" t="s">
        <v>98</v>
      </c>
      <c r="D21" s="18" t="n">
        <v>4</v>
      </c>
      <c r="E21" s="17" t="s">
        <v>84</v>
      </c>
      <c r="F21" s="17" t="s">
        <v>85</v>
      </c>
      <c r="G21" s="19" t="n">
        <f aca="false">VLOOKUP(C21,Acuan!$A$2:$B$5,2,FALSE())</f>
        <v>12000</v>
      </c>
      <c r="H21" s="19" t="n">
        <f aca="false">D21*G21</f>
        <v>48000</v>
      </c>
      <c r="I21" s="19" t="n">
        <f aca="false">IF(E21="Ya",H21*$N$2,0)</f>
        <v>0</v>
      </c>
      <c r="J21" s="19" t="n">
        <f aca="false">H21+I21</f>
        <v>48000</v>
      </c>
      <c r="K21" s="19" t="n">
        <f aca="false">IF(F21="Belum Diambil",J21,0)</f>
        <v>0</v>
      </c>
    </row>
    <row r="22" customFormat="false" ht="15" hidden="false" customHeight="false" outlineLevel="0" collapsed="false">
      <c r="A22" s="17" t="s">
        <v>131</v>
      </c>
      <c r="B22" s="17" t="s">
        <v>132</v>
      </c>
      <c r="C22" s="17" t="s">
        <v>83</v>
      </c>
      <c r="D22" s="18" t="n">
        <v>4.5</v>
      </c>
      <c r="E22" s="17" t="s">
        <v>84</v>
      </c>
      <c r="F22" s="17" t="s">
        <v>85</v>
      </c>
      <c r="G22" s="19" t="n">
        <f aca="false">VLOOKUP(C22,Acuan!$A$2:$B$5,2,FALSE())</f>
        <v>6000</v>
      </c>
      <c r="H22" s="19" t="n">
        <f aca="false">D22*G22</f>
        <v>27000</v>
      </c>
      <c r="I22" s="19" t="n">
        <f aca="false">IF(E22="Ya",H22*$N$2,0)</f>
        <v>0</v>
      </c>
      <c r="J22" s="19" t="n">
        <f aca="false">H22+I22</f>
        <v>27000</v>
      </c>
      <c r="K22" s="19" t="n">
        <f aca="false">IF(F22="Belum Diambil",J22,0)</f>
        <v>0</v>
      </c>
    </row>
    <row r="23" customFormat="false" ht="15" hidden="false" customHeight="false" outlineLevel="0" collapsed="false">
      <c r="A23" s="17" t="s">
        <v>133</v>
      </c>
      <c r="B23" s="17" t="s">
        <v>134</v>
      </c>
      <c r="C23" s="17" t="s">
        <v>90</v>
      </c>
      <c r="D23" s="18" t="n">
        <v>1.5</v>
      </c>
      <c r="E23" s="17" t="s">
        <v>84</v>
      </c>
      <c r="F23" s="17" t="s">
        <v>85</v>
      </c>
      <c r="G23" s="19" t="n">
        <f aca="false">VLOOKUP(C23,Acuan!$A$2:$B$5,2,FALSE())</f>
        <v>8000</v>
      </c>
      <c r="H23" s="19" t="n">
        <f aca="false">D23*G23</f>
        <v>12000</v>
      </c>
      <c r="I23" s="19" t="n">
        <f aca="false">IF(E23="Ya",H23*$N$2,0)</f>
        <v>0</v>
      </c>
      <c r="J23" s="19" t="n">
        <f aca="false">H23+I23</f>
        <v>12000</v>
      </c>
      <c r="K23" s="19" t="n">
        <f aca="false">IF(F23="Belum Diambil",J23,0)</f>
        <v>0</v>
      </c>
    </row>
    <row r="24" customFormat="false" ht="15" hidden="false" customHeight="false" outlineLevel="0" collapsed="false">
      <c r="A24" s="17" t="s">
        <v>135</v>
      </c>
      <c r="B24" s="17" t="s">
        <v>136</v>
      </c>
      <c r="C24" s="17" t="s">
        <v>95</v>
      </c>
      <c r="D24" s="18" t="n">
        <v>4</v>
      </c>
      <c r="E24" s="17" t="s">
        <v>84</v>
      </c>
      <c r="F24" s="17" t="s">
        <v>85</v>
      </c>
      <c r="G24" s="19" t="n">
        <f aca="false">VLOOKUP(C24,Acuan!$A$2:$B$5,2,FALSE())</f>
        <v>5000</v>
      </c>
      <c r="H24" s="19" t="n">
        <f aca="false">D24*G24</f>
        <v>20000</v>
      </c>
      <c r="I24" s="19" t="n">
        <f aca="false">IF(E24="Ya",H24*$N$2,0)</f>
        <v>0</v>
      </c>
      <c r="J24" s="19" t="n">
        <f aca="false">H24+I24</f>
        <v>20000</v>
      </c>
      <c r="K24" s="19" t="n">
        <f aca="false">IF(F24="Belum Diambil",J24,0)</f>
        <v>0</v>
      </c>
    </row>
    <row r="25" customFormat="false" ht="15" hidden="false" customHeight="false" outlineLevel="0" collapsed="false">
      <c r="A25" s="17" t="s">
        <v>137</v>
      </c>
      <c r="B25" s="17" t="s">
        <v>138</v>
      </c>
      <c r="C25" s="17" t="s">
        <v>98</v>
      </c>
      <c r="D25" s="18" t="n">
        <v>5</v>
      </c>
      <c r="E25" s="17" t="s">
        <v>84</v>
      </c>
      <c r="F25" s="17" t="s">
        <v>85</v>
      </c>
      <c r="G25" s="19" t="n">
        <f aca="false">VLOOKUP(C25,Acuan!$A$2:$B$5,2,FALSE())</f>
        <v>12000</v>
      </c>
      <c r="H25" s="19" t="n">
        <f aca="false">D25*G25</f>
        <v>60000</v>
      </c>
      <c r="I25" s="19" t="n">
        <f aca="false">IF(E25="Ya",H25*$N$2,0)</f>
        <v>0</v>
      </c>
      <c r="J25" s="19" t="n">
        <f aca="false">H25+I25</f>
        <v>60000</v>
      </c>
      <c r="K25" s="19" t="n">
        <f aca="false">IF(F25="Belum Diambil",J25,0)</f>
        <v>0</v>
      </c>
    </row>
    <row r="26" customFormat="false" ht="15" hidden="false" customHeight="false" outlineLevel="0" collapsed="false">
      <c r="A26" s="17" t="s">
        <v>139</v>
      </c>
      <c r="B26" s="17" t="s">
        <v>140</v>
      </c>
      <c r="C26" s="17" t="s">
        <v>83</v>
      </c>
      <c r="D26" s="18" t="n">
        <v>4.5</v>
      </c>
      <c r="E26" s="17" t="s">
        <v>84</v>
      </c>
      <c r="F26" s="17" t="s">
        <v>85</v>
      </c>
      <c r="G26" s="19" t="n">
        <f aca="false">VLOOKUP(C26,Acuan!$A$2:$B$5,2,FALSE())</f>
        <v>6000</v>
      </c>
      <c r="H26" s="19" t="n">
        <f aca="false">D26*G26</f>
        <v>27000</v>
      </c>
      <c r="I26" s="19" t="n">
        <f aca="false">IF(E26="Ya",H26*$N$2,0)</f>
        <v>0</v>
      </c>
      <c r="J26" s="19" t="n">
        <f aca="false">H26+I26</f>
        <v>27000</v>
      </c>
      <c r="K26" s="19" t="n">
        <f aca="false">IF(F26="Belum Diambil",J26,0)</f>
        <v>0</v>
      </c>
    </row>
    <row r="27" customFormat="false" ht="15" hidden="false" customHeight="false" outlineLevel="0" collapsed="false">
      <c r="A27" s="17" t="s">
        <v>141</v>
      </c>
      <c r="B27" s="17" t="s">
        <v>142</v>
      </c>
      <c r="C27" s="17" t="s">
        <v>90</v>
      </c>
      <c r="D27" s="18" t="n">
        <v>2</v>
      </c>
      <c r="E27" s="17" t="s">
        <v>84</v>
      </c>
      <c r="F27" s="17" t="s">
        <v>85</v>
      </c>
      <c r="G27" s="19" t="n">
        <f aca="false">VLOOKUP(C27,Acuan!$A$2:$B$5,2,FALSE())</f>
        <v>8000</v>
      </c>
      <c r="H27" s="19" t="n">
        <f aca="false">D27*G27</f>
        <v>16000</v>
      </c>
      <c r="I27" s="19" t="n">
        <f aca="false">IF(E27="Ya",H27*$N$2,0)</f>
        <v>0</v>
      </c>
      <c r="J27" s="19" t="n">
        <f aca="false">H27+I27</f>
        <v>16000</v>
      </c>
      <c r="K27" s="19" t="n">
        <f aca="false">IF(F27="Belum Diambil",J27,0)</f>
        <v>0</v>
      </c>
    </row>
    <row r="28" customFormat="false" ht="15" hidden="false" customHeight="false" outlineLevel="0" collapsed="false">
      <c r="A28" s="17" t="s">
        <v>143</v>
      </c>
      <c r="B28" s="17" t="s">
        <v>144</v>
      </c>
      <c r="C28" s="17" t="s">
        <v>95</v>
      </c>
      <c r="D28" s="18" t="n">
        <v>8</v>
      </c>
      <c r="E28" s="17" t="s">
        <v>84</v>
      </c>
      <c r="F28" s="17" t="s">
        <v>92</v>
      </c>
      <c r="G28" s="19" t="n">
        <f aca="false">VLOOKUP(C28,Acuan!$A$2:$B$5,2,FALSE())</f>
        <v>5000</v>
      </c>
      <c r="H28" s="19" t="n">
        <f aca="false">D28*G28</f>
        <v>40000</v>
      </c>
      <c r="I28" s="19" t="n">
        <f aca="false">IF(E28="Ya",H28*$N$2,0)</f>
        <v>0</v>
      </c>
      <c r="J28" s="19" t="n">
        <f aca="false">H28+I28</f>
        <v>40000</v>
      </c>
      <c r="K28" s="19" t="n">
        <f aca="false">IF(F28="Belum Diambil",J28,0)</f>
        <v>40000</v>
      </c>
    </row>
    <row r="29" customFormat="false" ht="15" hidden="false" customHeight="false" outlineLevel="0" collapsed="false">
      <c r="A29" s="17" t="s">
        <v>145</v>
      </c>
      <c r="B29" s="17" t="s">
        <v>146</v>
      </c>
      <c r="C29" s="17" t="s">
        <v>98</v>
      </c>
      <c r="D29" s="18" t="n">
        <v>3</v>
      </c>
      <c r="E29" s="17" t="s">
        <v>84</v>
      </c>
      <c r="F29" s="17" t="s">
        <v>92</v>
      </c>
      <c r="G29" s="19" t="n">
        <f aca="false">VLOOKUP(C29,Acuan!$A$2:$B$5,2,FALSE())</f>
        <v>12000</v>
      </c>
      <c r="H29" s="19" t="n">
        <f aca="false">D29*G29</f>
        <v>36000</v>
      </c>
      <c r="I29" s="19" t="n">
        <f aca="false">IF(E29="Ya",H29*$N$2,0)</f>
        <v>0</v>
      </c>
      <c r="J29" s="19" t="n">
        <f aca="false">H29+I29</f>
        <v>36000</v>
      </c>
      <c r="K29" s="19" t="n">
        <f aca="false">IF(F29="Belum Diambil",J29,0)</f>
        <v>36000</v>
      </c>
    </row>
    <row r="30" customFormat="false" ht="15" hidden="false" customHeight="false" outlineLevel="0" collapsed="false">
      <c r="A30" s="17" t="s">
        <v>147</v>
      </c>
      <c r="B30" s="17" t="s">
        <v>148</v>
      </c>
      <c r="C30" s="17" t="s">
        <v>83</v>
      </c>
      <c r="D30" s="18" t="n">
        <v>2</v>
      </c>
      <c r="E30" s="17" t="s">
        <v>84</v>
      </c>
      <c r="F30" s="17" t="s">
        <v>85</v>
      </c>
      <c r="G30" s="19" t="n">
        <f aca="false">VLOOKUP(C30,Acuan!$A$2:$B$5,2,FALSE())</f>
        <v>6000</v>
      </c>
      <c r="H30" s="19" t="n">
        <f aca="false">D30*G30</f>
        <v>12000</v>
      </c>
      <c r="I30" s="19" t="n">
        <f aca="false">IF(E30="Ya",H30*$N$2,0)</f>
        <v>0</v>
      </c>
      <c r="J30" s="19" t="n">
        <f aca="false">H30+I30</f>
        <v>12000</v>
      </c>
      <c r="K30" s="19" t="n">
        <f aca="false">IF(F30="Belum Diambil",J30,0)</f>
        <v>0</v>
      </c>
    </row>
    <row r="31" customFormat="false" ht="15" hidden="false" customHeight="false" outlineLevel="0" collapsed="false">
      <c r="A31" s="17" t="s">
        <v>149</v>
      </c>
      <c r="B31" s="17" t="s">
        <v>150</v>
      </c>
      <c r="C31" s="17" t="s">
        <v>95</v>
      </c>
      <c r="D31" s="18" t="n">
        <v>6</v>
      </c>
      <c r="E31" s="17" t="s">
        <v>84</v>
      </c>
      <c r="F31" s="17" t="s">
        <v>85</v>
      </c>
      <c r="G31" s="19" t="n">
        <f aca="false">VLOOKUP(C31,Acuan!$A$2:$B$5,2,FALSE())</f>
        <v>5000</v>
      </c>
      <c r="H31" s="19" t="n">
        <f aca="false">D31*G31</f>
        <v>30000</v>
      </c>
      <c r="I31" s="19" t="n">
        <f aca="false">IF(E31="Ya",H31*$N$2,0)</f>
        <v>0</v>
      </c>
      <c r="J31" s="19" t="n">
        <f aca="false">H31+I31</f>
        <v>30000</v>
      </c>
      <c r="K31" s="19" t="n">
        <f aca="false">IF(F31="Belum Diambil",J31,0)</f>
        <v>0</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D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3" min="2" style="0" width="12"/>
    <col collapsed="false" customWidth="true" hidden="false" outlineLevel="0" max="4" min="4" style="0" width="17"/>
  </cols>
  <sheetData>
    <row r="1" customFormat="false" ht="33.75" hidden="false" customHeight="true" outlineLevel="0" collapsed="false">
      <c r="A1" s="11" t="s">
        <v>69</v>
      </c>
      <c r="B1" s="11" t="s">
        <v>73</v>
      </c>
      <c r="C1" s="15" t="s">
        <v>151</v>
      </c>
      <c r="D1" s="15" t="s">
        <v>152</v>
      </c>
    </row>
    <row r="2" customFormat="false" ht="15" hidden="false" customHeight="false" outlineLevel="0" collapsed="false">
      <c r="A2" s="17" t="s">
        <v>83</v>
      </c>
      <c r="B2" s="22" t="n">
        <v>6000</v>
      </c>
      <c r="C2" s="23" t="n">
        <f aca="false">COUNTIF(Data!$C$2:$C$31,A2)</f>
        <v>8</v>
      </c>
      <c r="D2" s="19" t="n">
        <f aca="false">SUMIF(Data!$C$2:$C$31,A2,Data!$J$2:$J$31)</f>
        <v>177000</v>
      </c>
    </row>
    <row r="3" customFormat="false" ht="15" hidden="false" customHeight="false" outlineLevel="0" collapsed="false">
      <c r="A3" s="17" t="s">
        <v>90</v>
      </c>
      <c r="B3" s="22" t="n">
        <v>8000</v>
      </c>
      <c r="C3" s="23" t="n">
        <f aca="false">COUNTIF(Data!$C$2:$C$31,A3)</f>
        <v>7</v>
      </c>
      <c r="D3" s="19" t="n">
        <f aca="false">SUMIF(Data!$C$2:$C$31,A3,Data!$J$2:$J$31)</f>
        <v>237600</v>
      </c>
    </row>
    <row r="4" customFormat="false" ht="15" hidden="false" customHeight="false" outlineLevel="0" collapsed="false">
      <c r="A4" s="17" t="s">
        <v>95</v>
      </c>
      <c r="B4" s="22" t="n">
        <v>5000</v>
      </c>
      <c r="C4" s="23" t="n">
        <f aca="false">COUNTIF(Data!$C$2:$C$31,A4)</f>
        <v>8</v>
      </c>
      <c r="D4" s="19" t="n">
        <f aca="false">SUMIF(Data!$C$2:$C$31,A4,Data!$J$2:$J$31)</f>
        <v>254750</v>
      </c>
    </row>
    <row r="5" customFormat="false" ht="15" hidden="false" customHeight="false" outlineLevel="0" collapsed="false">
      <c r="A5" s="17" t="s">
        <v>98</v>
      </c>
      <c r="B5" s="22" t="n">
        <v>12000</v>
      </c>
      <c r="C5" s="23" t="n">
        <f aca="false">COUNTIF(Data!$C$2:$C$31,A5)</f>
        <v>7</v>
      </c>
      <c r="D5" s="19" t="n">
        <f aca="false">SUMIF(Data!$C$2:$C$31,A5,Data!$J$2:$J$31)</f>
        <v>331200</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D1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78"/>
    <col collapsed="false" customWidth="true" hidden="false" outlineLevel="0" max="3" min="3" style="0" width="26"/>
    <col collapsed="false" customWidth="true" hidden="false" outlineLevel="0" max="4" min="4" style="0" width="32"/>
  </cols>
  <sheetData>
    <row r="1" customFormat="false" ht="16.15" hidden="false" customHeight="false" outlineLevel="0" collapsed="false">
      <c r="A1" s="24" t="s">
        <v>153</v>
      </c>
      <c r="B1" s="24"/>
      <c r="C1" s="24"/>
      <c r="D1" s="24"/>
    </row>
    <row r="2" customFormat="false" ht="15" hidden="false" customHeight="false" outlineLevel="0" collapsed="false">
      <c r="A2" s="25" t="s">
        <v>154</v>
      </c>
      <c r="B2" s="25"/>
      <c r="C2" s="25"/>
      <c r="D2" s="25"/>
    </row>
    <row r="3" customFormat="false" ht="15" hidden="false" customHeight="false" outlineLevel="0" collapsed="false">
      <c r="A3" s="11" t="s">
        <v>19</v>
      </c>
      <c r="B3" s="11" t="s">
        <v>155</v>
      </c>
      <c r="C3" s="11" t="s">
        <v>156</v>
      </c>
      <c r="D3" s="11" t="s">
        <v>157</v>
      </c>
    </row>
    <row r="4" customFormat="false" ht="15" hidden="false" customHeight="false" outlineLevel="0" collapsed="false">
      <c r="A4" s="26" t="s">
        <v>158</v>
      </c>
      <c r="B4" s="27" t="s">
        <v>159</v>
      </c>
      <c r="C4" s="23" t="n">
        <f aca="false">COUNTA(Data!$A$2:$A$31)</f>
        <v>30</v>
      </c>
      <c r="D4" s="28" t="s">
        <v>160</v>
      </c>
    </row>
    <row r="5" customFormat="false" ht="15" hidden="false" customHeight="false" outlineLevel="0" collapsed="false">
      <c r="A5" s="26" t="s">
        <v>161</v>
      </c>
      <c r="B5" s="27" t="s">
        <v>162</v>
      </c>
      <c r="C5" s="29" t="n">
        <f aca="false">SUM(Data!$D$2:$D$31)</f>
        <v>125</v>
      </c>
      <c r="D5" s="28" t="s">
        <v>163</v>
      </c>
    </row>
    <row r="6" customFormat="false" ht="15" hidden="false" customHeight="false" outlineLevel="0" collapsed="false">
      <c r="A6" s="26" t="s">
        <v>164</v>
      </c>
      <c r="B6" s="27" t="s">
        <v>165</v>
      </c>
      <c r="C6" s="19" t="n">
        <f aca="false">SUM(Data!$J$2:$J$31)</f>
        <v>1000550</v>
      </c>
      <c r="D6" s="28" t="s">
        <v>166</v>
      </c>
    </row>
    <row r="7" customFormat="false" ht="15" hidden="false" customHeight="false" outlineLevel="0" collapsed="false">
      <c r="A7" s="26" t="s">
        <v>167</v>
      </c>
      <c r="B7" s="27" t="s">
        <v>168</v>
      </c>
      <c r="C7" s="23" t="n">
        <f aca="false">COUNTIF(Data!$E$2:$E$31,"Ya")</f>
        <v>10</v>
      </c>
      <c r="D7" s="28" t="s">
        <v>169</v>
      </c>
    </row>
    <row r="8" customFormat="false" ht="15" hidden="false" customHeight="false" outlineLevel="0" collapsed="false">
      <c r="A8" s="26" t="s">
        <v>170</v>
      </c>
      <c r="B8" s="27" t="s">
        <v>171</v>
      </c>
      <c r="C8" s="19" t="n">
        <f aca="false">SUM(Data!$I$2:$I$31)</f>
        <v>91050</v>
      </c>
      <c r="D8" s="28" t="s">
        <v>172</v>
      </c>
    </row>
    <row r="9" customFormat="false" ht="15" hidden="false" customHeight="false" outlineLevel="0" collapsed="false">
      <c r="A9" s="26" t="s">
        <v>173</v>
      </c>
      <c r="B9" s="27" t="s">
        <v>174</v>
      </c>
      <c r="C9" s="30" t="str">
        <f aca="false">INDEX(Data!$B$2:$B$31,MATCH(MAX(Data!$J$2:$J$31),Data!$J$2:$J$31,0))</f>
        <v>Oki Suryani</v>
      </c>
      <c r="D9" s="28" t="s">
        <v>175</v>
      </c>
    </row>
    <row r="10" customFormat="false" ht="15" hidden="false" customHeight="false" outlineLevel="0" collapsed="false">
      <c r="A10" s="26" t="s">
        <v>176</v>
      </c>
      <c r="B10" s="27" t="s">
        <v>177</v>
      </c>
      <c r="C10" s="30" t="str">
        <f aca="false">INDEX(Acuan!$A$2:$A$5,MATCH(MAX(Acuan!$D$2:$D$5),Acuan!$D$2:$D$5,0))</f>
        <v>Cuci Selimut</v>
      </c>
      <c r="D10" s="28" t="s">
        <v>178</v>
      </c>
    </row>
    <row r="11" customFormat="false" ht="15" hidden="false" customHeight="false" outlineLevel="0" collapsed="false">
      <c r="A11" s="26" t="s">
        <v>179</v>
      </c>
      <c r="B11" s="27" t="s">
        <v>180</v>
      </c>
      <c r="C11" s="23" t="n">
        <f aca="false">COUNTIF(Data!$F$2:$F$31,"Belum Diambil")</f>
        <v>8</v>
      </c>
      <c r="D11" s="28" t="s">
        <v>181</v>
      </c>
    </row>
    <row r="12" customFormat="false" ht="15" hidden="false" customHeight="false" outlineLevel="0" collapsed="false">
      <c r="A12" s="26" t="s">
        <v>182</v>
      </c>
      <c r="B12" s="27" t="s">
        <v>183</v>
      </c>
      <c r="C12" s="19" t="n">
        <f aca="false">SUM(Data!$K$2:$K$31)</f>
        <v>300250</v>
      </c>
      <c r="D12" s="28" t="s">
        <v>184</v>
      </c>
    </row>
  </sheetData>
  <mergeCells count="2">
    <mergeCell ref="A1:D1"/>
    <mergeCell ref="A2:D2"/>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2026-10-16T05:23:12Z</dcterms:created>
  <dc:creator>PushExcel</dc:creator>
  <dc:description/>
  <dc:language>en-US</dc:language>
  <cp:lastModifiedBy/>
  <dcterms:modified xsi:type="dcterms:W3CDTF">2026-10-16T05:23:12Z</dcterms:modified>
  <cp:revision>0</cp:revision>
  <dc:subject/>
  <dc:title>Nota Laundry Kiloan dan Status Pengambilan - Kunci</dc:title>
</cp:coreProperties>
</file>

<file path=docProps/custom.xml><?xml version="1.0" encoding="utf-8"?>
<Properties xmlns="http://schemas.openxmlformats.org/officeDocument/2006/custom-properties" xmlns:vt="http://schemas.openxmlformats.org/officeDocument/2006/docPropsVTypes"/>
</file>