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<sst xmlns="http://schemas.openxmlformats.org/spreadsheetml/2006/main" count="216" uniqueCount="144">
  <si>
    <t xml:space="preserve">Kunci Jawaban: Peminjaman Ruang Rapat dan Biaya Sewa</t>
  </si>
  <si>
    <t xml:space="preserve">Latihan 46 dari 56  |  Tingkat: Menengah  |  Perkiraan waktu: 50 menit  |  pushexcel.github.io/Pushexcel</t>
  </si>
  <si>
    <t xml:space="preserve">Skenario</t>
  </si>
  <si>
    <t xml:space="preserve">Kamu resepsionis gedung Graha Mandiri yang menyewakan empat ruang. Tarif per jam dan kapasitas tiap ruang ada di sheet Acuan. Ada 26 peminjaman antara September dan Oktober 2026. Peminjam internal mendapat diskon 40 persen dari biaya sewa (nilainya di blok Parameter), peminjam eksternal membayar penuh. Sesi dihitung dari jam mulai: sebelum pukul 12 Pagi, sebelum pukul 16 Siang, selain itu Sore. Durasi dihitung dalam jam dan dibulatkan satu desimal supaya tidak ada selisih pecahan.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</si>
  <si>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</si>
  <si>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</si>
  <si>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</si>
  <si>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</si>
  <si>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</si>
  <si>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</si>
  <si>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</si>
  <si>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</si>
  <si>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</si>
  <si>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</si>
  <si>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</si>
  <si>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</si>
  <si>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</si>
  <si>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</si>
  <si>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</si>
  <si>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</si>
  <si>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</si>
  <si>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</si>
  <si>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</si>
  <si>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</si>
  <si>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durasi pemakaian dalam jam: selisih jam selesai dan jam mulai dikali 24, dibulatkan satu desimal.</t>
  </si>
  <si>
    <t xml:space="preserve">Sheet Data, kolom H (Durasi (Jam)), baris 2 sampai 27</t>
  </si>
  <si>
    <t xml:space="preserve">=ROUND((F2-E2)*24;1)</t>
  </si>
  <si>
    <t xml:space="preserve">2</t>
  </si>
  <si>
    <t xml:space="preserve">Ambil tarif per jam ruang dari sheet Acuan.</t>
  </si>
  <si>
    <t xml:space="preserve">Sheet Data, kolom I (Tarif per Jam), baris 2 sampai 27</t>
  </si>
  <si>
    <t xml:space="preserve">=VLOOKUP(B2;Acuan!$A$2:$C$5;3;FALSE)</t>
  </si>
  <si>
    <t xml:space="preserve">3</t>
  </si>
  <si>
    <t xml:space="preserve">Hitung biaya sewa sebelum diskon: durasi dikali tarif per jam.</t>
  </si>
  <si>
    <t xml:space="preserve">Sheet Data, kolom J (Biaya Sewa), baris 2 sampai 27</t>
  </si>
  <si>
    <t xml:space="preserve">=H2*I2</t>
  </si>
  <si>
    <t xml:space="preserve">4</t>
  </si>
  <si>
    <t xml:space="preserve">Beri diskon internal bila jenis peminjam Internal, bulatkan ke rupiah. Peminjam eksternal membayar biaya sewa penuh.</t>
  </si>
  <si>
    <t xml:space="preserve">Sheet Data, kolom K (Biaya Akhir), baris 2 sampai 27</t>
  </si>
  <si>
    <t xml:space="preserve">=IF(D2="Internal";ROUND(J2*(1-$P$2);0);J2)</t>
  </si>
  <si>
    <t xml:space="preserve">5</t>
  </si>
  <si>
    <t xml:space="preserve">Tulis Melebihi bila jumlah peserta lebih besar dari kapasitas maksimal ruang (ambil dari Acuan). Selain itu Sesuai.</t>
  </si>
  <si>
    <t xml:space="preserve">Sheet Data, kolom L (Kapasitas), baris 2 sampai 27</t>
  </si>
  <si>
    <t xml:space="preserve">=IF(G2&gt;VLOOKUP(B2;Acuan!$A$2:$C$5;2;FALSE);"Melebihi";"Sesuai")</t>
  </si>
  <si>
    <t xml:space="preserve">6</t>
  </si>
  <si>
    <t xml:space="preserve">Tentukan sesi dari jam mulai: Pagi bila sebelum pukul 12, Siang bila sebelum pukul 16, selain itu Sore.</t>
  </si>
  <si>
    <t xml:space="preserve">Sheet Data, kolom M (Sesi), baris 2 sampai 27</t>
  </si>
  <si>
    <t xml:space="preserve">=IF(HOUR(E2)&lt;12;"Pagi";IF(HOUR(E2)&lt;16;"Siang";"Sore"))</t>
  </si>
  <si>
    <t xml:space="preserve">7</t>
  </si>
  <si>
    <t xml:space="preserve">Pada sheet Acuan, hitung berapa kali tiap ruang dipinjam.</t>
  </si>
  <si>
    <t xml:space="preserve">Sheet Acuan, kolom D (Jumlah Pemakaian), baris 2 sampai 5</t>
  </si>
  <si>
    <t xml:space="preserve">=COUNTIF(Data!$B$2:$B$27;A2)</t>
  </si>
  <si>
    <t xml:space="preserve">8</t>
  </si>
  <si>
    <t xml:space="preserve">Pada sheet Acuan, hitung total biaya akhir tiap ruang.</t>
  </si>
  <si>
    <t xml:space="preserve">Sheet Acuan, kolom E (Total Pendapatan), baris 2 sampai 5</t>
  </si>
  <si>
    <t xml:space="preserve">=SUMIF(Data!$B$2:$B$27;A2;Data!$K$2:$K$27)</t>
  </si>
  <si>
    <t xml:space="preserve">9</t>
  </si>
  <si>
    <t xml:space="preserve">Berapa total jam pemakaian seluruh ruang, dan berapa total pendapatan (biaya akhir)?</t>
  </si>
  <si>
    <t xml:space="preserve">Sheet Ringkasan, sel C4 sampai C5</t>
  </si>
  <si>
    <t xml:space="preserve">=SUM(Data!$H$2:$H$27)
=SUM(Data!$K$2:$K$27)</t>
  </si>
  <si>
    <t xml:space="preserve">10</t>
  </si>
  <si>
    <t xml:space="preserve">Berapa total diskon internal yang diberikan, dan berapa persen dari total biaya sewa sebelum diskon?</t>
  </si>
  <si>
    <t xml:space="preserve">Sheet Ringkasan, sel C6 sampai C7</t>
  </si>
  <si>
    <t xml:space="preserve">=SUM(Data!$J$2:$J$27)-SUM(Data!$K$2:$K$27)
=C6/SUM(Data!$J$2:$J$27)</t>
  </si>
  <si>
    <t xml:space="preserve">11</t>
  </si>
  <si>
    <t xml:space="preserve">Ruang mana yang paling sering dipinjam, dan ruang mana yang pendapatannya terbesar?</t>
  </si>
  <si>
    <t xml:space="preserve">Sheet Ringkasan, sel C8 sampai C9</t>
  </si>
  <si>
    <t xml:space="preserve">=INDEX(Acuan!$A$2:$A$5;MATCH(MAX(Acuan!$D$2:$D$5);Acuan!$D$2:$D$5;0))
=INDEX(Acuan!$A$2:$A$5;MATCH(MAX(Acuan!$E$2:$E$5);Acuan!$E$2:$E$5;0))</t>
  </si>
  <si>
    <t xml:space="preserve">12</t>
  </si>
  <si>
    <t xml:space="preserve">Berapa peminjaman yang pesertanya melebihi kapasitas, dan berapa peminjaman sesi Pagi?</t>
  </si>
  <si>
    <t xml:space="preserve">Sheet Ringkasan, sel C10 sampai C11</t>
  </si>
  <si>
    <t xml:space="preserve">=COUNTIF(Data!$L$2:$L$27;"Melebihi")
=COUNTIF(Data!$M$2:$M$27;"Pagi")</t>
  </si>
  <si>
    <t xml:space="preserve">13</t>
  </si>
  <si>
    <t xml:space="preserve">Berapa total biaya akhir peminjam eksternal, dan berapa rata-rata durasi pemakaian Aula?</t>
  </si>
  <si>
    <t xml:space="preserve">Sheet Ringkasan, sel C12 sampai C13</t>
  </si>
  <si>
    <t xml:space="preserve">=SUMIF(Data!$D$2:$D$27;"Eksternal";Data!$K$2:$K$27)
=AVERAGEIF(Data!$B$2:$B$27;"Aula";Data!$H$2:$H$27)</t>
  </si>
  <si>
    <t xml:space="preserve">Tanggal</t>
  </si>
  <si>
    <t xml:space="preserve">Ruang</t>
  </si>
  <si>
    <t xml:space="preserve">Peminjam</t>
  </si>
  <si>
    <t xml:space="preserve">Jenis Peminjam</t>
  </si>
  <si>
    <t xml:space="preserve">Jam Mulai</t>
  </si>
  <si>
    <t xml:space="preserve">Jam Selesai</t>
  </si>
  <si>
    <t xml:space="preserve">Peserta</t>
  </si>
  <si>
    <t xml:space="preserve">Durasi (Jam)</t>
  </si>
  <si>
    <t xml:space="preserve">Tarif per Jam</t>
  </si>
  <si>
    <t xml:space="preserve">Biaya Sewa</t>
  </si>
  <si>
    <t xml:space="preserve">Biaya Akhir</t>
  </si>
  <si>
    <t xml:space="preserve">Kapasitas</t>
  </si>
  <si>
    <t xml:space="preserve">Sesi</t>
  </si>
  <si>
    <t xml:space="preserve">Parameter</t>
  </si>
  <si>
    <t xml:space="preserve">Nilai</t>
  </si>
  <si>
    <t xml:space="preserve">Keterangan</t>
  </si>
  <si>
    <t xml:space="preserve">Aula</t>
  </si>
  <si>
    <t xml:space="preserve">Vendor Pelatihan</t>
  </si>
  <si>
    <t xml:space="preserve">Eksternal</t>
  </si>
  <si>
    <t xml:space="preserve">Diskon internal</t>
  </si>
  <si>
    <t xml:space="preserve">Berlaku untuk jenis peminjam Internal</t>
  </si>
  <si>
    <t xml:space="preserve">Divisi Pemasaran</t>
  </si>
  <si>
    <t xml:space="preserve">Internal</t>
  </si>
  <si>
    <t xml:space="preserve">Ruang Diskusi</t>
  </si>
  <si>
    <t xml:space="preserve">Bagian SDM</t>
  </si>
  <si>
    <t xml:space="preserve">Divisi Keuangan</t>
  </si>
  <si>
    <t xml:space="preserve">Tim Proyek Alfa</t>
  </si>
  <si>
    <t xml:space="preserve">Mitra Konsultan</t>
  </si>
  <si>
    <t xml:space="preserve">Ruang Rapat Besar</t>
  </si>
  <si>
    <t xml:space="preserve">Ruang Rapat Kecil</t>
  </si>
  <si>
    <t xml:space="preserve">Klien Eksternal</t>
  </si>
  <si>
    <t xml:space="preserve">Divisi Produksi</t>
  </si>
  <si>
    <t xml:space="preserve">Kapasitas Maks</t>
  </si>
  <si>
    <t xml:space="preserve">Jumlah Pemakaian</t>
  </si>
  <si>
    <t xml:space="preserve">Total Pendapatan</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</si>
  <si>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</si>
  <si>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</si>
  <si>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</si>
  <si>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</si>
  <si>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</si>
  <si>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</si>
  <si>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jam pemakaian</t>
  </si>
  <si>
    <t xml:space="preserve">Angka desimal, mis. 55,5</t>
  </si>
  <si>
    <t xml:space="preserve">9b</t>
  </si>
  <si>
    <t xml:space="preserve">Total pendapatan</t>
  </si>
  <si>
    <t xml:space="preserve">Rupiah, mis. Rp 8.000.000</t>
  </si>
  <si>
    <t xml:space="preserve">10a</t>
  </si>
  <si>
    <t xml:space="preserve">Total diskon internal</t>
  </si>
  <si>
    <t xml:space="preserve">Rupiah, mis. Rp 2.000.000</t>
  </si>
  <si>
    <t xml:space="preserve">10b</t>
  </si>
  <si>
    <t xml:space="preserve">Persen diskon dari total sebelum diskon</t>
  </si>
  <si>
    <t xml:space="preserve">Persen, mis. 22,5%</t>
  </si>
  <si>
    <t xml:space="preserve">11a</t>
  </si>
  <si>
    <t xml:space="preserve">Ruang paling sering dipinjam</t>
  </si>
  <si>
    <t xml:space="preserve">Teks: nama ruang</t>
  </si>
  <si>
    <t xml:space="preserve">11b</t>
  </si>
  <si>
    <t xml:space="preserve">Ruang dengan pendapatan terbesar</t>
  </si>
  <si>
    <t xml:space="preserve">12a</t>
  </si>
  <si>
    <t xml:space="preserve">Jumlah peminjaman melebihi kapasitas</t>
  </si>
  <si>
    <t xml:space="preserve">Angka bulat, mis. 7</t>
  </si>
  <si>
    <t xml:space="preserve">12b</t>
  </si>
  <si>
    <t xml:space="preserve">Jumlah peminjaman sesi Pagi</t>
  </si>
  <si>
    <t xml:space="preserve">Angka bulat, mis. 11</t>
  </si>
  <si>
    <t xml:space="preserve">13a</t>
  </si>
  <si>
    <t xml:space="preserve">Total biaya akhir peminjam eksternal</t>
  </si>
  <si>
    <t xml:space="preserve">Rupiah, mis. Rp 3.000.000</t>
  </si>
  <si>
    <t xml:space="preserve">13b</t>
  </si>
  <si>
    <t xml:space="preserve">Rata-rata durasi pemakaian Aula (jam)</t>
  </si>
  <si>
    <t xml:space="preserve">Angka desimal, mis. 2,40</t>
  </si>
</sst>
</file>

<file path=xl/styles.xml><?xml version="1.0" encoding="utf-8"?>
<styleSheet xmlns="http://schemas.openxmlformats.org/spreadsheetml/2006/main">
  <numFmts count="9">
    <numFmt numFmtId="164" formatCode="General"/>
    <numFmt numFmtId="165" formatCode="dd/mm/yyyy"/>
    <numFmt numFmtId="166" formatCode="hh:mm"/>
    <numFmt numFmtId="167" formatCode="0"/>
    <numFmt numFmtId="168" formatCode="0.0"/>
    <numFmt numFmtId="169" formatCode="&quot;Rp &quot;#,##0"/>
    <numFmt numFmtId="170" formatCode="0%"/>
    <numFmt numFmtId="171" formatCode="0.0%"/>
    <numFmt numFmtId="172"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right" vertical="center" textRotation="0" wrapText="false" indent="0" shrinkToFit="false"/>
      <protection locked="true" hidden="false"/>
    </xf>
    <xf numFmtId="169"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71" fontId="7" fillId="4" borderId="1" xfId="0" applyFont="true" applyBorder="true" applyAlignment="true" applyProtection="false">
      <alignment horizontal="right" vertical="center" textRotation="0" wrapText="false" indent="0" shrinkToFit="false"/>
      <protection locked="true" hidden="false"/>
    </xf>
    <xf numFmtId="172"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8"/>
    <col collapsed="false" customWidth="true" hidden="false" outlineLevel="0" max="4" min="4" style="0" width="14"/>
    <col collapsed="false" customWidth="true" hidden="false" outlineLevel="0" max="5" min="5" style="0" width="10"/>
    <col collapsed="false" customWidth="true" hidden="false" outlineLevel="0" max="6" min="6" style="0" width="11"/>
    <col collapsed="false" customWidth="true" hidden="false" outlineLevel="0" max="7" min="7" style="0" width="9"/>
    <col collapsed="false" customWidth="true" hidden="false" outlineLevel="0" max="8" min="8" style="0" width="12"/>
    <col collapsed="false" customWidth="true" hidden="false" outlineLevel="0" max="11" min="9" style="0" width="14"/>
    <col collapsed="false" customWidth="true" hidden="false" outlineLevel="0" max="12" min="12" style="0" width="12"/>
    <col collapsed="false" customWidth="true" hidden="false" outlineLevel="0" max="13" min="13" style="0" width="8"/>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75</v>
      </c>
      <c r="B1" s="11" t="s">
        <v>76</v>
      </c>
      <c r="C1" s="11" t="s">
        <v>77</v>
      </c>
      <c r="D1" s="11" t="s">
        <v>78</v>
      </c>
      <c r="E1" s="11" t="s">
        <v>79</v>
      </c>
      <c r="F1" s="11" t="s">
        <v>80</v>
      </c>
      <c r="G1" s="11" t="s">
        <v>81</v>
      </c>
      <c r="H1" s="15" t="s">
        <v>82</v>
      </c>
      <c r="I1" s="15" t="s">
        <v>83</v>
      </c>
      <c r="J1" s="15" t="s">
        <v>84</v>
      </c>
      <c r="K1" s="15" t="s">
        <v>85</v>
      </c>
      <c r="L1" s="15" t="s">
        <v>86</v>
      </c>
      <c r="M1" s="15" t="s">
        <v>87</v>
      </c>
      <c r="O1" s="16" t="s">
        <v>88</v>
      </c>
      <c r="P1" s="16" t="s">
        <v>89</v>
      </c>
      <c r="Q1" s="16" t="s">
        <v>90</v>
      </c>
    </row>
    <row r="2" customFormat="false" ht="15" hidden="false" customHeight="false" outlineLevel="0" collapsed="false">
      <c r="A2" s="17" t="n">
        <v>46280</v>
      </c>
      <c r="B2" s="18" t="s">
        <v>91</v>
      </c>
      <c r="C2" s="18" t="s">
        <v>92</v>
      </c>
      <c r="D2" s="18" t="s">
        <v>93</v>
      </c>
      <c r="E2" s="19" t="n">
        <v>0.6875</v>
      </c>
      <c r="F2" s="19" t="n">
        <v>0.791666666666667</v>
      </c>
      <c r="G2" s="20" t="n">
        <v>138</v>
      </c>
      <c r="H2" s="21" t="n">
        <f aca="false">ROUND((F2-E2)*24,1)</f>
        <v>2.5</v>
      </c>
      <c r="I2" s="22" t="n">
        <f aca="false">VLOOKUP(B2,Acuan!$A$2:$C$5,3,FALSE())</f>
        <v>300000</v>
      </c>
      <c r="J2" s="22" t="n">
        <f aca="false">H2*I2</f>
        <v>750000</v>
      </c>
      <c r="K2" s="22" t="n">
        <f aca="false">IF(D2="Internal",ROUND(J2*(1-$P$2),0),J2)</f>
        <v>750000</v>
      </c>
      <c r="L2" s="23" t="str">
        <f aca="false">IF(G2&gt;VLOOKUP(B2,Acuan!$A$2:$C$5,2,FALSE()),"Melebihi","Sesuai")</f>
        <v>Melebihi</v>
      </c>
      <c r="M2" s="23" t="str">
        <f aca="false">IF(HOUR(E2)&lt;12,"Pagi",IF(HOUR(E2)&lt;16,"Siang","Sore"))</f>
        <v>Sore</v>
      </c>
      <c r="O2" s="24" t="s">
        <v>94</v>
      </c>
      <c r="P2" s="25" t="n">
        <v>0.4</v>
      </c>
      <c r="Q2" s="24" t="s">
        <v>95</v>
      </c>
    </row>
    <row r="3" customFormat="false" ht="15" hidden="false" customHeight="false" outlineLevel="0" collapsed="false">
      <c r="A3" s="17" t="n">
        <v>46281</v>
      </c>
      <c r="B3" s="18" t="s">
        <v>91</v>
      </c>
      <c r="C3" s="18" t="s">
        <v>96</v>
      </c>
      <c r="D3" s="18" t="s">
        <v>97</v>
      </c>
      <c r="E3" s="19" t="n">
        <v>0.375</v>
      </c>
      <c r="F3" s="19" t="n">
        <v>0.5</v>
      </c>
      <c r="G3" s="20" t="n">
        <v>48</v>
      </c>
      <c r="H3" s="21" t="n">
        <f aca="false">ROUND((F3-E3)*24,1)</f>
        <v>3</v>
      </c>
      <c r="I3" s="22" t="n">
        <f aca="false">VLOOKUP(B3,Acuan!$A$2:$C$5,3,FALSE())</f>
        <v>300000</v>
      </c>
      <c r="J3" s="22" t="n">
        <f aca="false">H3*I3</f>
        <v>900000</v>
      </c>
      <c r="K3" s="22" t="n">
        <f aca="false">IF(D3="Internal",ROUND(J3*(1-$P$2),0),J3)</f>
        <v>540000</v>
      </c>
      <c r="L3" s="23" t="str">
        <f aca="false">IF(G3&gt;VLOOKUP(B3,Acuan!$A$2:$C$5,2,FALSE()),"Melebihi","Sesuai")</f>
        <v>Sesuai</v>
      </c>
      <c r="M3" s="23" t="str">
        <f aca="false">IF(HOUR(E3)&lt;12,"Pagi",IF(HOUR(E3)&lt;16,"Siang","Sore"))</f>
        <v>Pagi</v>
      </c>
    </row>
    <row r="4" customFormat="false" ht="15" hidden="false" customHeight="false" outlineLevel="0" collapsed="false">
      <c r="A4" s="17" t="n">
        <v>46282</v>
      </c>
      <c r="B4" s="18" t="s">
        <v>98</v>
      </c>
      <c r="C4" s="18" t="s">
        <v>99</v>
      </c>
      <c r="D4" s="18" t="s">
        <v>97</v>
      </c>
      <c r="E4" s="19" t="n">
        <v>0.354166666666667</v>
      </c>
      <c r="F4" s="19" t="n">
        <v>0.395833333333333</v>
      </c>
      <c r="G4" s="20" t="n">
        <v>6</v>
      </c>
      <c r="H4" s="21" t="n">
        <f aca="false">ROUND((F4-E4)*24,1)</f>
        <v>1</v>
      </c>
      <c r="I4" s="22" t="n">
        <f aca="false">VLOOKUP(B4,Acuan!$A$2:$C$5,3,FALSE())</f>
        <v>60000</v>
      </c>
      <c r="J4" s="22" t="n">
        <f aca="false">H4*I4</f>
        <v>60000</v>
      </c>
      <c r="K4" s="22" t="n">
        <f aca="false">IF(D4="Internal",ROUND(J4*(1-$P$2),0),J4)</f>
        <v>36000</v>
      </c>
      <c r="L4" s="23" t="str">
        <f aca="false">IF(G4&gt;VLOOKUP(B4,Acuan!$A$2:$C$5,2,FALSE()),"Melebihi","Sesuai")</f>
        <v>Sesuai</v>
      </c>
      <c r="M4" s="23" t="str">
        <f aca="false">IF(HOUR(E4)&lt;12,"Pagi",IF(HOUR(E4)&lt;16,"Siang","Sore"))</f>
        <v>Pagi</v>
      </c>
    </row>
    <row r="5" customFormat="false" ht="15" hidden="false" customHeight="false" outlineLevel="0" collapsed="false">
      <c r="A5" s="17" t="n">
        <v>46287</v>
      </c>
      <c r="B5" s="18" t="s">
        <v>91</v>
      </c>
      <c r="C5" s="18" t="s">
        <v>100</v>
      </c>
      <c r="D5" s="18" t="s">
        <v>97</v>
      </c>
      <c r="E5" s="19" t="n">
        <v>0.583333333333333</v>
      </c>
      <c r="F5" s="19" t="n">
        <v>0.666666666666667</v>
      </c>
      <c r="G5" s="20" t="n">
        <v>72</v>
      </c>
      <c r="H5" s="21" t="n">
        <f aca="false">ROUND((F5-E5)*24,1)</f>
        <v>2</v>
      </c>
      <c r="I5" s="22" t="n">
        <f aca="false">VLOOKUP(B5,Acuan!$A$2:$C$5,3,FALSE())</f>
        <v>300000</v>
      </c>
      <c r="J5" s="22" t="n">
        <f aca="false">H5*I5</f>
        <v>600000</v>
      </c>
      <c r="K5" s="22" t="n">
        <f aca="false">IF(D5="Internal",ROUND(J5*(1-$P$2),0),J5)</f>
        <v>360000</v>
      </c>
      <c r="L5" s="23" t="str">
        <f aca="false">IF(G5&gt;VLOOKUP(B5,Acuan!$A$2:$C$5,2,FALSE()),"Melebihi","Sesuai")</f>
        <v>Sesuai</v>
      </c>
      <c r="M5" s="23" t="str">
        <f aca="false">IF(HOUR(E5)&lt;12,"Pagi",IF(HOUR(E5)&lt;16,"Siang","Sore"))</f>
        <v>Siang</v>
      </c>
    </row>
    <row r="6" customFormat="false" ht="15" hidden="false" customHeight="false" outlineLevel="0" collapsed="false">
      <c r="A6" s="17" t="n">
        <v>46288</v>
      </c>
      <c r="B6" s="18" t="s">
        <v>98</v>
      </c>
      <c r="C6" s="18" t="s">
        <v>99</v>
      </c>
      <c r="D6" s="18" t="s">
        <v>97</v>
      </c>
      <c r="E6" s="19" t="n">
        <v>0.666666666666667</v>
      </c>
      <c r="F6" s="19" t="n">
        <v>0.75</v>
      </c>
      <c r="G6" s="20" t="n">
        <v>9</v>
      </c>
      <c r="H6" s="21" t="n">
        <f aca="false">ROUND((F6-E6)*24,1)</f>
        <v>2</v>
      </c>
      <c r="I6" s="22" t="n">
        <f aca="false">VLOOKUP(B6,Acuan!$A$2:$C$5,3,FALSE())</f>
        <v>60000</v>
      </c>
      <c r="J6" s="22" t="n">
        <f aca="false">H6*I6</f>
        <v>120000</v>
      </c>
      <c r="K6" s="22" t="n">
        <f aca="false">IF(D6="Internal",ROUND(J6*(1-$P$2),0),J6)</f>
        <v>72000</v>
      </c>
      <c r="L6" s="23" t="str">
        <f aca="false">IF(G6&gt;VLOOKUP(B6,Acuan!$A$2:$C$5,2,FALSE()),"Melebihi","Sesuai")</f>
        <v>Melebihi</v>
      </c>
      <c r="M6" s="23" t="str">
        <f aca="false">IF(HOUR(E6)&lt;12,"Pagi",IF(HOUR(E6)&lt;16,"Siang","Sore"))</f>
        <v>Sore</v>
      </c>
    </row>
    <row r="7" customFormat="false" ht="15" hidden="false" customHeight="false" outlineLevel="0" collapsed="false">
      <c r="A7" s="17" t="n">
        <v>46289</v>
      </c>
      <c r="B7" s="18" t="s">
        <v>91</v>
      </c>
      <c r="C7" s="18" t="s">
        <v>101</v>
      </c>
      <c r="D7" s="18" t="s">
        <v>97</v>
      </c>
      <c r="E7" s="19" t="n">
        <v>0.4375</v>
      </c>
      <c r="F7" s="19" t="n">
        <v>0.520833333333333</v>
      </c>
      <c r="G7" s="20" t="n">
        <v>72</v>
      </c>
      <c r="H7" s="21" t="n">
        <f aca="false">ROUND((F7-E7)*24,1)</f>
        <v>2</v>
      </c>
      <c r="I7" s="22" t="n">
        <f aca="false">VLOOKUP(B7,Acuan!$A$2:$C$5,3,FALSE())</f>
        <v>300000</v>
      </c>
      <c r="J7" s="22" t="n">
        <f aca="false">H7*I7</f>
        <v>600000</v>
      </c>
      <c r="K7" s="22" t="n">
        <f aca="false">IF(D7="Internal",ROUND(J7*(1-$P$2),0),J7)</f>
        <v>360000</v>
      </c>
      <c r="L7" s="23" t="str">
        <f aca="false">IF(G7&gt;VLOOKUP(B7,Acuan!$A$2:$C$5,2,FALSE()),"Melebihi","Sesuai")</f>
        <v>Sesuai</v>
      </c>
      <c r="M7" s="23" t="str">
        <f aca="false">IF(HOUR(E7)&lt;12,"Pagi",IF(HOUR(E7)&lt;16,"Siang","Sore"))</f>
        <v>Pagi</v>
      </c>
    </row>
    <row r="8" customFormat="false" ht="15" hidden="false" customHeight="false" outlineLevel="0" collapsed="false">
      <c r="A8" s="17" t="n">
        <v>46291</v>
      </c>
      <c r="B8" s="18" t="s">
        <v>98</v>
      </c>
      <c r="C8" s="18" t="s">
        <v>102</v>
      </c>
      <c r="D8" s="18" t="s">
        <v>93</v>
      </c>
      <c r="E8" s="19" t="n">
        <v>0.6875</v>
      </c>
      <c r="F8" s="19" t="n">
        <v>0.770833333333333</v>
      </c>
      <c r="G8" s="20" t="n">
        <v>4</v>
      </c>
      <c r="H8" s="21" t="n">
        <f aca="false">ROUND((F8-E8)*24,1)</f>
        <v>2</v>
      </c>
      <c r="I8" s="22" t="n">
        <f aca="false">VLOOKUP(B8,Acuan!$A$2:$C$5,3,FALSE())</f>
        <v>60000</v>
      </c>
      <c r="J8" s="22" t="n">
        <f aca="false">H8*I8</f>
        <v>120000</v>
      </c>
      <c r="K8" s="22" t="n">
        <f aca="false">IF(D8="Internal",ROUND(J8*(1-$P$2),0),J8)</f>
        <v>120000</v>
      </c>
      <c r="L8" s="23" t="str">
        <f aca="false">IF(G8&gt;VLOOKUP(B8,Acuan!$A$2:$C$5,2,FALSE()),"Melebihi","Sesuai")</f>
        <v>Sesuai</v>
      </c>
      <c r="M8" s="23" t="str">
        <f aca="false">IF(HOUR(E8)&lt;12,"Pagi",IF(HOUR(E8)&lt;16,"Siang","Sore"))</f>
        <v>Sore</v>
      </c>
    </row>
    <row r="9" customFormat="false" ht="15" hidden="false" customHeight="false" outlineLevel="0" collapsed="false">
      <c r="A9" s="17" t="n">
        <v>46294</v>
      </c>
      <c r="B9" s="18" t="s">
        <v>91</v>
      </c>
      <c r="C9" s="18" t="s">
        <v>92</v>
      </c>
      <c r="D9" s="18" t="s">
        <v>93</v>
      </c>
      <c r="E9" s="19" t="n">
        <v>0.6875</v>
      </c>
      <c r="F9" s="19" t="n">
        <v>0.791666666666667</v>
      </c>
      <c r="G9" s="20" t="n">
        <v>138</v>
      </c>
      <c r="H9" s="21" t="n">
        <f aca="false">ROUND((F9-E9)*24,1)</f>
        <v>2.5</v>
      </c>
      <c r="I9" s="22" t="n">
        <f aca="false">VLOOKUP(B9,Acuan!$A$2:$C$5,3,FALSE())</f>
        <v>300000</v>
      </c>
      <c r="J9" s="22" t="n">
        <f aca="false">H9*I9</f>
        <v>750000</v>
      </c>
      <c r="K9" s="22" t="n">
        <f aca="false">IF(D9="Internal",ROUND(J9*(1-$P$2),0),J9)</f>
        <v>750000</v>
      </c>
      <c r="L9" s="23" t="str">
        <f aca="false">IF(G9&gt;VLOOKUP(B9,Acuan!$A$2:$C$5,2,FALSE()),"Melebihi","Sesuai")</f>
        <v>Melebihi</v>
      </c>
      <c r="M9" s="23" t="str">
        <f aca="false">IF(HOUR(E9)&lt;12,"Pagi",IF(HOUR(E9)&lt;16,"Siang","Sore"))</f>
        <v>Sore</v>
      </c>
    </row>
    <row r="10" customFormat="false" ht="15" hidden="false" customHeight="false" outlineLevel="0" collapsed="false">
      <c r="A10" s="17" t="n">
        <v>46295</v>
      </c>
      <c r="B10" s="18" t="s">
        <v>103</v>
      </c>
      <c r="C10" s="18" t="s">
        <v>100</v>
      </c>
      <c r="D10" s="18" t="s">
        <v>97</v>
      </c>
      <c r="E10" s="19" t="n">
        <v>0.333333333333333</v>
      </c>
      <c r="F10" s="19" t="n">
        <v>0.395833333333333</v>
      </c>
      <c r="G10" s="20" t="n">
        <v>34</v>
      </c>
      <c r="H10" s="21" t="n">
        <f aca="false">ROUND((F10-E10)*24,1)</f>
        <v>1.5</v>
      </c>
      <c r="I10" s="22" t="n">
        <f aca="false">VLOOKUP(B10,Acuan!$A$2:$C$5,3,FALSE())</f>
        <v>180000</v>
      </c>
      <c r="J10" s="22" t="n">
        <f aca="false">H10*I10</f>
        <v>270000</v>
      </c>
      <c r="K10" s="22" t="n">
        <f aca="false">IF(D10="Internal",ROUND(J10*(1-$P$2),0),J10)</f>
        <v>162000</v>
      </c>
      <c r="L10" s="23" t="str">
        <f aca="false">IF(G10&gt;VLOOKUP(B10,Acuan!$A$2:$C$5,2,FALSE()),"Melebihi","Sesuai")</f>
        <v>Melebihi</v>
      </c>
      <c r="M10" s="23" t="str">
        <f aca="false">IF(HOUR(E10)&lt;12,"Pagi",IF(HOUR(E10)&lt;16,"Siang","Sore"))</f>
        <v>Pagi</v>
      </c>
    </row>
    <row r="11" customFormat="false" ht="15" hidden="false" customHeight="false" outlineLevel="0" collapsed="false">
      <c r="A11" s="17" t="n">
        <v>46301</v>
      </c>
      <c r="B11" s="18" t="s">
        <v>98</v>
      </c>
      <c r="C11" s="18" t="s">
        <v>92</v>
      </c>
      <c r="D11" s="18" t="s">
        <v>93</v>
      </c>
      <c r="E11" s="19" t="n">
        <v>0.354166666666667</v>
      </c>
      <c r="F11" s="19" t="n">
        <v>0.395833333333333</v>
      </c>
      <c r="G11" s="20" t="n">
        <v>8</v>
      </c>
      <c r="H11" s="21" t="n">
        <f aca="false">ROUND((F11-E11)*24,1)</f>
        <v>1</v>
      </c>
      <c r="I11" s="22" t="n">
        <f aca="false">VLOOKUP(B11,Acuan!$A$2:$C$5,3,FALSE())</f>
        <v>60000</v>
      </c>
      <c r="J11" s="22" t="n">
        <f aca="false">H11*I11</f>
        <v>60000</v>
      </c>
      <c r="K11" s="22" t="n">
        <f aca="false">IF(D11="Internal",ROUND(J11*(1-$P$2),0),J11)</f>
        <v>60000</v>
      </c>
      <c r="L11" s="23" t="str">
        <f aca="false">IF(G11&gt;VLOOKUP(B11,Acuan!$A$2:$C$5,2,FALSE()),"Melebihi","Sesuai")</f>
        <v>Sesuai</v>
      </c>
      <c r="M11" s="23" t="str">
        <f aca="false">IF(HOUR(E11)&lt;12,"Pagi",IF(HOUR(E11)&lt;16,"Siang","Sore"))</f>
        <v>Pagi</v>
      </c>
    </row>
    <row r="12" customFormat="false" ht="15" hidden="false" customHeight="false" outlineLevel="0" collapsed="false">
      <c r="A12" s="17" t="n">
        <v>46302</v>
      </c>
      <c r="B12" s="18" t="s">
        <v>104</v>
      </c>
      <c r="C12" s="18" t="s">
        <v>96</v>
      </c>
      <c r="D12" s="18" t="s">
        <v>97</v>
      </c>
      <c r="E12" s="19" t="n">
        <v>0.375</v>
      </c>
      <c r="F12" s="19" t="n">
        <v>0.5</v>
      </c>
      <c r="G12" s="20" t="n">
        <v>13</v>
      </c>
      <c r="H12" s="21" t="n">
        <f aca="false">ROUND((F12-E12)*24,1)</f>
        <v>3</v>
      </c>
      <c r="I12" s="22" t="n">
        <f aca="false">VLOOKUP(B12,Acuan!$A$2:$C$5,3,FALSE())</f>
        <v>90000</v>
      </c>
      <c r="J12" s="22" t="n">
        <f aca="false">H12*I12</f>
        <v>270000</v>
      </c>
      <c r="K12" s="22" t="n">
        <f aca="false">IF(D12="Internal",ROUND(J12*(1-$P$2),0),J12)</f>
        <v>162000</v>
      </c>
      <c r="L12" s="23" t="str">
        <f aca="false">IF(G12&gt;VLOOKUP(B12,Acuan!$A$2:$C$5,2,FALSE()),"Melebihi","Sesuai")</f>
        <v>Melebihi</v>
      </c>
      <c r="M12" s="23" t="str">
        <f aca="false">IF(HOUR(E12)&lt;12,"Pagi",IF(HOUR(E12)&lt;16,"Siang","Sore"))</f>
        <v>Pagi</v>
      </c>
    </row>
    <row r="13" customFormat="false" ht="15" hidden="false" customHeight="false" outlineLevel="0" collapsed="false">
      <c r="A13" s="17" t="n">
        <v>46303</v>
      </c>
      <c r="B13" s="18" t="s">
        <v>104</v>
      </c>
      <c r="C13" s="18" t="s">
        <v>99</v>
      </c>
      <c r="D13" s="18" t="s">
        <v>97</v>
      </c>
      <c r="E13" s="19" t="n">
        <v>0.583333333333333</v>
      </c>
      <c r="F13" s="19" t="n">
        <v>0.645833333333333</v>
      </c>
      <c r="G13" s="20" t="n">
        <v>13</v>
      </c>
      <c r="H13" s="21" t="n">
        <f aca="false">ROUND((F13-E13)*24,1)</f>
        <v>1.5</v>
      </c>
      <c r="I13" s="22" t="n">
        <f aca="false">VLOOKUP(B13,Acuan!$A$2:$C$5,3,FALSE())</f>
        <v>90000</v>
      </c>
      <c r="J13" s="22" t="n">
        <f aca="false">H13*I13</f>
        <v>135000</v>
      </c>
      <c r="K13" s="22" t="n">
        <f aca="false">IF(D13="Internal",ROUND(J13*(1-$P$2),0),J13)</f>
        <v>81000</v>
      </c>
      <c r="L13" s="23" t="str">
        <f aca="false">IF(G13&gt;VLOOKUP(B13,Acuan!$A$2:$C$5,2,FALSE()),"Melebihi","Sesuai")</f>
        <v>Melebihi</v>
      </c>
      <c r="M13" s="23" t="str">
        <f aca="false">IF(HOUR(E13)&lt;12,"Pagi",IF(HOUR(E13)&lt;16,"Siang","Sore"))</f>
        <v>Siang</v>
      </c>
    </row>
    <row r="14" customFormat="false" ht="15" hidden="false" customHeight="false" outlineLevel="0" collapsed="false">
      <c r="A14" s="17" t="n">
        <v>46303</v>
      </c>
      <c r="B14" s="18" t="s">
        <v>98</v>
      </c>
      <c r="C14" s="18" t="s">
        <v>92</v>
      </c>
      <c r="D14" s="18" t="s">
        <v>93</v>
      </c>
      <c r="E14" s="19" t="n">
        <v>0.625</v>
      </c>
      <c r="F14" s="19" t="n">
        <v>0.708333333333333</v>
      </c>
      <c r="G14" s="20" t="n">
        <v>9</v>
      </c>
      <c r="H14" s="21" t="n">
        <f aca="false">ROUND((F14-E14)*24,1)</f>
        <v>2</v>
      </c>
      <c r="I14" s="22" t="n">
        <f aca="false">VLOOKUP(B14,Acuan!$A$2:$C$5,3,FALSE())</f>
        <v>60000</v>
      </c>
      <c r="J14" s="22" t="n">
        <f aca="false">H14*I14</f>
        <v>120000</v>
      </c>
      <c r="K14" s="22" t="n">
        <f aca="false">IF(D14="Internal",ROUND(J14*(1-$P$2),0),J14)</f>
        <v>120000</v>
      </c>
      <c r="L14" s="23" t="str">
        <f aca="false">IF(G14&gt;VLOOKUP(B14,Acuan!$A$2:$C$5,2,FALSE()),"Melebihi","Sesuai")</f>
        <v>Melebihi</v>
      </c>
      <c r="M14" s="23" t="str">
        <f aca="false">IF(HOUR(E14)&lt;12,"Pagi",IF(HOUR(E14)&lt;16,"Siang","Sore"))</f>
        <v>Siang</v>
      </c>
    </row>
    <row r="15" customFormat="false" ht="15" hidden="false" customHeight="false" outlineLevel="0" collapsed="false">
      <c r="A15" s="17" t="n">
        <v>46304</v>
      </c>
      <c r="B15" s="18" t="s">
        <v>91</v>
      </c>
      <c r="C15" s="18" t="s">
        <v>99</v>
      </c>
      <c r="D15" s="18" t="s">
        <v>97</v>
      </c>
      <c r="E15" s="19" t="n">
        <v>0.395833333333333</v>
      </c>
      <c r="F15" s="19" t="n">
        <v>0.5</v>
      </c>
      <c r="G15" s="20" t="n">
        <v>138</v>
      </c>
      <c r="H15" s="21" t="n">
        <f aca="false">ROUND((F15-E15)*24,1)</f>
        <v>2.5</v>
      </c>
      <c r="I15" s="22" t="n">
        <f aca="false">VLOOKUP(B15,Acuan!$A$2:$C$5,3,FALSE())</f>
        <v>300000</v>
      </c>
      <c r="J15" s="22" t="n">
        <f aca="false">H15*I15</f>
        <v>750000</v>
      </c>
      <c r="K15" s="22" t="n">
        <f aca="false">IF(D15="Internal",ROUND(J15*(1-$P$2),0),J15)</f>
        <v>450000</v>
      </c>
      <c r="L15" s="23" t="str">
        <f aca="false">IF(G15&gt;VLOOKUP(B15,Acuan!$A$2:$C$5,2,FALSE()),"Melebihi","Sesuai")</f>
        <v>Melebihi</v>
      </c>
      <c r="M15" s="23" t="str">
        <f aca="false">IF(HOUR(E15)&lt;12,"Pagi",IF(HOUR(E15)&lt;16,"Siang","Sore"))</f>
        <v>Pagi</v>
      </c>
    </row>
    <row r="16" customFormat="false" ht="15" hidden="false" customHeight="false" outlineLevel="0" collapsed="false">
      <c r="A16" s="17" t="n">
        <v>46308</v>
      </c>
      <c r="B16" s="18" t="s">
        <v>103</v>
      </c>
      <c r="C16" s="18" t="s">
        <v>102</v>
      </c>
      <c r="D16" s="18" t="s">
        <v>93</v>
      </c>
      <c r="E16" s="19" t="n">
        <v>0.604166666666667</v>
      </c>
      <c r="F16" s="19" t="n">
        <v>0.770833333333333</v>
      </c>
      <c r="G16" s="20" t="n">
        <v>30</v>
      </c>
      <c r="H16" s="21" t="n">
        <f aca="false">ROUND((F16-E16)*24,1)</f>
        <v>4</v>
      </c>
      <c r="I16" s="22" t="n">
        <f aca="false">VLOOKUP(B16,Acuan!$A$2:$C$5,3,FALSE())</f>
        <v>180000</v>
      </c>
      <c r="J16" s="22" t="n">
        <f aca="false">H16*I16</f>
        <v>720000</v>
      </c>
      <c r="K16" s="22" t="n">
        <f aca="false">IF(D16="Internal",ROUND(J16*(1-$P$2),0),J16)</f>
        <v>720000</v>
      </c>
      <c r="L16" s="23" t="str">
        <f aca="false">IF(G16&gt;VLOOKUP(B16,Acuan!$A$2:$C$5,2,FALSE()),"Melebihi","Sesuai")</f>
        <v>Sesuai</v>
      </c>
      <c r="M16" s="23" t="str">
        <f aca="false">IF(HOUR(E16)&lt;12,"Pagi",IF(HOUR(E16)&lt;16,"Siang","Sore"))</f>
        <v>Siang</v>
      </c>
    </row>
    <row r="17" customFormat="false" ht="15" hidden="false" customHeight="false" outlineLevel="0" collapsed="false">
      <c r="A17" s="17" t="n">
        <v>46309</v>
      </c>
      <c r="B17" s="18" t="s">
        <v>104</v>
      </c>
      <c r="C17" s="18" t="s">
        <v>105</v>
      </c>
      <c r="D17" s="18" t="s">
        <v>93</v>
      </c>
      <c r="E17" s="19" t="n">
        <v>0.4375</v>
      </c>
      <c r="F17" s="19" t="n">
        <v>0.5625</v>
      </c>
      <c r="G17" s="20" t="n">
        <v>9</v>
      </c>
      <c r="H17" s="21" t="n">
        <f aca="false">ROUND((F17-E17)*24,1)</f>
        <v>3</v>
      </c>
      <c r="I17" s="22" t="n">
        <f aca="false">VLOOKUP(B17,Acuan!$A$2:$C$5,3,FALSE())</f>
        <v>90000</v>
      </c>
      <c r="J17" s="22" t="n">
        <f aca="false">H17*I17</f>
        <v>270000</v>
      </c>
      <c r="K17" s="22" t="n">
        <f aca="false">IF(D17="Internal",ROUND(J17*(1-$P$2),0),J17)</f>
        <v>270000</v>
      </c>
      <c r="L17" s="23" t="str">
        <f aca="false">IF(G17&gt;VLOOKUP(B17,Acuan!$A$2:$C$5,2,FALSE()),"Melebihi","Sesuai")</f>
        <v>Sesuai</v>
      </c>
      <c r="M17" s="23" t="str">
        <f aca="false">IF(HOUR(E17)&lt;12,"Pagi",IF(HOUR(E17)&lt;16,"Siang","Sore"))</f>
        <v>Pagi</v>
      </c>
    </row>
    <row r="18" customFormat="false" ht="15" hidden="false" customHeight="false" outlineLevel="0" collapsed="false">
      <c r="A18" s="17" t="n">
        <v>46309</v>
      </c>
      <c r="B18" s="18" t="s">
        <v>91</v>
      </c>
      <c r="C18" s="18" t="s">
        <v>105</v>
      </c>
      <c r="D18" s="18" t="s">
        <v>93</v>
      </c>
      <c r="E18" s="19" t="n">
        <v>0.4375</v>
      </c>
      <c r="F18" s="19" t="n">
        <v>0.5</v>
      </c>
      <c r="G18" s="20" t="n">
        <v>96</v>
      </c>
      <c r="H18" s="21" t="n">
        <f aca="false">ROUND((F18-E18)*24,1)</f>
        <v>1.5</v>
      </c>
      <c r="I18" s="22" t="n">
        <f aca="false">VLOOKUP(B18,Acuan!$A$2:$C$5,3,FALSE())</f>
        <v>300000</v>
      </c>
      <c r="J18" s="22" t="n">
        <f aca="false">H18*I18</f>
        <v>450000</v>
      </c>
      <c r="K18" s="22" t="n">
        <f aca="false">IF(D18="Internal",ROUND(J18*(1-$P$2),0),J18)</f>
        <v>450000</v>
      </c>
      <c r="L18" s="23" t="str">
        <f aca="false">IF(G18&gt;VLOOKUP(B18,Acuan!$A$2:$C$5,2,FALSE()),"Melebihi","Sesuai")</f>
        <v>Sesuai</v>
      </c>
      <c r="M18" s="23" t="str">
        <f aca="false">IF(HOUR(E18)&lt;12,"Pagi",IF(HOUR(E18)&lt;16,"Siang","Sore"))</f>
        <v>Pagi</v>
      </c>
    </row>
    <row r="19" customFormat="false" ht="15" hidden="false" customHeight="false" outlineLevel="0" collapsed="false">
      <c r="A19" s="17" t="n">
        <v>46310</v>
      </c>
      <c r="B19" s="18" t="s">
        <v>104</v>
      </c>
      <c r="C19" s="18" t="s">
        <v>101</v>
      </c>
      <c r="D19" s="18" t="s">
        <v>97</v>
      </c>
      <c r="E19" s="19" t="n">
        <v>0.6875</v>
      </c>
      <c r="F19" s="19" t="n">
        <v>0.8125</v>
      </c>
      <c r="G19" s="20" t="n">
        <v>13</v>
      </c>
      <c r="H19" s="21" t="n">
        <f aca="false">ROUND((F19-E19)*24,1)</f>
        <v>3</v>
      </c>
      <c r="I19" s="22" t="n">
        <f aca="false">VLOOKUP(B19,Acuan!$A$2:$C$5,3,FALSE())</f>
        <v>90000</v>
      </c>
      <c r="J19" s="22" t="n">
        <f aca="false">H19*I19</f>
        <v>270000</v>
      </c>
      <c r="K19" s="22" t="n">
        <f aca="false">IF(D19="Internal",ROUND(J19*(1-$P$2),0),J19)</f>
        <v>162000</v>
      </c>
      <c r="L19" s="23" t="str">
        <f aca="false">IF(G19&gt;VLOOKUP(B19,Acuan!$A$2:$C$5,2,FALSE()),"Melebihi","Sesuai")</f>
        <v>Melebihi</v>
      </c>
      <c r="M19" s="23" t="str">
        <f aca="false">IF(HOUR(E19)&lt;12,"Pagi",IF(HOUR(E19)&lt;16,"Siang","Sore"))</f>
        <v>Sore</v>
      </c>
    </row>
    <row r="20" customFormat="false" ht="15" hidden="false" customHeight="false" outlineLevel="0" collapsed="false">
      <c r="A20" s="17" t="n">
        <v>46311</v>
      </c>
      <c r="B20" s="18" t="s">
        <v>103</v>
      </c>
      <c r="C20" s="18" t="s">
        <v>101</v>
      </c>
      <c r="D20" s="18" t="s">
        <v>97</v>
      </c>
      <c r="E20" s="19" t="n">
        <v>0.395833333333333</v>
      </c>
      <c r="F20" s="19" t="n">
        <v>0.479166666666667</v>
      </c>
      <c r="G20" s="20" t="n">
        <v>24</v>
      </c>
      <c r="H20" s="21" t="n">
        <f aca="false">ROUND((F20-E20)*24,1)</f>
        <v>2</v>
      </c>
      <c r="I20" s="22" t="n">
        <f aca="false">VLOOKUP(B20,Acuan!$A$2:$C$5,3,FALSE())</f>
        <v>180000</v>
      </c>
      <c r="J20" s="22" t="n">
        <f aca="false">H20*I20</f>
        <v>360000</v>
      </c>
      <c r="K20" s="22" t="n">
        <f aca="false">IF(D20="Internal",ROUND(J20*(1-$P$2),0),J20)</f>
        <v>216000</v>
      </c>
      <c r="L20" s="23" t="str">
        <f aca="false">IF(G20&gt;VLOOKUP(B20,Acuan!$A$2:$C$5,2,FALSE()),"Melebihi","Sesuai")</f>
        <v>Sesuai</v>
      </c>
      <c r="M20" s="23" t="str">
        <f aca="false">IF(HOUR(E20)&lt;12,"Pagi",IF(HOUR(E20)&lt;16,"Siang","Sore"))</f>
        <v>Pagi</v>
      </c>
    </row>
    <row r="21" customFormat="false" ht="15" hidden="false" customHeight="false" outlineLevel="0" collapsed="false">
      <c r="A21" s="17" t="n">
        <v>46312</v>
      </c>
      <c r="B21" s="18" t="s">
        <v>91</v>
      </c>
      <c r="C21" s="18" t="s">
        <v>92</v>
      </c>
      <c r="D21" s="18" t="s">
        <v>93</v>
      </c>
      <c r="E21" s="19" t="n">
        <v>0.395833333333333</v>
      </c>
      <c r="F21" s="19" t="n">
        <v>0.5</v>
      </c>
      <c r="G21" s="20" t="n">
        <v>108</v>
      </c>
      <c r="H21" s="21" t="n">
        <f aca="false">ROUND((F21-E21)*24,1)</f>
        <v>2.5</v>
      </c>
      <c r="I21" s="22" t="n">
        <f aca="false">VLOOKUP(B21,Acuan!$A$2:$C$5,3,FALSE())</f>
        <v>300000</v>
      </c>
      <c r="J21" s="22" t="n">
        <f aca="false">H21*I21</f>
        <v>750000</v>
      </c>
      <c r="K21" s="22" t="n">
        <f aca="false">IF(D21="Internal",ROUND(J21*(1-$P$2),0),J21)</f>
        <v>750000</v>
      </c>
      <c r="L21" s="23" t="str">
        <f aca="false">IF(G21&gt;VLOOKUP(B21,Acuan!$A$2:$C$5,2,FALSE()),"Melebihi","Sesuai")</f>
        <v>Sesuai</v>
      </c>
      <c r="M21" s="23" t="str">
        <f aca="false">IF(HOUR(E21)&lt;12,"Pagi",IF(HOUR(E21)&lt;16,"Siang","Sore"))</f>
        <v>Pagi</v>
      </c>
    </row>
    <row r="22" customFormat="false" ht="15" hidden="false" customHeight="false" outlineLevel="0" collapsed="false">
      <c r="A22" s="17" t="n">
        <v>46315</v>
      </c>
      <c r="B22" s="18" t="s">
        <v>103</v>
      </c>
      <c r="C22" s="18" t="s">
        <v>105</v>
      </c>
      <c r="D22" s="18" t="s">
        <v>93</v>
      </c>
      <c r="E22" s="19" t="n">
        <v>0.395833333333333</v>
      </c>
      <c r="F22" s="19" t="n">
        <v>0.5</v>
      </c>
      <c r="G22" s="20" t="n">
        <v>24</v>
      </c>
      <c r="H22" s="21" t="n">
        <f aca="false">ROUND((F22-E22)*24,1)</f>
        <v>2.5</v>
      </c>
      <c r="I22" s="22" t="n">
        <f aca="false">VLOOKUP(B22,Acuan!$A$2:$C$5,3,FALSE())</f>
        <v>180000</v>
      </c>
      <c r="J22" s="22" t="n">
        <f aca="false">H22*I22</f>
        <v>450000</v>
      </c>
      <c r="K22" s="22" t="n">
        <f aca="false">IF(D22="Internal",ROUND(J22*(1-$P$2),0),J22)</f>
        <v>450000</v>
      </c>
      <c r="L22" s="23" t="str">
        <f aca="false">IF(G22&gt;VLOOKUP(B22,Acuan!$A$2:$C$5,2,FALSE()),"Melebihi","Sesuai")</f>
        <v>Sesuai</v>
      </c>
      <c r="M22" s="23" t="str">
        <f aca="false">IF(HOUR(E22)&lt;12,"Pagi",IF(HOUR(E22)&lt;16,"Siang","Sore"))</f>
        <v>Pagi</v>
      </c>
    </row>
    <row r="23" customFormat="false" ht="15" hidden="false" customHeight="false" outlineLevel="0" collapsed="false">
      <c r="A23" s="17" t="n">
        <v>46315</v>
      </c>
      <c r="B23" s="18" t="s">
        <v>103</v>
      </c>
      <c r="C23" s="18" t="s">
        <v>106</v>
      </c>
      <c r="D23" s="18" t="s">
        <v>97</v>
      </c>
      <c r="E23" s="19" t="n">
        <v>0.395833333333333</v>
      </c>
      <c r="F23" s="19" t="n">
        <v>0.458333333333333</v>
      </c>
      <c r="G23" s="20" t="n">
        <v>12</v>
      </c>
      <c r="H23" s="21" t="n">
        <f aca="false">ROUND((F23-E23)*24,1)</f>
        <v>1.5</v>
      </c>
      <c r="I23" s="22" t="n">
        <f aca="false">VLOOKUP(B23,Acuan!$A$2:$C$5,3,FALSE())</f>
        <v>180000</v>
      </c>
      <c r="J23" s="22" t="n">
        <f aca="false">H23*I23</f>
        <v>270000</v>
      </c>
      <c r="K23" s="22" t="n">
        <f aca="false">IF(D23="Internal",ROUND(J23*(1-$P$2),0),J23)</f>
        <v>162000</v>
      </c>
      <c r="L23" s="23" t="str">
        <f aca="false">IF(G23&gt;VLOOKUP(B23,Acuan!$A$2:$C$5,2,FALSE()),"Melebihi","Sesuai")</f>
        <v>Sesuai</v>
      </c>
      <c r="M23" s="23" t="str">
        <f aca="false">IF(HOUR(E23)&lt;12,"Pagi",IF(HOUR(E23)&lt;16,"Siang","Sore"))</f>
        <v>Pagi</v>
      </c>
    </row>
    <row r="24" customFormat="false" ht="15" hidden="false" customHeight="false" outlineLevel="0" collapsed="false">
      <c r="A24" s="17" t="n">
        <v>46316</v>
      </c>
      <c r="B24" s="18" t="s">
        <v>103</v>
      </c>
      <c r="C24" s="18" t="s">
        <v>100</v>
      </c>
      <c r="D24" s="18" t="s">
        <v>97</v>
      </c>
      <c r="E24" s="19" t="n">
        <v>0.395833333333333</v>
      </c>
      <c r="F24" s="19" t="n">
        <v>0.520833333333333</v>
      </c>
      <c r="G24" s="20" t="n">
        <v>18</v>
      </c>
      <c r="H24" s="21" t="n">
        <f aca="false">ROUND((F24-E24)*24,1)</f>
        <v>3</v>
      </c>
      <c r="I24" s="22" t="n">
        <f aca="false">VLOOKUP(B24,Acuan!$A$2:$C$5,3,FALSE())</f>
        <v>180000</v>
      </c>
      <c r="J24" s="22" t="n">
        <f aca="false">H24*I24</f>
        <v>540000</v>
      </c>
      <c r="K24" s="22" t="n">
        <f aca="false">IF(D24="Internal",ROUND(J24*(1-$P$2),0),J24)</f>
        <v>324000</v>
      </c>
      <c r="L24" s="23" t="str">
        <f aca="false">IF(G24&gt;VLOOKUP(B24,Acuan!$A$2:$C$5,2,FALSE()),"Melebihi","Sesuai")</f>
        <v>Sesuai</v>
      </c>
      <c r="M24" s="23" t="str">
        <f aca="false">IF(HOUR(E24)&lt;12,"Pagi",IF(HOUR(E24)&lt;16,"Siang","Sore"))</f>
        <v>Pagi</v>
      </c>
    </row>
    <row r="25" customFormat="false" ht="15" hidden="false" customHeight="false" outlineLevel="0" collapsed="false">
      <c r="A25" s="17" t="n">
        <v>46316</v>
      </c>
      <c r="B25" s="18" t="s">
        <v>104</v>
      </c>
      <c r="C25" s="18" t="s">
        <v>100</v>
      </c>
      <c r="D25" s="18" t="s">
        <v>97</v>
      </c>
      <c r="E25" s="19" t="n">
        <v>0.4375</v>
      </c>
      <c r="F25" s="19" t="n">
        <v>0.5625</v>
      </c>
      <c r="G25" s="20" t="n">
        <v>12</v>
      </c>
      <c r="H25" s="21" t="n">
        <f aca="false">ROUND((F25-E25)*24,1)</f>
        <v>3</v>
      </c>
      <c r="I25" s="22" t="n">
        <f aca="false">VLOOKUP(B25,Acuan!$A$2:$C$5,3,FALSE())</f>
        <v>90000</v>
      </c>
      <c r="J25" s="22" t="n">
        <f aca="false">H25*I25</f>
        <v>270000</v>
      </c>
      <c r="K25" s="22" t="n">
        <f aca="false">IF(D25="Internal",ROUND(J25*(1-$P$2),0),J25)</f>
        <v>162000</v>
      </c>
      <c r="L25" s="23" t="str">
        <f aca="false">IF(G25&gt;VLOOKUP(B25,Acuan!$A$2:$C$5,2,FALSE()),"Melebihi","Sesuai")</f>
        <v>Sesuai</v>
      </c>
      <c r="M25" s="23" t="str">
        <f aca="false">IF(HOUR(E25)&lt;12,"Pagi",IF(HOUR(E25)&lt;16,"Siang","Sore"))</f>
        <v>Pagi</v>
      </c>
    </row>
    <row r="26" customFormat="false" ht="15" hidden="false" customHeight="false" outlineLevel="0" collapsed="false">
      <c r="A26" s="17" t="n">
        <v>46317</v>
      </c>
      <c r="B26" s="18" t="s">
        <v>103</v>
      </c>
      <c r="C26" s="18" t="s">
        <v>92</v>
      </c>
      <c r="D26" s="18" t="s">
        <v>93</v>
      </c>
      <c r="E26" s="19" t="n">
        <v>0.4375</v>
      </c>
      <c r="F26" s="19" t="n">
        <v>0.479166666666667</v>
      </c>
      <c r="G26" s="20" t="n">
        <v>30</v>
      </c>
      <c r="H26" s="21" t="n">
        <f aca="false">ROUND((F26-E26)*24,1)</f>
        <v>1</v>
      </c>
      <c r="I26" s="22" t="n">
        <f aca="false">VLOOKUP(B26,Acuan!$A$2:$C$5,3,FALSE())</f>
        <v>180000</v>
      </c>
      <c r="J26" s="22" t="n">
        <f aca="false">H26*I26</f>
        <v>180000</v>
      </c>
      <c r="K26" s="22" t="n">
        <f aca="false">IF(D26="Internal",ROUND(J26*(1-$P$2),0),J26)</f>
        <v>180000</v>
      </c>
      <c r="L26" s="23" t="str">
        <f aca="false">IF(G26&gt;VLOOKUP(B26,Acuan!$A$2:$C$5,2,FALSE()),"Melebihi","Sesuai")</f>
        <v>Sesuai</v>
      </c>
      <c r="M26" s="23" t="str">
        <f aca="false">IF(HOUR(E26)&lt;12,"Pagi",IF(HOUR(E26)&lt;16,"Siang","Sore"))</f>
        <v>Pagi</v>
      </c>
    </row>
    <row r="27" customFormat="false" ht="15" hidden="false" customHeight="false" outlineLevel="0" collapsed="false">
      <c r="A27" s="17" t="n">
        <v>46319</v>
      </c>
      <c r="B27" s="18" t="s">
        <v>104</v>
      </c>
      <c r="C27" s="18" t="s">
        <v>102</v>
      </c>
      <c r="D27" s="18" t="s">
        <v>93</v>
      </c>
      <c r="E27" s="19" t="n">
        <v>0.604166666666667</v>
      </c>
      <c r="F27" s="19" t="n">
        <v>0.645833333333333</v>
      </c>
      <c r="G27" s="20" t="n">
        <v>7</v>
      </c>
      <c r="H27" s="21" t="n">
        <f aca="false">ROUND((F27-E27)*24,1)</f>
        <v>1</v>
      </c>
      <c r="I27" s="22" t="n">
        <f aca="false">VLOOKUP(B27,Acuan!$A$2:$C$5,3,FALSE())</f>
        <v>90000</v>
      </c>
      <c r="J27" s="22" t="n">
        <f aca="false">H27*I27</f>
        <v>90000</v>
      </c>
      <c r="K27" s="22" t="n">
        <f aca="false">IF(D27="Internal",ROUND(J27*(1-$P$2),0),J27)</f>
        <v>90000</v>
      </c>
      <c r="L27" s="23" t="str">
        <f aca="false">IF(G27&gt;VLOOKUP(B27,Acuan!$A$2:$C$5,2,FALSE()),"Melebihi","Sesuai")</f>
        <v>Sesuai</v>
      </c>
      <c r="M27" s="23" t="str">
        <f aca="false">IF(HOUR(E27)&lt;12,"Pagi",IF(HOUR(E27)&lt;16,"Siang","Sore"))</f>
        <v>Siang</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5"/>
    <col collapsed="false" customWidth="true" hidden="false" outlineLevel="0" max="3" min="3" style="0" width="14"/>
    <col collapsed="false" customWidth="true" hidden="false" outlineLevel="0" max="5" min="4" style="0" width="17"/>
  </cols>
  <sheetData>
    <row r="1" customFormat="false" ht="33.75" hidden="false" customHeight="true" outlineLevel="0" collapsed="false">
      <c r="A1" s="11" t="s">
        <v>76</v>
      </c>
      <c r="B1" s="11" t="s">
        <v>107</v>
      </c>
      <c r="C1" s="11" t="s">
        <v>83</v>
      </c>
      <c r="D1" s="15" t="s">
        <v>108</v>
      </c>
      <c r="E1" s="15" t="s">
        <v>109</v>
      </c>
    </row>
    <row r="2" customFormat="false" ht="15" hidden="false" customHeight="false" outlineLevel="0" collapsed="false">
      <c r="A2" s="18" t="s">
        <v>91</v>
      </c>
      <c r="B2" s="20" t="n">
        <v>120</v>
      </c>
      <c r="C2" s="26" t="n">
        <v>300000</v>
      </c>
      <c r="D2" s="27" t="n">
        <f aca="false">COUNTIF(Data!$B$2:$B$27,A2)</f>
        <v>8</v>
      </c>
      <c r="E2" s="22" t="n">
        <f aca="false">SUMIF(Data!$B$2:$B$27,A2,Data!$K$2:$K$27)</f>
        <v>4410000</v>
      </c>
    </row>
    <row r="3" customFormat="false" ht="15" hidden="false" customHeight="false" outlineLevel="0" collapsed="false">
      <c r="A3" s="18" t="s">
        <v>103</v>
      </c>
      <c r="B3" s="20" t="n">
        <v>30</v>
      </c>
      <c r="C3" s="26" t="n">
        <v>180000</v>
      </c>
      <c r="D3" s="27" t="n">
        <f aca="false">COUNTIF(Data!$B$2:$B$27,A3)</f>
        <v>7</v>
      </c>
      <c r="E3" s="22" t="n">
        <f aca="false">SUMIF(Data!$B$2:$B$27,A3,Data!$K$2:$K$27)</f>
        <v>2214000</v>
      </c>
    </row>
    <row r="4" customFormat="false" ht="15" hidden="false" customHeight="false" outlineLevel="0" collapsed="false">
      <c r="A4" s="18" t="s">
        <v>104</v>
      </c>
      <c r="B4" s="20" t="n">
        <v>12</v>
      </c>
      <c r="C4" s="26" t="n">
        <v>90000</v>
      </c>
      <c r="D4" s="27" t="n">
        <f aca="false">COUNTIF(Data!$B$2:$B$27,A4)</f>
        <v>6</v>
      </c>
      <c r="E4" s="22" t="n">
        <f aca="false">SUMIF(Data!$B$2:$B$27,A4,Data!$K$2:$K$27)</f>
        <v>927000</v>
      </c>
    </row>
    <row r="5" customFormat="false" ht="15" hidden="false" customHeight="false" outlineLevel="0" collapsed="false">
      <c r="A5" s="18" t="s">
        <v>98</v>
      </c>
      <c r="B5" s="20" t="n">
        <v>8</v>
      </c>
      <c r="C5" s="26" t="n">
        <v>60000</v>
      </c>
      <c r="D5" s="27" t="n">
        <f aca="false">COUNTIF(Data!$B$2:$B$27,A5)</f>
        <v>5</v>
      </c>
      <c r="E5" s="22" t="n">
        <f aca="false">SUMIF(Data!$B$2:$B$27,A5,Data!$K$2:$K$27)</f>
        <v>408000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110</v>
      </c>
      <c r="B1" s="28"/>
      <c r="C1" s="28"/>
      <c r="D1" s="28"/>
    </row>
    <row r="2" customFormat="false" ht="15" hidden="false" customHeight="false" outlineLevel="0" collapsed="false">
      <c r="A2" s="29" t="s">
        <v>111</v>
      </c>
      <c r="B2" s="29"/>
      <c r="C2" s="29"/>
      <c r="D2" s="29"/>
    </row>
    <row r="3" customFormat="false" ht="15" hidden="false" customHeight="false" outlineLevel="0" collapsed="false">
      <c r="A3" s="11" t="s">
        <v>19</v>
      </c>
      <c r="B3" s="11" t="s">
        <v>112</v>
      </c>
      <c r="C3" s="11" t="s">
        <v>113</v>
      </c>
      <c r="D3" s="11" t="s">
        <v>114</v>
      </c>
    </row>
    <row r="4" customFormat="false" ht="15" hidden="false" customHeight="false" outlineLevel="0" collapsed="false">
      <c r="A4" s="30" t="s">
        <v>115</v>
      </c>
      <c r="B4" s="31" t="s">
        <v>116</v>
      </c>
      <c r="C4" s="21" t="n">
        <f aca="false">SUM(Data!$H$2:$H$27)</f>
        <v>56.5</v>
      </c>
      <c r="D4" s="32" t="s">
        <v>117</v>
      </c>
    </row>
    <row r="5" customFormat="false" ht="15" hidden="false" customHeight="false" outlineLevel="0" collapsed="false">
      <c r="A5" s="30" t="s">
        <v>118</v>
      </c>
      <c r="B5" s="31" t="s">
        <v>119</v>
      </c>
      <c r="C5" s="22" t="n">
        <f aca="false">SUM(Data!$K$2:$K$27)</f>
        <v>7959000</v>
      </c>
      <c r="D5" s="32" t="s">
        <v>120</v>
      </c>
    </row>
    <row r="6" customFormat="false" ht="15" hidden="false" customHeight="false" outlineLevel="0" collapsed="false">
      <c r="A6" s="30" t="s">
        <v>121</v>
      </c>
      <c r="B6" s="31" t="s">
        <v>122</v>
      </c>
      <c r="C6" s="22" t="n">
        <f aca="false">SUM(Data!$J$2:$J$27)-SUM(Data!$K$2:$K$27)</f>
        <v>2166000</v>
      </c>
      <c r="D6" s="32" t="s">
        <v>123</v>
      </c>
    </row>
    <row r="7" customFormat="false" ht="15" hidden="false" customHeight="false" outlineLevel="0" collapsed="false">
      <c r="A7" s="30" t="s">
        <v>124</v>
      </c>
      <c r="B7" s="31" t="s">
        <v>125</v>
      </c>
      <c r="C7" s="33" t="n">
        <f aca="false">C6/SUM(Data!$J$2:$J$27)</f>
        <v>0.213925925925926</v>
      </c>
      <c r="D7" s="32" t="s">
        <v>126</v>
      </c>
    </row>
    <row r="8" customFormat="false" ht="15" hidden="false" customHeight="false" outlineLevel="0" collapsed="false">
      <c r="A8" s="30" t="s">
        <v>127</v>
      </c>
      <c r="B8" s="31" t="s">
        <v>128</v>
      </c>
      <c r="C8" s="23" t="str">
        <f aca="false">INDEX(Acuan!$A$2:$A$5,MATCH(MAX(Acuan!$D$2:$D$5),Acuan!$D$2:$D$5,0))</f>
        <v>Aula</v>
      </c>
      <c r="D8" s="32" t="s">
        <v>129</v>
      </c>
    </row>
    <row r="9" customFormat="false" ht="15" hidden="false" customHeight="false" outlineLevel="0" collapsed="false">
      <c r="A9" s="30" t="s">
        <v>130</v>
      </c>
      <c r="B9" s="31" t="s">
        <v>131</v>
      </c>
      <c r="C9" s="23" t="str">
        <f aca="false">INDEX(Acuan!$A$2:$A$5,MATCH(MAX(Acuan!$E$2:$E$5),Acuan!$E$2:$E$5,0))</f>
        <v>Aula</v>
      </c>
      <c r="D9" s="32" t="s">
        <v>129</v>
      </c>
    </row>
    <row r="10" customFormat="false" ht="15" hidden="false" customHeight="false" outlineLevel="0" collapsed="false">
      <c r="A10" s="30" t="s">
        <v>132</v>
      </c>
      <c r="B10" s="31" t="s">
        <v>133</v>
      </c>
      <c r="C10" s="27" t="n">
        <f aca="false">COUNTIF(Data!$L$2:$L$27,"Melebihi")</f>
        <v>9</v>
      </c>
      <c r="D10" s="32" t="s">
        <v>134</v>
      </c>
    </row>
    <row r="11" customFormat="false" ht="15" hidden="false" customHeight="false" outlineLevel="0" collapsed="false">
      <c r="A11" s="30" t="s">
        <v>135</v>
      </c>
      <c r="B11" s="31" t="s">
        <v>136</v>
      </c>
      <c r="C11" s="27" t="n">
        <f aca="false">COUNTIF(Data!$M$2:$M$27,"Pagi")</f>
        <v>16</v>
      </c>
      <c r="D11" s="32" t="s">
        <v>137</v>
      </c>
    </row>
    <row r="12" customFormat="false" ht="15" hidden="false" customHeight="false" outlineLevel="0" collapsed="false">
      <c r="A12" s="30" t="s">
        <v>138</v>
      </c>
      <c r="B12" s="31" t="s">
        <v>139</v>
      </c>
      <c r="C12" s="22" t="n">
        <f aca="false">SUMIF(Data!$D$2:$D$27,"Eksternal",Data!$K$2:$K$27)</f>
        <v>4710000</v>
      </c>
      <c r="D12" s="32" t="s">
        <v>140</v>
      </c>
    </row>
    <row r="13" customFormat="false" ht="15" hidden="false" customHeight="false" outlineLevel="0" collapsed="false">
      <c r="A13" s="30" t="s">
        <v>141</v>
      </c>
      <c r="B13" s="31" t="s">
        <v>142</v>
      </c>
      <c r="C13" s="34" t="n">
        <f aca="false">AVERAGEIF(Data!$B$2:$B$27,"Aula",Data!$H$2:$H$27)</f>
        <v>2.3125</v>
      </c>
      <c r="D13" s="32" t="s">
        <v>143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2026-10-14T23:34:06Z</dcterms:created>
  <dc:creator>PushExcel</dc:creator>
  <dc:description/>
  <dc:language>en-US</dc:language>
  <cp:lastModifiedBy/>
  <dcterms:modified xsi:type="dcterms:W3CDTF">2026-10-14T23:34:06Z</dcterms:modified>
  <cp:revision>0</cp:revision>
  <dc:subject/>
  <dc:title>Peminjaman Ruang Rapat dan Biaya Sewa - Kunci</dc:title>
</cp:coreProperties>
</file>

<file path=docProps/custom.xml><?xml version="1.0" encoding="utf-8"?>
<Properties xmlns="http://schemas.openxmlformats.org/officeDocument/2006/custom-properties" xmlns:vt="http://schemas.openxmlformats.org/officeDocument/2006/docPropsVTypes"/>
</file>