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<sst xmlns="http://schemas.openxmlformats.org/spreadsheetml/2006/main" count="195" uniqueCount="162">
  <si>
    <t xml:space="preserve">Kunci Jawaban: Daftar Aset Kantor dan Penyusutan</t>
  </si>
  <si>
    <t xml:space="preserve">Latihan 9 dari 104  |  Tingkat: Menengah  |  Perkiraan waktu: 50 menit  |  pushexcel.github.io/Pushexcel</t>
  </si>
  <si>
    <t xml:space="preserve">Skenario</t>
  </si>
  <si>
    <t xml:space="preserve">Kamu staf akuntansi di PT Ragam Jaya. Menjelang tutup buku, kamu menyusun daftar 24 aset tetap dan menghitung penyusutan dengan metode garis lurus. Umur ekonomis tiap kategori ada di sheet Acuan, nilai residu 10 persen dari harga perolehan. Perhitungan memakai tahun penuh sampai 31 Desember 2026, dan akumulasi penyusutan tidak melebihi umur ekonomis.</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</si>
  <si>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</si>
  <si>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</si>
  <si>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</si>
  <si>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</si>
  <si>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</si>
  <si>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</si>
  <si>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</si>
  <si>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</si>
  <si>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</si>
  <si>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</si>
  <si>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</si>
  <si>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</si>
  <si>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</si>
  <si>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</si>
  <si>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</si>
  <si>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</si>
  <si>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</si>
  <si>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</si>
  <si>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</si>
  <si>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</si>
  <si>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umur ekonomis tiap aset dari tabel kategori di sheet Acuan.</t>
  </si>
  <si>
    <t xml:space="preserve">Sheet Data, kolom G (Umur Ekonomis (tahun)), baris 2 sampai 25</t>
  </si>
  <si>
    <t xml:space="preserve">=VLOOKUP(D2;Acuan!$A$2:$B$5;2;FALSE)</t>
  </si>
  <si>
    <t xml:space="preserve">2</t>
  </si>
  <si>
    <t xml:space="preserve">Hitung umur pakai dalam tahun penuh, dari tanggal perolehan sampai tanggal acuan.</t>
  </si>
  <si>
    <t xml:space="preserve">Sheet Data, kolom H (Umur Pakai (tahun)), baris 2 sampai 25</t>
  </si>
  <si>
    <t xml:space="preserve">=DATEDIF(E2;$O$3;"Y")</t>
  </si>
  <si>
    <t xml:space="preserve">3</t>
  </si>
  <si>
    <t xml:space="preserve">Hitung penyusutan per tahun: (harga perolehan dikurangi nilai residu) dibagi umur ekonomis.</t>
  </si>
  <si>
    <t xml:space="preserve">Sheet Data, kolom I (Penyusutan per Tahun), baris 2 sampai 25</t>
  </si>
  <si>
    <t xml:space="preserve">=(F2-F2*$O$2)/G2</t>
  </si>
  <si>
    <t xml:space="preserve">4</t>
  </si>
  <si>
    <t xml:space="preserve">Hitung akumulasi penyusutan: penyusutan per tahun dikali jumlah tahun, dengan tahun yang dipakai tidak boleh melebihi umur ekonomis.</t>
  </si>
  <si>
    <t xml:space="preserve">Sheet Data, kolom J (Akumulasi Penyusutan), baris 2 sampai 25</t>
  </si>
  <si>
    <t xml:space="preserve">=MIN(H2;G2)*I2</t>
  </si>
  <si>
    <t xml:space="preserve">5</t>
  </si>
  <si>
    <t xml:space="preserve">Hitung nilai buku: harga perolehan dikurangi akumulasi penyusutan.</t>
  </si>
  <si>
    <t xml:space="preserve">Sheet Data, kolom K (Nilai Buku), baris 2 sampai 25</t>
  </si>
  <si>
    <t xml:space="preserve">=F2-J2</t>
  </si>
  <si>
    <t xml:space="preserve">6</t>
  </si>
  <si>
    <t xml:space="preserve">Beri status Habis Disusutkan bila umur pakai sama dengan atau melebihi umur ekonomis, selain itu Aktif.</t>
  </si>
  <si>
    <t xml:space="preserve">Sheet Data, kolom L (Status), baris 2 sampai 25</t>
  </si>
  <si>
    <t xml:space="preserve">=IF(H2&gt;=G2;"Habis Disusutkan";"Aktif")</t>
  </si>
  <si>
    <t xml:space="preserve">7</t>
  </si>
  <si>
    <t xml:space="preserve">Berapa total harga perolehan seluruh aset?</t>
  </si>
  <si>
    <t xml:space="preserve">Sheet Ringkasan, sel C4</t>
  </si>
  <si>
    <t xml:space="preserve">=SUM(Data!$F$2:$F$25)</t>
  </si>
  <si>
    <t xml:space="preserve">8</t>
  </si>
  <si>
    <t xml:space="preserve">Berapa total nilai buku seluruh aset?</t>
  </si>
  <si>
    <t xml:space="preserve">Sheet Ringkasan, sel C5</t>
  </si>
  <si>
    <t xml:space="preserve">=SUM(Data!$K$2:$K$25)</t>
  </si>
  <si>
    <t xml:space="preserve">9</t>
  </si>
  <si>
    <t xml:space="preserve">Berapa aset yang sudah berstatus Habis Disusutkan?</t>
  </si>
  <si>
    <t xml:space="preserve">Sheet Ringkasan, sel C6</t>
  </si>
  <si>
    <t xml:space="preserve">=COUNTIF(Data!$L$2:$L$25;"Habis Disusutkan")</t>
  </si>
  <si>
    <t xml:space="preserve">10</t>
  </si>
  <si>
    <t xml:space="preserve">Pada sheet Acuan, hitung jumlah aset tiap kategori.</t>
  </si>
  <si>
    <t xml:space="preserve">Sheet Acuan, kolom C (Jumlah Aset), baris 2 sampai 5</t>
  </si>
  <si>
    <t xml:space="preserve">=COUNTIF(Data!$D$2:$D$25;A2)</t>
  </si>
  <si>
    <t xml:space="preserve">11</t>
  </si>
  <si>
    <t xml:space="preserve">Pada sheet Acuan, hitung total nilai buku tiap kategori.</t>
  </si>
  <si>
    <t xml:space="preserve">Sheet Acuan, kolom D (Total Nilai Buku), baris 2 sampai 5</t>
  </si>
  <si>
    <t xml:space="preserve">=SUMIF(Data!$D$2:$D$25;A2;Data!$K$2:$K$25)</t>
  </si>
  <si>
    <t xml:space="preserve">12</t>
  </si>
  <si>
    <t xml:space="preserve">Kategori mana yang total nilai bukunya terbesar?</t>
  </si>
  <si>
    <t xml:space="preserve">Sheet Ringkasan, sel C7</t>
  </si>
  <si>
    <t xml:space="preserve">=INDEX(Acuan!$A$2:$A$5;MATCH(MAX(Acuan!$D$2:$D$5);Acuan!$D$2:$D$5;0))</t>
  </si>
  <si>
    <t xml:space="preserve">13</t>
  </si>
  <si>
    <t xml:space="preserve">Berapa aset yang diperoleh sepanjang tahun 2024?</t>
  </si>
  <si>
    <t xml:space="preserve">Sheet Ringkasan, sel C8</t>
  </si>
  <si>
    <t xml:space="preserve">=COUNTIFS(Data!$E$2:$E$25;"&gt;="&amp;DATE(2024;1;1);Data!$E$2:$E$25;"&lt;="&amp;DATE(2024;12;31))</t>
  </si>
  <si>
    <t xml:space="preserve">Kode Aset</t>
  </si>
  <si>
    <t xml:space="preserve">Nama Aset</t>
  </si>
  <si>
    <t xml:space="preserve">Kategori</t>
  </si>
  <si>
    <t xml:space="preserve">Tanggal Perolehan</t>
  </si>
  <si>
    <t xml:space="preserve">Harga Perolehan</t>
  </si>
  <si>
    <t xml:space="preserve">Umur Ekonomis (tahun)</t>
  </si>
  <si>
    <t xml:space="preserve">Umur Pakai (tahun)</t>
  </si>
  <si>
    <t xml:space="preserve">Penyusutan per Tahun</t>
  </si>
  <si>
    <t xml:space="preserve">Akumulasi Penyusutan</t>
  </si>
  <si>
    <t xml:space="preserve">Nilai Buku</t>
  </si>
  <si>
    <t xml:space="preserve">Status</t>
  </si>
  <si>
    <t xml:space="preserve">Parameter</t>
  </si>
  <si>
    <t xml:space="preserve">Nilai</t>
  </si>
  <si>
    <t xml:space="preserve">Keterangan</t>
  </si>
  <si>
    <t xml:space="preserve">AST-001</t>
  </si>
  <si>
    <t xml:space="preserve">Televisi 43 Inci</t>
  </si>
  <si>
    <t xml:space="preserve">Elektronik</t>
  </si>
  <si>
    <t xml:space="preserve">Nilai residu</t>
  </si>
  <si>
    <t xml:space="preserve">Persen dari harga perolehan</t>
  </si>
  <si>
    <t xml:space="preserve">AST-002</t>
  </si>
  <si>
    <t xml:space="preserve">Kursi Ergonomis</t>
  </si>
  <si>
    <t xml:space="preserve">Furnitur</t>
  </si>
  <si>
    <t xml:space="preserve">Tanggal acuan</t>
  </si>
  <si>
    <t xml:space="preserve">Umur pakai dihitung sampai tanggal ini</t>
  </si>
  <si>
    <t xml:space="preserve">AST-003</t>
  </si>
  <si>
    <t xml:space="preserve">Meja Rapat</t>
  </si>
  <si>
    <t xml:space="preserve">AST-004</t>
  </si>
  <si>
    <t xml:space="preserve">Dispenser</t>
  </si>
  <si>
    <t xml:space="preserve">Peralatan</t>
  </si>
  <si>
    <t xml:space="preserve">AST-005</t>
  </si>
  <si>
    <t xml:space="preserve">AC Split 1 PK</t>
  </si>
  <si>
    <t xml:space="preserve">AST-006</t>
  </si>
  <si>
    <t xml:space="preserve">Mesin Hitung Uang</t>
  </si>
  <si>
    <t xml:space="preserve">AST-007</t>
  </si>
  <si>
    <t xml:space="preserve">Lemari Arsip</t>
  </si>
  <si>
    <t xml:space="preserve">AST-008</t>
  </si>
  <si>
    <t xml:space="preserve">Laptop Kantor</t>
  </si>
  <si>
    <t xml:space="preserve">AST-009</t>
  </si>
  <si>
    <t xml:space="preserve">Mesin Fotokopi</t>
  </si>
  <si>
    <t xml:space="preserve">AST-010</t>
  </si>
  <si>
    <t xml:space="preserve">Meja Kerja</t>
  </si>
  <si>
    <t xml:space="preserve">AST-011</t>
  </si>
  <si>
    <t xml:space="preserve">Kulkas Pantry</t>
  </si>
  <si>
    <t xml:space="preserve">AST-012</t>
  </si>
  <si>
    <t xml:space="preserve">Motor Operasional</t>
  </si>
  <si>
    <t xml:space="preserve">Kendaraan</t>
  </si>
  <si>
    <t xml:space="preserve">AST-013</t>
  </si>
  <si>
    <t xml:space="preserve">CCTV 4 Kamera</t>
  </si>
  <si>
    <t xml:space="preserve">AST-014</t>
  </si>
  <si>
    <t xml:space="preserve">Mobil Boks</t>
  </si>
  <si>
    <t xml:space="preserve">AST-015</t>
  </si>
  <si>
    <t xml:space="preserve">Proyektor</t>
  </si>
  <si>
    <t xml:space="preserve">AST-016</t>
  </si>
  <si>
    <t xml:space="preserve">Router Jaringan</t>
  </si>
  <si>
    <t xml:space="preserve">AST-017</t>
  </si>
  <si>
    <t xml:space="preserve">Sofa Tamu</t>
  </si>
  <si>
    <t xml:space="preserve">AST-018</t>
  </si>
  <si>
    <t xml:space="preserve">Vacuum Cleaner</t>
  </si>
  <si>
    <t xml:space="preserve">AST-019</t>
  </si>
  <si>
    <t xml:space="preserve">Printer Laser</t>
  </si>
  <si>
    <t xml:space="preserve">AST-020</t>
  </si>
  <si>
    <t xml:space="preserve">Pompa Air</t>
  </si>
  <si>
    <t xml:space="preserve">AST-021</t>
  </si>
  <si>
    <t xml:space="preserve">Mobil Minibus</t>
  </si>
  <si>
    <t xml:space="preserve">AST-022</t>
  </si>
  <si>
    <t xml:space="preserve">Rak Buku</t>
  </si>
  <si>
    <t xml:space="preserve">AST-023</t>
  </si>
  <si>
    <t xml:space="preserve">Genset Kecil</t>
  </si>
  <si>
    <t xml:space="preserve">AST-024</t>
  </si>
  <si>
    <t xml:space="preserve">Komputer Desktop</t>
  </si>
  <si>
    <t xml:space="preserve">Jumlah Aset</t>
  </si>
  <si>
    <t xml:space="preserve">Total Nilai Buku</t>
  </si>
  <si>
    <t xml:space="preserve">Ringkasan: lembar jawaban soal berjenis ringkasan</t>
  </si>
  <si>
    <t xml:space="preserve">Sel hijau berisi rumus kunci.</t>
  </si>
  <si>
    <t xml:space="preserve">Pertanyaan</t>
  </si>
  <si>
    <t xml:space="preserve">Jawaban</t>
  </si>
  <si>
    <t xml:space="preserve">Contoh format hasil</t>
  </si>
  <si>
    <t xml:space="preserve">Total harga perolehan seluruh aset</t>
  </si>
  <si>
    <t xml:space="preserve">Rupiah, mis. Rp 480.000.000</t>
  </si>
  <si>
    <t xml:space="preserve">Total nilai buku seluruh aset</t>
  </si>
  <si>
    <t xml:space="preserve">Rupiah, mis. Rp 250.000.000</t>
  </si>
  <si>
    <t xml:space="preserve">Jumlah aset berstatus Habis Disusutkan</t>
  </si>
  <si>
    <t xml:space="preserve">Angka bulat, mis. 8</t>
  </si>
  <si>
    <t xml:space="preserve">Kategori dengan total nilai buku terbesar</t>
  </si>
  <si>
    <t xml:space="preserve">Teks: nama kategori</t>
  </si>
  <si>
    <t xml:space="preserve">Jumlah aset diperoleh pada tahun 2024</t>
  </si>
  <si>
    <t xml:space="preserve">Angka bulat, mis. 4</t>
  </si>
</sst>
</file>

<file path=xl/styles.xml><?xml version="1.0" encoding="utf-8"?>
<styleSheet xmlns="http://schemas.openxmlformats.org/spreadsheetml/2006/main">
  <numFmts count="5">
    <numFmt numFmtId="164" formatCode="General"/>
    <numFmt numFmtId="165" formatCode="0"/>
    <numFmt numFmtId="166" formatCode="dd/mm/yyyy"/>
    <numFmt numFmtId="167" formatCode="&quot;Rp &quot;#,##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42"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30" hidden="false" customHeight="true" outlineLevel="0" collapsed="false">
      <c r="A33" s="13" t="s">
        <v>71</v>
      </c>
      <c r="B33" s="14" t="s">
        <v>72</v>
      </c>
      <c r="C33" s="14" t="s">
        <v>73</v>
      </c>
      <c r="D33" s="15"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2"/>
    <col collapsed="false" customWidth="true" hidden="false" outlineLevel="0" max="4" min="4" style="0" width="12"/>
    <col collapsed="false" customWidth="true" hidden="false" outlineLevel="0" max="5" min="5" style="0" width="13"/>
    <col collapsed="false" customWidth="true" hidden="false" outlineLevel="0" max="6" min="6" style="0" width="16"/>
    <col collapsed="false" customWidth="true" hidden="false" outlineLevel="0" max="8" min="7" style="0" width="12"/>
    <col collapsed="false" customWidth="true" hidden="false" outlineLevel="0" max="11" min="9" style="0" width="16"/>
    <col collapsed="false" customWidth="true" hidden="false" outlineLevel="0" max="12" min="12" style="0" width="18"/>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2" t="s">
        <v>19</v>
      </c>
      <c r="B1" s="12" t="s">
        <v>75</v>
      </c>
      <c r="C1" s="12" t="s">
        <v>76</v>
      </c>
      <c r="D1" s="12" t="s">
        <v>77</v>
      </c>
      <c r="E1" s="12" t="s">
        <v>78</v>
      </c>
      <c r="F1" s="12" t="s">
        <v>79</v>
      </c>
      <c r="G1" s="16" t="s">
        <v>80</v>
      </c>
      <c r="H1" s="16" t="s">
        <v>81</v>
      </c>
      <c r="I1" s="16" t="s">
        <v>82</v>
      </c>
      <c r="J1" s="16" t="s">
        <v>83</v>
      </c>
      <c r="K1" s="16" t="s">
        <v>84</v>
      </c>
      <c r="L1" s="16" t="s">
        <v>85</v>
      </c>
      <c r="N1" s="17" t="s">
        <v>86</v>
      </c>
      <c r="O1" s="17" t="s">
        <v>87</v>
      </c>
      <c r="P1" s="17" t="s">
        <v>88</v>
      </c>
    </row>
    <row r="2" customFormat="false" ht="15" hidden="false" customHeight="false" outlineLevel="0" collapsed="false">
      <c r="A2" s="18" t="n">
        <v>1</v>
      </c>
      <c r="B2" s="19" t="s">
        <v>89</v>
      </c>
      <c r="C2" s="19" t="s">
        <v>90</v>
      </c>
      <c r="D2" s="19" t="s">
        <v>91</v>
      </c>
      <c r="E2" s="20" t="n">
        <v>43855</v>
      </c>
      <c r="F2" s="21" t="n">
        <v>10800000</v>
      </c>
      <c r="G2" s="22" t="n">
        <f aca="false">VLOOKUP(D2,Acuan!$A$2:$B$5,2,FALSE())</f>
        <v>4</v>
      </c>
      <c r="H2" s="22" t="n">
        <f aca="false">DATEDIF(E2,$O$3,"Y")</f>
        <v>6</v>
      </c>
      <c r="I2" s="23" t="n">
        <f aca="false">(F2-F2*$O$2)/G2</f>
        <v>2430000</v>
      </c>
      <c r="J2" s="23" t="n">
        <f aca="false">MIN(H2,G2)*I2</f>
        <v>9720000</v>
      </c>
      <c r="K2" s="23" t="n">
        <f aca="false">F2-J2</f>
        <v>1080000</v>
      </c>
      <c r="L2" s="24" t="str">
        <f aca="false">IF(H2&gt;=G2,"Habis Disusutkan","Aktif")</f>
        <v>Habis Disusutkan</v>
      </c>
      <c r="N2" s="25" t="s">
        <v>92</v>
      </c>
      <c r="O2" s="26" t="n">
        <v>0.1</v>
      </c>
      <c r="P2" s="27" t="s">
        <v>93</v>
      </c>
    </row>
    <row r="3" customFormat="false" ht="15" hidden="false" customHeight="false" outlineLevel="0" collapsed="false">
      <c r="A3" s="18" t="n">
        <v>2</v>
      </c>
      <c r="B3" s="19" t="s">
        <v>94</v>
      </c>
      <c r="C3" s="19" t="s">
        <v>95</v>
      </c>
      <c r="D3" s="19" t="s">
        <v>96</v>
      </c>
      <c r="E3" s="20" t="n">
        <v>43868</v>
      </c>
      <c r="F3" s="21" t="n">
        <v>6800000</v>
      </c>
      <c r="G3" s="22" t="n">
        <f aca="false">VLOOKUP(D3,Acuan!$A$2:$B$5,2,FALSE())</f>
        <v>8</v>
      </c>
      <c r="H3" s="22" t="n">
        <f aca="false">DATEDIF(E3,$O$3,"Y")</f>
        <v>6</v>
      </c>
      <c r="I3" s="23" t="n">
        <f aca="false">(F3-F3*$O$2)/G3</f>
        <v>765000</v>
      </c>
      <c r="J3" s="23" t="n">
        <f aca="false">MIN(H3,G3)*I3</f>
        <v>4590000</v>
      </c>
      <c r="K3" s="23" t="n">
        <f aca="false">F3-J3</f>
        <v>2210000</v>
      </c>
      <c r="L3" s="24" t="str">
        <f aca="false">IF(H3&gt;=G3,"Habis Disusutkan","Aktif")</f>
        <v>Aktif</v>
      </c>
      <c r="N3" s="25" t="s">
        <v>97</v>
      </c>
      <c r="O3" s="28" t="n">
        <v>46387</v>
      </c>
      <c r="P3" s="27" t="s">
        <v>98</v>
      </c>
    </row>
    <row r="4" customFormat="false" ht="15" hidden="false" customHeight="false" outlineLevel="0" collapsed="false">
      <c r="A4" s="18" t="n">
        <v>3</v>
      </c>
      <c r="B4" s="19" t="s">
        <v>99</v>
      </c>
      <c r="C4" s="19" t="s">
        <v>100</v>
      </c>
      <c r="D4" s="19" t="s">
        <v>96</v>
      </c>
      <c r="E4" s="20" t="n">
        <v>44145</v>
      </c>
      <c r="F4" s="21" t="n">
        <v>7600000</v>
      </c>
      <c r="G4" s="22" t="n">
        <f aca="false">VLOOKUP(D4,Acuan!$A$2:$B$5,2,FALSE())</f>
        <v>8</v>
      </c>
      <c r="H4" s="22" t="n">
        <f aca="false">DATEDIF(E4,$O$3,"Y")</f>
        <v>6</v>
      </c>
      <c r="I4" s="23" t="n">
        <f aca="false">(F4-F4*$O$2)/G4</f>
        <v>855000</v>
      </c>
      <c r="J4" s="23" t="n">
        <f aca="false">MIN(H4,G4)*I4</f>
        <v>5130000</v>
      </c>
      <c r="K4" s="23" t="n">
        <f aca="false">F4-J4</f>
        <v>2470000</v>
      </c>
      <c r="L4" s="24" t="str">
        <f aca="false">IF(H4&gt;=G4,"Habis Disusutkan","Aktif")</f>
        <v>Aktif</v>
      </c>
    </row>
    <row r="5" customFormat="false" ht="15" hidden="false" customHeight="false" outlineLevel="0" collapsed="false">
      <c r="A5" s="18" t="n">
        <v>4</v>
      </c>
      <c r="B5" s="19" t="s">
        <v>101</v>
      </c>
      <c r="C5" s="19" t="s">
        <v>102</v>
      </c>
      <c r="D5" s="19" t="s">
        <v>103</v>
      </c>
      <c r="E5" s="20" t="n">
        <v>44312</v>
      </c>
      <c r="F5" s="21" t="n">
        <v>2800000</v>
      </c>
      <c r="G5" s="22" t="n">
        <f aca="false">VLOOKUP(D5,Acuan!$A$2:$B$5,2,FALSE())</f>
        <v>5</v>
      </c>
      <c r="H5" s="22" t="n">
        <f aca="false">DATEDIF(E5,$O$3,"Y")</f>
        <v>5</v>
      </c>
      <c r="I5" s="23" t="n">
        <f aca="false">(F5-F5*$O$2)/G5</f>
        <v>504000</v>
      </c>
      <c r="J5" s="23" t="n">
        <f aca="false">MIN(H5,G5)*I5</f>
        <v>2520000</v>
      </c>
      <c r="K5" s="23" t="n">
        <f aca="false">F5-J5</f>
        <v>280000</v>
      </c>
      <c r="L5" s="24" t="str">
        <f aca="false">IF(H5&gt;=G5,"Habis Disusutkan","Aktif")</f>
        <v>Habis Disusutkan</v>
      </c>
    </row>
    <row r="6" customFormat="false" ht="15" hidden="false" customHeight="false" outlineLevel="0" collapsed="false">
      <c r="A6" s="18" t="n">
        <v>5</v>
      </c>
      <c r="B6" s="19" t="s">
        <v>104</v>
      </c>
      <c r="C6" s="19" t="s">
        <v>105</v>
      </c>
      <c r="D6" s="19" t="s">
        <v>103</v>
      </c>
      <c r="E6" s="20" t="n">
        <v>44379</v>
      </c>
      <c r="F6" s="21" t="n">
        <v>16000000</v>
      </c>
      <c r="G6" s="22" t="n">
        <f aca="false">VLOOKUP(D6,Acuan!$A$2:$B$5,2,FALSE())</f>
        <v>5</v>
      </c>
      <c r="H6" s="22" t="n">
        <f aca="false">DATEDIF(E6,$O$3,"Y")</f>
        <v>5</v>
      </c>
      <c r="I6" s="23" t="n">
        <f aca="false">(F6-F6*$O$2)/G6</f>
        <v>2880000</v>
      </c>
      <c r="J6" s="23" t="n">
        <f aca="false">MIN(H6,G6)*I6</f>
        <v>14400000</v>
      </c>
      <c r="K6" s="23" t="n">
        <f aca="false">F6-J6</f>
        <v>1600000</v>
      </c>
      <c r="L6" s="24" t="str">
        <f aca="false">IF(H6&gt;=G6,"Habis Disusutkan","Aktif")</f>
        <v>Habis Disusutkan</v>
      </c>
    </row>
    <row r="7" customFormat="false" ht="15" hidden="false" customHeight="false" outlineLevel="0" collapsed="false">
      <c r="A7" s="18" t="n">
        <v>6</v>
      </c>
      <c r="B7" s="19" t="s">
        <v>106</v>
      </c>
      <c r="C7" s="19" t="s">
        <v>107</v>
      </c>
      <c r="D7" s="19" t="s">
        <v>103</v>
      </c>
      <c r="E7" s="20" t="n">
        <v>44433</v>
      </c>
      <c r="F7" s="21" t="n">
        <v>5600000</v>
      </c>
      <c r="G7" s="22" t="n">
        <f aca="false">VLOOKUP(D7,Acuan!$A$2:$B$5,2,FALSE())</f>
        <v>5</v>
      </c>
      <c r="H7" s="22" t="n">
        <f aca="false">DATEDIF(E7,$O$3,"Y")</f>
        <v>5</v>
      </c>
      <c r="I7" s="23" t="n">
        <f aca="false">(F7-F7*$O$2)/G7</f>
        <v>1008000</v>
      </c>
      <c r="J7" s="23" t="n">
        <f aca="false">MIN(H7,G7)*I7</f>
        <v>5040000</v>
      </c>
      <c r="K7" s="23" t="n">
        <f aca="false">F7-J7</f>
        <v>560000</v>
      </c>
      <c r="L7" s="24" t="str">
        <f aca="false">IF(H7&gt;=G7,"Habis Disusutkan","Aktif")</f>
        <v>Habis Disusutkan</v>
      </c>
    </row>
    <row r="8" customFormat="false" ht="15" hidden="false" customHeight="false" outlineLevel="0" collapsed="false">
      <c r="A8" s="18" t="n">
        <v>7</v>
      </c>
      <c r="B8" s="19" t="s">
        <v>108</v>
      </c>
      <c r="C8" s="19" t="s">
        <v>109</v>
      </c>
      <c r="D8" s="19" t="s">
        <v>96</v>
      </c>
      <c r="E8" s="20" t="n">
        <v>44515</v>
      </c>
      <c r="F8" s="21" t="n">
        <v>1600000</v>
      </c>
      <c r="G8" s="22" t="n">
        <f aca="false">VLOOKUP(D8,Acuan!$A$2:$B$5,2,FALSE())</f>
        <v>8</v>
      </c>
      <c r="H8" s="22" t="n">
        <f aca="false">DATEDIF(E8,$O$3,"Y")</f>
        <v>5</v>
      </c>
      <c r="I8" s="23" t="n">
        <f aca="false">(F8-F8*$O$2)/G8</f>
        <v>180000</v>
      </c>
      <c r="J8" s="23" t="n">
        <f aca="false">MIN(H8,G8)*I8</f>
        <v>900000</v>
      </c>
      <c r="K8" s="23" t="n">
        <f aca="false">F8-J8</f>
        <v>700000</v>
      </c>
      <c r="L8" s="24" t="str">
        <f aca="false">IF(H8&gt;=G8,"Habis Disusutkan","Aktif")</f>
        <v>Aktif</v>
      </c>
    </row>
    <row r="9" customFormat="false" ht="15" hidden="false" customHeight="false" outlineLevel="0" collapsed="false">
      <c r="A9" s="18" t="n">
        <v>8</v>
      </c>
      <c r="B9" s="19" t="s">
        <v>110</v>
      </c>
      <c r="C9" s="19" t="s">
        <v>111</v>
      </c>
      <c r="D9" s="19" t="s">
        <v>91</v>
      </c>
      <c r="E9" s="20" t="n">
        <v>44574</v>
      </c>
      <c r="F9" s="21" t="n">
        <v>7600000</v>
      </c>
      <c r="G9" s="22" t="n">
        <f aca="false">VLOOKUP(D9,Acuan!$A$2:$B$5,2,FALSE())</f>
        <v>4</v>
      </c>
      <c r="H9" s="22" t="n">
        <f aca="false">DATEDIF(E9,$O$3,"Y")</f>
        <v>4</v>
      </c>
      <c r="I9" s="23" t="n">
        <f aca="false">(F9-F9*$O$2)/G9</f>
        <v>1710000</v>
      </c>
      <c r="J9" s="23" t="n">
        <f aca="false">MIN(H9,G9)*I9</f>
        <v>6840000</v>
      </c>
      <c r="K9" s="23" t="n">
        <f aca="false">F9-J9</f>
        <v>760000</v>
      </c>
      <c r="L9" s="24" t="str">
        <f aca="false">IF(H9&gt;=G9,"Habis Disusutkan","Aktif")</f>
        <v>Habis Disusutkan</v>
      </c>
    </row>
    <row r="10" customFormat="false" ht="15" hidden="false" customHeight="false" outlineLevel="0" collapsed="false">
      <c r="A10" s="18" t="n">
        <v>9</v>
      </c>
      <c r="B10" s="19" t="s">
        <v>112</v>
      </c>
      <c r="C10" s="19" t="s">
        <v>113</v>
      </c>
      <c r="D10" s="19" t="s">
        <v>91</v>
      </c>
      <c r="E10" s="20" t="n">
        <v>44630</v>
      </c>
      <c r="F10" s="21" t="n">
        <v>20000000</v>
      </c>
      <c r="G10" s="22" t="n">
        <f aca="false">VLOOKUP(D10,Acuan!$A$2:$B$5,2,FALSE())</f>
        <v>4</v>
      </c>
      <c r="H10" s="22" t="n">
        <f aca="false">DATEDIF(E10,$O$3,"Y")</f>
        <v>4</v>
      </c>
      <c r="I10" s="23" t="n">
        <f aca="false">(F10-F10*$O$2)/G10</f>
        <v>4500000</v>
      </c>
      <c r="J10" s="23" t="n">
        <f aca="false">MIN(H10,G10)*I10</f>
        <v>18000000</v>
      </c>
      <c r="K10" s="23" t="n">
        <f aca="false">F10-J10</f>
        <v>2000000</v>
      </c>
      <c r="L10" s="24" t="str">
        <f aca="false">IF(H10&gt;=G10,"Habis Disusutkan","Aktif")</f>
        <v>Habis Disusutkan</v>
      </c>
    </row>
    <row r="11" customFormat="false" ht="15" hidden="false" customHeight="false" outlineLevel="0" collapsed="false">
      <c r="A11" s="18" t="n">
        <v>10</v>
      </c>
      <c r="B11" s="19" t="s">
        <v>114</v>
      </c>
      <c r="C11" s="19" t="s">
        <v>115</v>
      </c>
      <c r="D11" s="19" t="s">
        <v>96</v>
      </c>
      <c r="E11" s="20" t="n">
        <v>45162</v>
      </c>
      <c r="F11" s="21" t="n">
        <v>4000000</v>
      </c>
      <c r="G11" s="22" t="n">
        <f aca="false">VLOOKUP(D11,Acuan!$A$2:$B$5,2,FALSE())</f>
        <v>8</v>
      </c>
      <c r="H11" s="22" t="n">
        <f aca="false">DATEDIF(E11,$O$3,"Y")</f>
        <v>3</v>
      </c>
      <c r="I11" s="23" t="n">
        <f aca="false">(F11-F11*$O$2)/G11</f>
        <v>450000</v>
      </c>
      <c r="J11" s="23" t="n">
        <f aca="false">MIN(H11,G11)*I11</f>
        <v>1350000</v>
      </c>
      <c r="K11" s="23" t="n">
        <f aca="false">F11-J11</f>
        <v>2650000</v>
      </c>
      <c r="L11" s="24" t="str">
        <f aca="false">IF(H11&gt;=G11,"Habis Disusutkan","Aktif")</f>
        <v>Aktif</v>
      </c>
    </row>
    <row r="12" customFormat="false" ht="15" hidden="false" customHeight="false" outlineLevel="0" collapsed="false">
      <c r="A12" s="18" t="n">
        <v>11</v>
      </c>
      <c r="B12" s="19" t="s">
        <v>116</v>
      </c>
      <c r="C12" s="19" t="s">
        <v>117</v>
      </c>
      <c r="D12" s="19" t="s">
        <v>103</v>
      </c>
      <c r="E12" s="20" t="n">
        <v>45178</v>
      </c>
      <c r="F12" s="21" t="n">
        <v>11200000</v>
      </c>
      <c r="G12" s="22" t="n">
        <f aca="false">VLOOKUP(D12,Acuan!$A$2:$B$5,2,FALSE())</f>
        <v>5</v>
      </c>
      <c r="H12" s="22" t="n">
        <f aca="false">DATEDIF(E12,$O$3,"Y")</f>
        <v>3</v>
      </c>
      <c r="I12" s="23" t="n">
        <f aca="false">(F12-F12*$O$2)/G12</f>
        <v>2016000</v>
      </c>
      <c r="J12" s="23" t="n">
        <f aca="false">MIN(H12,G12)*I12</f>
        <v>6048000</v>
      </c>
      <c r="K12" s="23" t="n">
        <f aca="false">F12-J12</f>
        <v>5152000</v>
      </c>
      <c r="L12" s="24" t="str">
        <f aca="false">IF(H12&gt;=G12,"Habis Disusutkan","Aktif")</f>
        <v>Aktif</v>
      </c>
    </row>
    <row r="13" customFormat="false" ht="15" hidden="false" customHeight="false" outlineLevel="0" collapsed="false">
      <c r="A13" s="18" t="n">
        <v>12</v>
      </c>
      <c r="B13" s="19" t="s">
        <v>118</v>
      </c>
      <c r="C13" s="19" t="s">
        <v>119</v>
      </c>
      <c r="D13" s="19" t="s">
        <v>120</v>
      </c>
      <c r="E13" s="20" t="n">
        <v>45310</v>
      </c>
      <c r="F13" s="21" t="n">
        <v>189600000</v>
      </c>
      <c r="G13" s="22" t="n">
        <f aca="false">VLOOKUP(D13,Acuan!$A$2:$B$5,2,FALSE())</f>
        <v>8</v>
      </c>
      <c r="H13" s="22" t="n">
        <f aca="false">DATEDIF(E13,$O$3,"Y")</f>
        <v>2</v>
      </c>
      <c r="I13" s="23" t="n">
        <f aca="false">(F13-F13*$O$2)/G13</f>
        <v>21330000</v>
      </c>
      <c r="J13" s="23" t="n">
        <f aca="false">MIN(H13,G13)*I13</f>
        <v>42660000</v>
      </c>
      <c r="K13" s="23" t="n">
        <f aca="false">F13-J13</f>
        <v>146940000</v>
      </c>
      <c r="L13" s="24" t="str">
        <f aca="false">IF(H13&gt;=G13,"Habis Disusutkan","Aktif")</f>
        <v>Aktif</v>
      </c>
    </row>
    <row r="14" customFormat="false" ht="15" hidden="false" customHeight="false" outlineLevel="0" collapsed="false">
      <c r="A14" s="18" t="n">
        <v>13</v>
      </c>
      <c r="B14" s="19" t="s">
        <v>121</v>
      </c>
      <c r="C14" s="19" t="s">
        <v>122</v>
      </c>
      <c r="D14" s="19" t="s">
        <v>91</v>
      </c>
      <c r="E14" s="20" t="n">
        <v>45364</v>
      </c>
      <c r="F14" s="21" t="n">
        <v>9200000</v>
      </c>
      <c r="G14" s="22" t="n">
        <f aca="false">VLOOKUP(D14,Acuan!$A$2:$B$5,2,FALSE())</f>
        <v>4</v>
      </c>
      <c r="H14" s="22" t="n">
        <f aca="false">DATEDIF(E14,$O$3,"Y")</f>
        <v>2</v>
      </c>
      <c r="I14" s="23" t="n">
        <f aca="false">(F14-F14*$O$2)/G14</f>
        <v>2070000</v>
      </c>
      <c r="J14" s="23" t="n">
        <f aca="false">MIN(H14,G14)*I14</f>
        <v>4140000</v>
      </c>
      <c r="K14" s="23" t="n">
        <f aca="false">F14-J14</f>
        <v>5060000</v>
      </c>
      <c r="L14" s="24" t="str">
        <f aca="false">IF(H14&gt;=G14,"Habis Disusutkan","Aktif")</f>
        <v>Aktif</v>
      </c>
    </row>
    <row r="15" customFormat="false" ht="15" hidden="false" customHeight="false" outlineLevel="0" collapsed="false">
      <c r="A15" s="18" t="n">
        <v>14</v>
      </c>
      <c r="B15" s="19" t="s">
        <v>123</v>
      </c>
      <c r="C15" s="19" t="s">
        <v>124</v>
      </c>
      <c r="D15" s="19" t="s">
        <v>120</v>
      </c>
      <c r="E15" s="20" t="n">
        <v>45398</v>
      </c>
      <c r="F15" s="21" t="n">
        <v>132400000</v>
      </c>
      <c r="G15" s="22" t="n">
        <f aca="false">VLOOKUP(D15,Acuan!$A$2:$B$5,2,FALSE())</f>
        <v>8</v>
      </c>
      <c r="H15" s="22" t="n">
        <f aca="false">DATEDIF(E15,$O$3,"Y")</f>
        <v>2</v>
      </c>
      <c r="I15" s="23" t="n">
        <f aca="false">(F15-F15*$O$2)/G15</f>
        <v>14895000</v>
      </c>
      <c r="J15" s="23" t="n">
        <f aca="false">MIN(H15,G15)*I15</f>
        <v>29790000</v>
      </c>
      <c r="K15" s="23" t="n">
        <f aca="false">F15-J15</f>
        <v>102610000</v>
      </c>
      <c r="L15" s="24" t="str">
        <f aca="false">IF(H15&gt;=G15,"Habis Disusutkan","Aktif")</f>
        <v>Aktif</v>
      </c>
    </row>
    <row r="16" customFormat="false" ht="15" hidden="false" customHeight="false" outlineLevel="0" collapsed="false">
      <c r="A16" s="18" t="n">
        <v>15</v>
      </c>
      <c r="B16" s="19" t="s">
        <v>125</v>
      </c>
      <c r="C16" s="19" t="s">
        <v>126</v>
      </c>
      <c r="D16" s="19" t="s">
        <v>91</v>
      </c>
      <c r="E16" s="20" t="n">
        <v>45429</v>
      </c>
      <c r="F16" s="21" t="n">
        <v>11600000</v>
      </c>
      <c r="G16" s="22" t="n">
        <f aca="false">VLOOKUP(D16,Acuan!$A$2:$B$5,2,FALSE())</f>
        <v>4</v>
      </c>
      <c r="H16" s="22" t="n">
        <f aca="false">DATEDIF(E16,$O$3,"Y")</f>
        <v>2</v>
      </c>
      <c r="I16" s="23" t="n">
        <f aca="false">(F16-F16*$O$2)/G16</f>
        <v>2610000</v>
      </c>
      <c r="J16" s="23" t="n">
        <f aca="false">MIN(H16,G16)*I16</f>
        <v>5220000</v>
      </c>
      <c r="K16" s="23" t="n">
        <f aca="false">F16-J16</f>
        <v>6380000</v>
      </c>
      <c r="L16" s="24" t="str">
        <f aca="false">IF(H16&gt;=G16,"Habis Disusutkan","Aktif")</f>
        <v>Aktif</v>
      </c>
    </row>
    <row r="17" customFormat="false" ht="15" hidden="false" customHeight="false" outlineLevel="0" collapsed="false">
      <c r="A17" s="18" t="n">
        <v>16</v>
      </c>
      <c r="B17" s="19" t="s">
        <v>127</v>
      </c>
      <c r="C17" s="19" t="s">
        <v>128</v>
      </c>
      <c r="D17" s="19" t="s">
        <v>91</v>
      </c>
      <c r="E17" s="20" t="n">
        <v>45458</v>
      </c>
      <c r="F17" s="21" t="n">
        <v>9600000</v>
      </c>
      <c r="G17" s="22" t="n">
        <f aca="false">VLOOKUP(D17,Acuan!$A$2:$B$5,2,FALSE())</f>
        <v>4</v>
      </c>
      <c r="H17" s="22" t="n">
        <f aca="false">DATEDIF(E17,$O$3,"Y")</f>
        <v>2</v>
      </c>
      <c r="I17" s="23" t="n">
        <f aca="false">(F17-F17*$O$2)/G17</f>
        <v>2160000</v>
      </c>
      <c r="J17" s="23" t="n">
        <f aca="false">MIN(H17,G17)*I17</f>
        <v>4320000</v>
      </c>
      <c r="K17" s="23" t="n">
        <f aca="false">F17-J17</f>
        <v>5280000</v>
      </c>
      <c r="L17" s="24" t="str">
        <f aca="false">IF(H17&gt;=G17,"Habis Disusutkan","Aktif")</f>
        <v>Aktif</v>
      </c>
    </row>
    <row r="18" customFormat="false" ht="15" hidden="false" customHeight="false" outlineLevel="0" collapsed="false">
      <c r="A18" s="18" t="n">
        <v>17</v>
      </c>
      <c r="B18" s="19" t="s">
        <v>129</v>
      </c>
      <c r="C18" s="19" t="s">
        <v>130</v>
      </c>
      <c r="D18" s="19" t="s">
        <v>96</v>
      </c>
      <c r="E18" s="20" t="n">
        <v>45470</v>
      </c>
      <c r="F18" s="21" t="n">
        <v>6400000</v>
      </c>
      <c r="G18" s="22" t="n">
        <f aca="false">VLOOKUP(D18,Acuan!$A$2:$B$5,2,FALSE())</f>
        <v>8</v>
      </c>
      <c r="H18" s="22" t="n">
        <f aca="false">DATEDIF(E18,$O$3,"Y")</f>
        <v>2</v>
      </c>
      <c r="I18" s="23" t="n">
        <f aca="false">(F18-F18*$O$2)/G18</f>
        <v>720000</v>
      </c>
      <c r="J18" s="23" t="n">
        <f aca="false">MIN(H18,G18)*I18</f>
        <v>1440000</v>
      </c>
      <c r="K18" s="23" t="n">
        <f aca="false">F18-J18</f>
        <v>4960000</v>
      </c>
      <c r="L18" s="24" t="str">
        <f aca="false">IF(H18&gt;=G18,"Habis Disusutkan","Aktif")</f>
        <v>Aktif</v>
      </c>
    </row>
    <row r="19" customFormat="false" ht="15" hidden="false" customHeight="false" outlineLevel="0" collapsed="false">
      <c r="A19" s="18" t="n">
        <v>18</v>
      </c>
      <c r="B19" s="19" t="s">
        <v>131</v>
      </c>
      <c r="C19" s="19" t="s">
        <v>132</v>
      </c>
      <c r="D19" s="19" t="s">
        <v>103</v>
      </c>
      <c r="E19" s="20" t="n">
        <v>45589</v>
      </c>
      <c r="F19" s="21" t="n">
        <v>2000000</v>
      </c>
      <c r="G19" s="22" t="n">
        <f aca="false">VLOOKUP(D19,Acuan!$A$2:$B$5,2,FALSE())</f>
        <v>5</v>
      </c>
      <c r="H19" s="22" t="n">
        <f aca="false">DATEDIF(E19,$O$3,"Y")</f>
        <v>2</v>
      </c>
      <c r="I19" s="23" t="n">
        <f aca="false">(F19-F19*$O$2)/G19</f>
        <v>360000</v>
      </c>
      <c r="J19" s="23" t="n">
        <f aca="false">MIN(H19,G19)*I19</f>
        <v>720000</v>
      </c>
      <c r="K19" s="23" t="n">
        <f aca="false">F19-J19</f>
        <v>1280000</v>
      </c>
      <c r="L19" s="24" t="str">
        <f aca="false">IF(H19&gt;=G19,"Habis Disusutkan","Aktif")</f>
        <v>Aktif</v>
      </c>
    </row>
    <row r="20" customFormat="false" ht="15" hidden="false" customHeight="false" outlineLevel="0" collapsed="false">
      <c r="A20" s="18" t="n">
        <v>19</v>
      </c>
      <c r="B20" s="19" t="s">
        <v>133</v>
      </c>
      <c r="C20" s="19" t="s">
        <v>134</v>
      </c>
      <c r="D20" s="19" t="s">
        <v>91</v>
      </c>
      <c r="E20" s="20" t="n">
        <v>45689</v>
      </c>
      <c r="F20" s="21" t="n">
        <v>2800000</v>
      </c>
      <c r="G20" s="22" t="n">
        <f aca="false">VLOOKUP(D20,Acuan!$A$2:$B$5,2,FALSE())</f>
        <v>4</v>
      </c>
      <c r="H20" s="22" t="n">
        <f aca="false">DATEDIF(E20,$O$3,"Y")</f>
        <v>1</v>
      </c>
      <c r="I20" s="23" t="n">
        <f aca="false">(F20-F20*$O$2)/G20</f>
        <v>630000</v>
      </c>
      <c r="J20" s="23" t="n">
        <f aca="false">MIN(H20,G20)*I20</f>
        <v>630000</v>
      </c>
      <c r="K20" s="23" t="n">
        <f aca="false">F20-J20</f>
        <v>2170000</v>
      </c>
      <c r="L20" s="24" t="str">
        <f aca="false">IF(H20&gt;=G20,"Habis Disusutkan","Aktif")</f>
        <v>Aktif</v>
      </c>
    </row>
    <row r="21" customFormat="false" ht="15" hidden="false" customHeight="false" outlineLevel="0" collapsed="false">
      <c r="A21" s="18" t="n">
        <v>20</v>
      </c>
      <c r="B21" s="19" t="s">
        <v>135</v>
      </c>
      <c r="C21" s="19" t="s">
        <v>136</v>
      </c>
      <c r="D21" s="19" t="s">
        <v>103</v>
      </c>
      <c r="E21" s="20" t="n">
        <v>45795</v>
      </c>
      <c r="F21" s="21" t="n">
        <v>6800000</v>
      </c>
      <c r="G21" s="22" t="n">
        <f aca="false">VLOOKUP(D21,Acuan!$A$2:$B$5,2,FALSE())</f>
        <v>5</v>
      </c>
      <c r="H21" s="22" t="n">
        <f aca="false">DATEDIF(E21,$O$3,"Y")</f>
        <v>1</v>
      </c>
      <c r="I21" s="23" t="n">
        <f aca="false">(F21-F21*$O$2)/G21</f>
        <v>1224000</v>
      </c>
      <c r="J21" s="23" t="n">
        <f aca="false">MIN(H21,G21)*I21</f>
        <v>1224000</v>
      </c>
      <c r="K21" s="23" t="n">
        <f aca="false">F21-J21</f>
        <v>5576000</v>
      </c>
      <c r="L21" s="24" t="str">
        <f aca="false">IF(H21&gt;=G21,"Habis Disusutkan","Aktif")</f>
        <v>Aktif</v>
      </c>
    </row>
    <row r="22" customFormat="false" ht="15" hidden="false" customHeight="false" outlineLevel="0" collapsed="false">
      <c r="A22" s="18" t="n">
        <v>21</v>
      </c>
      <c r="B22" s="19" t="s">
        <v>137</v>
      </c>
      <c r="C22" s="19" t="s">
        <v>138</v>
      </c>
      <c r="D22" s="19" t="s">
        <v>120</v>
      </c>
      <c r="E22" s="20" t="n">
        <v>45808</v>
      </c>
      <c r="F22" s="21" t="n">
        <v>145200000</v>
      </c>
      <c r="G22" s="22" t="n">
        <f aca="false">VLOOKUP(D22,Acuan!$A$2:$B$5,2,FALSE())</f>
        <v>8</v>
      </c>
      <c r="H22" s="22" t="n">
        <f aca="false">DATEDIF(E22,$O$3,"Y")</f>
        <v>1</v>
      </c>
      <c r="I22" s="23" t="n">
        <f aca="false">(F22-F22*$O$2)/G22</f>
        <v>16335000</v>
      </c>
      <c r="J22" s="23" t="n">
        <f aca="false">MIN(H22,G22)*I22</f>
        <v>16335000</v>
      </c>
      <c r="K22" s="23" t="n">
        <f aca="false">F22-J22</f>
        <v>128865000</v>
      </c>
      <c r="L22" s="24" t="str">
        <f aca="false">IF(H22&gt;=G22,"Habis Disusutkan","Aktif")</f>
        <v>Aktif</v>
      </c>
    </row>
    <row r="23" customFormat="false" ht="15" hidden="false" customHeight="false" outlineLevel="0" collapsed="false">
      <c r="A23" s="18" t="n">
        <v>22</v>
      </c>
      <c r="B23" s="19" t="s">
        <v>139</v>
      </c>
      <c r="C23" s="19" t="s">
        <v>140</v>
      </c>
      <c r="D23" s="19" t="s">
        <v>96</v>
      </c>
      <c r="E23" s="20" t="n">
        <v>45818</v>
      </c>
      <c r="F23" s="21" t="n">
        <v>10400000</v>
      </c>
      <c r="G23" s="22" t="n">
        <f aca="false">VLOOKUP(D23,Acuan!$A$2:$B$5,2,FALSE())</f>
        <v>8</v>
      </c>
      <c r="H23" s="22" t="n">
        <f aca="false">DATEDIF(E23,$O$3,"Y")</f>
        <v>1</v>
      </c>
      <c r="I23" s="23" t="n">
        <f aca="false">(F23-F23*$O$2)/G23</f>
        <v>1170000</v>
      </c>
      <c r="J23" s="23" t="n">
        <f aca="false">MIN(H23,G23)*I23</f>
        <v>1170000</v>
      </c>
      <c r="K23" s="23" t="n">
        <f aca="false">F23-J23</f>
        <v>9230000</v>
      </c>
      <c r="L23" s="24" t="str">
        <f aca="false">IF(H23&gt;=G23,"Habis Disusutkan","Aktif")</f>
        <v>Aktif</v>
      </c>
    </row>
    <row r="24" customFormat="false" ht="15" hidden="false" customHeight="false" outlineLevel="0" collapsed="false">
      <c r="A24" s="18" t="n">
        <v>23</v>
      </c>
      <c r="B24" s="19" t="s">
        <v>141</v>
      </c>
      <c r="C24" s="19" t="s">
        <v>142</v>
      </c>
      <c r="D24" s="19" t="s">
        <v>103</v>
      </c>
      <c r="E24" s="20" t="n">
        <v>46060</v>
      </c>
      <c r="F24" s="21" t="n">
        <v>5600000</v>
      </c>
      <c r="G24" s="22" t="n">
        <f aca="false">VLOOKUP(D24,Acuan!$A$2:$B$5,2,FALSE())</f>
        <v>5</v>
      </c>
      <c r="H24" s="22" t="n">
        <f aca="false">DATEDIF(E24,$O$3,"Y")</f>
        <v>0</v>
      </c>
      <c r="I24" s="23" t="n">
        <f aca="false">(F24-F24*$O$2)/G24</f>
        <v>1008000</v>
      </c>
      <c r="J24" s="23" t="n">
        <f aca="false">MIN(H24,G24)*I24</f>
        <v>0</v>
      </c>
      <c r="K24" s="23" t="n">
        <f aca="false">F24-J24</f>
        <v>5600000</v>
      </c>
      <c r="L24" s="24" t="str">
        <f aca="false">IF(H24&gt;=G24,"Habis Disusutkan","Aktif")</f>
        <v>Aktif</v>
      </c>
    </row>
    <row r="25" customFormat="false" ht="15" hidden="false" customHeight="false" outlineLevel="0" collapsed="false">
      <c r="A25" s="18" t="n">
        <v>24</v>
      </c>
      <c r="B25" s="19" t="s">
        <v>143</v>
      </c>
      <c r="C25" s="19" t="s">
        <v>144</v>
      </c>
      <c r="D25" s="19" t="s">
        <v>91</v>
      </c>
      <c r="E25" s="20" t="n">
        <v>46149</v>
      </c>
      <c r="F25" s="21" t="n">
        <v>6000000</v>
      </c>
      <c r="G25" s="22" t="n">
        <f aca="false">VLOOKUP(D25,Acuan!$A$2:$B$5,2,FALSE())</f>
        <v>4</v>
      </c>
      <c r="H25" s="22" t="n">
        <f aca="false">DATEDIF(E25,$O$3,"Y")</f>
        <v>0</v>
      </c>
      <c r="I25" s="23" t="n">
        <f aca="false">(F25-F25*$O$2)/G25</f>
        <v>1350000</v>
      </c>
      <c r="J25" s="23" t="n">
        <f aca="false">MIN(H25,G25)*I25</f>
        <v>0</v>
      </c>
      <c r="K25" s="23" t="n">
        <f aca="false">F25-J25</f>
        <v>6000000</v>
      </c>
      <c r="L25" s="24" t="str">
        <f aca="false">IF(H25&gt;=G25,"Habis Disusutkan","Aktif")</f>
        <v>Aktif</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3"/>
    <col collapsed="false" customWidth="true" hidden="false" outlineLevel="0" max="4" min="4" style="0" width="17"/>
  </cols>
  <sheetData>
    <row r="1" customFormat="false" ht="33.75" hidden="false" customHeight="true" outlineLevel="0" collapsed="false">
      <c r="A1" s="12" t="s">
        <v>77</v>
      </c>
      <c r="B1" s="12" t="s">
        <v>80</v>
      </c>
      <c r="C1" s="16" t="s">
        <v>145</v>
      </c>
      <c r="D1" s="16" t="s">
        <v>146</v>
      </c>
    </row>
    <row r="2" customFormat="false" ht="15" hidden="false" customHeight="false" outlineLevel="0" collapsed="false">
      <c r="A2" s="19" t="s">
        <v>91</v>
      </c>
      <c r="B2" s="18" t="n">
        <v>4</v>
      </c>
      <c r="C2" s="22" t="n">
        <f aca="false">COUNTIF(Data!$D$2:$D$25,A2)</f>
        <v>8</v>
      </c>
      <c r="D2" s="23" t="n">
        <f aca="false">SUMIF(Data!$D$2:$D$25,A2,Data!$K$2:$K$25)</f>
        <v>28730000</v>
      </c>
    </row>
    <row r="3" customFormat="false" ht="15" hidden="false" customHeight="false" outlineLevel="0" collapsed="false">
      <c r="A3" s="19" t="s">
        <v>96</v>
      </c>
      <c r="B3" s="18" t="n">
        <v>8</v>
      </c>
      <c r="C3" s="22" t="n">
        <f aca="false">COUNTIF(Data!$D$2:$D$25,A3)</f>
        <v>6</v>
      </c>
      <c r="D3" s="23" t="n">
        <f aca="false">SUMIF(Data!$D$2:$D$25,A3,Data!$K$2:$K$25)</f>
        <v>22220000</v>
      </c>
    </row>
    <row r="4" customFormat="false" ht="15" hidden="false" customHeight="false" outlineLevel="0" collapsed="false">
      <c r="A4" s="19" t="s">
        <v>103</v>
      </c>
      <c r="B4" s="18" t="n">
        <v>5</v>
      </c>
      <c r="C4" s="22" t="n">
        <f aca="false">COUNTIF(Data!$D$2:$D$25,A4)</f>
        <v>7</v>
      </c>
      <c r="D4" s="23" t="n">
        <f aca="false">SUMIF(Data!$D$2:$D$25,A4,Data!$K$2:$K$25)</f>
        <v>20048000</v>
      </c>
    </row>
    <row r="5" customFormat="false" ht="15" hidden="false" customHeight="false" outlineLevel="0" collapsed="false">
      <c r="A5" s="19" t="s">
        <v>120</v>
      </c>
      <c r="B5" s="18" t="n">
        <v>8</v>
      </c>
      <c r="C5" s="22" t="n">
        <f aca="false">COUNTIF(Data!$D$2:$D$25,A5)</f>
        <v>3</v>
      </c>
      <c r="D5" s="23" t="n">
        <f aca="false">SUMIF(Data!$D$2:$D$25,A5,Data!$K$2:$K$25)</f>
        <v>378415000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147</v>
      </c>
      <c r="B1" s="29"/>
      <c r="C1" s="29"/>
      <c r="D1" s="29"/>
    </row>
    <row r="2" customFormat="false" ht="15" hidden="false" customHeight="false" outlineLevel="0" collapsed="false">
      <c r="A2" s="30" t="s">
        <v>148</v>
      </c>
      <c r="B2" s="30"/>
      <c r="C2" s="30"/>
      <c r="D2" s="30"/>
    </row>
    <row r="3" customFormat="false" ht="15" hidden="false" customHeight="false" outlineLevel="0" collapsed="false">
      <c r="A3" s="12" t="s">
        <v>19</v>
      </c>
      <c r="B3" s="12" t="s">
        <v>149</v>
      </c>
      <c r="C3" s="12" t="s">
        <v>150</v>
      </c>
      <c r="D3" s="12" t="s">
        <v>151</v>
      </c>
    </row>
    <row r="4" customFormat="false" ht="19.5" hidden="false" customHeight="true" outlineLevel="0" collapsed="false">
      <c r="A4" s="31" t="s">
        <v>47</v>
      </c>
      <c r="B4" s="32" t="s">
        <v>152</v>
      </c>
      <c r="C4" s="23" t="n">
        <f aca="false">SUM(Data!$F$2:$F$25)</f>
        <v>631600000</v>
      </c>
      <c r="D4" s="27" t="s">
        <v>153</v>
      </c>
    </row>
    <row r="5" customFormat="false" ht="19.5" hidden="false" customHeight="true" outlineLevel="0" collapsed="false">
      <c r="A5" s="31" t="s">
        <v>51</v>
      </c>
      <c r="B5" s="32" t="s">
        <v>154</v>
      </c>
      <c r="C5" s="23" t="n">
        <f aca="false">SUM(Data!$K$2:$K$25)</f>
        <v>449413000</v>
      </c>
      <c r="D5" s="27" t="s">
        <v>155</v>
      </c>
    </row>
    <row r="6" customFormat="false" ht="19.5" hidden="false" customHeight="true" outlineLevel="0" collapsed="false">
      <c r="A6" s="31" t="s">
        <v>55</v>
      </c>
      <c r="B6" s="32" t="s">
        <v>156</v>
      </c>
      <c r="C6" s="22" t="n">
        <f aca="false">COUNTIF(Data!$L$2:$L$25,"Habis Disusutkan")</f>
        <v>6</v>
      </c>
      <c r="D6" s="27" t="s">
        <v>157</v>
      </c>
    </row>
    <row r="7" customFormat="false" ht="19.5" hidden="false" customHeight="true" outlineLevel="0" collapsed="false">
      <c r="A7" s="31" t="s">
        <v>67</v>
      </c>
      <c r="B7" s="32" t="s">
        <v>158</v>
      </c>
      <c r="C7" s="24" t="str">
        <f aca="false">INDEX(Acuan!$A$2:$A$5,MATCH(MAX(Acuan!$D$2:$D$5),Acuan!$D$2:$D$5,0))</f>
        <v>Kendaraan</v>
      </c>
      <c r="D7" s="27" t="s">
        <v>159</v>
      </c>
    </row>
    <row r="8" customFormat="false" ht="19.5" hidden="false" customHeight="true" outlineLevel="0" collapsed="false">
      <c r="A8" s="31" t="s">
        <v>71</v>
      </c>
      <c r="B8" s="32" t="s">
        <v>160</v>
      </c>
      <c r="C8" s="22" t="n">
        <f aca="false">COUNTIFS(Data!$E$2:$E$25,"&gt;="&amp;DATE(2024,1,1),Data!$E$2:$E$25,"&lt;="&amp;DATE(2024,12,31))</f>
        <v>7</v>
      </c>
      <c r="D8" s="27" t="s">
        <v>161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Daftar Aset Kantor dan Penyusutan - Kunci</dc:title>
</cp:coreProperties>
</file>

<file path=docProps/custom.xml><?xml version="1.0" encoding="utf-8"?>
<Properties xmlns="http://schemas.openxmlformats.org/officeDocument/2006/custom-properties" xmlns:vt="http://schemas.openxmlformats.org/officeDocument/2006/docPropsVTypes"/>
</file>