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<sst xmlns="http://schemas.openxmlformats.org/spreadsheetml/2006/main" count="245" uniqueCount="186">
  <si>
    <t xml:space="preserve">Kunci Jawaban: Laporan Laba Rugi dari Jurnal Umum</t>
  </si>
  <si>
    <t xml:space="preserve">Latihan 16 dari 104  |  Tingkat: Lanjutan  |  Perkiraan waktu: 70 menit  |  pushexcel.github.io/Pushexcel</t>
  </si>
  <si>
    <t xml:space="preserve">Skenario</t>
  </si>
  <si>
    <t xml:space="preserve">Kamu staf akuntansi di CV Sumber Niaga. Dari buku jurnal umum triwulan III 2026 (Juli sampai September), kamu menyusun laporan laba rugi. Nama dan kelompok akun diambil dari daftar akun di sheet Acuan. Pendapatan bersaldo normal di kredit, sedangkan HPP dan beban bersaldo normal di debit. Retur penjualan adalah akun pendapatan yang bersaldo di debit, jadi mengurangi pendapatan.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</si>
  <si>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</si>
  <si>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</si>
  <si>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</si>
  <si>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</si>
  <si>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</si>
  <si>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</si>
  <si>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</si>
  <si>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</si>
  <si>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</si>
  <si>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</si>
  <si>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</si>
  <si>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</si>
  <si>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</si>
  <si>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</si>
  <si>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</si>
  <si>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</si>
  <si>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</si>
  <si>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</si>
  <si>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</si>
  <si>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</si>
  <si>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nama akun dari daftar akun di sheet Acuan berdasarkan Kode Akun.</t>
  </si>
  <si>
    <t xml:space="preserve">Sheet Data, kolom H (Nama Akun), baris 2 sampai 49</t>
  </si>
  <si>
    <t xml:space="preserve">=VLOOKUP(D2;Acuan!$A$2:$C$12;2;FALSE)</t>
  </si>
  <si>
    <t xml:space="preserve">2</t>
  </si>
  <si>
    <t xml:space="preserve">Ambil kelompok akun dengan cara yang sama. Perhatikan nomor kolomnya.</t>
  </si>
  <si>
    <t xml:space="preserve">Sheet Data, kolom I (Kelompok), baris 2 sampai 49</t>
  </si>
  <si>
    <t xml:space="preserve">=VLOOKUP(D2;Acuan!$A$2:$C$12;3;FALSE)</t>
  </si>
  <si>
    <t xml:space="preserve">3</t>
  </si>
  <si>
    <t xml:space="preserve">Ambil nomor bulan dari tanggal transaksi.</t>
  </si>
  <si>
    <t xml:space="preserve">Sheet Data, kolom J (Bulan), baris 2 sampai 49</t>
  </si>
  <si>
    <t xml:space="preserve">=MONTH(B2)</t>
  </si>
  <si>
    <t xml:space="preserve">4</t>
  </si>
  <si>
    <t xml:space="preserve">Hitung saldo normal: untuk Pendapatan = kredit dikurangi debit, untuk kelompok lain = debit dikurangi kredit.</t>
  </si>
  <si>
    <t xml:space="preserve">Sheet Data, kolom K (Saldo Normal), baris 2 sampai 49</t>
  </si>
  <si>
    <t xml:space="preserve">=IF(I2="Pendapatan";G2-F2;F2-G2)</t>
  </si>
  <si>
    <t xml:space="preserve">5</t>
  </si>
  <si>
    <t xml:space="preserve">Pada sheet Acuan, hitung total saldo tiap akun dari seluruh jurnal.</t>
  </si>
  <si>
    <t xml:space="preserve">Sheet Acuan, kolom D (Total Saldo Akun), baris 2 sampai 12</t>
  </si>
  <si>
    <t xml:space="preserve">=SUMIF(Data!$D$2:$D$49;A2;Data!$K$2:$K$49)</t>
  </si>
  <si>
    <t xml:space="preserve">6</t>
  </si>
  <si>
    <t xml:space="preserve">Berapa total pendapatan bersih (sudah dikurangi retur) triwulan ini?</t>
  </si>
  <si>
    <t xml:space="preserve">Sheet Ringkasan, sel C4</t>
  </si>
  <si>
    <t xml:space="preserve">=SUMIF(Data!$I$2:$I$49;"Pendapatan";Data!$K$2:$K$49)</t>
  </si>
  <si>
    <t xml:space="preserve">7</t>
  </si>
  <si>
    <t xml:space="preserve">Berapa total harga pokok penjualan (HPP)?</t>
  </si>
  <si>
    <t xml:space="preserve">Sheet Ringkasan, sel C5</t>
  </si>
  <si>
    <t xml:space="preserve">=SUMIF(Data!$I$2:$I$49;"HPP";Data!$K$2:$K$49)</t>
  </si>
  <si>
    <t xml:space="preserve">8</t>
  </si>
  <si>
    <t xml:space="preserve">Berapa laba kotor? (pendapatan bersih dikurangi HPP)</t>
  </si>
  <si>
    <t xml:space="preserve">Sheet Ringkasan, sel C6</t>
  </si>
  <si>
    <t xml:space="preserve">=SUMIF(Data!$I$2:$I$49;"Pendapatan";Data!$K$2:$K$49)-SUMIF(Data!$I$2:$I$49;"HPP";Data!$K$2:$K$49)</t>
  </si>
  <si>
    <t xml:space="preserve">9</t>
  </si>
  <si>
    <t xml:space="preserve">Berapa total beban operasional?</t>
  </si>
  <si>
    <t xml:space="preserve">Sheet Ringkasan, sel C7</t>
  </si>
  <si>
    <t xml:space="preserve">=SUMIF(Data!$I$2:$I$49;"Beban";Data!$K$2:$K$49)</t>
  </si>
  <si>
    <t xml:space="preserve">10</t>
  </si>
  <si>
    <t xml:space="preserve">Berapa laba bersih triwulan ini? (laba kotor dikurangi beban)</t>
  </si>
  <si>
    <t xml:space="preserve">Sheet Ringkasan, sel C8</t>
  </si>
  <si>
    <t xml:space="preserve">=SUMIF(Data!$I$2:$I$49;"Pendapatan";Data!$K$2:$K$49)-SUMIF(Data!$I$2:$I$49;"HPP";Data!$K$2:$K$49)-SUMIF(Data!$I$2:$I$49;"Beban";Data!$K$2:$K$49)</t>
  </si>
  <si>
    <t xml:space="preserve">11</t>
  </si>
  <si>
    <t xml:space="preserve">Berapa margin laba bersih (laba bersih dibagi pendapatan bersih)?</t>
  </si>
  <si>
    <t xml:space="preserve">Sheet Ringkasan, sel C9</t>
  </si>
  <si>
    <t xml:space="preserve">=(SUMIF(Data!$I$2:$I$49;"Pendapatan";Data!$K$2:$K$49)-SUMIF(Data!$I$2:$I$49;"HPP";Data!$K$2:$K$49)-SUMIF(Data!$I$2:$I$49;"Beban";Data!$K$2:$K$49))/SUMIF(Data!$I$2:$I$49;"Pendapatan";Data!$K$2:$K$49)</t>
  </si>
  <si>
    <t xml:space="preserve">12</t>
  </si>
  <si>
    <t xml:space="preserve">Berapa pendapatan bersih pada bulan September saja?</t>
  </si>
  <si>
    <t xml:space="preserve">Sheet Ringkasan, sel C10</t>
  </si>
  <si>
    <t xml:space="preserve">=SUMIFS(Data!$K$2:$K$49;Data!$I$2:$I$49;"Pendapatan";Data!$J$2:$J$49;9)</t>
  </si>
  <si>
    <t xml:space="preserve">13</t>
  </si>
  <si>
    <t xml:space="preserve">Akun beban mana yang totalnya terbesar? (hanya kelompok Beban)</t>
  </si>
  <si>
    <t xml:space="preserve">Sheet Ringkasan, sel C11</t>
  </si>
  <si>
    <t xml:space="preserve">=INDEX(Acuan!$B$2:$B$12;MATCH(SUMPRODUCT(MAX((Acuan!$C$2:$C$12="Beban")*Acuan!$D$2:$D$12));Acuan!$D$2:$D$12;0))</t>
  </si>
  <si>
    <t xml:space="preserve">14</t>
  </si>
  <si>
    <t xml:space="preserve">Berapa kali terjadi transaksi retur penjualan (kode akun 4103)?</t>
  </si>
  <si>
    <t xml:space="preserve">Sheet Ringkasan, sel C12</t>
  </si>
  <si>
    <t xml:space="preserve">=COUNTIF(Data!$D$2:$D$49;4103)</t>
  </si>
  <si>
    <t xml:space="preserve">Tanggal</t>
  </si>
  <si>
    <t xml:space="preserve">No. Bukti</t>
  </si>
  <si>
    <t xml:space="preserve">Kode Akun</t>
  </si>
  <si>
    <t xml:space="preserve">Keterangan</t>
  </si>
  <si>
    <t xml:space="preserve">Debit</t>
  </si>
  <si>
    <t xml:space="preserve">Kredit</t>
  </si>
  <si>
    <t xml:space="preserve">Nama Akun</t>
  </si>
  <si>
    <t xml:space="preserve">Kelompok</t>
  </si>
  <si>
    <t xml:space="preserve">Bulan</t>
  </si>
  <si>
    <t xml:space="preserve">Saldo Normal</t>
  </si>
  <si>
    <t xml:space="preserve">JU-001</t>
  </si>
  <si>
    <t xml:space="preserve">Penjualan barang ke pelanggan</t>
  </si>
  <si>
    <t xml:space="preserve">JU-002</t>
  </si>
  <si>
    <t xml:space="preserve">Pembayaran listrik dan air</t>
  </si>
  <si>
    <t xml:space="preserve">JU-003</t>
  </si>
  <si>
    <t xml:space="preserve">Biaya angkut pembelian</t>
  </si>
  <si>
    <t xml:space="preserve">JU-004</t>
  </si>
  <si>
    <t xml:space="preserve">Pembayaran sewa kantor</t>
  </si>
  <si>
    <t xml:space="preserve">JU-005</t>
  </si>
  <si>
    <t xml:space="preserve">Biaya transportasi dinas</t>
  </si>
  <si>
    <t xml:space="preserve">JU-006</t>
  </si>
  <si>
    <t xml:space="preserve">JU-007</t>
  </si>
  <si>
    <t xml:space="preserve">Pembelian barang dagang dari pemasok</t>
  </si>
  <si>
    <t xml:space="preserve">JU-008</t>
  </si>
  <si>
    <t xml:space="preserve">JU-009</t>
  </si>
  <si>
    <t xml:space="preserve">Retur penjualan dari pelanggan</t>
  </si>
  <si>
    <t xml:space="preserve">JU-010</t>
  </si>
  <si>
    <t xml:space="preserve">JU-011</t>
  </si>
  <si>
    <t xml:space="preserve">Pembelian perlengkapan kantor</t>
  </si>
  <si>
    <t xml:space="preserve">JU-012</t>
  </si>
  <si>
    <t xml:space="preserve">Pembayaran gaji karyawan</t>
  </si>
  <si>
    <t xml:space="preserve">JU-013</t>
  </si>
  <si>
    <t xml:space="preserve">JU-014</t>
  </si>
  <si>
    <t xml:space="preserve">JU-015</t>
  </si>
  <si>
    <t xml:space="preserve">Pendapatan jasa pemasangan</t>
  </si>
  <si>
    <t xml:space="preserve">JU-016</t>
  </si>
  <si>
    <t xml:space="preserve">Penyusutan aset bulan berjalan</t>
  </si>
  <si>
    <t xml:space="preserve">JU-017</t>
  </si>
  <si>
    <t xml:space="preserve">JU-018</t>
  </si>
  <si>
    <t xml:space="preserve">JU-019</t>
  </si>
  <si>
    <t xml:space="preserve">JU-020</t>
  </si>
  <si>
    <t xml:space="preserve">JU-021</t>
  </si>
  <si>
    <t xml:space="preserve">JU-022</t>
  </si>
  <si>
    <t xml:space="preserve">JU-023</t>
  </si>
  <si>
    <t xml:space="preserve">JU-024</t>
  </si>
  <si>
    <t xml:space="preserve">JU-025</t>
  </si>
  <si>
    <t xml:space="preserve">JU-026</t>
  </si>
  <si>
    <t xml:space="preserve">JU-027</t>
  </si>
  <si>
    <t xml:space="preserve">JU-028</t>
  </si>
  <si>
    <t xml:space="preserve">JU-029</t>
  </si>
  <si>
    <t xml:space="preserve">JU-030</t>
  </si>
  <si>
    <t xml:space="preserve">JU-031</t>
  </si>
  <si>
    <t xml:space="preserve">JU-032</t>
  </si>
  <si>
    <t xml:space="preserve">JU-033</t>
  </si>
  <si>
    <t xml:space="preserve">JU-034</t>
  </si>
  <si>
    <t xml:space="preserve">JU-035</t>
  </si>
  <si>
    <t xml:space="preserve">JU-036</t>
  </si>
  <si>
    <t xml:space="preserve">JU-037</t>
  </si>
  <si>
    <t xml:space="preserve">JU-038</t>
  </si>
  <si>
    <t xml:space="preserve">JU-039</t>
  </si>
  <si>
    <t xml:space="preserve">JU-040</t>
  </si>
  <si>
    <t xml:space="preserve">JU-041</t>
  </si>
  <si>
    <t xml:space="preserve">JU-042</t>
  </si>
  <si>
    <t xml:space="preserve">JU-043</t>
  </si>
  <si>
    <t xml:space="preserve">JU-044</t>
  </si>
  <si>
    <t xml:space="preserve">JU-045</t>
  </si>
  <si>
    <t xml:space="preserve">JU-046</t>
  </si>
  <si>
    <t xml:space="preserve">JU-047</t>
  </si>
  <si>
    <t xml:space="preserve">JU-048</t>
  </si>
  <si>
    <t xml:space="preserve">Total Saldo Akun</t>
  </si>
  <si>
    <t xml:space="preserve">Penjualan Barang</t>
  </si>
  <si>
    <t xml:space="preserve">Pendapatan</t>
  </si>
  <si>
    <t xml:space="preserve">Pendapatan Jasa</t>
  </si>
  <si>
    <t xml:space="preserve">Retur Penjualan</t>
  </si>
  <si>
    <t xml:space="preserve">Pembelian Barang Dagang</t>
  </si>
  <si>
    <t xml:space="preserve">HPP</t>
  </si>
  <si>
    <t xml:space="preserve">Biaya Angkut Pembelian</t>
  </si>
  <si>
    <t xml:space="preserve">Beban Gaji</t>
  </si>
  <si>
    <t xml:space="preserve">Beban</t>
  </si>
  <si>
    <t xml:space="preserve">Beban Sewa</t>
  </si>
  <si>
    <t xml:space="preserve">Beban Listrik dan Air</t>
  </si>
  <si>
    <t xml:space="preserve">Beban Transportasi</t>
  </si>
  <si>
    <t xml:space="preserve">Beban Perlengkapan</t>
  </si>
  <si>
    <t xml:space="preserve">Beban Penyusutan</t>
  </si>
  <si>
    <t xml:space="preserve">Ringkasan: lembar jawaban soal berjenis ringkasan</t>
  </si>
  <si>
    <t xml:space="preserve">Sel hijau berisi rumus kunci.</t>
  </si>
  <si>
    <t xml:space="preserve">Pertanyaan</t>
  </si>
  <si>
    <t xml:space="preserve">Jawaban</t>
  </si>
  <si>
    <t xml:space="preserve">Contoh format hasil</t>
  </si>
  <si>
    <t xml:space="preserve">Total pendapatan bersih</t>
  </si>
  <si>
    <t xml:space="preserve">Rupiah, mis. Rp 600.000.000</t>
  </si>
  <si>
    <t xml:space="preserve">Total HPP</t>
  </si>
  <si>
    <t xml:space="preserve">Rupiah, mis. Rp 320.000.000</t>
  </si>
  <si>
    <t xml:space="preserve">Laba kotor</t>
  </si>
  <si>
    <t xml:space="preserve">Rupiah, mis. Rp 280.000.000</t>
  </si>
  <si>
    <t xml:space="preserve">Total beban operasional</t>
  </si>
  <si>
    <t xml:space="preserve">Rupiah, mis. Rp 150.000.000</t>
  </si>
  <si>
    <t xml:space="preserve">Laba bersih</t>
  </si>
  <si>
    <t xml:space="preserve">Rupiah, mis. Rp 130.000.000</t>
  </si>
  <si>
    <t xml:space="preserve">Margin laba bersih</t>
  </si>
  <si>
    <t xml:space="preserve">Persen, mis. 21,5%</t>
  </si>
  <si>
    <t xml:space="preserve">Pendapatan bersih bulan September</t>
  </si>
  <si>
    <t xml:space="preserve">Rupiah, mis. Rp 210.000.000</t>
  </si>
  <si>
    <t xml:space="preserve">Akun beban dengan total terbesar</t>
  </si>
  <si>
    <t xml:space="preserve">Teks: nama akun</t>
  </si>
  <si>
    <t xml:space="preserve">Jumlah transaksi retur penjualan</t>
  </si>
  <si>
    <t xml:space="preserve">Angka bulat, mis. 2</t>
  </si>
</sst>
</file>

<file path=xl/styles.xml><?xml version="1.0" encoding="utf-8"?>
<styleSheet xmlns="http://schemas.openxmlformats.org/spreadsheetml/2006/main">
  <numFmts count="5">
    <numFmt numFmtId="164" formatCode="General"/>
    <numFmt numFmtId="165" formatCode="0"/>
    <numFmt numFmtId="166" formatCode="dd/mm/yyyy"/>
    <numFmt numFmtId="167" formatCode="&quot;Rp &quot;#,##0"/>
    <numFmt numFmtId="168"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6">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42" hidden="false" customHeight="true" outlineLevel="0" collapsed="false">
      <c r="A30" s="13" t="s">
        <v>59</v>
      </c>
      <c r="B30" s="14" t="s">
        <v>60</v>
      </c>
      <c r="C30" s="14" t="s">
        <v>61</v>
      </c>
      <c r="D30" s="15" t="s">
        <v>62</v>
      </c>
    </row>
    <row r="31" customFormat="false" ht="55.5"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row r="34" customFormat="false" ht="30" hidden="false" customHeight="true" outlineLevel="0" collapsed="false">
      <c r="A34" s="13" t="s">
        <v>75</v>
      </c>
      <c r="B34" s="14" t="s">
        <v>76</v>
      </c>
      <c r="C34" s="14" t="s">
        <v>77</v>
      </c>
      <c r="D34" s="15"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0"/>
    <col collapsed="false" customWidth="true" hidden="false" outlineLevel="0" max="4" min="4" style="0" width="11"/>
    <col collapsed="false" customWidth="true" hidden="false" outlineLevel="0" max="5" min="5" style="0" width="36"/>
    <col collapsed="false" customWidth="true" hidden="false" outlineLevel="0" max="7" min="6" style="0" width="15"/>
    <col collapsed="false" customWidth="true" hidden="false" outlineLevel="0" max="8" min="8" style="0" width="26"/>
    <col collapsed="false" customWidth="true" hidden="false" outlineLevel="0" max="9" min="9" style="0" width="12"/>
    <col collapsed="false" customWidth="true" hidden="false" outlineLevel="0" max="10" min="10" style="0" width="8"/>
    <col collapsed="false" customWidth="true" hidden="false" outlineLevel="0" max="11" min="11" style="0" width="15"/>
  </cols>
  <sheetData>
    <row r="1" customFormat="false" ht="33.75" hidden="false" customHeight="true" outlineLevel="0" collapsed="false">
      <c r="A1" s="12" t="s">
        <v>19</v>
      </c>
      <c r="B1" s="12" t="s">
        <v>79</v>
      </c>
      <c r="C1" s="12" t="s">
        <v>80</v>
      </c>
      <c r="D1" s="12" t="s">
        <v>81</v>
      </c>
      <c r="E1" s="12" t="s">
        <v>82</v>
      </c>
      <c r="F1" s="12" t="s">
        <v>83</v>
      </c>
      <c r="G1" s="12" t="s">
        <v>84</v>
      </c>
      <c r="H1" s="16" t="s">
        <v>85</v>
      </c>
      <c r="I1" s="16" t="s">
        <v>86</v>
      </c>
      <c r="J1" s="16" t="s">
        <v>87</v>
      </c>
      <c r="K1" s="16" t="s">
        <v>88</v>
      </c>
    </row>
    <row r="2" customFormat="false" ht="15" hidden="false" customHeight="false" outlineLevel="0" collapsed="false">
      <c r="A2" s="17" t="n">
        <v>1</v>
      </c>
      <c r="B2" s="18" t="n">
        <v>46207</v>
      </c>
      <c r="C2" s="19" t="s">
        <v>89</v>
      </c>
      <c r="D2" s="17" t="n">
        <v>4101</v>
      </c>
      <c r="E2" s="19" t="s">
        <v>90</v>
      </c>
      <c r="F2" s="20"/>
      <c r="G2" s="20" t="n">
        <v>87500000</v>
      </c>
      <c r="H2" s="21" t="str">
        <f aca="false">VLOOKUP(D2,Acuan!$A$2:$C$12,2,FALSE())</f>
        <v>Penjualan Barang</v>
      </c>
      <c r="I2" s="21" t="str">
        <f aca="false">VLOOKUP(D2,Acuan!$A$2:$C$12,3,FALSE())</f>
        <v>Pendapatan</v>
      </c>
      <c r="J2" s="22" t="n">
        <f aca="false">MONTH(B2)</f>
        <v>7</v>
      </c>
      <c r="K2" s="23" t="n">
        <f aca="false">IF(I2="Pendapatan",G2-F2,F2-G2)</f>
        <v>87500000</v>
      </c>
    </row>
    <row r="3" customFormat="false" ht="15" hidden="false" customHeight="false" outlineLevel="0" collapsed="false">
      <c r="A3" s="17" t="n">
        <v>2</v>
      </c>
      <c r="B3" s="18" t="n">
        <v>46207</v>
      </c>
      <c r="C3" s="19" t="s">
        <v>91</v>
      </c>
      <c r="D3" s="17" t="n">
        <v>6103</v>
      </c>
      <c r="E3" s="19" t="s">
        <v>92</v>
      </c>
      <c r="F3" s="20" t="n">
        <v>2500000</v>
      </c>
      <c r="G3" s="20"/>
      <c r="H3" s="21" t="str">
        <f aca="false">VLOOKUP(D3,Acuan!$A$2:$C$12,2,FALSE())</f>
        <v>Beban Listrik dan Air</v>
      </c>
      <c r="I3" s="21" t="str">
        <f aca="false">VLOOKUP(D3,Acuan!$A$2:$C$12,3,FALSE())</f>
        <v>Beban</v>
      </c>
      <c r="J3" s="22" t="n">
        <f aca="false">MONTH(B3)</f>
        <v>7</v>
      </c>
      <c r="K3" s="23" t="n">
        <f aca="false">IF(I3="Pendapatan",G3-F3,F3-G3)</f>
        <v>2500000</v>
      </c>
    </row>
    <row r="4" customFormat="false" ht="15" hidden="false" customHeight="false" outlineLevel="0" collapsed="false">
      <c r="A4" s="17" t="n">
        <v>3</v>
      </c>
      <c r="B4" s="18" t="n">
        <v>46208</v>
      </c>
      <c r="C4" s="19" t="s">
        <v>93</v>
      </c>
      <c r="D4" s="17" t="n">
        <v>5102</v>
      </c>
      <c r="E4" s="19" t="s">
        <v>94</v>
      </c>
      <c r="F4" s="20" t="n">
        <v>2000000</v>
      </c>
      <c r="G4" s="20"/>
      <c r="H4" s="21" t="str">
        <f aca="false">VLOOKUP(D4,Acuan!$A$2:$C$12,2,FALSE())</f>
        <v>Biaya Angkut Pembelian</v>
      </c>
      <c r="I4" s="21" t="str">
        <f aca="false">VLOOKUP(D4,Acuan!$A$2:$C$12,3,FALSE())</f>
        <v>HPP</v>
      </c>
      <c r="J4" s="22" t="n">
        <f aca="false">MONTH(B4)</f>
        <v>7</v>
      </c>
      <c r="K4" s="23" t="n">
        <f aca="false">IF(I4="Pendapatan",G4-F4,F4-G4)</f>
        <v>2000000</v>
      </c>
    </row>
    <row r="5" customFormat="false" ht="15" hidden="false" customHeight="false" outlineLevel="0" collapsed="false">
      <c r="A5" s="17" t="n">
        <v>4</v>
      </c>
      <c r="B5" s="18" t="n">
        <v>46208</v>
      </c>
      <c r="C5" s="19" t="s">
        <v>95</v>
      </c>
      <c r="D5" s="17" t="n">
        <v>6102</v>
      </c>
      <c r="E5" s="19" t="s">
        <v>96</v>
      </c>
      <c r="F5" s="20" t="n">
        <v>6000000</v>
      </c>
      <c r="G5" s="20"/>
      <c r="H5" s="21" t="str">
        <f aca="false">VLOOKUP(D5,Acuan!$A$2:$C$12,2,FALSE())</f>
        <v>Beban Sewa</v>
      </c>
      <c r="I5" s="21" t="str">
        <f aca="false">VLOOKUP(D5,Acuan!$A$2:$C$12,3,FALSE())</f>
        <v>Beban</v>
      </c>
      <c r="J5" s="22" t="n">
        <f aca="false">MONTH(B5)</f>
        <v>7</v>
      </c>
      <c r="K5" s="23" t="n">
        <f aca="false">IF(I5="Pendapatan",G5-F5,F5-G5)</f>
        <v>6000000</v>
      </c>
    </row>
    <row r="6" customFormat="false" ht="15" hidden="false" customHeight="false" outlineLevel="0" collapsed="false">
      <c r="A6" s="17" t="n">
        <v>5</v>
      </c>
      <c r="B6" s="18" t="n">
        <v>46209</v>
      </c>
      <c r="C6" s="19" t="s">
        <v>97</v>
      </c>
      <c r="D6" s="17" t="n">
        <v>6104</v>
      </c>
      <c r="E6" s="19" t="s">
        <v>98</v>
      </c>
      <c r="F6" s="20" t="n">
        <v>500000</v>
      </c>
      <c r="G6" s="20"/>
      <c r="H6" s="21" t="str">
        <f aca="false">VLOOKUP(D6,Acuan!$A$2:$C$12,2,FALSE())</f>
        <v>Beban Transportasi</v>
      </c>
      <c r="I6" s="21" t="str">
        <f aca="false">VLOOKUP(D6,Acuan!$A$2:$C$12,3,FALSE())</f>
        <v>Beban</v>
      </c>
      <c r="J6" s="22" t="n">
        <f aca="false">MONTH(B6)</f>
        <v>7</v>
      </c>
      <c r="K6" s="23" t="n">
        <f aca="false">IF(I6="Pendapatan",G6-F6,F6-G6)</f>
        <v>500000</v>
      </c>
    </row>
    <row r="7" customFormat="false" ht="15" hidden="false" customHeight="false" outlineLevel="0" collapsed="false">
      <c r="A7" s="17" t="n">
        <v>6</v>
      </c>
      <c r="B7" s="18" t="n">
        <v>46211</v>
      </c>
      <c r="C7" s="19" t="s">
        <v>99</v>
      </c>
      <c r="D7" s="17" t="n">
        <v>4101</v>
      </c>
      <c r="E7" s="19" t="s">
        <v>90</v>
      </c>
      <c r="F7" s="20"/>
      <c r="G7" s="20" t="n">
        <v>80500000</v>
      </c>
      <c r="H7" s="21" t="str">
        <f aca="false">VLOOKUP(D7,Acuan!$A$2:$C$12,2,FALSE())</f>
        <v>Penjualan Barang</v>
      </c>
      <c r="I7" s="21" t="str">
        <f aca="false">VLOOKUP(D7,Acuan!$A$2:$C$12,3,FALSE())</f>
        <v>Pendapatan</v>
      </c>
      <c r="J7" s="22" t="n">
        <f aca="false">MONTH(B7)</f>
        <v>7</v>
      </c>
      <c r="K7" s="23" t="n">
        <f aca="false">IF(I7="Pendapatan",G7-F7,F7-G7)</f>
        <v>80500000</v>
      </c>
    </row>
    <row r="8" customFormat="false" ht="15" hidden="false" customHeight="false" outlineLevel="0" collapsed="false">
      <c r="A8" s="17" t="n">
        <v>7</v>
      </c>
      <c r="B8" s="18" t="n">
        <v>46212</v>
      </c>
      <c r="C8" s="19" t="s">
        <v>100</v>
      </c>
      <c r="D8" s="17" t="n">
        <v>5101</v>
      </c>
      <c r="E8" s="19" t="s">
        <v>101</v>
      </c>
      <c r="F8" s="20" t="n">
        <v>36500000</v>
      </c>
      <c r="G8" s="20"/>
      <c r="H8" s="21" t="str">
        <f aca="false">VLOOKUP(D8,Acuan!$A$2:$C$12,2,FALSE())</f>
        <v>Pembelian Barang Dagang</v>
      </c>
      <c r="I8" s="21" t="str">
        <f aca="false">VLOOKUP(D8,Acuan!$A$2:$C$12,3,FALSE())</f>
        <v>HPP</v>
      </c>
      <c r="J8" s="22" t="n">
        <f aca="false">MONTH(B8)</f>
        <v>7</v>
      </c>
      <c r="K8" s="23" t="n">
        <f aca="false">IF(I8="Pendapatan",G8-F8,F8-G8)</f>
        <v>36500000</v>
      </c>
    </row>
    <row r="9" customFormat="false" ht="15" hidden="false" customHeight="false" outlineLevel="0" collapsed="false">
      <c r="A9" s="17" t="n">
        <v>8</v>
      </c>
      <c r="B9" s="18" t="n">
        <v>46220</v>
      </c>
      <c r="C9" s="19" t="s">
        <v>102</v>
      </c>
      <c r="D9" s="17" t="n">
        <v>5101</v>
      </c>
      <c r="E9" s="19" t="s">
        <v>101</v>
      </c>
      <c r="F9" s="20" t="n">
        <v>35000000</v>
      </c>
      <c r="G9" s="20"/>
      <c r="H9" s="21" t="str">
        <f aca="false">VLOOKUP(D9,Acuan!$A$2:$C$12,2,FALSE())</f>
        <v>Pembelian Barang Dagang</v>
      </c>
      <c r="I9" s="21" t="str">
        <f aca="false">VLOOKUP(D9,Acuan!$A$2:$C$12,3,FALSE())</f>
        <v>HPP</v>
      </c>
      <c r="J9" s="22" t="n">
        <f aca="false">MONTH(B9)</f>
        <v>7</v>
      </c>
      <c r="K9" s="23" t="n">
        <f aca="false">IF(I9="Pendapatan",G9-F9,F9-G9)</f>
        <v>35000000</v>
      </c>
    </row>
    <row r="10" customFormat="false" ht="15" hidden="false" customHeight="false" outlineLevel="0" collapsed="false">
      <c r="A10" s="17" t="n">
        <v>9</v>
      </c>
      <c r="B10" s="18" t="n">
        <v>46222</v>
      </c>
      <c r="C10" s="19" t="s">
        <v>103</v>
      </c>
      <c r="D10" s="17" t="n">
        <v>4103</v>
      </c>
      <c r="E10" s="19" t="s">
        <v>104</v>
      </c>
      <c r="F10" s="20" t="n">
        <v>1000000</v>
      </c>
      <c r="G10" s="20"/>
      <c r="H10" s="21" t="str">
        <f aca="false">VLOOKUP(D10,Acuan!$A$2:$C$12,2,FALSE())</f>
        <v>Retur Penjualan</v>
      </c>
      <c r="I10" s="21" t="str">
        <f aca="false">VLOOKUP(D10,Acuan!$A$2:$C$12,3,FALSE())</f>
        <v>Pendapatan</v>
      </c>
      <c r="J10" s="22" t="n">
        <f aca="false">MONTH(B10)</f>
        <v>7</v>
      </c>
      <c r="K10" s="23" t="n">
        <f aca="false">IF(I10="Pendapatan",G10-F10,F10-G10)</f>
        <v>-1000000</v>
      </c>
    </row>
    <row r="11" customFormat="false" ht="15" hidden="false" customHeight="false" outlineLevel="0" collapsed="false">
      <c r="A11" s="17" t="n">
        <v>10</v>
      </c>
      <c r="B11" s="18" t="n">
        <v>46224</v>
      </c>
      <c r="C11" s="19" t="s">
        <v>105</v>
      </c>
      <c r="D11" s="17" t="n">
        <v>6104</v>
      </c>
      <c r="E11" s="19" t="s">
        <v>98</v>
      </c>
      <c r="F11" s="20" t="n">
        <v>1000000</v>
      </c>
      <c r="G11" s="20"/>
      <c r="H11" s="21" t="str">
        <f aca="false">VLOOKUP(D11,Acuan!$A$2:$C$12,2,FALSE())</f>
        <v>Beban Transportasi</v>
      </c>
      <c r="I11" s="21" t="str">
        <f aca="false">VLOOKUP(D11,Acuan!$A$2:$C$12,3,FALSE())</f>
        <v>Beban</v>
      </c>
      <c r="J11" s="22" t="n">
        <f aca="false">MONTH(B11)</f>
        <v>7</v>
      </c>
      <c r="K11" s="23" t="n">
        <f aca="false">IF(I11="Pendapatan",G11-F11,F11-G11)</f>
        <v>1000000</v>
      </c>
    </row>
    <row r="12" customFormat="false" ht="15" hidden="false" customHeight="false" outlineLevel="0" collapsed="false">
      <c r="A12" s="17" t="n">
        <v>11</v>
      </c>
      <c r="B12" s="18" t="n">
        <v>46226</v>
      </c>
      <c r="C12" s="19" t="s">
        <v>106</v>
      </c>
      <c r="D12" s="17" t="n">
        <v>6105</v>
      </c>
      <c r="E12" s="19" t="s">
        <v>107</v>
      </c>
      <c r="F12" s="20" t="n">
        <v>1500000</v>
      </c>
      <c r="G12" s="20"/>
      <c r="H12" s="21" t="str">
        <f aca="false">VLOOKUP(D12,Acuan!$A$2:$C$12,2,FALSE())</f>
        <v>Beban Perlengkapan</v>
      </c>
      <c r="I12" s="21" t="str">
        <f aca="false">VLOOKUP(D12,Acuan!$A$2:$C$12,3,FALSE())</f>
        <v>Beban</v>
      </c>
      <c r="J12" s="22" t="n">
        <f aca="false">MONTH(B12)</f>
        <v>7</v>
      </c>
      <c r="K12" s="23" t="n">
        <f aca="false">IF(I12="Pendapatan",G12-F12,F12-G12)</f>
        <v>1500000</v>
      </c>
    </row>
    <row r="13" customFormat="false" ht="15" hidden="false" customHeight="false" outlineLevel="0" collapsed="false">
      <c r="A13" s="17" t="n">
        <v>12</v>
      </c>
      <c r="B13" s="18" t="n">
        <v>46228</v>
      </c>
      <c r="C13" s="19" t="s">
        <v>108</v>
      </c>
      <c r="D13" s="17" t="n">
        <v>6101</v>
      </c>
      <c r="E13" s="19" t="s">
        <v>109</v>
      </c>
      <c r="F13" s="20" t="n">
        <v>29000000</v>
      </c>
      <c r="G13" s="20"/>
      <c r="H13" s="21" t="str">
        <f aca="false">VLOOKUP(D13,Acuan!$A$2:$C$12,2,FALSE())</f>
        <v>Beban Gaji</v>
      </c>
      <c r="I13" s="21" t="str">
        <f aca="false">VLOOKUP(D13,Acuan!$A$2:$C$12,3,FALSE())</f>
        <v>Beban</v>
      </c>
      <c r="J13" s="22" t="n">
        <f aca="false">MONTH(B13)</f>
        <v>7</v>
      </c>
      <c r="K13" s="23" t="n">
        <f aca="false">IF(I13="Pendapatan",G13-F13,F13-G13)</f>
        <v>29000000</v>
      </c>
    </row>
    <row r="14" customFormat="false" ht="15" hidden="false" customHeight="false" outlineLevel="0" collapsed="false">
      <c r="A14" s="17" t="n">
        <v>13</v>
      </c>
      <c r="B14" s="18" t="n">
        <v>46229</v>
      </c>
      <c r="C14" s="19" t="s">
        <v>110</v>
      </c>
      <c r="D14" s="17" t="n">
        <v>5101</v>
      </c>
      <c r="E14" s="19" t="s">
        <v>101</v>
      </c>
      <c r="F14" s="20" t="n">
        <v>39000000</v>
      </c>
      <c r="G14" s="20"/>
      <c r="H14" s="21" t="str">
        <f aca="false">VLOOKUP(D14,Acuan!$A$2:$C$12,2,FALSE())</f>
        <v>Pembelian Barang Dagang</v>
      </c>
      <c r="I14" s="21" t="str">
        <f aca="false">VLOOKUP(D14,Acuan!$A$2:$C$12,3,FALSE())</f>
        <v>HPP</v>
      </c>
      <c r="J14" s="22" t="n">
        <f aca="false">MONTH(B14)</f>
        <v>7</v>
      </c>
      <c r="K14" s="23" t="n">
        <f aca="false">IF(I14="Pendapatan",G14-F14,F14-G14)</f>
        <v>39000000</v>
      </c>
    </row>
    <row r="15" customFormat="false" ht="15" hidden="false" customHeight="false" outlineLevel="0" collapsed="false">
      <c r="A15" s="17" t="n">
        <v>14</v>
      </c>
      <c r="B15" s="18" t="n">
        <v>46231</v>
      </c>
      <c r="C15" s="19" t="s">
        <v>111</v>
      </c>
      <c r="D15" s="17" t="n">
        <v>4101</v>
      </c>
      <c r="E15" s="19" t="s">
        <v>90</v>
      </c>
      <c r="F15" s="20"/>
      <c r="G15" s="20" t="n">
        <v>63500000</v>
      </c>
      <c r="H15" s="21" t="str">
        <f aca="false">VLOOKUP(D15,Acuan!$A$2:$C$12,2,FALSE())</f>
        <v>Penjualan Barang</v>
      </c>
      <c r="I15" s="21" t="str">
        <f aca="false">VLOOKUP(D15,Acuan!$A$2:$C$12,3,FALSE())</f>
        <v>Pendapatan</v>
      </c>
      <c r="J15" s="22" t="n">
        <f aca="false">MONTH(B15)</f>
        <v>7</v>
      </c>
      <c r="K15" s="23" t="n">
        <f aca="false">IF(I15="Pendapatan",G15-F15,F15-G15)</f>
        <v>63500000</v>
      </c>
    </row>
    <row r="16" customFormat="false" ht="15" hidden="false" customHeight="false" outlineLevel="0" collapsed="false">
      <c r="A16" s="17" t="n">
        <v>15</v>
      </c>
      <c r="B16" s="18" t="n">
        <v>46231</v>
      </c>
      <c r="C16" s="19" t="s">
        <v>112</v>
      </c>
      <c r="D16" s="17" t="n">
        <v>4102</v>
      </c>
      <c r="E16" s="19" t="s">
        <v>113</v>
      </c>
      <c r="F16" s="20"/>
      <c r="G16" s="20" t="n">
        <v>19000000</v>
      </c>
      <c r="H16" s="21" t="str">
        <f aca="false">VLOOKUP(D16,Acuan!$A$2:$C$12,2,FALSE())</f>
        <v>Pendapatan Jasa</v>
      </c>
      <c r="I16" s="21" t="str">
        <f aca="false">VLOOKUP(D16,Acuan!$A$2:$C$12,3,FALSE())</f>
        <v>Pendapatan</v>
      </c>
      <c r="J16" s="22" t="n">
        <f aca="false">MONTH(B16)</f>
        <v>7</v>
      </c>
      <c r="K16" s="23" t="n">
        <f aca="false">IF(I16="Pendapatan",G16-F16,F16-G16)</f>
        <v>19000000</v>
      </c>
    </row>
    <row r="17" customFormat="false" ht="15" hidden="false" customHeight="false" outlineLevel="0" collapsed="false">
      <c r="A17" s="17" t="n">
        <v>16</v>
      </c>
      <c r="B17" s="18" t="n">
        <v>46231</v>
      </c>
      <c r="C17" s="19" t="s">
        <v>114</v>
      </c>
      <c r="D17" s="17" t="n">
        <v>6106</v>
      </c>
      <c r="E17" s="19" t="s">
        <v>115</v>
      </c>
      <c r="F17" s="20" t="n">
        <v>2500000</v>
      </c>
      <c r="G17" s="20"/>
      <c r="H17" s="21" t="str">
        <f aca="false">VLOOKUP(D17,Acuan!$A$2:$C$12,2,FALSE())</f>
        <v>Beban Penyusutan</v>
      </c>
      <c r="I17" s="21" t="str">
        <f aca="false">VLOOKUP(D17,Acuan!$A$2:$C$12,3,FALSE())</f>
        <v>Beban</v>
      </c>
      <c r="J17" s="22" t="n">
        <f aca="false">MONTH(B17)</f>
        <v>7</v>
      </c>
      <c r="K17" s="23" t="n">
        <f aca="false">IF(I17="Pendapatan",G17-F17,F17-G17)</f>
        <v>2500000</v>
      </c>
    </row>
    <row r="18" customFormat="false" ht="15" hidden="false" customHeight="false" outlineLevel="0" collapsed="false">
      <c r="A18" s="17" t="n">
        <v>17</v>
      </c>
      <c r="B18" s="18" t="n">
        <v>46237</v>
      </c>
      <c r="C18" s="19" t="s">
        <v>116</v>
      </c>
      <c r="D18" s="17" t="n">
        <v>5101</v>
      </c>
      <c r="E18" s="19" t="s">
        <v>101</v>
      </c>
      <c r="F18" s="20" t="n">
        <v>37500000</v>
      </c>
      <c r="G18" s="20"/>
      <c r="H18" s="21" t="str">
        <f aca="false">VLOOKUP(D18,Acuan!$A$2:$C$12,2,FALSE())</f>
        <v>Pembelian Barang Dagang</v>
      </c>
      <c r="I18" s="21" t="str">
        <f aca="false">VLOOKUP(D18,Acuan!$A$2:$C$12,3,FALSE())</f>
        <v>HPP</v>
      </c>
      <c r="J18" s="22" t="n">
        <f aca="false">MONTH(B18)</f>
        <v>8</v>
      </c>
      <c r="K18" s="23" t="n">
        <f aca="false">IF(I18="Pendapatan",G18-F18,F18-G18)</f>
        <v>37500000</v>
      </c>
    </row>
    <row r="19" customFormat="false" ht="15" hidden="false" customHeight="false" outlineLevel="0" collapsed="false">
      <c r="A19" s="17" t="n">
        <v>18</v>
      </c>
      <c r="B19" s="18" t="n">
        <v>46238</v>
      </c>
      <c r="C19" s="19" t="s">
        <v>117</v>
      </c>
      <c r="D19" s="17" t="n">
        <v>6103</v>
      </c>
      <c r="E19" s="19" t="s">
        <v>92</v>
      </c>
      <c r="F19" s="20" t="n">
        <v>2000000</v>
      </c>
      <c r="G19" s="20"/>
      <c r="H19" s="21" t="str">
        <f aca="false">VLOOKUP(D19,Acuan!$A$2:$C$12,2,FALSE())</f>
        <v>Beban Listrik dan Air</v>
      </c>
      <c r="I19" s="21" t="str">
        <f aca="false">VLOOKUP(D19,Acuan!$A$2:$C$12,3,FALSE())</f>
        <v>Beban</v>
      </c>
      <c r="J19" s="22" t="n">
        <f aca="false">MONTH(B19)</f>
        <v>8</v>
      </c>
      <c r="K19" s="23" t="n">
        <f aca="false">IF(I19="Pendapatan",G19-F19,F19-G19)</f>
        <v>2000000</v>
      </c>
    </row>
    <row r="20" customFormat="false" ht="15" hidden="false" customHeight="false" outlineLevel="0" collapsed="false">
      <c r="A20" s="17" t="n">
        <v>19</v>
      </c>
      <c r="B20" s="18" t="n">
        <v>46239</v>
      </c>
      <c r="C20" s="19" t="s">
        <v>118</v>
      </c>
      <c r="D20" s="17" t="n">
        <v>6102</v>
      </c>
      <c r="E20" s="19" t="s">
        <v>96</v>
      </c>
      <c r="F20" s="20" t="n">
        <v>6000000</v>
      </c>
      <c r="G20" s="20"/>
      <c r="H20" s="21" t="str">
        <f aca="false">VLOOKUP(D20,Acuan!$A$2:$C$12,2,FALSE())</f>
        <v>Beban Sewa</v>
      </c>
      <c r="I20" s="21" t="str">
        <f aca="false">VLOOKUP(D20,Acuan!$A$2:$C$12,3,FALSE())</f>
        <v>Beban</v>
      </c>
      <c r="J20" s="22" t="n">
        <f aca="false">MONTH(B20)</f>
        <v>8</v>
      </c>
      <c r="K20" s="23" t="n">
        <f aca="false">IF(I20="Pendapatan",G20-F20,F20-G20)</f>
        <v>6000000</v>
      </c>
    </row>
    <row r="21" customFormat="false" ht="15" hidden="false" customHeight="false" outlineLevel="0" collapsed="false">
      <c r="A21" s="17" t="n">
        <v>20</v>
      </c>
      <c r="B21" s="18" t="n">
        <v>46239</v>
      </c>
      <c r="C21" s="19" t="s">
        <v>119</v>
      </c>
      <c r="D21" s="17" t="n">
        <v>6105</v>
      </c>
      <c r="E21" s="19" t="s">
        <v>107</v>
      </c>
      <c r="F21" s="20" t="n">
        <v>1500000</v>
      </c>
      <c r="G21" s="20"/>
      <c r="H21" s="21" t="str">
        <f aca="false">VLOOKUP(D21,Acuan!$A$2:$C$12,2,FALSE())</f>
        <v>Beban Perlengkapan</v>
      </c>
      <c r="I21" s="21" t="str">
        <f aca="false">VLOOKUP(D21,Acuan!$A$2:$C$12,3,FALSE())</f>
        <v>Beban</v>
      </c>
      <c r="J21" s="22" t="n">
        <f aca="false">MONTH(B21)</f>
        <v>8</v>
      </c>
      <c r="K21" s="23" t="n">
        <f aca="false">IF(I21="Pendapatan",G21-F21,F21-G21)</f>
        <v>1500000</v>
      </c>
    </row>
    <row r="22" customFormat="false" ht="15" hidden="false" customHeight="false" outlineLevel="0" collapsed="false">
      <c r="A22" s="17" t="n">
        <v>21</v>
      </c>
      <c r="B22" s="18" t="n">
        <v>46241</v>
      </c>
      <c r="C22" s="19" t="s">
        <v>120</v>
      </c>
      <c r="D22" s="17" t="n">
        <v>6104</v>
      </c>
      <c r="E22" s="19" t="s">
        <v>98</v>
      </c>
      <c r="F22" s="20" t="n">
        <v>500000</v>
      </c>
      <c r="G22" s="20"/>
      <c r="H22" s="21" t="str">
        <f aca="false">VLOOKUP(D22,Acuan!$A$2:$C$12,2,FALSE())</f>
        <v>Beban Transportasi</v>
      </c>
      <c r="I22" s="21" t="str">
        <f aca="false">VLOOKUP(D22,Acuan!$A$2:$C$12,3,FALSE())</f>
        <v>Beban</v>
      </c>
      <c r="J22" s="22" t="n">
        <f aca="false">MONTH(B22)</f>
        <v>8</v>
      </c>
      <c r="K22" s="23" t="n">
        <f aca="false">IF(I22="Pendapatan",G22-F22,F22-G22)</f>
        <v>500000</v>
      </c>
    </row>
    <row r="23" customFormat="false" ht="15" hidden="false" customHeight="false" outlineLevel="0" collapsed="false">
      <c r="A23" s="17" t="n">
        <v>22</v>
      </c>
      <c r="B23" s="18" t="n">
        <v>46246</v>
      </c>
      <c r="C23" s="19" t="s">
        <v>121</v>
      </c>
      <c r="D23" s="17" t="n">
        <v>4101</v>
      </c>
      <c r="E23" s="19" t="s">
        <v>90</v>
      </c>
      <c r="F23" s="20"/>
      <c r="G23" s="20" t="n">
        <v>41500000</v>
      </c>
      <c r="H23" s="21" t="str">
        <f aca="false">VLOOKUP(D23,Acuan!$A$2:$C$12,2,FALSE())</f>
        <v>Penjualan Barang</v>
      </c>
      <c r="I23" s="21" t="str">
        <f aca="false">VLOOKUP(D23,Acuan!$A$2:$C$12,3,FALSE())</f>
        <v>Pendapatan</v>
      </c>
      <c r="J23" s="22" t="n">
        <f aca="false">MONTH(B23)</f>
        <v>8</v>
      </c>
      <c r="K23" s="23" t="n">
        <f aca="false">IF(I23="Pendapatan",G23-F23,F23-G23)</f>
        <v>41500000</v>
      </c>
    </row>
    <row r="24" customFormat="false" ht="15" hidden="false" customHeight="false" outlineLevel="0" collapsed="false">
      <c r="A24" s="17" t="n">
        <v>23</v>
      </c>
      <c r="B24" s="18" t="n">
        <v>46249</v>
      </c>
      <c r="C24" s="19" t="s">
        <v>122</v>
      </c>
      <c r="D24" s="17" t="n">
        <v>5102</v>
      </c>
      <c r="E24" s="19" t="s">
        <v>94</v>
      </c>
      <c r="F24" s="20" t="n">
        <v>3000000</v>
      </c>
      <c r="G24" s="20"/>
      <c r="H24" s="21" t="str">
        <f aca="false">VLOOKUP(D24,Acuan!$A$2:$C$12,2,FALSE())</f>
        <v>Biaya Angkut Pembelian</v>
      </c>
      <c r="I24" s="21" t="str">
        <f aca="false">VLOOKUP(D24,Acuan!$A$2:$C$12,3,FALSE())</f>
        <v>HPP</v>
      </c>
      <c r="J24" s="22" t="n">
        <f aca="false">MONTH(B24)</f>
        <v>8</v>
      </c>
      <c r="K24" s="23" t="n">
        <f aca="false">IF(I24="Pendapatan",G24-F24,F24-G24)</f>
        <v>3000000</v>
      </c>
    </row>
    <row r="25" customFormat="false" ht="15" hidden="false" customHeight="false" outlineLevel="0" collapsed="false">
      <c r="A25" s="17" t="n">
        <v>24</v>
      </c>
      <c r="B25" s="18" t="n">
        <v>46252</v>
      </c>
      <c r="C25" s="19" t="s">
        <v>123</v>
      </c>
      <c r="D25" s="17" t="n">
        <v>5101</v>
      </c>
      <c r="E25" s="19" t="s">
        <v>101</v>
      </c>
      <c r="F25" s="20" t="n">
        <v>30000000</v>
      </c>
      <c r="G25" s="20"/>
      <c r="H25" s="21" t="str">
        <f aca="false">VLOOKUP(D25,Acuan!$A$2:$C$12,2,FALSE())</f>
        <v>Pembelian Barang Dagang</v>
      </c>
      <c r="I25" s="21" t="str">
        <f aca="false">VLOOKUP(D25,Acuan!$A$2:$C$12,3,FALSE())</f>
        <v>HPP</v>
      </c>
      <c r="J25" s="22" t="n">
        <f aca="false">MONTH(B25)</f>
        <v>8</v>
      </c>
      <c r="K25" s="23" t="n">
        <f aca="false">IF(I25="Pendapatan",G25-F25,F25-G25)</f>
        <v>30000000</v>
      </c>
    </row>
    <row r="26" customFormat="false" ht="15" hidden="false" customHeight="false" outlineLevel="0" collapsed="false">
      <c r="A26" s="17" t="n">
        <v>25</v>
      </c>
      <c r="B26" s="18" t="n">
        <v>46252</v>
      </c>
      <c r="C26" s="19" t="s">
        <v>124</v>
      </c>
      <c r="D26" s="17" t="n">
        <v>6104</v>
      </c>
      <c r="E26" s="19" t="s">
        <v>98</v>
      </c>
      <c r="F26" s="20" t="n">
        <v>500000</v>
      </c>
      <c r="G26" s="20"/>
      <c r="H26" s="21" t="str">
        <f aca="false">VLOOKUP(D26,Acuan!$A$2:$C$12,2,FALSE())</f>
        <v>Beban Transportasi</v>
      </c>
      <c r="I26" s="21" t="str">
        <f aca="false">VLOOKUP(D26,Acuan!$A$2:$C$12,3,FALSE())</f>
        <v>Beban</v>
      </c>
      <c r="J26" s="22" t="n">
        <f aca="false">MONTH(B26)</f>
        <v>8</v>
      </c>
      <c r="K26" s="23" t="n">
        <f aca="false">IF(I26="Pendapatan",G26-F26,F26-G26)</f>
        <v>500000</v>
      </c>
    </row>
    <row r="27" customFormat="false" ht="15" hidden="false" customHeight="false" outlineLevel="0" collapsed="false">
      <c r="A27" s="17" t="n">
        <v>26</v>
      </c>
      <c r="B27" s="18" t="n">
        <v>46255</v>
      </c>
      <c r="C27" s="19" t="s">
        <v>125</v>
      </c>
      <c r="D27" s="17" t="n">
        <v>5101</v>
      </c>
      <c r="E27" s="19" t="s">
        <v>101</v>
      </c>
      <c r="F27" s="20" t="n">
        <v>45500000</v>
      </c>
      <c r="G27" s="20"/>
      <c r="H27" s="21" t="str">
        <f aca="false">VLOOKUP(D27,Acuan!$A$2:$C$12,2,FALSE())</f>
        <v>Pembelian Barang Dagang</v>
      </c>
      <c r="I27" s="21" t="str">
        <f aca="false">VLOOKUP(D27,Acuan!$A$2:$C$12,3,FALSE())</f>
        <v>HPP</v>
      </c>
      <c r="J27" s="22" t="n">
        <f aca="false">MONTH(B27)</f>
        <v>8</v>
      </c>
      <c r="K27" s="23" t="n">
        <f aca="false">IF(I27="Pendapatan",G27-F27,F27-G27)</f>
        <v>45500000</v>
      </c>
    </row>
    <row r="28" customFormat="false" ht="15" hidden="false" customHeight="false" outlineLevel="0" collapsed="false">
      <c r="A28" s="17" t="n">
        <v>27</v>
      </c>
      <c r="B28" s="18" t="n">
        <v>46256</v>
      </c>
      <c r="C28" s="19" t="s">
        <v>126</v>
      </c>
      <c r="D28" s="17" t="n">
        <v>4102</v>
      </c>
      <c r="E28" s="19" t="s">
        <v>113</v>
      </c>
      <c r="F28" s="20"/>
      <c r="G28" s="20" t="n">
        <v>9000000</v>
      </c>
      <c r="H28" s="21" t="str">
        <f aca="false">VLOOKUP(D28,Acuan!$A$2:$C$12,2,FALSE())</f>
        <v>Pendapatan Jasa</v>
      </c>
      <c r="I28" s="21" t="str">
        <f aca="false">VLOOKUP(D28,Acuan!$A$2:$C$12,3,FALSE())</f>
        <v>Pendapatan</v>
      </c>
      <c r="J28" s="22" t="n">
        <f aca="false">MONTH(B28)</f>
        <v>8</v>
      </c>
      <c r="K28" s="23" t="n">
        <f aca="false">IF(I28="Pendapatan",G28-F28,F28-G28)</f>
        <v>9000000</v>
      </c>
    </row>
    <row r="29" customFormat="false" ht="15" hidden="false" customHeight="false" outlineLevel="0" collapsed="false">
      <c r="A29" s="17" t="n">
        <v>28</v>
      </c>
      <c r="B29" s="18" t="n">
        <v>46258</v>
      </c>
      <c r="C29" s="19" t="s">
        <v>127</v>
      </c>
      <c r="D29" s="17" t="n">
        <v>4102</v>
      </c>
      <c r="E29" s="19" t="s">
        <v>113</v>
      </c>
      <c r="F29" s="20"/>
      <c r="G29" s="20" t="n">
        <v>18000000</v>
      </c>
      <c r="H29" s="21" t="str">
        <f aca="false">VLOOKUP(D29,Acuan!$A$2:$C$12,2,FALSE())</f>
        <v>Pendapatan Jasa</v>
      </c>
      <c r="I29" s="21" t="str">
        <f aca="false">VLOOKUP(D29,Acuan!$A$2:$C$12,3,FALSE())</f>
        <v>Pendapatan</v>
      </c>
      <c r="J29" s="22" t="n">
        <f aca="false">MONTH(B29)</f>
        <v>8</v>
      </c>
      <c r="K29" s="23" t="n">
        <f aca="false">IF(I29="Pendapatan",G29-F29,F29-G29)</f>
        <v>18000000</v>
      </c>
    </row>
    <row r="30" customFormat="false" ht="15" hidden="false" customHeight="false" outlineLevel="0" collapsed="false">
      <c r="A30" s="17" t="n">
        <v>29</v>
      </c>
      <c r="B30" s="18" t="n">
        <v>46259</v>
      </c>
      <c r="C30" s="19" t="s">
        <v>128</v>
      </c>
      <c r="D30" s="17" t="n">
        <v>6101</v>
      </c>
      <c r="E30" s="19" t="s">
        <v>109</v>
      </c>
      <c r="F30" s="20" t="n">
        <v>28000000</v>
      </c>
      <c r="G30" s="20"/>
      <c r="H30" s="21" t="str">
        <f aca="false">VLOOKUP(D30,Acuan!$A$2:$C$12,2,FALSE())</f>
        <v>Beban Gaji</v>
      </c>
      <c r="I30" s="21" t="str">
        <f aca="false">VLOOKUP(D30,Acuan!$A$2:$C$12,3,FALSE())</f>
        <v>Beban</v>
      </c>
      <c r="J30" s="22" t="n">
        <f aca="false">MONTH(B30)</f>
        <v>8</v>
      </c>
      <c r="K30" s="23" t="n">
        <f aca="false">IF(I30="Pendapatan",G30-F30,F30-G30)</f>
        <v>28000000</v>
      </c>
    </row>
    <row r="31" customFormat="false" ht="15" hidden="false" customHeight="false" outlineLevel="0" collapsed="false">
      <c r="A31" s="17" t="n">
        <v>30</v>
      </c>
      <c r="B31" s="18" t="n">
        <v>46260</v>
      </c>
      <c r="C31" s="19" t="s">
        <v>129</v>
      </c>
      <c r="D31" s="17" t="n">
        <v>4101</v>
      </c>
      <c r="E31" s="19" t="s">
        <v>90</v>
      </c>
      <c r="F31" s="20"/>
      <c r="G31" s="20" t="n">
        <v>64500000</v>
      </c>
      <c r="H31" s="21" t="str">
        <f aca="false">VLOOKUP(D31,Acuan!$A$2:$C$12,2,FALSE())</f>
        <v>Penjualan Barang</v>
      </c>
      <c r="I31" s="21" t="str">
        <f aca="false">VLOOKUP(D31,Acuan!$A$2:$C$12,3,FALSE())</f>
        <v>Pendapatan</v>
      </c>
      <c r="J31" s="22" t="n">
        <f aca="false">MONTH(B31)</f>
        <v>8</v>
      </c>
      <c r="K31" s="23" t="n">
        <f aca="false">IF(I31="Pendapatan",G31-F31,F31-G31)</f>
        <v>64500000</v>
      </c>
    </row>
    <row r="32" customFormat="false" ht="15" hidden="false" customHeight="false" outlineLevel="0" collapsed="false">
      <c r="A32" s="17" t="n">
        <v>31</v>
      </c>
      <c r="B32" s="18" t="n">
        <v>46262</v>
      </c>
      <c r="C32" s="19" t="s">
        <v>130</v>
      </c>
      <c r="D32" s="17" t="n">
        <v>4101</v>
      </c>
      <c r="E32" s="19" t="s">
        <v>90</v>
      </c>
      <c r="F32" s="20"/>
      <c r="G32" s="20" t="n">
        <v>82500000</v>
      </c>
      <c r="H32" s="21" t="str">
        <f aca="false">VLOOKUP(D32,Acuan!$A$2:$C$12,2,FALSE())</f>
        <v>Penjualan Barang</v>
      </c>
      <c r="I32" s="21" t="str">
        <f aca="false">VLOOKUP(D32,Acuan!$A$2:$C$12,3,FALSE())</f>
        <v>Pendapatan</v>
      </c>
      <c r="J32" s="22" t="n">
        <f aca="false">MONTH(B32)</f>
        <v>8</v>
      </c>
      <c r="K32" s="23" t="n">
        <f aca="false">IF(I32="Pendapatan",G32-F32,F32-G32)</f>
        <v>82500000</v>
      </c>
    </row>
    <row r="33" customFormat="false" ht="15" hidden="false" customHeight="false" outlineLevel="0" collapsed="false">
      <c r="A33" s="17" t="n">
        <v>32</v>
      </c>
      <c r="B33" s="18" t="n">
        <v>46262</v>
      </c>
      <c r="C33" s="19" t="s">
        <v>131</v>
      </c>
      <c r="D33" s="17" t="n">
        <v>6106</v>
      </c>
      <c r="E33" s="19" t="s">
        <v>115</v>
      </c>
      <c r="F33" s="20" t="n">
        <v>2500000</v>
      </c>
      <c r="G33" s="20"/>
      <c r="H33" s="21" t="str">
        <f aca="false">VLOOKUP(D33,Acuan!$A$2:$C$12,2,FALSE())</f>
        <v>Beban Penyusutan</v>
      </c>
      <c r="I33" s="21" t="str">
        <f aca="false">VLOOKUP(D33,Acuan!$A$2:$C$12,3,FALSE())</f>
        <v>Beban</v>
      </c>
      <c r="J33" s="22" t="n">
        <f aca="false">MONTH(B33)</f>
        <v>8</v>
      </c>
      <c r="K33" s="23" t="n">
        <f aca="false">IF(I33="Pendapatan",G33-F33,F33-G33)</f>
        <v>2500000</v>
      </c>
    </row>
    <row r="34" customFormat="false" ht="15" hidden="false" customHeight="false" outlineLevel="0" collapsed="false">
      <c r="A34" s="17" t="n">
        <v>33</v>
      </c>
      <c r="B34" s="18" t="n">
        <v>46266</v>
      </c>
      <c r="C34" s="19" t="s">
        <v>132</v>
      </c>
      <c r="D34" s="17" t="n">
        <v>6105</v>
      </c>
      <c r="E34" s="19" t="s">
        <v>107</v>
      </c>
      <c r="F34" s="20" t="n">
        <v>500000</v>
      </c>
      <c r="G34" s="20"/>
      <c r="H34" s="21" t="str">
        <f aca="false">VLOOKUP(D34,Acuan!$A$2:$C$12,2,FALSE())</f>
        <v>Beban Perlengkapan</v>
      </c>
      <c r="I34" s="21" t="str">
        <f aca="false">VLOOKUP(D34,Acuan!$A$2:$C$12,3,FALSE())</f>
        <v>Beban</v>
      </c>
      <c r="J34" s="22" t="n">
        <f aca="false">MONTH(B34)</f>
        <v>9</v>
      </c>
      <c r="K34" s="23" t="n">
        <f aca="false">IF(I34="Pendapatan",G34-F34,F34-G34)</f>
        <v>500000</v>
      </c>
    </row>
    <row r="35" customFormat="false" ht="15" hidden="false" customHeight="false" outlineLevel="0" collapsed="false">
      <c r="A35" s="17" t="n">
        <v>34</v>
      </c>
      <c r="B35" s="18" t="n">
        <v>46269</v>
      </c>
      <c r="C35" s="19" t="s">
        <v>133</v>
      </c>
      <c r="D35" s="17" t="n">
        <v>4101</v>
      </c>
      <c r="E35" s="19" t="s">
        <v>90</v>
      </c>
      <c r="F35" s="20"/>
      <c r="G35" s="20" t="n">
        <v>79500000</v>
      </c>
      <c r="H35" s="21" t="str">
        <f aca="false">VLOOKUP(D35,Acuan!$A$2:$C$12,2,FALSE())</f>
        <v>Penjualan Barang</v>
      </c>
      <c r="I35" s="21" t="str">
        <f aca="false">VLOOKUP(D35,Acuan!$A$2:$C$12,3,FALSE())</f>
        <v>Pendapatan</v>
      </c>
      <c r="J35" s="22" t="n">
        <f aca="false">MONTH(B35)</f>
        <v>9</v>
      </c>
      <c r="K35" s="23" t="n">
        <f aca="false">IF(I35="Pendapatan",G35-F35,F35-G35)</f>
        <v>79500000</v>
      </c>
    </row>
    <row r="36" customFormat="false" ht="15" hidden="false" customHeight="false" outlineLevel="0" collapsed="false">
      <c r="A36" s="17" t="n">
        <v>35</v>
      </c>
      <c r="B36" s="18" t="n">
        <v>46270</v>
      </c>
      <c r="C36" s="19" t="s">
        <v>134</v>
      </c>
      <c r="D36" s="17" t="n">
        <v>4101</v>
      </c>
      <c r="E36" s="19" t="s">
        <v>90</v>
      </c>
      <c r="F36" s="20"/>
      <c r="G36" s="20" t="n">
        <v>55000000</v>
      </c>
      <c r="H36" s="21" t="str">
        <f aca="false">VLOOKUP(D36,Acuan!$A$2:$C$12,2,FALSE())</f>
        <v>Penjualan Barang</v>
      </c>
      <c r="I36" s="21" t="str">
        <f aca="false">VLOOKUP(D36,Acuan!$A$2:$C$12,3,FALSE())</f>
        <v>Pendapatan</v>
      </c>
      <c r="J36" s="22" t="n">
        <f aca="false">MONTH(B36)</f>
        <v>9</v>
      </c>
      <c r="K36" s="23" t="n">
        <f aca="false">IF(I36="Pendapatan",G36-F36,F36-G36)</f>
        <v>55000000</v>
      </c>
    </row>
    <row r="37" customFormat="false" ht="15" hidden="false" customHeight="false" outlineLevel="0" collapsed="false">
      <c r="A37" s="17" t="n">
        <v>36</v>
      </c>
      <c r="B37" s="18" t="n">
        <v>46270</v>
      </c>
      <c r="C37" s="19" t="s">
        <v>135</v>
      </c>
      <c r="D37" s="17" t="n">
        <v>5101</v>
      </c>
      <c r="E37" s="19" t="s">
        <v>101</v>
      </c>
      <c r="F37" s="20" t="n">
        <v>39500000</v>
      </c>
      <c r="G37" s="20"/>
      <c r="H37" s="21" t="str">
        <f aca="false">VLOOKUP(D37,Acuan!$A$2:$C$12,2,FALSE())</f>
        <v>Pembelian Barang Dagang</v>
      </c>
      <c r="I37" s="21" t="str">
        <f aca="false">VLOOKUP(D37,Acuan!$A$2:$C$12,3,FALSE())</f>
        <v>HPP</v>
      </c>
      <c r="J37" s="22" t="n">
        <f aca="false">MONTH(B37)</f>
        <v>9</v>
      </c>
      <c r="K37" s="23" t="n">
        <f aca="false">IF(I37="Pendapatan",G37-F37,F37-G37)</f>
        <v>39500000</v>
      </c>
    </row>
    <row r="38" customFormat="false" ht="15" hidden="false" customHeight="false" outlineLevel="0" collapsed="false">
      <c r="A38" s="17" t="n">
        <v>37</v>
      </c>
      <c r="B38" s="18" t="n">
        <v>46270</v>
      </c>
      <c r="C38" s="19" t="s">
        <v>136</v>
      </c>
      <c r="D38" s="17" t="n">
        <v>6102</v>
      </c>
      <c r="E38" s="19" t="s">
        <v>96</v>
      </c>
      <c r="F38" s="20" t="n">
        <v>6000000</v>
      </c>
      <c r="G38" s="20"/>
      <c r="H38" s="21" t="str">
        <f aca="false">VLOOKUP(D38,Acuan!$A$2:$C$12,2,FALSE())</f>
        <v>Beban Sewa</v>
      </c>
      <c r="I38" s="21" t="str">
        <f aca="false">VLOOKUP(D38,Acuan!$A$2:$C$12,3,FALSE())</f>
        <v>Beban</v>
      </c>
      <c r="J38" s="22" t="n">
        <f aca="false">MONTH(B38)</f>
        <v>9</v>
      </c>
      <c r="K38" s="23" t="n">
        <f aca="false">IF(I38="Pendapatan",G38-F38,F38-G38)</f>
        <v>6000000</v>
      </c>
    </row>
    <row r="39" customFormat="false" ht="15" hidden="false" customHeight="false" outlineLevel="0" collapsed="false">
      <c r="A39" s="17" t="n">
        <v>38</v>
      </c>
      <c r="B39" s="18" t="n">
        <v>46271</v>
      </c>
      <c r="C39" s="19" t="s">
        <v>137</v>
      </c>
      <c r="D39" s="17" t="n">
        <v>4103</v>
      </c>
      <c r="E39" s="19" t="s">
        <v>104</v>
      </c>
      <c r="F39" s="20" t="n">
        <v>4500000</v>
      </c>
      <c r="G39" s="20"/>
      <c r="H39" s="21" t="str">
        <f aca="false">VLOOKUP(D39,Acuan!$A$2:$C$12,2,FALSE())</f>
        <v>Retur Penjualan</v>
      </c>
      <c r="I39" s="21" t="str">
        <f aca="false">VLOOKUP(D39,Acuan!$A$2:$C$12,3,FALSE())</f>
        <v>Pendapatan</v>
      </c>
      <c r="J39" s="22" t="n">
        <f aca="false">MONTH(B39)</f>
        <v>9</v>
      </c>
      <c r="K39" s="23" t="n">
        <f aca="false">IF(I39="Pendapatan",G39-F39,F39-G39)</f>
        <v>-4500000</v>
      </c>
    </row>
    <row r="40" customFormat="false" ht="15" hidden="false" customHeight="false" outlineLevel="0" collapsed="false">
      <c r="A40" s="17" t="n">
        <v>39</v>
      </c>
      <c r="B40" s="18" t="n">
        <v>46272</v>
      </c>
      <c r="C40" s="19" t="s">
        <v>138</v>
      </c>
      <c r="D40" s="17" t="n">
        <v>5101</v>
      </c>
      <c r="E40" s="19" t="s">
        <v>101</v>
      </c>
      <c r="F40" s="20" t="n">
        <v>43500000</v>
      </c>
      <c r="G40" s="20"/>
      <c r="H40" s="21" t="str">
        <f aca="false">VLOOKUP(D40,Acuan!$A$2:$C$12,2,FALSE())</f>
        <v>Pembelian Barang Dagang</v>
      </c>
      <c r="I40" s="21" t="str">
        <f aca="false">VLOOKUP(D40,Acuan!$A$2:$C$12,3,FALSE())</f>
        <v>HPP</v>
      </c>
      <c r="J40" s="22" t="n">
        <f aca="false">MONTH(B40)</f>
        <v>9</v>
      </c>
      <c r="K40" s="23" t="n">
        <f aca="false">IF(I40="Pendapatan",G40-F40,F40-G40)</f>
        <v>43500000</v>
      </c>
    </row>
    <row r="41" customFormat="false" ht="15" hidden="false" customHeight="false" outlineLevel="0" collapsed="false">
      <c r="A41" s="17" t="n">
        <v>40</v>
      </c>
      <c r="B41" s="18" t="n">
        <v>46277</v>
      </c>
      <c r="C41" s="19" t="s">
        <v>139</v>
      </c>
      <c r="D41" s="17" t="n">
        <v>6103</v>
      </c>
      <c r="E41" s="19" t="s">
        <v>92</v>
      </c>
      <c r="F41" s="20" t="n">
        <v>1500000</v>
      </c>
      <c r="G41" s="20"/>
      <c r="H41" s="21" t="str">
        <f aca="false">VLOOKUP(D41,Acuan!$A$2:$C$12,2,FALSE())</f>
        <v>Beban Listrik dan Air</v>
      </c>
      <c r="I41" s="21" t="str">
        <f aca="false">VLOOKUP(D41,Acuan!$A$2:$C$12,3,FALSE())</f>
        <v>Beban</v>
      </c>
      <c r="J41" s="22" t="n">
        <f aca="false">MONTH(B41)</f>
        <v>9</v>
      </c>
      <c r="K41" s="23" t="n">
        <f aca="false">IF(I41="Pendapatan",G41-F41,F41-G41)</f>
        <v>1500000</v>
      </c>
    </row>
    <row r="42" customFormat="false" ht="15" hidden="false" customHeight="false" outlineLevel="0" collapsed="false">
      <c r="A42" s="17" t="n">
        <v>41</v>
      </c>
      <c r="B42" s="18" t="n">
        <v>46279</v>
      </c>
      <c r="C42" s="19" t="s">
        <v>140</v>
      </c>
      <c r="D42" s="17" t="n">
        <v>5101</v>
      </c>
      <c r="E42" s="19" t="s">
        <v>101</v>
      </c>
      <c r="F42" s="20" t="n">
        <v>34000000</v>
      </c>
      <c r="G42" s="20"/>
      <c r="H42" s="21" t="str">
        <f aca="false">VLOOKUP(D42,Acuan!$A$2:$C$12,2,FALSE())</f>
        <v>Pembelian Barang Dagang</v>
      </c>
      <c r="I42" s="21" t="str">
        <f aca="false">VLOOKUP(D42,Acuan!$A$2:$C$12,3,FALSE())</f>
        <v>HPP</v>
      </c>
      <c r="J42" s="22" t="n">
        <f aca="false">MONTH(B42)</f>
        <v>9</v>
      </c>
      <c r="K42" s="23" t="n">
        <f aca="false">IF(I42="Pendapatan",G42-F42,F42-G42)</f>
        <v>34000000</v>
      </c>
    </row>
    <row r="43" customFormat="false" ht="15" hidden="false" customHeight="false" outlineLevel="0" collapsed="false">
      <c r="A43" s="17" t="n">
        <v>42</v>
      </c>
      <c r="B43" s="18" t="n">
        <v>46284</v>
      </c>
      <c r="C43" s="19" t="s">
        <v>141</v>
      </c>
      <c r="D43" s="17" t="n">
        <v>6104</v>
      </c>
      <c r="E43" s="19" t="s">
        <v>98</v>
      </c>
      <c r="F43" s="20" t="n">
        <v>2000000</v>
      </c>
      <c r="G43" s="20"/>
      <c r="H43" s="21" t="str">
        <f aca="false">VLOOKUP(D43,Acuan!$A$2:$C$12,2,FALSE())</f>
        <v>Beban Transportasi</v>
      </c>
      <c r="I43" s="21" t="str">
        <f aca="false">VLOOKUP(D43,Acuan!$A$2:$C$12,3,FALSE())</f>
        <v>Beban</v>
      </c>
      <c r="J43" s="22" t="n">
        <f aca="false">MONTH(B43)</f>
        <v>9</v>
      </c>
      <c r="K43" s="23" t="n">
        <f aca="false">IF(I43="Pendapatan",G43-F43,F43-G43)</f>
        <v>2000000</v>
      </c>
    </row>
    <row r="44" customFormat="false" ht="15" hidden="false" customHeight="false" outlineLevel="0" collapsed="false">
      <c r="A44" s="17" t="n">
        <v>43</v>
      </c>
      <c r="B44" s="18" t="n">
        <v>46287</v>
      </c>
      <c r="C44" s="19" t="s">
        <v>142</v>
      </c>
      <c r="D44" s="17" t="n">
        <v>4101</v>
      </c>
      <c r="E44" s="19" t="s">
        <v>90</v>
      </c>
      <c r="F44" s="20"/>
      <c r="G44" s="20" t="n">
        <v>54500000</v>
      </c>
      <c r="H44" s="21" t="str">
        <f aca="false">VLOOKUP(D44,Acuan!$A$2:$C$12,2,FALSE())</f>
        <v>Penjualan Barang</v>
      </c>
      <c r="I44" s="21" t="str">
        <f aca="false">VLOOKUP(D44,Acuan!$A$2:$C$12,3,FALSE())</f>
        <v>Pendapatan</v>
      </c>
      <c r="J44" s="22" t="n">
        <f aca="false">MONTH(B44)</f>
        <v>9</v>
      </c>
      <c r="K44" s="23" t="n">
        <f aca="false">IF(I44="Pendapatan",G44-F44,F44-G44)</f>
        <v>54500000</v>
      </c>
    </row>
    <row r="45" customFormat="false" ht="15" hidden="false" customHeight="false" outlineLevel="0" collapsed="false">
      <c r="A45" s="17" t="n">
        <v>44</v>
      </c>
      <c r="B45" s="18" t="n">
        <v>46287</v>
      </c>
      <c r="C45" s="19" t="s">
        <v>143</v>
      </c>
      <c r="D45" s="17" t="n">
        <v>6104</v>
      </c>
      <c r="E45" s="19" t="s">
        <v>98</v>
      </c>
      <c r="F45" s="20" t="n">
        <v>2000000</v>
      </c>
      <c r="G45" s="20"/>
      <c r="H45" s="21" t="str">
        <f aca="false">VLOOKUP(D45,Acuan!$A$2:$C$12,2,FALSE())</f>
        <v>Beban Transportasi</v>
      </c>
      <c r="I45" s="21" t="str">
        <f aca="false">VLOOKUP(D45,Acuan!$A$2:$C$12,3,FALSE())</f>
        <v>Beban</v>
      </c>
      <c r="J45" s="22" t="n">
        <f aca="false">MONTH(B45)</f>
        <v>9</v>
      </c>
      <c r="K45" s="23" t="n">
        <f aca="false">IF(I45="Pendapatan",G45-F45,F45-G45)</f>
        <v>2000000</v>
      </c>
    </row>
    <row r="46" customFormat="false" ht="15" hidden="false" customHeight="false" outlineLevel="0" collapsed="false">
      <c r="A46" s="17" t="n">
        <v>45</v>
      </c>
      <c r="B46" s="18" t="n">
        <v>46290</v>
      </c>
      <c r="C46" s="19" t="s">
        <v>144</v>
      </c>
      <c r="D46" s="17" t="n">
        <v>4102</v>
      </c>
      <c r="E46" s="19" t="s">
        <v>113</v>
      </c>
      <c r="F46" s="20"/>
      <c r="G46" s="20" t="n">
        <v>12000000</v>
      </c>
      <c r="H46" s="21" t="str">
        <f aca="false">VLOOKUP(D46,Acuan!$A$2:$C$12,2,FALSE())</f>
        <v>Pendapatan Jasa</v>
      </c>
      <c r="I46" s="21" t="str">
        <f aca="false">VLOOKUP(D46,Acuan!$A$2:$C$12,3,FALSE())</f>
        <v>Pendapatan</v>
      </c>
      <c r="J46" s="22" t="n">
        <f aca="false">MONTH(B46)</f>
        <v>9</v>
      </c>
      <c r="K46" s="23" t="n">
        <f aca="false">IF(I46="Pendapatan",G46-F46,F46-G46)</f>
        <v>12000000</v>
      </c>
    </row>
    <row r="47" customFormat="false" ht="15" hidden="false" customHeight="false" outlineLevel="0" collapsed="false">
      <c r="A47" s="17" t="n">
        <v>46</v>
      </c>
      <c r="B47" s="18" t="n">
        <v>46290</v>
      </c>
      <c r="C47" s="19" t="s">
        <v>145</v>
      </c>
      <c r="D47" s="17" t="n">
        <v>6101</v>
      </c>
      <c r="E47" s="19" t="s">
        <v>109</v>
      </c>
      <c r="F47" s="20" t="n">
        <v>28500000</v>
      </c>
      <c r="G47" s="20"/>
      <c r="H47" s="21" t="str">
        <f aca="false">VLOOKUP(D47,Acuan!$A$2:$C$12,2,FALSE())</f>
        <v>Beban Gaji</v>
      </c>
      <c r="I47" s="21" t="str">
        <f aca="false">VLOOKUP(D47,Acuan!$A$2:$C$12,3,FALSE())</f>
        <v>Beban</v>
      </c>
      <c r="J47" s="22" t="n">
        <f aca="false">MONTH(B47)</f>
        <v>9</v>
      </c>
      <c r="K47" s="23" t="n">
        <f aca="false">IF(I47="Pendapatan",G47-F47,F47-G47)</f>
        <v>28500000</v>
      </c>
    </row>
    <row r="48" customFormat="false" ht="15" hidden="false" customHeight="false" outlineLevel="0" collapsed="false">
      <c r="A48" s="17" t="n">
        <v>47</v>
      </c>
      <c r="B48" s="18" t="n">
        <v>46293</v>
      </c>
      <c r="C48" s="19" t="s">
        <v>146</v>
      </c>
      <c r="D48" s="17" t="n">
        <v>5102</v>
      </c>
      <c r="E48" s="19" t="s">
        <v>94</v>
      </c>
      <c r="F48" s="20" t="n">
        <v>3000000</v>
      </c>
      <c r="G48" s="20"/>
      <c r="H48" s="21" t="str">
        <f aca="false">VLOOKUP(D48,Acuan!$A$2:$C$12,2,FALSE())</f>
        <v>Biaya Angkut Pembelian</v>
      </c>
      <c r="I48" s="21" t="str">
        <f aca="false">VLOOKUP(D48,Acuan!$A$2:$C$12,3,FALSE())</f>
        <v>HPP</v>
      </c>
      <c r="J48" s="22" t="n">
        <f aca="false">MONTH(B48)</f>
        <v>9</v>
      </c>
      <c r="K48" s="23" t="n">
        <f aca="false">IF(I48="Pendapatan",G48-F48,F48-G48)</f>
        <v>3000000</v>
      </c>
    </row>
    <row r="49" customFormat="false" ht="15" hidden="false" customHeight="false" outlineLevel="0" collapsed="false">
      <c r="A49" s="17" t="n">
        <v>48</v>
      </c>
      <c r="B49" s="18" t="n">
        <v>46293</v>
      </c>
      <c r="C49" s="19" t="s">
        <v>147</v>
      </c>
      <c r="D49" s="17" t="n">
        <v>6106</v>
      </c>
      <c r="E49" s="19" t="s">
        <v>115</v>
      </c>
      <c r="F49" s="20" t="n">
        <v>2500000</v>
      </c>
      <c r="G49" s="20"/>
      <c r="H49" s="21" t="str">
        <f aca="false">VLOOKUP(D49,Acuan!$A$2:$C$12,2,FALSE())</f>
        <v>Beban Penyusutan</v>
      </c>
      <c r="I49" s="21" t="str">
        <f aca="false">VLOOKUP(D49,Acuan!$A$2:$C$12,3,FALSE())</f>
        <v>Beban</v>
      </c>
      <c r="J49" s="22" t="n">
        <f aca="false">MONTH(B49)</f>
        <v>9</v>
      </c>
      <c r="K49" s="23" t="n">
        <f aca="false">IF(I49="Pendapatan",G49-F49,F49-G49)</f>
        <v>2500000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2"/>
    <col collapsed="false" customWidth="true" hidden="false" outlineLevel="0" max="4" min="4" style="0" width="17"/>
  </cols>
  <sheetData>
    <row r="1" customFormat="false" ht="33.75" hidden="false" customHeight="true" outlineLevel="0" collapsed="false">
      <c r="A1" s="12" t="s">
        <v>81</v>
      </c>
      <c r="B1" s="12" t="s">
        <v>85</v>
      </c>
      <c r="C1" s="12" t="s">
        <v>86</v>
      </c>
      <c r="D1" s="16" t="s">
        <v>148</v>
      </c>
    </row>
    <row r="2" customFormat="false" ht="15" hidden="false" customHeight="false" outlineLevel="0" collapsed="false">
      <c r="A2" s="17" t="n">
        <v>4101</v>
      </c>
      <c r="B2" s="19" t="s">
        <v>149</v>
      </c>
      <c r="C2" s="19" t="s">
        <v>150</v>
      </c>
      <c r="D2" s="23" t="n">
        <f aca="false">SUMIF(Data!$D$2:$D$49,A2,Data!$K$2:$K$49)</f>
        <v>609000000</v>
      </c>
    </row>
    <row r="3" customFormat="false" ht="15" hidden="false" customHeight="false" outlineLevel="0" collapsed="false">
      <c r="A3" s="17" t="n">
        <v>4102</v>
      </c>
      <c r="B3" s="19" t="s">
        <v>151</v>
      </c>
      <c r="C3" s="19" t="s">
        <v>150</v>
      </c>
      <c r="D3" s="23" t="n">
        <f aca="false">SUMIF(Data!$D$2:$D$49,A3,Data!$K$2:$K$49)</f>
        <v>58000000</v>
      </c>
    </row>
    <row r="4" customFormat="false" ht="15" hidden="false" customHeight="false" outlineLevel="0" collapsed="false">
      <c r="A4" s="17" t="n">
        <v>4103</v>
      </c>
      <c r="B4" s="19" t="s">
        <v>152</v>
      </c>
      <c r="C4" s="19" t="s">
        <v>150</v>
      </c>
      <c r="D4" s="23" t="n">
        <f aca="false">SUMIF(Data!$D$2:$D$49,A4,Data!$K$2:$K$49)</f>
        <v>-5500000</v>
      </c>
    </row>
    <row r="5" customFormat="false" ht="15" hidden="false" customHeight="false" outlineLevel="0" collapsed="false">
      <c r="A5" s="17" t="n">
        <v>5101</v>
      </c>
      <c r="B5" s="19" t="s">
        <v>153</v>
      </c>
      <c r="C5" s="19" t="s">
        <v>154</v>
      </c>
      <c r="D5" s="23" t="n">
        <f aca="false">SUMIF(Data!$D$2:$D$49,A5,Data!$K$2:$K$49)</f>
        <v>340500000</v>
      </c>
    </row>
    <row r="6" customFormat="false" ht="15" hidden="false" customHeight="false" outlineLevel="0" collapsed="false">
      <c r="A6" s="17" t="n">
        <v>5102</v>
      </c>
      <c r="B6" s="19" t="s">
        <v>155</v>
      </c>
      <c r="C6" s="19" t="s">
        <v>154</v>
      </c>
      <c r="D6" s="23" t="n">
        <f aca="false">SUMIF(Data!$D$2:$D$49,A6,Data!$K$2:$K$49)</f>
        <v>8000000</v>
      </c>
    </row>
    <row r="7" customFormat="false" ht="15" hidden="false" customHeight="false" outlineLevel="0" collapsed="false">
      <c r="A7" s="17" t="n">
        <v>6101</v>
      </c>
      <c r="B7" s="19" t="s">
        <v>156</v>
      </c>
      <c r="C7" s="19" t="s">
        <v>157</v>
      </c>
      <c r="D7" s="23" t="n">
        <f aca="false">SUMIF(Data!$D$2:$D$49,A7,Data!$K$2:$K$49)</f>
        <v>85500000</v>
      </c>
    </row>
    <row r="8" customFormat="false" ht="15" hidden="false" customHeight="false" outlineLevel="0" collapsed="false">
      <c r="A8" s="17" t="n">
        <v>6102</v>
      </c>
      <c r="B8" s="19" t="s">
        <v>158</v>
      </c>
      <c r="C8" s="19" t="s">
        <v>157</v>
      </c>
      <c r="D8" s="23" t="n">
        <f aca="false">SUMIF(Data!$D$2:$D$49,A8,Data!$K$2:$K$49)</f>
        <v>18000000</v>
      </c>
    </row>
    <row r="9" customFormat="false" ht="15" hidden="false" customHeight="false" outlineLevel="0" collapsed="false">
      <c r="A9" s="17" t="n">
        <v>6103</v>
      </c>
      <c r="B9" s="19" t="s">
        <v>159</v>
      </c>
      <c r="C9" s="19" t="s">
        <v>157</v>
      </c>
      <c r="D9" s="23" t="n">
        <f aca="false">SUMIF(Data!$D$2:$D$49,A9,Data!$K$2:$K$49)</f>
        <v>6000000</v>
      </c>
    </row>
    <row r="10" customFormat="false" ht="15" hidden="false" customHeight="false" outlineLevel="0" collapsed="false">
      <c r="A10" s="17" t="n">
        <v>6104</v>
      </c>
      <c r="B10" s="19" t="s">
        <v>160</v>
      </c>
      <c r="C10" s="19" t="s">
        <v>157</v>
      </c>
      <c r="D10" s="23" t="n">
        <f aca="false">SUMIF(Data!$D$2:$D$49,A10,Data!$K$2:$K$49)</f>
        <v>6500000</v>
      </c>
    </row>
    <row r="11" customFormat="false" ht="15" hidden="false" customHeight="false" outlineLevel="0" collapsed="false">
      <c r="A11" s="17" t="n">
        <v>6105</v>
      </c>
      <c r="B11" s="19" t="s">
        <v>161</v>
      </c>
      <c r="C11" s="19" t="s">
        <v>157</v>
      </c>
      <c r="D11" s="23" t="n">
        <f aca="false">SUMIF(Data!$D$2:$D$49,A11,Data!$K$2:$K$49)</f>
        <v>3500000</v>
      </c>
    </row>
    <row r="12" customFormat="false" ht="15" hidden="false" customHeight="false" outlineLevel="0" collapsed="false">
      <c r="A12" s="17" t="n">
        <v>6106</v>
      </c>
      <c r="B12" s="19" t="s">
        <v>162</v>
      </c>
      <c r="C12" s="19" t="s">
        <v>157</v>
      </c>
      <c r="D12" s="23" t="n">
        <f aca="false">SUMIF(Data!$D$2:$D$49,A12,Data!$K$2:$K$49)</f>
        <v>7500000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4" t="s">
        <v>163</v>
      </c>
      <c r="B1" s="24"/>
      <c r="C1" s="24"/>
      <c r="D1" s="24"/>
    </row>
    <row r="2" customFormat="false" ht="15" hidden="false" customHeight="false" outlineLevel="0" collapsed="false">
      <c r="A2" s="25" t="s">
        <v>164</v>
      </c>
      <c r="B2" s="25"/>
      <c r="C2" s="25"/>
      <c r="D2" s="25"/>
    </row>
    <row r="3" customFormat="false" ht="15" hidden="false" customHeight="false" outlineLevel="0" collapsed="false">
      <c r="A3" s="12" t="s">
        <v>19</v>
      </c>
      <c r="B3" s="12" t="s">
        <v>165</v>
      </c>
      <c r="C3" s="12" t="s">
        <v>166</v>
      </c>
      <c r="D3" s="12" t="s">
        <v>167</v>
      </c>
    </row>
    <row r="4" customFormat="false" ht="19.5" hidden="false" customHeight="true" outlineLevel="0" collapsed="false">
      <c r="A4" s="26" t="s">
        <v>43</v>
      </c>
      <c r="B4" s="27" t="s">
        <v>168</v>
      </c>
      <c r="C4" s="23" t="n">
        <f aca="false">SUMIF(Data!$I$2:$I$49,"Pendapatan",Data!$K$2:$K$49)</f>
        <v>661500000</v>
      </c>
      <c r="D4" s="28" t="s">
        <v>169</v>
      </c>
    </row>
    <row r="5" customFormat="false" ht="19.5" hidden="false" customHeight="true" outlineLevel="0" collapsed="false">
      <c r="A5" s="26" t="s">
        <v>47</v>
      </c>
      <c r="B5" s="27" t="s">
        <v>170</v>
      </c>
      <c r="C5" s="23" t="n">
        <f aca="false">SUMIF(Data!$I$2:$I$49,"HPP",Data!$K$2:$K$49)</f>
        <v>348500000</v>
      </c>
      <c r="D5" s="28" t="s">
        <v>171</v>
      </c>
    </row>
    <row r="6" customFormat="false" ht="19.5" hidden="false" customHeight="true" outlineLevel="0" collapsed="false">
      <c r="A6" s="26" t="s">
        <v>51</v>
      </c>
      <c r="B6" s="27" t="s">
        <v>172</v>
      </c>
      <c r="C6" s="23" t="n">
        <f aca="false">SUMIF(Data!$I$2:$I$49,"Pendapatan",Data!$K$2:$K$49)-SUMIF(Data!$I$2:$I$49,"HPP",Data!$K$2:$K$49)</f>
        <v>313000000</v>
      </c>
      <c r="D6" s="28" t="s">
        <v>173</v>
      </c>
    </row>
    <row r="7" customFormat="false" ht="19.5" hidden="false" customHeight="true" outlineLevel="0" collapsed="false">
      <c r="A7" s="26" t="s">
        <v>55</v>
      </c>
      <c r="B7" s="27" t="s">
        <v>174</v>
      </c>
      <c r="C7" s="23" t="n">
        <f aca="false">SUMIF(Data!$I$2:$I$49,"Beban",Data!$K$2:$K$49)</f>
        <v>127000000</v>
      </c>
      <c r="D7" s="28" t="s">
        <v>175</v>
      </c>
    </row>
    <row r="8" customFormat="false" ht="19.5" hidden="false" customHeight="true" outlineLevel="0" collapsed="false">
      <c r="A8" s="26" t="s">
        <v>59</v>
      </c>
      <c r="B8" s="27" t="s">
        <v>176</v>
      </c>
      <c r="C8" s="23" t="n">
        <f aca="false">SUMIF(Data!$I$2:$I$49,"Pendapatan",Data!$K$2:$K$49)-SUMIF(Data!$I$2:$I$49,"HPP",Data!$K$2:$K$49)-SUMIF(Data!$I$2:$I$49,"Beban",Data!$K$2:$K$49)</f>
        <v>186000000</v>
      </c>
      <c r="D8" s="28" t="s">
        <v>177</v>
      </c>
    </row>
    <row r="9" customFormat="false" ht="19.5" hidden="false" customHeight="true" outlineLevel="0" collapsed="false">
      <c r="A9" s="26" t="s">
        <v>63</v>
      </c>
      <c r="B9" s="27" t="s">
        <v>178</v>
      </c>
      <c r="C9" s="29" t="n">
        <f aca="false">(SUMIF(Data!$I$2:$I$49,"Pendapatan",Data!$K$2:$K$49)-SUMIF(Data!$I$2:$I$49,"HPP",Data!$K$2:$K$49)-SUMIF(Data!$I$2:$I$49,"Beban",Data!$K$2:$K$49))/SUMIF(Data!$I$2:$I$49,"Pendapatan",Data!$K$2:$K$49)</f>
        <v>0.281179138321996</v>
      </c>
      <c r="D9" s="28" t="s">
        <v>179</v>
      </c>
    </row>
    <row r="10" customFormat="false" ht="19.5" hidden="false" customHeight="true" outlineLevel="0" collapsed="false">
      <c r="A10" s="26" t="s">
        <v>67</v>
      </c>
      <c r="B10" s="27" t="s">
        <v>180</v>
      </c>
      <c r="C10" s="23" t="n">
        <f aca="false">SUMIFS(Data!$K$2:$K$49,Data!$I$2:$I$49,"Pendapatan",Data!$J$2:$J$49,9)</f>
        <v>196500000</v>
      </c>
      <c r="D10" s="28" t="s">
        <v>181</v>
      </c>
    </row>
    <row r="11" customFormat="false" ht="19.5" hidden="false" customHeight="true" outlineLevel="0" collapsed="false">
      <c r="A11" s="26" t="s">
        <v>71</v>
      </c>
      <c r="B11" s="27" t="s">
        <v>182</v>
      </c>
      <c r="C11" s="21" t="str">
        <f aca="false">INDEX(Acuan!$B$2:$B$12,MATCH(SUMPRODUCT(MAX((Acuan!$C$2:$C$12="Beban")*Acuan!$D$2:$D$12)),Acuan!$D$2:$D$12,0))</f>
        <v>Beban Gaji</v>
      </c>
      <c r="D11" s="28" t="s">
        <v>183</v>
      </c>
    </row>
    <row r="12" customFormat="false" ht="19.5" hidden="false" customHeight="true" outlineLevel="0" collapsed="false">
      <c r="A12" s="26" t="s">
        <v>75</v>
      </c>
      <c r="B12" s="27" t="s">
        <v>184</v>
      </c>
      <c r="C12" s="22" t="n">
        <f aca="false">COUNTIF(Data!$D$2:$D$49,4103)</f>
        <v>2</v>
      </c>
      <c r="D12" s="28" t="s">
        <v>185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2026-10-10T06:49:18Z</dcterms:created>
  <dc:creator>PushExcel</dc:creator>
  <dc:description/>
  <dc:language>en-US</dc:language>
  <cp:lastModifiedBy/>
  <dcterms:modified xsi:type="dcterms:W3CDTF">2026-10-10T06:49:18Z</dcterms:modified>
  <cp:revision>0</cp:revision>
  <dc:subject/>
  <dc:title>Laporan Laba Rugi dari Jurnal Umum - Kunci</dc:title>
</cp:coreProperties>
</file>

<file path=docProps/custom.xml><?xml version="1.0" encoding="utf-8"?>
<Properties xmlns="http://schemas.openxmlformats.org/officeDocument/2006/custom-properties" xmlns:vt="http://schemas.openxmlformats.org/officeDocument/2006/docPropsVTypes"/>
</file>