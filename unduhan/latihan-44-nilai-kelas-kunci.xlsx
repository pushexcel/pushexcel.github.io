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Petunjuk" sheetId="1" state="visible" r:id="rId3"/>
    <sheet name="Data" sheetId="2" state="visible" r:id="rId4"/>
    <sheet name="Ringkasan"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<sst xmlns="http://schemas.openxmlformats.org/spreadsheetml/2006/main" count="165" uniqueCount="161">
  <si>
    <t xml:space="preserve">Kunci Jawaban: Rekap Nilai Tugas dan Ujian Satu Kelas</t>
  </si>
  <si>
    <t xml:space="preserve">Latihan 44 dari 56  |  Tingkat: Pemula  |  Perkiraan waktu: 40 menit  |  pushexcel.github.io/Pushexcel</t>
  </si>
  <si>
    <t xml:space="preserve">Skenario</t>
  </si>
  <si>
    <t xml:space="preserve">Kamu guru mata pelajaran Informatika di SMP Cahaya Bangsa. Nilai 28 siswa terdiri dari tugas, ulangan harian, UTS, dan UAS. Bobotnya (20, 20, 25, dan 35 persen) dan KKM 75 ada di blok Parameter. Nilai akhir dibulatkan ke bilangan bulat. Predikat A untuk nilai akhir 85 ke atas, B untuk 75 sampai 84, C untuk 65 sampai 74, dan D untuk di bawah 65. Siswa tuntas bila nilai akhir sama dengan atau di atas KKM.</t>
  </si>
  <si>
    <t xml:space="preserve">Cara memakai kunci</t>
  </si>
  <si>
    <t xml:space="preserve">1.</t>
  </si>
  <si>
    <t xml:space="preserve">Sel hijau berisi rumus kunci yang sudah dihitung. Klik sel untuk melihat rumusnya.</t>
  </si>
  <si>
    <t xml:space="preserve">2.</t>
  </si>
  <si>
    <t xml:space="preserve">Kolom Rumus kunci di bawah menampilkan rumus untuk baris pertama atau tiap sel jawaban.</t>
  </si>
  <si>
    <t xml:space="preserve">3.</t>
  </si>
  <si>
    <t xml:space="preserve">Rumus ditulis dengan titik koma (;). Ganti dengan koma (,) bila Excel kamu berbahasa Inggris.</t>
  </si>
  <si>
    <t xml:space="preserve">4.</t>
  </si>
  <si>
    <t xml:space="preserve">Jawaban lain yang benar secara logika juga boleh, selama hasilnya sama.</t>
  </si>
  <si>
    <t xml:space="preserve">Arti warna</t>
  </si>
  <si>
    <t xml:space="preserve">Judul kolom data yang sudah diberikan</t>
  </si>
  <si>
    <t xml:space="preserve">Judul kolom hasil hitung</t>
  </si>
  <si>
    <t xml:space="preserve">Sel berisi rumus kunci</t>
  </si>
  <si>
    <t xml:space="preserve">Angka berwarna biru pada blok Parameter = nilai tetap yang boleh dirujuk</t>
  </si>
  <si>
    <t xml:space="preserve">Daftar soal</t>
  </si>
  <si>
    <t xml:space="preserve">No</t>
  </si>
  <si>
    <t xml:space="preserve">Soal</t>
  </si>
  <si>
    <t xml:space="preserve">Jawab di</t>
  </si>
  <si>
    <t xml:space="preserve">Rumus kunci</t>
  </si>
  <si>
    <t xml:space="preserve">1</t>
  </si>
  <si>
    <t xml:space="preserve">Hitung nilai akhir berbobot: tiap nilai dikali bobotnya, dijumlahkan, lalu dibulatkan ke bilangan bulat.</t>
  </si>
  <si>
    <t xml:space="preserve">Sheet Data, kolom G (Nilai Akhir), baris 2 sampai 29</t>
  </si>
  <si>
    <t xml:space="preserve">=ROUND(C2*$N$2+D2*$N$3+E2*$N$4+F2*$N$5;0)</t>
  </si>
  <si>
    <t xml:space="preserve">2</t>
  </si>
  <si>
    <t xml:space="preserve">Beri predikat: A bila nilai akhir 85 ke atas, B bila 75 ke atas, C bila 65 ke atas, selain itu D.</t>
  </si>
  <si>
    <t xml:space="preserve">Sheet Data, kolom H (Predikat), baris 2 sampai 29</t>
  </si>
  <si>
    <t xml:space="preserve">=IF(G2&gt;=85;"A";IF(G2&gt;=75;"B";IF(G2&gt;=65;"C";"D")))</t>
  </si>
  <si>
    <t xml:space="preserve">3</t>
  </si>
  <si>
    <t xml:space="preserve">Beri status Tuntas bila nilai akhir sama dengan atau di atas KKM. Selain itu Remedial.</t>
  </si>
  <si>
    <t xml:space="preserve">Sheet Data, kolom I (Status), baris 2 sampai 29</t>
  </si>
  <si>
    <t xml:space="preserve">=IF(G2&gt;=$N$6;"Tuntas";"Remedial")</t>
  </si>
  <si>
    <t xml:space="preserve">4</t>
  </si>
  <si>
    <t xml:space="preserve">Beri peringkat siswa menurut nilai akhir, peringkat 1 untuk nilai tertinggi.</t>
  </si>
  <si>
    <t xml:space="preserve">Sheet Data, kolom J (Peringkat), baris 2 sampai 29</t>
  </si>
  <si>
    <t xml:space="preserve">=RANK(G2;$G$2:$G$29;0)</t>
  </si>
  <si>
    <t xml:space="preserve">5</t>
  </si>
  <si>
    <t xml:space="preserve">Tulis Di atas rata-rata bila nilai akhir lebih besar dari rata-rata nilai akhir seluruh kelas. Selain itu Di bawah rata-rata.</t>
  </si>
  <si>
    <t xml:space="preserve">Sheet Data, kolom K (Posisi), baris 2 sampai 29</t>
  </si>
  <si>
    <t xml:space="preserve">=IF(G2&gt;AVERAGE($G$2:$G$29);"Di atas rata-rata";"Di bawah rata-rata")</t>
  </si>
  <si>
    <t xml:space="preserve">6</t>
  </si>
  <si>
    <t xml:space="preserve">Berapa rata-rata, nilai tertinggi, dan nilai terendah dari nilai akhir kelas?</t>
  </si>
  <si>
    <t xml:space="preserve">Sheet Ringkasan, sel C4 sampai C6</t>
  </si>
  <si>
    <t xml:space="preserve">=AVERAGE(Data!$G$2:$G$29)
=MAX(Data!$G$2:$G$29)
=MIN(Data!$G$2:$G$29)</t>
  </si>
  <si>
    <t xml:space="preserve">7</t>
  </si>
  <si>
    <t xml:space="preserve">Berapa siswa yang Tuntas, berapa yang Remedial, dan berapa persen siswa yang tuntas?</t>
  </si>
  <si>
    <t xml:space="preserve">Sheet Ringkasan, sel C7 sampai C9</t>
  </si>
  <si>
    <t xml:space="preserve">=COUNTIF(Data!$I$2:$I$29;"Tuntas")
=COUNTIF(Data!$I$2:$I$29;"Remedial")
=C7/COUNT(Data!$A$2:$A$29)</t>
  </si>
  <si>
    <t xml:space="preserve">8</t>
  </si>
  <si>
    <t xml:space="preserve">Siapa siswa dengan nilai akhir tertinggi, dan siapa yang nilai UAS-nya tertinggi?</t>
  </si>
  <si>
    <t xml:space="preserve">Sheet Ringkasan, sel C10 sampai C11</t>
  </si>
  <si>
    <t xml:space="preserve">=INDEX(Data!$B$2:$B$29;MATCH(MAX(Data!$G$2:$G$29);Data!$G$2:$G$29;0))
=INDEX(Data!$B$2:$B$29;MATCH(MAX(Data!$F$2:$F$29);Data!$F$2:$F$29;0))</t>
  </si>
  <si>
    <t xml:space="preserve">9</t>
  </si>
  <si>
    <t xml:space="preserve">Berapa siswa yang berpredikat A, dan berapa rata-rata nilai UTS siswa yang harus remedial?</t>
  </si>
  <si>
    <t xml:space="preserve">Sheet Ringkasan, sel C12 sampai C13</t>
  </si>
  <si>
    <t xml:space="preserve">=COUNTIF(Data!$H$2:$H$29;"A")
=AVERAGEIF(Data!$I$2:$I$29;"Remedial";Data!$E$2:$E$29)</t>
  </si>
  <si>
    <t xml:space="preserve">10</t>
  </si>
  <si>
    <t xml:space="preserve">Berapa nilai akhir tertinggi kedua dan terendah kedua, dan siapa siswa peringkat 3?</t>
  </si>
  <si>
    <t xml:space="preserve">Sheet Ringkasan, sel C14 sampai C16</t>
  </si>
  <si>
    <t xml:space="preserve">=LARGE(Data!$G$2:$G$29;2)
=SMALL(Data!$G$2:$G$29;2)
=INDEX(Data!$B$2:$B$29;MATCH(3;Data!$J$2:$J$29;0))</t>
  </si>
  <si>
    <t xml:space="preserve">11</t>
  </si>
  <si>
    <t xml:space="preserve">Berapa siswa yang nilai akhirnya di atas rata-rata kelas, dan berapa total nilai UAS seluruh siswa Tuntas?</t>
  </si>
  <si>
    <t xml:space="preserve">Sheet Ringkasan, sel C17 sampai C18</t>
  </si>
  <si>
    <t xml:space="preserve">=COUNTIF(Data!$K$2:$K$29;"Di atas rata-rata")
=SUMIF(Data!$I$2:$I$29;"Tuntas";Data!$F$2:$F$29)</t>
  </si>
  <si>
    <t xml:space="preserve">Nama Siswa</t>
  </si>
  <si>
    <t xml:space="preserve">Tugas</t>
  </si>
  <si>
    <t xml:space="preserve">Ulangan Harian</t>
  </si>
  <si>
    <t xml:space="preserve">UTS</t>
  </si>
  <si>
    <t xml:space="preserve">UAS</t>
  </si>
  <si>
    <t xml:space="preserve">Nilai Akhir</t>
  </si>
  <si>
    <t xml:space="preserve">Predikat</t>
  </si>
  <si>
    <t xml:space="preserve">Status</t>
  </si>
  <si>
    <t xml:space="preserve">Peringkat</t>
  </si>
  <si>
    <t xml:space="preserve">Posisi</t>
  </si>
  <si>
    <t xml:space="preserve">Parameter</t>
  </si>
  <si>
    <t xml:space="preserve">Nilai</t>
  </si>
  <si>
    <t xml:space="preserve">Keterangan</t>
  </si>
  <si>
    <t xml:space="preserve">Utami Sari</t>
  </si>
  <si>
    <t xml:space="preserve">Bobot Tugas</t>
  </si>
  <si>
    <t xml:space="preserve">Putri Hartono</t>
  </si>
  <si>
    <t xml:space="preserve">Bobot Ulangan Harian</t>
  </si>
  <si>
    <t xml:space="preserve">Tika Kurniawan</t>
  </si>
  <si>
    <t xml:space="preserve">Bobot UTS</t>
  </si>
  <si>
    <t xml:space="preserve">Maman Purnomo</t>
  </si>
  <si>
    <t xml:space="preserve">Bobot UAS</t>
  </si>
  <si>
    <t xml:space="preserve">Budi Hartono</t>
  </si>
  <si>
    <t xml:space="preserve">KKM</t>
  </si>
  <si>
    <t xml:space="preserve">Lina Hidayat</t>
  </si>
  <si>
    <t xml:space="preserve">Dewi Santoso</t>
  </si>
  <si>
    <t xml:space="preserve">Gita Wijaya</t>
  </si>
  <si>
    <t xml:space="preserve">Indah Pratama</t>
  </si>
  <si>
    <t xml:space="preserve">Prasetyo Utomo</t>
  </si>
  <si>
    <t xml:space="preserve">Rahmat Utomo</t>
  </si>
  <si>
    <t xml:space="preserve">Bambang Nugroho</t>
  </si>
  <si>
    <t xml:space="preserve">Prasetyo Lestari</t>
  </si>
  <si>
    <t xml:space="preserve">Gita Syahputra</t>
  </si>
  <si>
    <t xml:space="preserve">Fitri Pangestu</t>
  </si>
  <si>
    <t xml:space="preserve">Agus Amalia</t>
  </si>
  <si>
    <t xml:space="preserve">Farida Wibowo</t>
  </si>
  <si>
    <t xml:space="preserve">Indah Utomo</t>
  </si>
  <si>
    <t xml:space="preserve">Bambang Kusuma</t>
  </si>
  <si>
    <t xml:space="preserve">Rina Amalia</t>
  </si>
  <si>
    <t xml:space="preserve">Rahmat Kurniawan</t>
  </si>
  <si>
    <t xml:space="preserve">Zainal Syahputra</t>
  </si>
  <si>
    <t xml:space="preserve">Dimas Purnomo</t>
  </si>
  <si>
    <t xml:space="preserve">Hadi Firmansyah</t>
  </si>
  <si>
    <t xml:space="preserve">Yoga Sari</t>
  </si>
  <si>
    <t xml:space="preserve">Nurul Lestari</t>
  </si>
  <si>
    <t xml:space="preserve">Sari Yulianto</t>
  </si>
  <si>
    <t xml:space="preserve">Oki Lestari</t>
  </si>
  <si>
    <t xml:space="preserve">Ringkasan: lembar jawaban soal berjenis ringkasan</t>
  </si>
  <si>
    <t xml:space="preserve">Sel hijau berisi rumus kunci.</t>
  </si>
  <si>
    <t xml:space="preserve">Pertanyaan</t>
  </si>
  <si>
    <t xml:space="preserve">Jawaban</t>
  </si>
  <si>
    <t xml:space="preserve">Contoh format hasil</t>
  </si>
  <si>
    <t xml:space="preserve">6a</t>
  </si>
  <si>
    <t xml:space="preserve">Rata-rata nilai akhir</t>
  </si>
  <si>
    <t xml:space="preserve">Angka desimal, mis. 72,50</t>
  </si>
  <si>
    <t xml:space="preserve">6b</t>
  </si>
  <si>
    <t xml:space="preserve">Nilai akhir tertinggi</t>
  </si>
  <si>
    <t xml:space="preserve">Angka bulat, mis. 95</t>
  </si>
  <si>
    <t xml:space="preserve">6c</t>
  </si>
  <si>
    <t xml:space="preserve">Nilai akhir terendah</t>
  </si>
  <si>
    <t xml:space="preserve">Angka bulat, mis. 40</t>
  </si>
  <si>
    <t xml:space="preserve">7a</t>
  </si>
  <si>
    <t xml:space="preserve">Jumlah siswa Tuntas</t>
  </si>
  <si>
    <t xml:space="preserve">Angka bulat, mis. 15</t>
  </si>
  <si>
    <t xml:space="preserve">7b</t>
  </si>
  <si>
    <t xml:space="preserve">Jumlah siswa Remedial</t>
  </si>
  <si>
    <t xml:space="preserve">Angka bulat, mis. 13</t>
  </si>
  <si>
    <t xml:space="preserve">7c</t>
  </si>
  <si>
    <t xml:space="preserve">Persen siswa tuntas</t>
  </si>
  <si>
    <t xml:space="preserve">Persen, mis. 55,5%</t>
  </si>
  <si>
    <t xml:space="preserve">8a</t>
  </si>
  <si>
    <t xml:space="preserve">Siswa dengan nilai akhir tertinggi</t>
  </si>
  <si>
    <t xml:space="preserve">Teks: nama siswa</t>
  </si>
  <si>
    <t xml:space="preserve">8b</t>
  </si>
  <si>
    <t xml:space="preserve">Siswa dengan nilai UAS tertinggi</t>
  </si>
  <si>
    <t xml:space="preserve">9a</t>
  </si>
  <si>
    <t xml:space="preserve">Jumlah siswa predikat A</t>
  </si>
  <si>
    <t xml:space="preserve">Angka bulat, mis. 7</t>
  </si>
  <si>
    <t xml:space="preserve">9b</t>
  </si>
  <si>
    <t xml:space="preserve">Rata-rata UTS siswa remedial</t>
  </si>
  <si>
    <t xml:space="preserve">Angka desimal, mis. 62,40</t>
  </si>
  <si>
    <t xml:space="preserve">10a</t>
  </si>
  <si>
    <t xml:space="preserve">Nilai akhir tertinggi kedua</t>
  </si>
  <si>
    <t xml:space="preserve">Angka bulat, mis. 88</t>
  </si>
  <si>
    <t xml:space="preserve">10b</t>
  </si>
  <si>
    <t xml:space="preserve">Nilai akhir terendah kedua</t>
  </si>
  <si>
    <t xml:space="preserve">Angka bulat, mis. 45</t>
  </si>
  <si>
    <t xml:space="preserve">10c</t>
  </si>
  <si>
    <t xml:space="preserve">Siswa peringkat 3</t>
  </si>
  <si>
    <t xml:space="preserve">11a</t>
  </si>
  <si>
    <t xml:space="preserve">Jumlah siswa di atas rata-rata</t>
  </si>
  <si>
    <t xml:space="preserve">Angka bulat, mis. 12</t>
  </si>
  <si>
    <t xml:space="preserve">11b</t>
  </si>
  <si>
    <t xml:space="preserve">Total nilai UAS siswa Tuntas</t>
  </si>
  <si>
    <t xml:space="preserve">Angka bulat, mis. 1200</t>
  </si>
</sst>
</file>

<file path=xl/styles.xml><?xml version="1.0" encoding="utf-8"?>
<styleSheet xmlns="http://schemas.openxmlformats.org/spreadsheetml/2006/main">
  <numFmts count="5">
    <numFmt numFmtId="164" formatCode="General"/>
    <numFmt numFmtId="165" formatCode="0"/>
    <numFmt numFmtId="166" formatCode="0%"/>
    <numFmt numFmtId="167" formatCode="0.00"/>
    <numFmt numFmtId="168" formatCode="0.0%"/>
  </numFmts>
  <fonts count="13">
    <font>
      <sz val="11"/>
      <color theme="1"/>
      <name val="Calibri"/>
      <family val="2"/>
      <charset val="1"/>
    </font>
    <font>
      <sz val="10"/>
      <name val="Arial"/>
      <family val="0"/>
    </font>
    <font>
      <sz val="10"/>
      <name val="Arial"/>
      <family val="0"/>
    </font>
    <font>
      <sz val="10"/>
      <name val="Arial"/>
      <family val="0"/>
    </font>
    <font>
      <b val="true"/>
      <sz val="16"/>
      <color rgb="FF1F4E3D"/>
      <name val="Arial"/>
      <family val="0"/>
      <charset val="1"/>
    </font>
    <font>
      <sz val="9"/>
      <color rgb="FF595959"/>
      <name val="Arial"/>
      <family val="0"/>
      <charset val="1"/>
    </font>
    <font>
      <b val="true"/>
      <sz val="11"/>
      <name val="Arial"/>
      <family val="0"/>
      <charset val="1"/>
    </font>
    <font>
      <sz val="10"/>
      <name val="Arial"/>
      <family val="0"/>
      <charset val="1"/>
    </font>
    <font>
      <b val="true"/>
      <sz val="10"/>
      <color rgb="FFFFFFFF"/>
      <name val="Arial"/>
      <family val="0"/>
      <charset val="1"/>
    </font>
    <font>
      <sz val="9"/>
      <name val="Consolas"/>
      <family val="0"/>
      <charset val="1"/>
    </font>
    <font>
      <sz val="10"/>
      <color rgb="FF0000FF"/>
      <name val="Arial"/>
      <family val="0"/>
      <charset val="1"/>
    </font>
    <font>
      <b val="true"/>
      <sz val="13"/>
      <color rgb="FF1F4E3D"/>
      <name val="Arial"/>
      <family val="0"/>
      <charset val="1"/>
    </font>
    <font>
      <i val="true"/>
      <sz val="9"/>
      <color rgb="FF595959"/>
      <name val="Arial"/>
      <family val="0"/>
      <charset val="1"/>
    </font>
  </fonts>
  <fills count="7">
    <fill>
      <patternFill patternType="none"/>
    </fill>
    <fill>
      <patternFill patternType="gray125"/>
    </fill>
    <fill>
      <patternFill patternType="solid">
        <fgColor rgb="FF1F4E3D"/>
        <bgColor rgb="FF44546A"/>
      </patternFill>
    </fill>
    <fill>
      <patternFill patternType="solid">
        <fgColor rgb="FFB45F06"/>
        <bgColor rgb="FF808000"/>
      </patternFill>
    </fill>
    <fill>
      <patternFill patternType="solid">
        <fgColor rgb="FFE2EFDA"/>
        <bgColor rgb="FFFFFFCC"/>
      </patternFill>
    </fill>
    <fill>
      <patternFill patternType="solid">
        <fgColor rgb="FFFFFFFF"/>
        <bgColor rgb="FFFFFFCC"/>
      </patternFill>
    </fill>
    <fill>
      <patternFill patternType="solid">
        <fgColor rgb="FF44546A"/>
        <bgColor rgb="FF59595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right" vertical="top"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5" fontId="7" fillId="0" borderId="1" xfId="0" applyFont="true" applyBorder="true" applyAlignment="true" applyProtection="false">
      <alignment horizontal="right"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5" fontId="7" fillId="4" borderId="1" xfId="0" applyFont="true" applyBorder="true" applyAlignment="true" applyProtection="false">
      <alignment horizontal="right"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6" fontId="10" fillId="0" borderId="1" xfId="0" applyFont="true" applyBorder="true" applyAlignment="true" applyProtection="false">
      <alignment horizontal="right" vertical="center" textRotation="0" wrapText="false" indent="0" shrinkToFit="false"/>
      <protection locked="true" hidden="false"/>
    </xf>
    <xf numFmtId="165" fontId="10" fillId="0" borderId="1" xfId="0" applyFont="true" applyBorder="true" applyAlignment="true" applyProtection="false">
      <alignment horizontal="right" vertical="center"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7" fontId="7" fillId="4" borderId="1" xfId="0" applyFont="true" applyBorder="true" applyAlignment="true" applyProtection="false">
      <alignment horizontal="right" vertical="center" textRotation="0" wrapText="false" indent="0" shrinkToFit="false"/>
      <protection locked="true" hidden="false"/>
    </xf>
    <xf numFmtId="164" fontId="12" fillId="0" borderId="1" xfId="0" applyFont="true" applyBorder="true" applyAlignment="true" applyProtection="false">
      <alignment horizontal="general" vertical="center" textRotation="0" wrapText="true" indent="0" shrinkToFit="false"/>
      <protection locked="true" hidden="false"/>
    </xf>
    <xf numFmtId="168" fontId="7" fillId="4" borderId="1" xfId="0" applyFont="true" applyBorder="tru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B45F06"/>
      <rgbColor rgb="FF993366"/>
      <rgbColor rgb="FF44546A"/>
      <rgbColor rgb="FF1F4E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2"/>
    <col collapsed="false" customWidth="true" hidden="false" outlineLevel="0" max="3" min="3" style="0" width="40"/>
    <col collapsed="false" customWidth="true" hidden="false" outlineLevel="0" max="4" min="4" style="0" width="70"/>
    <col collapsed="false" customWidth="true" hidden="false" outlineLevel="0" max="5" min="5" style="0" width="30"/>
  </cols>
  <sheetData>
    <row r="1" customFormat="false" ht="19.7" hidden="false" customHeight="false" outlineLevel="0" collapsed="false">
      <c r="A1" s="1" t="s">
        <v>0</v>
      </c>
      <c r="B1" s="1"/>
      <c r="C1" s="1"/>
      <c r="D1" s="1"/>
      <c r="E1" s="1"/>
    </row>
    <row r="2" customFormat="false" ht="15" hidden="false" customHeight="false" outlineLevel="0" collapsed="false">
      <c r="A2" s="2" t="s">
        <v>1</v>
      </c>
      <c r="B2" s="2"/>
      <c r="C2" s="2"/>
      <c r="D2" s="2"/>
      <c r="E2" s="2"/>
    </row>
    <row r="4" customFormat="false" ht="15" hidden="false" customHeight="false" outlineLevel="0" collapsed="false">
      <c r="A4" s="3" t="s">
        <v>2</v>
      </c>
    </row>
    <row r="5" customFormat="false" ht="60" hidden="false" customHeight="true" outlineLevel="0" collapsed="false">
      <c r="A5" s="4" t="s">
        <v>3</v>
      </c>
      <c r="B5" s="4"/>
      <c r="C5" s="4"/>
      <c r="D5" s="4"/>
      <c r="E5" s="4"/>
    </row>
    <row r="7" customFormat="false" ht="15" hidden="false" customHeight="false" outlineLevel="0" collapsed="false">
      <c r="A7" s="3" t="s">
        <v>4</v>
      </c>
    </row>
    <row r="8" customFormat="false" ht="15" hidden="false" customHeight="true" outlineLevel="0" collapsed="false">
      <c r="A8" s="5" t="s">
        <v>5</v>
      </c>
      <c r="B8" s="4" t="s">
        <v>6</v>
      </c>
      <c r="C8" s="4"/>
      <c r="D8" s="4"/>
      <c r="E8" s="4"/>
    </row>
    <row r="9" customFormat="false" ht="15" hidden="false" customHeight="true" outlineLevel="0" collapsed="false">
      <c r="A9" s="5" t="s">
        <v>7</v>
      </c>
      <c r="B9" s="4" t="s">
        <v>8</v>
      </c>
      <c r="C9" s="4"/>
      <c r="D9" s="4"/>
      <c r="E9" s="4"/>
    </row>
    <row r="10" customFormat="false" ht="15" hidden="false" customHeight="true" outlineLevel="0" collapsed="false">
      <c r="A10" s="5" t="s">
        <v>9</v>
      </c>
      <c r="B10" s="4" t="s">
        <v>10</v>
      </c>
      <c r="C10" s="4"/>
      <c r="D10" s="4"/>
      <c r="E10" s="4"/>
    </row>
    <row r="11" customFormat="false" ht="15" hidden="false" customHeight="true" outlineLevel="0" collapsed="false">
      <c r="A11" s="5" t="s">
        <v>11</v>
      </c>
      <c r="B11" s="4" t="s">
        <v>12</v>
      </c>
      <c r="C11" s="4"/>
      <c r="D11" s="4"/>
      <c r="E11" s="4"/>
    </row>
    <row r="13" customFormat="false" ht="15" hidden="false" customHeight="false" outlineLevel="0" collapsed="false">
      <c r="A13" s="3" t="s">
        <v>13</v>
      </c>
    </row>
    <row r="14" customFormat="false" ht="15" hidden="false" customHeight="false" outlineLevel="0" collapsed="false">
      <c r="A14" s="6"/>
      <c r="B14" s="7" t="s">
        <v>14</v>
      </c>
    </row>
    <row r="15" customFormat="false" ht="15" hidden="false" customHeight="false" outlineLevel="0" collapsed="false">
      <c r="A15" s="8"/>
      <c r="B15" s="7" t="s">
        <v>15</v>
      </c>
    </row>
    <row r="16" customFormat="false" ht="15" hidden="false" customHeight="false" outlineLevel="0" collapsed="false">
      <c r="A16" s="9"/>
      <c r="B16" s="7" t="s">
        <v>16</v>
      </c>
    </row>
    <row r="17" customFormat="false" ht="15" hidden="false" customHeight="false" outlineLevel="0" collapsed="false">
      <c r="A17" s="10"/>
      <c r="B17" s="7" t="s">
        <v>17</v>
      </c>
    </row>
    <row r="19" customFormat="false" ht="15" hidden="false" customHeight="false" outlineLevel="0" collapsed="false">
      <c r="A19" s="3" t="s">
        <v>18</v>
      </c>
    </row>
    <row r="20" customFormat="false" ht="15" hidden="false" customHeight="false" outlineLevel="0" collapsed="false">
      <c r="A20" s="11" t="s">
        <v>19</v>
      </c>
      <c r="B20" s="11" t="s">
        <v>20</v>
      </c>
      <c r="C20" s="11" t="s">
        <v>21</v>
      </c>
      <c r="D20" s="11" t="s">
        <v>22</v>
      </c>
    </row>
    <row r="21" customFormat="false" ht="30" hidden="false" customHeight="true" outlineLevel="0" collapsed="false">
      <c r="A21" s="12" t="s">
        <v>23</v>
      </c>
      <c r="B21" s="13" t="s">
        <v>24</v>
      </c>
      <c r="C21" s="13" t="s">
        <v>25</v>
      </c>
      <c r="D21" s="14" t="s">
        <v>26</v>
      </c>
    </row>
    <row r="22" customFormat="false" ht="30" hidden="false" customHeight="true" outlineLevel="0" collapsed="false">
      <c r="A22" s="12" t="s">
        <v>27</v>
      </c>
      <c r="B22" s="13" t="s">
        <v>28</v>
      </c>
      <c r="C22" s="13" t="s">
        <v>29</v>
      </c>
      <c r="D22" s="14" t="s">
        <v>30</v>
      </c>
    </row>
    <row r="23" customFormat="false" ht="30" hidden="false" customHeight="true" outlineLevel="0" collapsed="false">
      <c r="A23" s="12" t="s">
        <v>31</v>
      </c>
      <c r="B23" s="13" t="s">
        <v>32</v>
      </c>
      <c r="C23" s="13" t="s">
        <v>33</v>
      </c>
      <c r="D23" s="14" t="s">
        <v>34</v>
      </c>
    </row>
    <row r="24" customFormat="false" ht="30" hidden="false" customHeight="true" outlineLevel="0" collapsed="false">
      <c r="A24" s="12" t="s">
        <v>35</v>
      </c>
      <c r="B24" s="13" t="s">
        <v>36</v>
      </c>
      <c r="C24" s="13" t="s">
        <v>37</v>
      </c>
      <c r="D24" s="14" t="s">
        <v>38</v>
      </c>
    </row>
    <row r="25" customFormat="false" ht="42" hidden="false" customHeight="true" outlineLevel="0" collapsed="false">
      <c r="A25" s="12" t="s">
        <v>39</v>
      </c>
      <c r="B25" s="13" t="s">
        <v>40</v>
      </c>
      <c r="C25" s="13" t="s">
        <v>41</v>
      </c>
      <c r="D25" s="14" t="s">
        <v>42</v>
      </c>
    </row>
    <row r="26" customFormat="false" ht="57.75" hidden="false" customHeight="true" outlineLevel="0" collapsed="false">
      <c r="A26" s="12" t="s">
        <v>43</v>
      </c>
      <c r="B26" s="13" t="s">
        <v>44</v>
      </c>
      <c r="C26" s="13" t="s">
        <v>45</v>
      </c>
      <c r="D26" s="14" t="s">
        <v>46</v>
      </c>
    </row>
    <row r="27" customFormat="false" ht="57.75" hidden="false" customHeight="true" outlineLevel="0" collapsed="false">
      <c r="A27" s="12" t="s">
        <v>47</v>
      </c>
      <c r="B27" s="13" t="s">
        <v>48</v>
      </c>
      <c r="C27" s="13" t="s">
        <v>49</v>
      </c>
      <c r="D27" s="14" t="s">
        <v>50</v>
      </c>
    </row>
    <row r="28" customFormat="false" ht="55.5" hidden="false" customHeight="true" outlineLevel="0" collapsed="false">
      <c r="A28" s="12" t="s">
        <v>51</v>
      </c>
      <c r="B28" s="13" t="s">
        <v>52</v>
      </c>
      <c r="C28" s="13" t="s">
        <v>53</v>
      </c>
      <c r="D28" s="14" t="s">
        <v>54</v>
      </c>
    </row>
    <row r="29" customFormat="false" ht="43.5" hidden="false" customHeight="true" outlineLevel="0" collapsed="false">
      <c r="A29" s="12" t="s">
        <v>55</v>
      </c>
      <c r="B29" s="13" t="s">
        <v>56</v>
      </c>
      <c r="C29" s="13" t="s">
        <v>57</v>
      </c>
      <c r="D29" s="14" t="s">
        <v>58</v>
      </c>
    </row>
    <row r="30" customFormat="false" ht="57.75" hidden="false" customHeight="true" outlineLevel="0" collapsed="false">
      <c r="A30" s="12" t="s">
        <v>59</v>
      </c>
      <c r="B30" s="13" t="s">
        <v>60</v>
      </c>
      <c r="C30" s="13" t="s">
        <v>61</v>
      </c>
      <c r="D30" s="14" t="s">
        <v>62</v>
      </c>
    </row>
    <row r="31" customFormat="false" ht="43.5" hidden="false" customHeight="true" outlineLevel="0" collapsed="false">
      <c r="A31" s="12" t="s">
        <v>63</v>
      </c>
      <c r="B31" s="13" t="s">
        <v>64</v>
      </c>
      <c r="C31" s="13" t="s">
        <v>65</v>
      </c>
      <c r="D31" s="14" t="s">
        <v>66</v>
      </c>
    </row>
  </sheetData>
  <mergeCells count="7">
    <mergeCell ref="A1:E1"/>
    <mergeCell ref="A2:E2"/>
    <mergeCell ref="A5:E5"/>
    <mergeCell ref="B8:E8"/>
    <mergeCell ref="B9:E9"/>
    <mergeCell ref="B10:E10"/>
    <mergeCell ref="B11:E1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O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4"/>
    <col collapsed="false" customWidth="true" hidden="false" outlineLevel="0" max="3" min="3" style="0" width="9"/>
    <col collapsed="false" customWidth="true" hidden="false" outlineLevel="0" max="4" min="4" style="0" width="15"/>
    <col collapsed="false" customWidth="true" hidden="false" outlineLevel="0" max="6" min="5" style="0" width="8"/>
    <col collapsed="false" customWidth="true" hidden="false" outlineLevel="0" max="7" min="7" style="0" width="12"/>
    <col collapsed="false" customWidth="true" hidden="false" outlineLevel="0" max="8" min="8" style="0" width="10"/>
    <col collapsed="false" customWidth="true" hidden="false" outlineLevel="0" max="10" min="9" style="0" width="11"/>
    <col collapsed="false" customWidth="true" hidden="false" outlineLevel="0" max="11" min="11" style="0" width="14"/>
    <col collapsed="false" customWidth="true" hidden="false" outlineLevel="0" max="12" min="12" style="0" width="3"/>
    <col collapsed="false" customWidth="true" hidden="false" outlineLevel="0" max="13" min="13" style="0" width="30"/>
    <col collapsed="false" customWidth="true" hidden="false" outlineLevel="0" max="14" min="14" style="0" width="16"/>
    <col collapsed="false" customWidth="true" hidden="false" outlineLevel="0" max="15" min="15" style="0" width="42"/>
  </cols>
  <sheetData>
    <row r="1" customFormat="false" ht="33.75" hidden="false" customHeight="true" outlineLevel="0" collapsed="false">
      <c r="A1" s="11" t="s">
        <v>19</v>
      </c>
      <c r="B1" s="11" t="s">
        <v>67</v>
      </c>
      <c r="C1" s="11" t="s">
        <v>68</v>
      </c>
      <c r="D1" s="11" t="s">
        <v>69</v>
      </c>
      <c r="E1" s="11" t="s">
        <v>70</v>
      </c>
      <c r="F1" s="11" t="s">
        <v>71</v>
      </c>
      <c r="G1" s="15" t="s">
        <v>72</v>
      </c>
      <c r="H1" s="15" t="s">
        <v>73</v>
      </c>
      <c r="I1" s="15" t="s">
        <v>74</v>
      </c>
      <c r="J1" s="15" t="s">
        <v>75</v>
      </c>
      <c r="K1" s="15" t="s">
        <v>76</v>
      </c>
      <c r="M1" s="16" t="s">
        <v>77</v>
      </c>
      <c r="N1" s="16" t="s">
        <v>78</v>
      </c>
      <c r="O1" s="16" t="s">
        <v>79</v>
      </c>
    </row>
    <row r="2" customFormat="false" ht="15" hidden="false" customHeight="false" outlineLevel="0" collapsed="false">
      <c r="A2" s="17" t="n">
        <v>1</v>
      </c>
      <c r="B2" s="18" t="s">
        <v>80</v>
      </c>
      <c r="C2" s="17" t="n">
        <v>86</v>
      </c>
      <c r="D2" s="17" t="n">
        <v>89</v>
      </c>
      <c r="E2" s="17" t="n">
        <v>79</v>
      </c>
      <c r="F2" s="17" t="n">
        <v>95</v>
      </c>
      <c r="G2" s="19" t="n">
        <f aca="false">ROUND(C2*$N$2+D2*$N$3+E2*$N$4+F2*$N$5,0)</f>
        <v>88</v>
      </c>
      <c r="H2" s="20" t="str">
        <f aca="false">IF(G2&gt;=85,"A",IF(G2&gt;=75,"B",IF(G2&gt;=65,"C","D")))</f>
        <v>A</v>
      </c>
      <c r="I2" s="20" t="str">
        <f aca="false">IF(G2&gt;=$N$6,"Tuntas","Remedial")</f>
        <v>Tuntas</v>
      </c>
      <c r="J2" s="19" t="n">
        <f aca="false">RANK(G2,$G$2:$G$29,0)</f>
        <v>3</v>
      </c>
      <c r="K2" s="20" t="str">
        <f aca="false">IF(G2&gt;AVERAGE($G$2:$G$29),"Di atas rata-rata","Di bawah rata-rata")</f>
        <v>Di atas rata-rata</v>
      </c>
      <c r="M2" s="21" t="s">
        <v>81</v>
      </c>
      <c r="N2" s="22" t="n">
        <v>0.2</v>
      </c>
      <c r="O2" s="21"/>
    </row>
    <row r="3" customFormat="false" ht="15" hidden="false" customHeight="false" outlineLevel="0" collapsed="false">
      <c r="A3" s="17" t="n">
        <v>2</v>
      </c>
      <c r="B3" s="18" t="s">
        <v>82</v>
      </c>
      <c r="C3" s="17" t="n">
        <v>70</v>
      </c>
      <c r="D3" s="17" t="n">
        <v>55</v>
      </c>
      <c r="E3" s="17" t="n">
        <v>71</v>
      </c>
      <c r="F3" s="17" t="n">
        <v>62</v>
      </c>
      <c r="G3" s="19" t="n">
        <f aca="false">ROUND(C3*$N$2+D3*$N$3+E3*$N$4+F3*$N$5,0)</f>
        <v>64</v>
      </c>
      <c r="H3" s="20" t="str">
        <f aca="false">IF(G3&gt;=85,"A",IF(G3&gt;=75,"B",IF(G3&gt;=65,"C","D")))</f>
        <v>D</v>
      </c>
      <c r="I3" s="20" t="str">
        <f aca="false">IF(G3&gt;=$N$6,"Tuntas","Remedial")</f>
        <v>Remedial</v>
      </c>
      <c r="J3" s="19" t="n">
        <f aca="false">RANK(G3,$G$2:$G$29,0)</f>
        <v>22</v>
      </c>
      <c r="K3" s="20" t="str">
        <f aca="false">IF(G3&gt;AVERAGE($G$2:$G$29),"Di atas rata-rata","Di bawah rata-rata")</f>
        <v>Di bawah rata-rata</v>
      </c>
      <c r="M3" s="21" t="s">
        <v>83</v>
      </c>
      <c r="N3" s="22" t="n">
        <v>0.2</v>
      </c>
      <c r="O3" s="21"/>
    </row>
    <row r="4" customFormat="false" ht="15" hidden="false" customHeight="false" outlineLevel="0" collapsed="false">
      <c r="A4" s="17" t="n">
        <v>3</v>
      </c>
      <c r="B4" s="18" t="s">
        <v>84</v>
      </c>
      <c r="C4" s="17" t="n">
        <v>64</v>
      </c>
      <c r="D4" s="17" t="n">
        <v>75</v>
      </c>
      <c r="E4" s="17" t="n">
        <v>60</v>
      </c>
      <c r="F4" s="17" t="n">
        <v>58</v>
      </c>
      <c r="G4" s="19" t="n">
        <f aca="false">ROUND(C4*$N$2+D4*$N$3+E4*$N$4+F4*$N$5,0)</f>
        <v>63</v>
      </c>
      <c r="H4" s="20" t="str">
        <f aca="false">IF(G4&gt;=85,"A",IF(G4&gt;=75,"B",IF(G4&gt;=65,"C","D")))</f>
        <v>D</v>
      </c>
      <c r="I4" s="20" t="str">
        <f aca="false">IF(G4&gt;=$N$6,"Tuntas","Remedial")</f>
        <v>Remedial</v>
      </c>
      <c r="J4" s="19" t="n">
        <f aca="false">RANK(G4,$G$2:$G$29,0)</f>
        <v>23</v>
      </c>
      <c r="K4" s="20" t="str">
        <f aca="false">IF(G4&gt;AVERAGE($G$2:$G$29),"Di atas rata-rata","Di bawah rata-rata")</f>
        <v>Di bawah rata-rata</v>
      </c>
      <c r="M4" s="21" t="s">
        <v>85</v>
      </c>
      <c r="N4" s="22" t="n">
        <v>0.25</v>
      </c>
      <c r="O4" s="21"/>
    </row>
    <row r="5" customFormat="false" ht="15" hidden="false" customHeight="false" outlineLevel="0" collapsed="false">
      <c r="A5" s="17" t="n">
        <v>4</v>
      </c>
      <c r="B5" s="18" t="s">
        <v>86</v>
      </c>
      <c r="C5" s="17" t="n">
        <v>63</v>
      </c>
      <c r="D5" s="17" t="n">
        <v>50</v>
      </c>
      <c r="E5" s="17" t="n">
        <v>64</v>
      </c>
      <c r="F5" s="17" t="n">
        <v>50</v>
      </c>
      <c r="G5" s="19" t="n">
        <f aca="false">ROUND(C5*$N$2+D5*$N$3+E5*$N$4+F5*$N$5,0)</f>
        <v>56</v>
      </c>
      <c r="H5" s="20" t="str">
        <f aca="false">IF(G5&gt;=85,"A",IF(G5&gt;=75,"B",IF(G5&gt;=65,"C","D")))</f>
        <v>D</v>
      </c>
      <c r="I5" s="20" t="str">
        <f aca="false">IF(G5&gt;=$N$6,"Tuntas","Remedial")</f>
        <v>Remedial</v>
      </c>
      <c r="J5" s="19" t="n">
        <f aca="false">RANK(G5,$G$2:$G$29,0)</f>
        <v>28</v>
      </c>
      <c r="K5" s="20" t="str">
        <f aca="false">IF(G5&gt;AVERAGE($G$2:$G$29),"Di atas rata-rata","Di bawah rata-rata")</f>
        <v>Di bawah rata-rata</v>
      </c>
      <c r="M5" s="21" t="s">
        <v>87</v>
      </c>
      <c r="N5" s="22" t="n">
        <v>0.35</v>
      </c>
      <c r="O5" s="21"/>
    </row>
    <row r="6" customFormat="false" ht="15" hidden="false" customHeight="false" outlineLevel="0" collapsed="false">
      <c r="A6" s="17" t="n">
        <v>5</v>
      </c>
      <c r="B6" s="18" t="s">
        <v>88</v>
      </c>
      <c r="C6" s="17" t="n">
        <v>59</v>
      </c>
      <c r="D6" s="17" t="n">
        <v>48</v>
      </c>
      <c r="E6" s="17" t="n">
        <v>59</v>
      </c>
      <c r="F6" s="17" t="n">
        <v>62</v>
      </c>
      <c r="G6" s="19" t="n">
        <f aca="false">ROUND(C6*$N$2+D6*$N$3+E6*$N$4+F6*$N$5,0)</f>
        <v>58</v>
      </c>
      <c r="H6" s="20" t="str">
        <f aca="false">IF(G6&gt;=85,"A",IF(G6&gt;=75,"B",IF(G6&gt;=65,"C","D")))</f>
        <v>D</v>
      </c>
      <c r="I6" s="20" t="str">
        <f aca="false">IF(G6&gt;=$N$6,"Tuntas","Remedial")</f>
        <v>Remedial</v>
      </c>
      <c r="J6" s="19" t="n">
        <f aca="false">RANK(G6,$G$2:$G$29,0)</f>
        <v>26</v>
      </c>
      <c r="K6" s="20" t="str">
        <f aca="false">IF(G6&gt;AVERAGE($G$2:$G$29),"Di atas rata-rata","Di bawah rata-rata")</f>
        <v>Di bawah rata-rata</v>
      </c>
      <c r="M6" s="21" t="s">
        <v>89</v>
      </c>
      <c r="N6" s="23" t="n">
        <v>75</v>
      </c>
      <c r="O6" s="21"/>
    </row>
    <row r="7" customFormat="false" ht="15" hidden="false" customHeight="false" outlineLevel="0" collapsed="false">
      <c r="A7" s="17" t="n">
        <v>6</v>
      </c>
      <c r="B7" s="18" t="s">
        <v>90</v>
      </c>
      <c r="C7" s="17" t="n">
        <v>87</v>
      </c>
      <c r="D7" s="17" t="n">
        <v>67</v>
      </c>
      <c r="E7" s="17" t="n">
        <v>88</v>
      </c>
      <c r="F7" s="17" t="n">
        <v>95</v>
      </c>
      <c r="G7" s="19" t="n">
        <f aca="false">ROUND(C7*$N$2+D7*$N$3+E7*$N$4+F7*$N$5,0)</f>
        <v>86</v>
      </c>
      <c r="H7" s="20" t="str">
        <f aca="false">IF(G7&gt;=85,"A",IF(G7&gt;=75,"B",IF(G7&gt;=65,"C","D")))</f>
        <v>A</v>
      </c>
      <c r="I7" s="20" t="str">
        <f aca="false">IF(G7&gt;=$N$6,"Tuntas","Remedial")</f>
        <v>Tuntas</v>
      </c>
      <c r="J7" s="19" t="n">
        <f aca="false">RANK(G7,$G$2:$G$29,0)</f>
        <v>5</v>
      </c>
      <c r="K7" s="20" t="str">
        <f aca="false">IF(G7&gt;AVERAGE($G$2:$G$29),"Di atas rata-rata","Di bawah rata-rata")</f>
        <v>Di atas rata-rata</v>
      </c>
    </row>
    <row r="8" customFormat="false" ht="15" hidden="false" customHeight="false" outlineLevel="0" collapsed="false">
      <c r="A8" s="17" t="n">
        <v>7</v>
      </c>
      <c r="B8" s="18" t="s">
        <v>91</v>
      </c>
      <c r="C8" s="17" t="n">
        <v>47</v>
      </c>
      <c r="D8" s="17" t="n">
        <v>78</v>
      </c>
      <c r="E8" s="17" t="n">
        <v>63</v>
      </c>
      <c r="F8" s="17" t="n">
        <v>58</v>
      </c>
      <c r="G8" s="19" t="n">
        <f aca="false">ROUND(C8*$N$2+D8*$N$3+E8*$N$4+F8*$N$5,0)</f>
        <v>61</v>
      </c>
      <c r="H8" s="20" t="str">
        <f aca="false">IF(G8&gt;=85,"A",IF(G8&gt;=75,"B",IF(G8&gt;=65,"C","D")))</f>
        <v>D</v>
      </c>
      <c r="I8" s="20" t="str">
        <f aca="false">IF(G8&gt;=$N$6,"Tuntas","Remedial")</f>
        <v>Remedial</v>
      </c>
      <c r="J8" s="19" t="n">
        <f aca="false">RANK(G8,$G$2:$G$29,0)</f>
        <v>24</v>
      </c>
      <c r="K8" s="20" t="str">
        <f aca="false">IF(G8&gt;AVERAGE($G$2:$G$29),"Di atas rata-rata","Di bawah rata-rata")</f>
        <v>Di bawah rata-rata</v>
      </c>
    </row>
    <row r="9" customFormat="false" ht="15" hidden="false" customHeight="false" outlineLevel="0" collapsed="false">
      <c r="A9" s="17" t="n">
        <v>8</v>
      </c>
      <c r="B9" s="18" t="s">
        <v>92</v>
      </c>
      <c r="C9" s="17" t="n">
        <v>90</v>
      </c>
      <c r="D9" s="17" t="n">
        <v>94</v>
      </c>
      <c r="E9" s="17" t="n">
        <v>97</v>
      </c>
      <c r="F9" s="17" t="n">
        <v>89</v>
      </c>
      <c r="G9" s="19" t="n">
        <f aca="false">ROUND(C9*$N$2+D9*$N$3+E9*$N$4+F9*$N$5,0)</f>
        <v>92</v>
      </c>
      <c r="H9" s="20" t="str">
        <f aca="false">IF(G9&gt;=85,"A",IF(G9&gt;=75,"B",IF(G9&gt;=65,"C","D")))</f>
        <v>A</v>
      </c>
      <c r="I9" s="20" t="str">
        <f aca="false">IF(G9&gt;=$N$6,"Tuntas","Remedial")</f>
        <v>Tuntas</v>
      </c>
      <c r="J9" s="19" t="n">
        <f aca="false">RANK(G9,$G$2:$G$29,0)</f>
        <v>2</v>
      </c>
      <c r="K9" s="20" t="str">
        <f aca="false">IF(G9&gt;AVERAGE($G$2:$G$29),"Di atas rata-rata","Di bawah rata-rata")</f>
        <v>Di atas rata-rata</v>
      </c>
    </row>
    <row r="10" customFormat="false" ht="15" hidden="false" customHeight="false" outlineLevel="0" collapsed="false">
      <c r="A10" s="17" t="n">
        <v>9</v>
      </c>
      <c r="B10" s="18" t="s">
        <v>93</v>
      </c>
      <c r="C10" s="17" t="n">
        <v>87</v>
      </c>
      <c r="D10" s="17" t="n">
        <v>74</v>
      </c>
      <c r="E10" s="17" t="n">
        <v>96</v>
      </c>
      <c r="F10" s="17" t="n">
        <v>80</v>
      </c>
      <c r="G10" s="19" t="n">
        <f aca="false">ROUND(C10*$N$2+D10*$N$3+E10*$N$4+F10*$N$5,0)</f>
        <v>84</v>
      </c>
      <c r="H10" s="20" t="str">
        <f aca="false">IF(G10&gt;=85,"A",IF(G10&gt;=75,"B",IF(G10&gt;=65,"C","D")))</f>
        <v>B</v>
      </c>
      <c r="I10" s="20" t="str">
        <f aca="false">IF(G10&gt;=$N$6,"Tuntas","Remedial")</f>
        <v>Tuntas</v>
      </c>
      <c r="J10" s="19" t="n">
        <f aca="false">RANK(G10,$G$2:$G$29,0)</f>
        <v>6</v>
      </c>
      <c r="K10" s="20" t="str">
        <f aca="false">IF(G10&gt;AVERAGE($G$2:$G$29),"Di atas rata-rata","Di bawah rata-rata")</f>
        <v>Di atas rata-rata</v>
      </c>
    </row>
    <row r="11" customFormat="false" ht="15" hidden="false" customHeight="false" outlineLevel="0" collapsed="false">
      <c r="A11" s="17" t="n">
        <v>10</v>
      </c>
      <c r="B11" s="18" t="s">
        <v>94</v>
      </c>
      <c r="C11" s="17" t="n">
        <v>87</v>
      </c>
      <c r="D11" s="17" t="n">
        <v>70</v>
      </c>
      <c r="E11" s="17" t="n">
        <v>80</v>
      </c>
      <c r="F11" s="17" t="n">
        <v>78</v>
      </c>
      <c r="G11" s="19" t="n">
        <f aca="false">ROUND(C11*$N$2+D11*$N$3+E11*$N$4+F11*$N$5,0)</f>
        <v>79</v>
      </c>
      <c r="H11" s="20" t="str">
        <f aca="false">IF(G11&gt;=85,"A",IF(G11&gt;=75,"B",IF(G11&gt;=65,"C","D")))</f>
        <v>B</v>
      </c>
      <c r="I11" s="20" t="str">
        <f aca="false">IF(G11&gt;=$N$6,"Tuntas","Remedial")</f>
        <v>Tuntas</v>
      </c>
      <c r="J11" s="19" t="n">
        <f aca="false">RANK(G11,$G$2:$G$29,0)</f>
        <v>10</v>
      </c>
      <c r="K11" s="20" t="str">
        <f aca="false">IF(G11&gt;AVERAGE($G$2:$G$29),"Di atas rata-rata","Di bawah rata-rata")</f>
        <v>Di atas rata-rata</v>
      </c>
    </row>
    <row r="12" customFormat="false" ht="15" hidden="false" customHeight="false" outlineLevel="0" collapsed="false">
      <c r="A12" s="17" t="n">
        <v>11</v>
      </c>
      <c r="B12" s="18" t="s">
        <v>95</v>
      </c>
      <c r="C12" s="17" t="n">
        <v>63</v>
      </c>
      <c r="D12" s="17" t="n">
        <v>77</v>
      </c>
      <c r="E12" s="17" t="n">
        <v>61</v>
      </c>
      <c r="F12" s="17" t="n">
        <v>88</v>
      </c>
      <c r="G12" s="19" t="n">
        <f aca="false">ROUND(C12*$N$2+D12*$N$3+E12*$N$4+F12*$N$5,0)</f>
        <v>74</v>
      </c>
      <c r="H12" s="20" t="str">
        <f aca="false">IF(G12&gt;=85,"A",IF(G12&gt;=75,"B",IF(G12&gt;=65,"C","D")))</f>
        <v>C</v>
      </c>
      <c r="I12" s="20" t="str">
        <f aca="false">IF(G12&gt;=$N$6,"Tuntas","Remedial")</f>
        <v>Remedial</v>
      </c>
      <c r="J12" s="19" t="n">
        <f aca="false">RANK(G12,$G$2:$G$29,0)</f>
        <v>15</v>
      </c>
      <c r="K12" s="20" t="str">
        <f aca="false">IF(G12&gt;AVERAGE($G$2:$G$29),"Di atas rata-rata","Di bawah rata-rata")</f>
        <v>Di atas rata-rata</v>
      </c>
    </row>
    <row r="13" customFormat="false" ht="15" hidden="false" customHeight="false" outlineLevel="0" collapsed="false">
      <c r="A13" s="17" t="n">
        <v>12</v>
      </c>
      <c r="B13" s="18" t="s">
        <v>96</v>
      </c>
      <c r="C13" s="17" t="n">
        <v>66</v>
      </c>
      <c r="D13" s="17" t="n">
        <v>65</v>
      </c>
      <c r="E13" s="17" t="n">
        <v>64</v>
      </c>
      <c r="F13" s="17" t="n">
        <v>75</v>
      </c>
      <c r="G13" s="19" t="n">
        <f aca="false">ROUND(C13*$N$2+D13*$N$3+E13*$N$4+F13*$N$5,0)</f>
        <v>68</v>
      </c>
      <c r="H13" s="20" t="str">
        <f aca="false">IF(G13&gt;=85,"A",IF(G13&gt;=75,"B",IF(G13&gt;=65,"C","D")))</f>
        <v>C</v>
      </c>
      <c r="I13" s="20" t="str">
        <f aca="false">IF(G13&gt;=$N$6,"Tuntas","Remedial")</f>
        <v>Remedial</v>
      </c>
      <c r="J13" s="19" t="n">
        <f aca="false">RANK(G13,$G$2:$G$29,0)</f>
        <v>18</v>
      </c>
      <c r="K13" s="20" t="str">
        <f aca="false">IF(G13&gt;AVERAGE($G$2:$G$29),"Di atas rata-rata","Di bawah rata-rata")</f>
        <v>Di bawah rata-rata</v>
      </c>
    </row>
    <row r="14" customFormat="false" ht="15" hidden="false" customHeight="false" outlineLevel="0" collapsed="false">
      <c r="A14" s="17" t="n">
        <v>13</v>
      </c>
      <c r="B14" s="18" t="s">
        <v>97</v>
      </c>
      <c r="C14" s="17" t="n">
        <v>100</v>
      </c>
      <c r="D14" s="17" t="n">
        <v>100</v>
      </c>
      <c r="E14" s="17" t="n">
        <v>100</v>
      </c>
      <c r="F14" s="17" t="n">
        <v>100</v>
      </c>
      <c r="G14" s="19" t="n">
        <f aca="false">ROUND(C14*$N$2+D14*$N$3+E14*$N$4+F14*$N$5,0)</f>
        <v>100</v>
      </c>
      <c r="H14" s="20" t="str">
        <f aca="false">IF(G14&gt;=85,"A",IF(G14&gt;=75,"B",IF(G14&gt;=65,"C","D")))</f>
        <v>A</v>
      </c>
      <c r="I14" s="20" t="str">
        <f aca="false">IF(G14&gt;=$N$6,"Tuntas","Remedial")</f>
        <v>Tuntas</v>
      </c>
      <c r="J14" s="19" t="n">
        <f aca="false">RANK(G14,$G$2:$G$29,0)</f>
        <v>1</v>
      </c>
      <c r="K14" s="20" t="str">
        <f aca="false">IF(G14&gt;AVERAGE($G$2:$G$29),"Di atas rata-rata","Di bawah rata-rata")</f>
        <v>Di atas rata-rata</v>
      </c>
    </row>
    <row r="15" customFormat="false" ht="15" hidden="false" customHeight="false" outlineLevel="0" collapsed="false">
      <c r="A15" s="17" t="n">
        <v>14</v>
      </c>
      <c r="B15" s="18" t="s">
        <v>98</v>
      </c>
      <c r="C15" s="17" t="n">
        <v>54</v>
      </c>
      <c r="D15" s="17" t="n">
        <v>47</v>
      </c>
      <c r="E15" s="17" t="n">
        <v>70</v>
      </c>
      <c r="F15" s="17" t="n">
        <v>54</v>
      </c>
      <c r="G15" s="19" t="n">
        <f aca="false">ROUND(C15*$N$2+D15*$N$3+E15*$N$4+F15*$N$5,0)</f>
        <v>57</v>
      </c>
      <c r="H15" s="20" t="str">
        <f aca="false">IF(G15&gt;=85,"A",IF(G15&gt;=75,"B",IF(G15&gt;=65,"C","D")))</f>
        <v>D</v>
      </c>
      <c r="I15" s="20" t="str">
        <f aca="false">IF(G15&gt;=$N$6,"Tuntas","Remedial")</f>
        <v>Remedial</v>
      </c>
      <c r="J15" s="19" t="n">
        <f aca="false">RANK(G15,$G$2:$G$29,0)</f>
        <v>27</v>
      </c>
      <c r="K15" s="20" t="str">
        <f aca="false">IF(G15&gt;AVERAGE($G$2:$G$29),"Di atas rata-rata","Di bawah rata-rata")</f>
        <v>Di bawah rata-rata</v>
      </c>
    </row>
    <row r="16" customFormat="false" ht="15" hidden="false" customHeight="false" outlineLevel="0" collapsed="false">
      <c r="A16" s="17" t="n">
        <v>15</v>
      </c>
      <c r="B16" s="18" t="s">
        <v>99</v>
      </c>
      <c r="C16" s="17" t="n">
        <v>66</v>
      </c>
      <c r="D16" s="17" t="n">
        <v>87</v>
      </c>
      <c r="E16" s="17" t="n">
        <v>86</v>
      </c>
      <c r="F16" s="17" t="n">
        <v>67</v>
      </c>
      <c r="G16" s="19" t="n">
        <f aca="false">ROUND(C16*$N$2+D16*$N$3+E16*$N$4+F16*$N$5,0)</f>
        <v>76</v>
      </c>
      <c r="H16" s="20" t="str">
        <f aca="false">IF(G16&gt;=85,"A",IF(G16&gt;=75,"B",IF(G16&gt;=65,"C","D")))</f>
        <v>B</v>
      </c>
      <c r="I16" s="20" t="str">
        <f aca="false">IF(G16&gt;=$N$6,"Tuntas","Remedial")</f>
        <v>Tuntas</v>
      </c>
      <c r="J16" s="19" t="n">
        <f aca="false">RANK(G16,$G$2:$G$29,0)</f>
        <v>13</v>
      </c>
      <c r="K16" s="20" t="str">
        <f aca="false">IF(G16&gt;AVERAGE($G$2:$G$29),"Di atas rata-rata","Di bawah rata-rata")</f>
        <v>Di atas rata-rata</v>
      </c>
    </row>
    <row r="17" customFormat="false" ht="15" hidden="false" customHeight="false" outlineLevel="0" collapsed="false">
      <c r="A17" s="17" t="n">
        <v>16</v>
      </c>
      <c r="B17" s="18" t="s">
        <v>100</v>
      </c>
      <c r="C17" s="17" t="n">
        <v>66</v>
      </c>
      <c r="D17" s="17" t="n">
        <v>72</v>
      </c>
      <c r="E17" s="17" t="n">
        <v>60</v>
      </c>
      <c r="F17" s="17" t="n">
        <v>66</v>
      </c>
      <c r="G17" s="19" t="n">
        <f aca="false">ROUND(C17*$N$2+D17*$N$3+E17*$N$4+F17*$N$5,0)</f>
        <v>66</v>
      </c>
      <c r="H17" s="20" t="str">
        <f aca="false">IF(G17&gt;=85,"A",IF(G17&gt;=75,"B",IF(G17&gt;=65,"C","D")))</f>
        <v>C</v>
      </c>
      <c r="I17" s="20" t="str">
        <f aca="false">IF(G17&gt;=$N$6,"Tuntas","Remedial")</f>
        <v>Remedial</v>
      </c>
      <c r="J17" s="19" t="n">
        <f aca="false">RANK(G17,$G$2:$G$29,0)</f>
        <v>20</v>
      </c>
      <c r="K17" s="20" t="str">
        <f aca="false">IF(G17&gt;AVERAGE($G$2:$G$29),"Di atas rata-rata","Di bawah rata-rata")</f>
        <v>Di bawah rata-rata</v>
      </c>
    </row>
    <row r="18" customFormat="false" ht="15" hidden="false" customHeight="false" outlineLevel="0" collapsed="false">
      <c r="A18" s="17" t="n">
        <v>17</v>
      </c>
      <c r="B18" s="18" t="s">
        <v>101</v>
      </c>
      <c r="C18" s="17" t="n">
        <v>94</v>
      </c>
      <c r="D18" s="17" t="n">
        <v>67</v>
      </c>
      <c r="E18" s="17" t="n">
        <v>77</v>
      </c>
      <c r="F18" s="17" t="n">
        <v>67</v>
      </c>
      <c r="G18" s="19" t="n">
        <f aca="false">ROUND(C18*$N$2+D18*$N$3+E18*$N$4+F18*$N$5,0)</f>
        <v>75</v>
      </c>
      <c r="H18" s="20" t="str">
        <f aca="false">IF(G18&gt;=85,"A",IF(G18&gt;=75,"B",IF(G18&gt;=65,"C","D")))</f>
        <v>B</v>
      </c>
      <c r="I18" s="20" t="str">
        <f aca="false">IF(G18&gt;=$N$6,"Tuntas","Remedial")</f>
        <v>Tuntas</v>
      </c>
      <c r="J18" s="19" t="n">
        <f aca="false">RANK(G18,$G$2:$G$29,0)</f>
        <v>14</v>
      </c>
      <c r="K18" s="20" t="str">
        <f aca="false">IF(G18&gt;AVERAGE($G$2:$G$29),"Di atas rata-rata","Di bawah rata-rata")</f>
        <v>Di atas rata-rata</v>
      </c>
    </row>
    <row r="19" customFormat="false" ht="15" hidden="false" customHeight="false" outlineLevel="0" collapsed="false">
      <c r="A19" s="17" t="n">
        <v>18</v>
      </c>
      <c r="B19" s="18" t="s">
        <v>102</v>
      </c>
      <c r="C19" s="17" t="n">
        <v>82</v>
      </c>
      <c r="D19" s="17" t="n">
        <v>89</v>
      </c>
      <c r="E19" s="17" t="n">
        <v>78</v>
      </c>
      <c r="F19" s="17" t="n">
        <v>95</v>
      </c>
      <c r="G19" s="19" t="n">
        <f aca="false">ROUND(C19*$N$2+D19*$N$3+E19*$N$4+F19*$N$5,0)</f>
        <v>87</v>
      </c>
      <c r="H19" s="20" t="str">
        <f aca="false">IF(G19&gt;=85,"A",IF(G19&gt;=75,"B",IF(G19&gt;=65,"C","D")))</f>
        <v>A</v>
      </c>
      <c r="I19" s="20" t="str">
        <f aca="false">IF(G19&gt;=$N$6,"Tuntas","Remedial")</f>
        <v>Tuntas</v>
      </c>
      <c r="J19" s="19" t="n">
        <f aca="false">RANK(G19,$G$2:$G$29,0)</f>
        <v>4</v>
      </c>
      <c r="K19" s="20" t="str">
        <f aca="false">IF(G19&gt;AVERAGE($G$2:$G$29),"Di atas rata-rata","Di bawah rata-rata")</f>
        <v>Di atas rata-rata</v>
      </c>
    </row>
    <row r="20" customFormat="false" ht="15" hidden="false" customHeight="false" outlineLevel="0" collapsed="false">
      <c r="A20" s="17" t="n">
        <v>19</v>
      </c>
      <c r="B20" s="18" t="s">
        <v>103</v>
      </c>
      <c r="C20" s="17" t="n">
        <v>63</v>
      </c>
      <c r="D20" s="17" t="n">
        <v>76</v>
      </c>
      <c r="E20" s="17" t="n">
        <v>59</v>
      </c>
      <c r="F20" s="17" t="n">
        <v>64</v>
      </c>
      <c r="G20" s="19" t="n">
        <f aca="false">ROUND(C20*$N$2+D20*$N$3+E20*$N$4+F20*$N$5,0)</f>
        <v>65</v>
      </c>
      <c r="H20" s="20" t="str">
        <f aca="false">IF(G20&gt;=85,"A",IF(G20&gt;=75,"B",IF(G20&gt;=65,"C","D")))</f>
        <v>C</v>
      </c>
      <c r="I20" s="20" t="str">
        <f aca="false">IF(G20&gt;=$N$6,"Tuntas","Remedial")</f>
        <v>Remedial</v>
      </c>
      <c r="J20" s="19" t="n">
        <f aca="false">RANK(G20,$G$2:$G$29,0)</f>
        <v>21</v>
      </c>
      <c r="K20" s="20" t="str">
        <f aca="false">IF(G20&gt;AVERAGE($G$2:$G$29),"Di atas rata-rata","Di bawah rata-rata")</f>
        <v>Di bawah rata-rata</v>
      </c>
    </row>
    <row r="21" customFormat="false" ht="15" hidden="false" customHeight="false" outlineLevel="0" collapsed="false">
      <c r="A21" s="17" t="n">
        <v>20</v>
      </c>
      <c r="B21" s="18" t="s">
        <v>104</v>
      </c>
      <c r="C21" s="17" t="n">
        <v>73</v>
      </c>
      <c r="D21" s="17" t="n">
        <v>74</v>
      </c>
      <c r="E21" s="17" t="n">
        <v>78</v>
      </c>
      <c r="F21" s="17" t="n">
        <v>83</v>
      </c>
      <c r="G21" s="19" t="n">
        <f aca="false">ROUND(C21*$N$2+D21*$N$3+E21*$N$4+F21*$N$5,0)</f>
        <v>78</v>
      </c>
      <c r="H21" s="20" t="str">
        <f aca="false">IF(G21&gt;=85,"A",IF(G21&gt;=75,"B",IF(G21&gt;=65,"C","D")))</f>
        <v>B</v>
      </c>
      <c r="I21" s="20" t="str">
        <f aca="false">IF(G21&gt;=$N$6,"Tuntas","Remedial")</f>
        <v>Tuntas</v>
      </c>
      <c r="J21" s="19" t="n">
        <f aca="false">RANK(G21,$G$2:$G$29,0)</f>
        <v>11</v>
      </c>
      <c r="K21" s="20" t="str">
        <f aca="false">IF(G21&gt;AVERAGE($G$2:$G$29),"Di atas rata-rata","Di bawah rata-rata")</f>
        <v>Di atas rata-rata</v>
      </c>
    </row>
    <row r="22" customFormat="false" ht="15" hidden="false" customHeight="false" outlineLevel="0" collapsed="false">
      <c r="A22" s="17" t="n">
        <v>21</v>
      </c>
      <c r="B22" s="18" t="s">
        <v>105</v>
      </c>
      <c r="C22" s="17" t="n">
        <v>55</v>
      </c>
      <c r="D22" s="17" t="n">
        <v>57</v>
      </c>
      <c r="E22" s="17" t="n">
        <v>66</v>
      </c>
      <c r="F22" s="17" t="n">
        <v>57</v>
      </c>
      <c r="G22" s="19" t="n">
        <f aca="false">ROUND(C22*$N$2+D22*$N$3+E22*$N$4+F22*$N$5,0)</f>
        <v>59</v>
      </c>
      <c r="H22" s="20" t="str">
        <f aca="false">IF(G22&gt;=85,"A",IF(G22&gt;=75,"B",IF(G22&gt;=65,"C","D")))</f>
        <v>D</v>
      </c>
      <c r="I22" s="20" t="str">
        <f aca="false">IF(G22&gt;=$N$6,"Tuntas","Remedial")</f>
        <v>Remedial</v>
      </c>
      <c r="J22" s="19" t="n">
        <f aca="false">RANK(G22,$G$2:$G$29,0)</f>
        <v>25</v>
      </c>
      <c r="K22" s="20" t="str">
        <f aca="false">IF(G22&gt;AVERAGE($G$2:$G$29),"Di atas rata-rata","Di bawah rata-rata")</f>
        <v>Di bawah rata-rata</v>
      </c>
    </row>
    <row r="23" customFormat="false" ht="15" hidden="false" customHeight="false" outlineLevel="0" collapsed="false">
      <c r="A23" s="17" t="n">
        <v>22</v>
      </c>
      <c r="B23" s="18" t="s">
        <v>106</v>
      </c>
      <c r="C23" s="17" t="n">
        <v>77</v>
      </c>
      <c r="D23" s="17" t="n">
        <v>89</v>
      </c>
      <c r="E23" s="17" t="n">
        <v>89</v>
      </c>
      <c r="F23" s="17" t="n">
        <v>75</v>
      </c>
      <c r="G23" s="19" t="n">
        <f aca="false">ROUND(C23*$N$2+D23*$N$3+E23*$N$4+F23*$N$5,0)</f>
        <v>82</v>
      </c>
      <c r="H23" s="20" t="str">
        <f aca="false">IF(G23&gt;=85,"A",IF(G23&gt;=75,"B",IF(G23&gt;=65,"C","D")))</f>
        <v>B</v>
      </c>
      <c r="I23" s="20" t="str">
        <f aca="false">IF(G23&gt;=$N$6,"Tuntas","Remedial")</f>
        <v>Tuntas</v>
      </c>
      <c r="J23" s="19" t="n">
        <f aca="false">RANK(G23,$G$2:$G$29,0)</f>
        <v>7</v>
      </c>
      <c r="K23" s="20" t="str">
        <f aca="false">IF(G23&gt;AVERAGE($G$2:$G$29),"Di atas rata-rata","Di bawah rata-rata")</f>
        <v>Di atas rata-rata</v>
      </c>
    </row>
    <row r="24" customFormat="false" ht="15" hidden="false" customHeight="false" outlineLevel="0" collapsed="false">
      <c r="A24" s="17" t="n">
        <v>23</v>
      </c>
      <c r="B24" s="18" t="s">
        <v>107</v>
      </c>
      <c r="C24" s="17" t="n">
        <v>76</v>
      </c>
      <c r="D24" s="17" t="n">
        <v>73</v>
      </c>
      <c r="E24" s="17" t="n">
        <v>77</v>
      </c>
      <c r="F24" s="17" t="n">
        <v>69</v>
      </c>
      <c r="G24" s="19" t="n">
        <f aca="false">ROUND(C24*$N$2+D24*$N$3+E24*$N$4+F24*$N$5,0)</f>
        <v>73</v>
      </c>
      <c r="H24" s="20" t="str">
        <f aca="false">IF(G24&gt;=85,"A",IF(G24&gt;=75,"B",IF(G24&gt;=65,"C","D")))</f>
        <v>C</v>
      </c>
      <c r="I24" s="20" t="str">
        <f aca="false">IF(G24&gt;=$N$6,"Tuntas","Remedial")</f>
        <v>Remedial</v>
      </c>
      <c r="J24" s="19" t="n">
        <f aca="false">RANK(G24,$G$2:$G$29,0)</f>
        <v>16</v>
      </c>
      <c r="K24" s="20" t="str">
        <f aca="false">IF(G24&gt;AVERAGE($G$2:$G$29),"Di atas rata-rata","Di bawah rata-rata")</f>
        <v>Di bawah rata-rata</v>
      </c>
    </row>
    <row r="25" customFormat="false" ht="15" hidden="false" customHeight="false" outlineLevel="0" collapsed="false">
      <c r="A25" s="17" t="n">
        <v>24</v>
      </c>
      <c r="B25" s="18" t="s">
        <v>108</v>
      </c>
      <c r="C25" s="17" t="n">
        <v>82</v>
      </c>
      <c r="D25" s="17" t="n">
        <v>65</v>
      </c>
      <c r="E25" s="17" t="n">
        <v>71</v>
      </c>
      <c r="F25" s="17" t="n">
        <v>85</v>
      </c>
      <c r="G25" s="19" t="n">
        <f aca="false">ROUND(C25*$N$2+D25*$N$3+E25*$N$4+F25*$N$5,0)</f>
        <v>77</v>
      </c>
      <c r="H25" s="20" t="str">
        <f aca="false">IF(G25&gt;=85,"A",IF(G25&gt;=75,"B",IF(G25&gt;=65,"C","D")))</f>
        <v>B</v>
      </c>
      <c r="I25" s="20" t="str">
        <f aca="false">IF(G25&gt;=$N$6,"Tuntas","Remedial")</f>
        <v>Tuntas</v>
      </c>
      <c r="J25" s="19" t="n">
        <f aca="false">RANK(G25,$G$2:$G$29,0)</f>
        <v>12</v>
      </c>
      <c r="K25" s="20" t="str">
        <f aca="false">IF(G25&gt;AVERAGE($G$2:$G$29),"Di atas rata-rata","Di bawah rata-rata")</f>
        <v>Di atas rata-rata</v>
      </c>
    </row>
    <row r="26" customFormat="false" ht="15" hidden="false" customHeight="false" outlineLevel="0" collapsed="false">
      <c r="A26" s="17" t="n">
        <v>25</v>
      </c>
      <c r="B26" s="18" t="s">
        <v>109</v>
      </c>
      <c r="C26" s="17" t="n">
        <v>77</v>
      </c>
      <c r="D26" s="17" t="n">
        <v>83</v>
      </c>
      <c r="E26" s="17" t="n">
        <v>70</v>
      </c>
      <c r="F26" s="17" t="n">
        <v>87</v>
      </c>
      <c r="G26" s="19" t="n">
        <f aca="false">ROUND(C26*$N$2+D26*$N$3+E26*$N$4+F26*$N$5,0)</f>
        <v>80</v>
      </c>
      <c r="H26" s="20" t="str">
        <f aca="false">IF(G26&gt;=85,"A",IF(G26&gt;=75,"B",IF(G26&gt;=65,"C","D")))</f>
        <v>B</v>
      </c>
      <c r="I26" s="20" t="str">
        <f aca="false">IF(G26&gt;=$N$6,"Tuntas","Remedial")</f>
        <v>Tuntas</v>
      </c>
      <c r="J26" s="19" t="n">
        <f aca="false">RANK(G26,$G$2:$G$29,0)</f>
        <v>9</v>
      </c>
      <c r="K26" s="20" t="str">
        <f aca="false">IF(G26&gt;AVERAGE($G$2:$G$29),"Di atas rata-rata","Di bawah rata-rata")</f>
        <v>Di atas rata-rata</v>
      </c>
    </row>
    <row r="27" customFormat="false" ht="15" hidden="false" customHeight="false" outlineLevel="0" collapsed="false">
      <c r="A27" s="17" t="n">
        <v>26</v>
      </c>
      <c r="B27" s="18" t="s">
        <v>110</v>
      </c>
      <c r="C27" s="17" t="n">
        <v>66</v>
      </c>
      <c r="D27" s="17" t="n">
        <v>61</v>
      </c>
      <c r="E27" s="17" t="n">
        <v>64</v>
      </c>
      <c r="F27" s="17" t="n">
        <v>73</v>
      </c>
      <c r="G27" s="19" t="n">
        <f aca="false">ROUND(C27*$N$2+D27*$N$3+E27*$N$4+F27*$N$5,0)</f>
        <v>67</v>
      </c>
      <c r="H27" s="20" t="str">
        <f aca="false">IF(G27&gt;=85,"A",IF(G27&gt;=75,"B",IF(G27&gt;=65,"C","D")))</f>
        <v>C</v>
      </c>
      <c r="I27" s="20" t="str">
        <f aca="false">IF(G27&gt;=$N$6,"Tuntas","Remedial")</f>
        <v>Remedial</v>
      </c>
      <c r="J27" s="19" t="n">
        <f aca="false">RANK(G27,$G$2:$G$29,0)</f>
        <v>19</v>
      </c>
      <c r="K27" s="20" t="str">
        <f aca="false">IF(G27&gt;AVERAGE($G$2:$G$29),"Di atas rata-rata","Di bawah rata-rata")</f>
        <v>Di bawah rata-rata</v>
      </c>
    </row>
    <row r="28" customFormat="false" ht="15" hidden="false" customHeight="false" outlineLevel="0" collapsed="false">
      <c r="A28" s="17" t="n">
        <v>27</v>
      </c>
      <c r="B28" s="18" t="s">
        <v>111</v>
      </c>
      <c r="C28" s="17" t="n">
        <v>88</v>
      </c>
      <c r="D28" s="17" t="n">
        <v>85</v>
      </c>
      <c r="E28" s="17" t="n">
        <v>77</v>
      </c>
      <c r="F28" s="17" t="n">
        <v>78</v>
      </c>
      <c r="G28" s="19" t="n">
        <f aca="false">ROUND(C28*$N$2+D28*$N$3+E28*$N$4+F28*$N$5,0)</f>
        <v>81</v>
      </c>
      <c r="H28" s="20" t="str">
        <f aca="false">IF(G28&gt;=85,"A",IF(G28&gt;=75,"B",IF(G28&gt;=65,"C","D")))</f>
        <v>B</v>
      </c>
      <c r="I28" s="20" t="str">
        <f aca="false">IF(G28&gt;=$N$6,"Tuntas","Remedial")</f>
        <v>Tuntas</v>
      </c>
      <c r="J28" s="19" t="n">
        <f aca="false">RANK(G28,$G$2:$G$29,0)</f>
        <v>8</v>
      </c>
      <c r="K28" s="20" t="str">
        <f aca="false">IF(G28&gt;AVERAGE($G$2:$G$29),"Di atas rata-rata","Di bawah rata-rata")</f>
        <v>Di atas rata-rata</v>
      </c>
    </row>
    <row r="29" customFormat="false" ht="15" hidden="false" customHeight="false" outlineLevel="0" collapsed="false">
      <c r="A29" s="17" t="n">
        <v>28</v>
      </c>
      <c r="B29" s="18" t="s">
        <v>112</v>
      </c>
      <c r="C29" s="17" t="n">
        <v>74</v>
      </c>
      <c r="D29" s="17" t="n">
        <v>72</v>
      </c>
      <c r="E29" s="17" t="n">
        <v>76</v>
      </c>
      <c r="F29" s="17" t="n">
        <v>60</v>
      </c>
      <c r="G29" s="19" t="n">
        <f aca="false">ROUND(C29*$N$2+D29*$N$3+E29*$N$4+F29*$N$5,0)</f>
        <v>69</v>
      </c>
      <c r="H29" s="20" t="str">
        <f aca="false">IF(G29&gt;=85,"A",IF(G29&gt;=75,"B",IF(G29&gt;=65,"C","D")))</f>
        <v>C</v>
      </c>
      <c r="I29" s="20" t="str">
        <f aca="false">IF(G29&gt;=$N$6,"Tuntas","Remedial")</f>
        <v>Remedial</v>
      </c>
      <c r="J29" s="19" t="n">
        <f aca="false">RANK(G29,$G$2:$G$29,0)</f>
        <v>17</v>
      </c>
      <c r="K29" s="20" t="str">
        <f aca="false">IF(G29&gt;AVERAGE($G$2:$G$29),"Di atas rata-rata","Di bawah rata-rata")</f>
        <v>Di bawah rata-rata</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78"/>
    <col collapsed="false" customWidth="true" hidden="false" outlineLevel="0" max="3" min="3" style="0" width="26"/>
    <col collapsed="false" customWidth="true" hidden="false" outlineLevel="0" max="4" min="4" style="0" width="32"/>
  </cols>
  <sheetData>
    <row r="1" customFormat="false" ht="16.15" hidden="false" customHeight="false" outlineLevel="0" collapsed="false">
      <c r="A1" s="24" t="s">
        <v>113</v>
      </c>
      <c r="B1" s="24"/>
      <c r="C1" s="24"/>
      <c r="D1" s="24"/>
    </row>
    <row r="2" customFormat="false" ht="15" hidden="false" customHeight="false" outlineLevel="0" collapsed="false">
      <c r="A2" s="25" t="s">
        <v>114</v>
      </c>
      <c r="B2" s="25"/>
      <c r="C2" s="25"/>
      <c r="D2" s="25"/>
    </row>
    <row r="3" customFormat="false" ht="15" hidden="false" customHeight="false" outlineLevel="0" collapsed="false">
      <c r="A3" s="11" t="s">
        <v>19</v>
      </c>
      <c r="B3" s="11" t="s">
        <v>115</v>
      </c>
      <c r="C3" s="11" t="s">
        <v>116</v>
      </c>
      <c r="D3" s="11" t="s">
        <v>117</v>
      </c>
    </row>
    <row r="4" customFormat="false" ht="15" hidden="false" customHeight="false" outlineLevel="0" collapsed="false">
      <c r="A4" s="26" t="s">
        <v>118</v>
      </c>
      <c r="B4" s="27" t="s">
        <v>119</v>
      </c>
      <c r="C4" s="28" t="n">
        <f aca="false">AVERAGE(Data!$G$2:$G$29)</f>
        <v>73.75</v>
      </c>
      <c r="D4" s="29" t="s">
        <v>120</v>
      </c>
    </row>
    <row r="5" customFormat="false" ht="15" hidden="false" customHeight="false" outlineLevel="0" collapsed="false">
      <c r="A5" s="26" t="s">
        <v>121</v>
      </c>
      <c r="B5" s="27" t="s">
        <v>122</v>
      </c>
      <c r="C5" s="19" t="n">
        <f aca="false">MAX(Data!$G$2:$G$29)</f>
        <v>100</v>
      </c>
      <c r="D5" s="29" t="s">
        <v>123</v>
      </c>
    </row>
    <row r="6" customFormat="false" ht="15" hidden="false" customHeight="false" outlineLevel="0" collapsed="false">
      <c r="A6" s="26" t="s">
        <v>124</v>
      </c>
      <c r="B6" s="27" t="s">
        <v>125</v>
      </c>
      <c r="C6" s="19" t="n">
        <f aca="false">MIN(Data!$G$2:$G$29)</f>
        <v>56</v>
      </c>
      <c r="D6" s="29" t="s">
        <v>126</v>
      </c>
    </row>
    <row r="7" customFormat="false" ht="15" hidden="false" customHeight="false" outlineLevel="0" collapsed="false">
      <c r="A7" s="26" t="s">
        <v>127</v>
      </c>
      <c r="B7" s="27" t="s">
        <v>128</v>
      </c>
      <c r="C7" s="19" t="n">
        <f aca="false">COUNTIF(Data!$I$2:$I$29,"Tuntas")</f>
        <v>14</v>
      </c>
      <c r="D7" s="29" t="s">
        <v>129</v>
      </c>
    </row>
    <row r="8" customFormat="false" ht="15" hidden="false" customHeight="false" outlineLevel="0" collapsed="false">
      <c r="A8" s="26" t="s">
        <v>130</v>
      </c>
      <c r="B8" s="27" t="s">
        <v>131</v>
      </c>
      <c r="C8" s="19" t="n">
        <f aca="false">COUNTIF(Data!$I$2:$I$29,"Remedial")</f>
        <v>14</v>
      </c>
      <c r="D8" s="29" t="s">
        <v>132</v>
      </c>
    </row>
    <row r="9" customFormat="false" ht="15" hidden="false" customHeight="false" outlineLevel="0" collapsed="false">
      <c r="A9" s="26" t="s">
        <v>133</v>
      </c>
      <c r="B9" s="27" t="s">
        <v>134</v>
      </c>
      <c r="C9" s="30" t="n">
        <f aca="false">C7/COUNT(Data!$A$2:$A$29)</f>
        <v>0.5</v>
      </c>
      <c r="D9" s="29" t="s">
        <v>135</v>
      </c>
    </row>
    <row r="10" customFormat="false" ht="15" hidden="false" customHeight="false" outlineLevel="0" collapsed="false">
      <c r="A10" s="26" t="s">
        <v>136</v>
      </c>
      <c r="B10" s="27" t="s">
        <v>137</v>
      </c>
      <c r="C10" s="20" t="str">
        <f aca="false">INDEX(Data!$B$2:$B$29,MATCH(MAX(Data!$G$2:$G$29),Data!$G$2:$G$29,0))</f>
        <v>Prasetyo Lestari</v>
      </c>
      <c r="D10" s="29" t="s">
        <v>138</v>
      </c>
    </row>
    <row r="11" customFormat="false" ht="15" hidden="false" customHeight="false" outlineLevel="0" collapsed="false">
      <c r="A11" s="26" t="s">
        <v>139</v>
      </c>
      <c r="B11" s="27" t="s">
        <v>140</v>
      </c>
      <c r="C11" s="20" t="str">
        <f aca="false">INDEX(Data!$B$2:$B$29,MATCH(MAX(Data!$F$2:$F$29),Data!$F$2:$F$29,0))</f>
        <v>Prasetyo Lestari</v>
      </c>
      <c r="D11" s="29" t="s">
        <v>138</v>
      </c>
    </row>
    <row r="12" customFormat="false" ht="15" hidden="false" customHeight="false" outlineLevel="0" collapsed="false">
      <c r="A12" s="26" t="s">
        <v>141</v>
      </c>
      <c r="B12" s="27" t="s">
        <v>142</v>
      </c>
      <c r="C12" s="19" t="n">
        <f aca="false">COUNTIF(Data!$H$2:$H$29,"A")</f>
        <v>5</v>
      </c>
      <c r="D12" s="29" t="s">
        <v>143</v>
      </c>
    </row>
    <row r="13" customFormat="false" ht="15" hidden="false" customHeight="false" outlineLevel="0" collapsed="false">
      <c r="A13" s="26" t="s">
        <v>144</v>
      </c>
      <c r="B13" s="27" t="s">
        <v>145</v>
      </c>
      <c r="C13" s="28" t="n">
        <f aca="false">AVERAGEIF(Data!$I$2:$I$29,"Remedial",Data!$E$2:$E$29)</f>
        <v>65.2857142857143</v>
      </c>
      <c r="D13" s="29" t="s">
        <v>146</v>
      </c>
    </row>
    <row r="14" customFormat="false" ht="15" hidden="false" customHeight="false" outlineLevel="0" collapsed="false">
      <c r="A14" s="26" t="s">
        <v>147</v>
      </c>
      <c r="B14" s="27" t="s">
        <v>148</v>
      </c>
      <c r="C14" s="19" t="n">
        <f aca="false">LARGE(Data!$G$2:$G$29,2)</f>
        <v>92</v>
      </c>
      <c r="D14" s="29" t="s">
        <v>149</v>
      </c>
    </row>
    <row r="15" customFormat="false" ht="15" hidden="false" customHeight="false" outlineLevel="0" collapsed="false">
      <c r="A15" s="26" t="s">
        <v>150</v>
      </c>
      <c r="B15" s="27" t="s">
        <v>151</v>
      </c>
      <c r="C15" s="19" t="n">
        <f aca="false">SMALL(Data!$G$2:$G$29,2)</f>
        <v>57</v>
      </c>
      <c r="D15" s="29" t="s">
        <v>152</v>
      </c>
    </row>
    <row r="16" customFormat="false" ht="15" hidden="false" customHeight="false" outlineLevel="0" collapsed="false">
      <c r="A16" s="26" t="s">
        <v>153</v>
      </c>
      <c r="B16" s="27" t="s">
        <v>154</v>
      </c>
      <c r="C16" s="20" t="str">
        <f aca="false">INDEX(Data!$B$2:$B$29,MATCH(3,Data!$J$2:$J$29,0))</f>
        <v>Utami Sari</v>
      </c>
      <c r="D16" s="29" t="s">
        <v>138</v>
      </c>
    </row>
    <row r="17" customFormat="false" ht="15" hidden="false" customHeight="false" outlineLevel="0" collapsed="false">
      <c r="A17" s="26" t="s">
        <v>155</v>
      </c>
      <c r="B17" s="27" t="s">
        <v>156</v>
      </c>
      <c r="C17" s="19" t="n">
        <f aca="false">COUNTIF(Data!$K$2:$K$29,"Di atas rata-rata")</f>
        <v>15</v>
      </c>
      <c r="D17" s="29" t="s">
        <v>157</v>
      </c>
    </row>
    <row r="18" customFormat="false" ht="15" hidden="false" customHeight="false" outlineLevel="0" collapsed="false">
      <c r="A18" s="26" t="s">
        <v>158</v>
      </c>
      <c r="B18" s="27" t="s">
        <v>159</v>
      </c>
      <c r="C18" s="19" t="n">
        <f aca="false">SUMIF(Data!$I$2:$I$29,"Tuntas",Data!$F$2:$F$29)</f>
        <v>1174</v>
      </c>
      <c r="D18" s="29" t="s">
        <v>160</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2026-10-14T23:34:03Z</dcterms:created>
  <dc:creator>PushExcel</dc:creator>
  <dc:description/>
  <dc:language>en-US</dc:language>
  <cp:lastModifiedBy/>
  <dcterms:modified xsi:type="dcterms:W3CDTF">2026-10-14T23:34:03Z</dcterms:modified>
  <cp:revision>0</cp:revision>
  <dc:subject/>
  <dc:title>Rekap Nilai Tugas dan Ujian Satu Kelas - Kunci</dc:title>
</cp:coreProperties>
</file>

<file path=docProps/custom.xml><?xml version="1.0" encoding="utf-8"?>
<Properties xmlns="http://schemas.openxmlformats.org/officeDocument/2006/custom-properties" xmlns:vt="http://schemas.openxmlformats.org/officeDocument/2006/docPropsVTypes"/>
</file>