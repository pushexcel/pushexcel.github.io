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<sst xmlns="http://schemas.openxmlformats.org/spreadsheetml/2006/main" count="253" uniqueCount="170">
  <si>
    <t xml:space="preserve">Kunci Jawaban: Konsumsi BBM dan Efisiensi Armada Distribusi</t>
  </si>
  <si>
    <t xml:space="preserve">Latihan 80 dari 40  |  Tingkat: Menengah  |  Perkiraan waktu: 50 menit  |  pushexcel.github.io/Pushexcel</t>
  </si>
  <si>
    <t xml:space="preserve">Skenario</t>
  </si>
  <si>
    <t xml:space="preserve">Kamu staf operasional PT Lintas Niaga Distribusi yang memantau konsumsi BBM delapan armada, masing-masing dengan empat perjalanan pada Oktober 2026. Tiap perjalanan mencatat kilometer awal, kilometer akhir, dan liter BBM yang terpakai. Sheet Acuan memuat harga BBM per liter dan standar kilometer per liter untuk tiap jenis armada. Jarak adalah km akhir dikurangi km awal. Status Efisien bila km per liter mencapai standar, Normal bila mencapai 90 persen standar (angka ada di blok Parameter), dan Boros bila di bawah itu.</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</si>
  <si>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</si>
  <si>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</si>
  <si>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</si>
  <si>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</si>
  <si>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</si>
  <si>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</si>
  <si>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</si>
  <si>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</si>
  <si>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</si>
  <si>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</si>
  <si>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</si>
  <si>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</si>
  <si>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</si>
  <si>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</si>
  <si>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</si>
  <si>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</si>
  <si>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</si>
  <si>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</si>
  <si>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</si>
  <si>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</si>
  <si>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jarak tempuh: km akhir dikurangi km awal.</t>
  </si>
  <si>
    <t xml:space="preserve">Sheet Data, kolom H (Jarak), baris 2 sampai 33</t>
  </si>
  <si>
    <t xml:space="preserve">=F2-E2</t>
  </si>
  <si>
    <t xml:space="preserve">2</t>
  </si>
  <si>
    <t xml:space="preserve">Hitung km per liter: jarak dibagi liter BBM, dibulatkan 2 desimal.</t>
  </si>
  <si>
    <t xml:space="preserve">Sheet Data, kolom I (Km per Liter), baris 2 sampai 33</t>
  </si>
  <si>
    <t xml:space="preserve">=ROUND(H2/G2;2)</t>
  </si>
  <si>
    <t xml:space="preserve">3</t>
  </si>
  <si>
    <t xml:space="preserve">Ambil standar km per liter tiap perjalanan dari tabel jenis armada di sheet Acuan.</t>
  </si>
  <si>
    <t xml:space="preserve">Sheet Data, kolom J (Standar Km per Liter), baris 2 sampai 33</t>
  </si>
  <si>
    <t xml:space="preserve">=VLOOKUP(B2;Acuan!$A$2:$D$4;4;FALSE)</t>
  </si>
  <si>
    <t xml:space="preserve">4</t>
  </si>
  <si>
    <t xml:space="preserve">Ambil harga BBM per liter dari tabel jenis armada di sheet Acuan.</t>
  </si>
  <si>
    <t xml:space="preserve">Sheet Data, kolom K (Harga BBM), baris 2 sampai 33</t>
  </si>
  <si>
    <t xml:space="preserve">=VLOOKUP(B2;Acuan!$A$2:$D$4;3;FALSE)</t>
  </si>
  <si>
    <t xml:space="preserve">5</t>
  </si>
  <si>
    <t xml:space="preserve">Hitung biaya BBM: liter BBM dikali harga BBM, dibulatkan ke rupiah.</t>
  </si>
  <si>
    <t xml:space="preserve">Sheet Data, kolom L (Biaya BBM), baris 2 sampai 33</t>
  </si>
  <si>
    <t xml:space="preserve">=ROUND(G2*K2;0)</t>
  </si>
  <si>
    <t xml:space="preserve">6</t>
  </si>
  <si>
    <t xml:space="preserve">Hitung biaya per km: biaya BBM dibagi jarak, dibulatkan ke rupiah.</t>
  </si>
  <si>
    <t xml:space="preserve">Sheet Data, kolom M (Biaya per Km), baris 2 sampai 33</t>
  </si>
  <si>
    <t xml:space="preserve">=ROUND(L2/H2;0)</t>
  </si>
  <si>
    <t xml:space="preserve">7</t>
  </si>
  <si>
    <t xml:space="preserve">Beri status Efisien bila km per liter sama dengan atau di atas standar, Normal bila sama dengan atau di atas batas normal dikali standar, selain itu Boros.</t>
  </si>
  <si>
    <t xml:space="preserve">Sheet Data, kolom N (Status Efisiensi), baris 2 sampai 33</t>
  </si>
  <si>
    <t xml:space="preserve">=IF(I2&gt;=J2;"Efisien";IF(I2&gt;=$Q$2*J2;"Normal";"Boros"))</t>
  </si>
  <si>
    <t xml:space="preserve">8</t>
  </si>
  <si>
    <t xml:space="preserve">Pada sheet Acuan, hitung jumlah perjalanan tiap jenis armada.</t>
  </si>
  <si>
    <t xml:space="preserve">Sheet Acuan, kolom E (Jumlah Perjalanan), baris 2 sampai 4</t>
  </si>
  <si>
    <t xml:space="preserve">=COUNTIF(Data!$B$2:$B$33;A2)</t>
  </si>
  <si>
    <t xml:space="preserve">9</t>
  </si>
  <si>
    <t xml:space="preserve">Pada sheet Acuan, hitung total biaya BBM tiap jenis armada.</t>
  </si>
  <si>
    <t xml:space="preserve">Sheet Acuan, kolom F (Total Biaya BBM), baris 2 sampai 4</t>
  </si>
  <si>
    <t xml:space="preserve">=SUMIF(Data!$B$2:$B$33;A2;Data!$L$2:$L$33)</t>
  </si>
  <si>
    <t xml:space="preserve">10</t>
  </si>
  <si>
    <t xml:space="preserve">Pada sheet Acuan, hitung rata-rata km per liter tiap jenis armada.</t>
  </si>
  <si>
    <t xml:space="preserve">Sheet Acuan, kolom G (Rata-rata Km per Liter), baris 2 sampai 4</t>
  </si>
  <si>
    <t xml:space="preserve">=AVERAGEIF(Data!$B$2:$B$33;A2;Data!$I$2:$I$33)</t>
  </si>
  <si>
    <t xml:space="preserve">11</t>
  </si>
  <si>
    <t xml:space="preserve">Berapa total jarak tempuh, total liter BBM, dan total biaya BBM seluruh perjalanan?</t>
  </si>
  <si>
    <t xml:space="preserve">Sheet Ringkasan, sel C4 sampai C6</t>
  </si>
  <si>
    <t xml:space="preserve">=SUM(Data!$H$2:$H$33)
=SUM(Data!$G$2:$G$33)
=SUM(Data!$L$2:$L$33)</t>
  </si>
  <si>
    <t xml:space="preserve">12</t>
  </si>
  <si>
    <t xml:space="preserve">Berapa perjalanan yang berstatus Efisien, Normal, dan Boros?</t>
  </si>
  <si>
    <t xml:space="preserve">Sheet Ringkasan, sel C7 sampai C9</t>
  </si>
  <si>
    <t xml:space="preserve">=COUNTIF(Data!$N$2:$N$33;"Efisien")
=COUNTIF(Data!$N$2:$N$33;"Normal")
=COUNTIF(Data!$N$2:$N$33;"Boros")</t>
  </si>
  <si>
    <t xml:space="preserve">13</t>
  </si>
  <si>
    <t xml:space="preserve">Siapa sopir pada perjalanan dengan biaya BBM terbesar, dan jenis armada mana yang rata-rata km per liternya tertinggi?</t>
  </si>
  <si>
    <t xml:space="preserve">Sheet Ringkasan, sel C10 sampai C11</t>
  </si>
  <si>
    <t xml:space="preserve">=INDEX(Data!$C$2:$C$33;MATCH(MAX(Data!$L$2:$L$33);Data!$L$2:$L$33;0))
=INDEX(Acuan!$A$2:$A$4;MATCH(MAX(Acuan!$G$2:$G$4);Acuan!$G$2:$G$4;0))</t>
  </si>
  <si>
    <t xml:space="preserve">14</t>
  </si>
  <si>
    <t xml:space="preserve">Berapa rata-rata biaya per km seluruh perjalanan, dan berapa jarak terjauh pada satu perjalanan?</t>
  </si>
  <si>
    <t xml:space="preserve">Sheet Ringkasan, sel C12 sampai C13</t>
  </si>
  <si>
    <t xml:space="preserve">=AVERAGE(Data!$M$2:$M$33)
=MAX(Data!$H$2:$H$33)</t>
  </si>
  <si>
    <t xml:space="preserve">15</t>
  </si>
  <si>
    <t xml:space="preserve">Berapa perjalanan Pickup yang berstatus Boros, dan berapa total biaya BBM armada AR-01?</t>
  </si>
  <si>
    <t xml:space="preserve">Sheet Ringkasan, sel C14 sampai C15</t>
  </si>
  <si>
    <t xml:space="preserve">=COUNTIFS(Data!$B$2:$B$33;"Pickup";Data!$N$2:$N$33;"Boros")
=SUMIF(Data!$A$2:$A$33;"AR-01";Data!$L$2:$L$33)</t>
  </si>
  <si>
    <t xml:space="preserve">Kode Armada</t>
  </si>
  <si>
    <t xml:space="preserve">Jenis Armada</t>
  </si>
  <si>
    <t xml:space="preserve">Sopir</t>
  </si>
  <si>
    <t xml:space="preserve">Tanggal</t>
  </si>
  <si>
    <t xml:space="preserve">Km Awal</t>
  </si>
  <si>
    <t xml:space="preserve">Km Akhir</t>
  </si>
  <si>
    <t xml:space="preserve">Liter BBM</t>
  </si>
  <si>
    <t xml:space="preserve">Jarak</t>
  </si>
  <si>
    <t xml:space="preserve">Km per Liter</t>
  </si>
  <si>
    <t xml:space="preserve">Standar Km per Liter</t>
  </si>
  <si>
    <t xml:space="preserve">Harga BBM</t>
  </si>
  <si>
    <t xml:space="preserve">Biaya BBM</t>
  </si>
  <si>
    <t xml:space="preserve">Biaya per Km</t>
  </si>
  <si>
    <t xml:space="preserve">Status Efisiensi</t>
  </si>
  <si>
    <t xml:space="preserve">Parameter</t>
  </si>
  <si>
    <t xml:space="preserve">Nilai</t>
  </si>
  <si>
    <t xml:space="preserve">Keterangan</t>
  </si>
  <si>
    <t xml:space="preserve">AR-01</t>
  </si>
  <si>
    <t xml:space="preserve">Pickup</t>
  </si>
  <si>
    <t xml:space="preserve">Dian Putra</t>
  </si>
  <si>
    <t xml:space="preserve">Batas normal</t>
  </si>
  <si>
    <t xml:space="preserve">Km per liter di atas persentase ini dari standar (tetapi di bawah standar) = Normal</t>
  </si>
  <si>
    <t xml:space="preserve">AR-02</t>
  </si>
  <si>
    <t xml:space="preserve">Truk Engkel</t>
  </si>
  <si>
    <t xml:space="preserve">Hadi Permana</t>
  </si>
  <si>
    <t xml:space="preserve">AR-03</t>
  </si>
  <si>
    <t xml:space="preserve">Minibus</t>
  </si>
  <si>
    <t xml:space="preserve">Novi Putra</t>
  </si>
  <si>
    <t xml:space="preserve">AR-04</t>
  </si>
  <si>
    <t xml:space="preserve">Vina Yulianto</t>
  </si>
  <si>
    <t xml:space="preserve">AR-05</t>
  </si>
  <si>
    <t xml:space="preserve">Dewi Maharani</t>
  </si>
  <si>
    <t xml:space="preserve">AR-06</t>
  </si>
  <si>
    <t xml:space="preserve">Irfan Putra</t>
  </si>
  <si>
    <t xml:space="preserve">AR-07</t>
  </si>
  <si>
    <t xml:space="preserve">Fajar Wijaya</t>
  </si>
  <si>
    <t xml:space="preserve">AR-08</t>
  </si>
  <si>
    <t xml:space="preserve">Indah Utomo</t>
  </si>
  <si>
    <t xml:space="preserve">Jenis BBM</t>
  </si>
  <si>
    <t xml:space="preserve">Harga BBM per Liter</t>
  </si>
  <si>
    <t xml:space="preserve">Jumlah Perjalanan</t>
  </si>
  <si>
    <t xml:space="preserve">Total Biaya BBM</t>
  </si>
  <si>
    <t xml:space="preserve">Rata-rata Km per Liter</t>
  </si>
  <si>
    <t xml:space="preserve">Pertalite</t>
  </si>
  <si>
    <t xml:space="preserve">Solar</t>
  </si>
  <si>
    <t xml:space="preserve">Pertamax</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</si>
  <si>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</si>
  <si>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</si>
  <si>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</si>
  <si>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</si>
  <si>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</si>
  <si>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</si>
  <si>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Total jarak tempuh</t>
  </si>
  <si>
    <t xml:space="preserve">Angka bulat, mis. 3.500</t>
  </si>
  <si>
    <t xml:space="preserve">11b</t>
  </si>
  <si>
    <t xml:space="preserve">Total liter BBM</t>
  </si>
  <si>
    <t xml:space="preserve">Angka desimal, mis. 480,5</t>
  </si>
  <si>
    <t xml:space="preserve">11c</t>
  </si>
  <si>
    <t xml:space="preserve">Total biaya BBM</t>
  </si>
  <si>
    <t xml:space="preserve">Rupiah, mis. Rp 4.500.000</t>
  </si>
  <si>
    <t xml:space="preserve">12a</t>
  </si>
  <si>
    <t xml:space="preserve">Perjalanan Efisien</t>
  </si>
  <si>
    <t xml:space="preserve">Angka bulat, mis. 9</t>
  </si>
  <si>
    <t xml:space="preserve">12b</t>
  </si>
  <si>
    <t xml:space="preserve">Perjalanan Normal</t>
  </si>
  <si>
    <t xml:space="preserve">Angka bulat, mis. 12</t>
  </si>
  <si>
    <t xml:space="preserve">12c</t>
  </si>
  <si>
    <t xml:space="preserve">Perjalanan Boros</t>
  </si>
  <si>
    <t xml:space="preserve">Angka bulat, mis. 8</t>
  </si>
  <si>
    <t xml:space="preserve">13a</t>
  </si>
  <si>
    <t xml:space="preserve">Sopir pada biaya BBM terbesar</t>
  </si>
  <si>
    <t xml:space="preserve">Teks: nama sopir</t>
  </si>
  <si>
    <t xml:space="preserve">13b</t>
  </si>
  <si>
    <t xml:space="preserve">Jenis armada dengan rata-rata km per liter tertinggi</t>
  </si>
  <si>
    <t xml:space="preserve">Teks: jenis armada</t>
  </si>
  <si>
    <t xml:space="preserve">14a</t>
  </si>
  <si>
    <t xml:space="preserve">Rata-rata biaya per km</t>
  </si>
  <si>
    <t xml:space="preserve">Rupiah, mis. Rp 1.100</t>
  </si>
  <si>
    <t xml:space="preserve">14b</t>
  </si>
  <si>
    <t xml:space="preserve">Jarak terjauh satu perjalanan</t>
  </si>
  <si>
    <t xml:space="preserve">Angka bulat, mis. 300</t>
  </si>
  <si>
    <t xml:space="preserve">15a</t>
  </si>
  <si>
    <t xml:space="preserve">Perjalanan Pickup yang Boros</t>
  </si>
  <si>
    <t xml:space="preserve">Angka bulat, mis. 5</t>
  </si>
  <si>
    <t xml:space="preserve">15b</t>
  </si>
  <si>
    <t xml:space="preserve">Total biaya BBM armada AR-01</t>
  </si>
  <si>
    <t xml:space="preserve">Rupiah, mis. Rp 1.500.000</t>
  </si>
</sst>
</file>

<file path=xl/styles.xml><?xml version="1.0" encoding="utf-8"?>
<styleSheet xmlns="http://schemas.openxmlformats.org/spreadsheetml/2006/main">
  <numFmts count="8">
    <numFmt numFmtId="164" formatCode="General"/>
    <numFmt numFmtId="165" formatCode="dd/mm/yyyy"/>
    <numFmt numFmtId="166" formatCode="#,##0"/>
    <numFmt numFmtId="167" formatCode="0.0"/>
    <numFmt numFmtId="168" formatCode="0"/>
    <numFmt numFmtId="169" formatCode="0.00"/>
    <numFmt numFmtId="170" formatCode="&quot;Rp &quot;#,##0"/>
    <numFmt numFmtId="171"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true" applyProtection="false">
      <alignment horizontal="right" vertical="center" textRotation="0" wrapText="false" indent="0"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42"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57.7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row r="35" customFormat="false" ht="43.5" hidden="false" customHeight="true" outlineLevel="0" collapsed="false">
      <c r="A35" s="12" t="s">
        <v>79</v>
      </c>
      <c r="B35" s="13" t="s">
        <v>80</v>
      </c>
      <c r="C35" s="13" t="s">
        <v>81</v>
      </c>
      <c r="D35" s="14"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2"/>
    <col collapsed="false" customWidth="true" hidden="false" outlineLevel="0" max="4" min="4" style="0" width="13"/>
    <col collapsed="false" customWidth="true" hidden="false" outlineLevel="0" max="7" min="5" style="0" width="11"/>
    <col collapsed="false" customWidth="true" hidden="false" outlineLevel="0" max="8" min="8" style="0" width="9"/>
    <col collapsed="false" customWidth="true" hidden="false" outlineLevel="0" max="9" min="9" style="0" width="13"/>
    <col collapsed="false" customWidth="true" hidden="false" outlineLevel="0" max="10" min="10" style="0" width="20"/>
    <col collapsed="false" customWidth="true" hidden="false" outlineLevel="0" max="11" min="11" style="0" width="12"/>
    <col collapsed="false" customWidth="true" hidden="false" outlineLevel="0" max="13" min="12" style="0" width="13"/>
    <col collapsed="false" customWidth="true" hidden="false" outlineLevel="0" max="14" min="14" style="0" width="16"/>
    <col collapsed="false" customWidth="true" hidden="false" outlineLevel="0" max="15" min="15" style="0" width="3"/>
    <col collapsed="false" customWidth="true" hidden="false" outlineLevel="0" max="16" min="16" style="0" width="30"/>
    <col collapsed="false" customWidth="true" hidden="false" outlineLevel="0" max="17" min="17" style="0" width="16"/>
    <col collapsed="false" customWidth="true" hidden="false" outlineLevel="0" max="18" min="18" style="0" width="42"/>
  </cols>
  <sheetData>
    <row r="1" customFormat="false" ht="33.75" hidden="false" customHeight="true" outlineLevel="0" collapsed="false">
      <c r="A1" s="11" t="s">
        <v>83</v>
      </c>
      <c r="B1" s="11" t="s">
        <v>84</v>
      </c>
      <c r="C1" s="11" t="s">
        <v>85</v>
      </c>
      <c r="D1" s="11" t="s">
        <v>86</v>
      </c>
      <c r="E1" s="11" t="s">
        <v>87</v>
      </c>
      <c r="F1" s="11" t="s">
        <v>88</v>
      </c>
      <c r="G1" s="11" t="s">
        <v>89</v>
      </c>
      <c r="H1" s="15" t="s">
        <v>90</v>
      </c>
      <c r="I1" s="15" t="s">
        <v>91</v>
      </c>
      <c r="J1" s="15" t="s">
        <v>92</v>
      </c>
      <c r="K1" s="15" t="s">
        <v>93</v>
      </c>
      <c r="L1" s="15" t="s">
        <v>94</v>
      </c>
      <c r="M1" s="15" t="s">
        <v>95</v>
      </c>
      <c r="N1" s="15" t="s">
        <v>96</v>
      </c>
      <c r="P1" s="16" t="s">
        <v>97</v>
      </c>
      <c r="Q1" s="16" t="s">
        <v>98</v>
      </c>
      <c r="R1" s="16" t="s">
        <v>99</v>
      </c>
    </row>
    <row r="2" customFormat="false" ht="15" hidden="false" customHeight="false" outlineLevel="0" collapsed="false">
      <c r="A2" s="17" t="s">
        <v>100</v>
      </c>
      <c r="B2" s="17" t="s">
        <v>101</v>
      </c>
      <c r="C2" s="17" t="s">
        <v>102</v>
      </c>
      <c r="D2" s="18" t="n">
        <v>46299</v>
      </c>
      <c r="E2" s="19" t="n">
        <v>104300</v>
      </c>
      <c r="F2" s="19" t="n">
        <v>104395</v>
      </c>
      <c r="G2" s="20" t="n">
        <v>7</v>
      </c>
      <c r="H2" s="21" t="n">
        <f aca="false">F2-E2</f>
        <v>95</v>
      </c>
      <c r="I2" s="22" t="n">
        <f aca="false">ROUND(H2/G2,2)</f>
        <v>13.57</v>
      </c>
      <c r="J2" s="23" t="n">
        <f aca="false">VLOOKUP(B2,Acuan!$A$2:$D$4,4,FALSE())</f>
        <v>11</v>
      </c>
      <c r="K2" s="24" t="n">
        <f aca="false">VLOOKUP(B2,Acuan!$A$2:$D$4,3,FALSE())</f>
        <v>10000</v>
      </c>
      <c r="L2" s="24" t="n">
        <f aca="false">ROUND(G2*K2,0)</f>
        <v>70000</v>
      </c>
      <c r="M2" s="24" t="n">
        <f aca="false">ROUND(L2/H2,0)</f>
        <v>737</v>
      </c>
      <c r="N2" s="25" t="str">
        <f aca="false">IF(I2&gt;=J2,"Efisien",IF(I2&gt;=$Q$2*J2,"Normal","Boros"))</f>
        <v>Efisien</v>
      </c>
      <c r="P2" s="26" t="s">
        <v>103</v>
      </c>
      <c r="Q2" s="27" t="n">
        <v>0.9</v>
      </c>
      <c r="R2" s="26" t="s">
        <v>104</v>
      </c>
    </row>
    <row r="3" customFormat="false" ht="15" hidden="false" customHeight="false" outlineLevel="0" collapsed="false">
      <c r="A3" s="17" t="s">
        <v>100</v>
      </c>
      <c r="B3" s="17" t="s">
        <v>101</v>
      </c>
      <c r="C3" s="17" t="s">
        <v>102</v>
      </c>
      <c r="D3" s="18" t="n">
        <v>46301</v>
      </c>
      <c r="E3" s="19" t="n">
        <v>104410</v>
      </c>
      <c r="F3" s="19" t="n">
        <v>104620</v>
      </c>
      <c r="G3" s="20" t="n">
        <v>20.8</v>
      </c>
      <c r="H3" s="21" t="n">
        <f aca="false">F3-E3</f>
        <v>210</v>
      </c>
      <c r="I3" s="22" t="n">
        <f aca="false">ROUND(H3/G3,2)</f>
        <v>10.1</v>
      </c>
      <c r="J3" s="23" t="n">
        <f aca="false">VLOOKUP(B3,Acuan!$A$2:$D$4,4,FALSE())</f>
        <v>11</v>
      </c>
      <c r="K3" s="24" t="n">
        <f aca="false">VLOOKUP(B3,Acuan!$A$2:$D$4,3,FALSE())</f>
        <v>10000</v>
      </c>
      <c r="L3" s="24" t="n">
        <f aca="false">ROUND(G3*K3,0)</f>
        <v>208000</v>
      </c>
      <c r="M3" s="24" t="n">
        <f aca="false">ROUND(L3/H3,0)</f>
        <v>990</v>
      </c>
      <c r="N3" s="25" t="str">
        <f aca="false">IF(I3&gt;=J3,"Efisien",IF(I3&gt;=$Q$2*J3,"Normal","Boros"))</f>
        <v>Normal</v>
      </c>
    </row>
    <row r="4" customFormat="false" ht="15" hidden="false" customHeight="false" outlineLevel="0" collapsed="false">
      <c r="A4" s="17" t="s">
        <v>100</v>
      </c>
      <c r="B4" s="17" t="s">
        <v>101</v>
      </c>
      <c r="C4" s="17" t="s">
        <v>102</v>
      </c>
      <c r="D4" s="18" t="n">
        <v>46307</v>
      </c>
      <c r="E4" s="19" t="n">
        <v>104629</v>
      </c>
      <c r="F4" s="19" t="n">
        <v>104889</v>
      </c>
      <c r="G4" s="20" t="n">
        <v>24.3</v>
      </c>
      <c r="H4" s="21" t="n">
        <f aca="false">F4-E4</f>
        <v>260</v>
      </c>
      <c r="I4" s="22" t="n">
        <f aca="false">ROUND(H4/G4,2)</f>
        <v>10.7</v>
      </c>
      <c r="J4" s="23" t="n">
        <f aca="false">VLOOKUP(B4,Acuan!$A$2:$D$4,4,FALSE())</f>
        <v>11</v>
      </c>
      <c r="K4" s="24" t="n">
        <f aca="false">VLOOKUP(B4,Acuan!$A$2:$D$4,3,FALSE())</f>
        <v>10000</v>
      </c>
      <c r="L4" s="24" t="n">
        <f aca="false">ROUND(G4*K4,0)</f>
        <v>243000</v>
      </c>
      <c r="M4" s="24" t="n">
        <f aca="false">ROUND(L4/H4,0)</f>
        <v>935</v>
      </c>
      <c r="N4" s="25" t="str">
        <f aca="false">IF(I4&gt;=J4,"Efisien",IF(I4&gt;=$Q$2*J4,"Normal","Boros"))</f>
        <v>Normal</v>
      </c>
    </row>
    <row r="5" customFormat="false" ht="15" hidden="false" customHeight="false" outlineLevel="0" collapsed="false">
      <c r="A5" s="17" t="s">
        <v>100</v>
      </c>
      <c r="B5" s="17" t="s">
        <v>101</v>
      </c>
      <c r="C5" s="17" t="s">
        <v>102</v>
      </c>
      <c r="D5" s="18" t="n">
        <v>46309</v>
      </c>
      <c r="E5" s="19" t="n">
        <v>104912</v>
      </c>
      <c r="F5" s="19" t="n">
        <v>105082</v>
      </c>
      <c r="G5" s="20" t="n">
        <v>13.2</v>
      </c>
      <c r="H5" s="21" t="n">
        <f aca="false">F5-E5</f>
        <v>170</v>
      </c>
      <c r="I5" s="22" t="n">
        <f aca="false">ROUND(H5/G5,2)</f>
        <v>12.88</v>
      </c>
      <c r="J5" s="23" t="n">
        <f aca="false">VLOOKUP(B5,Acuan!$A$2:$D$4,4,FALSE())</f>
        <v>11</v>
      </c>
      <c r="K5" s="24" t="n">
        <f aca="false">VLOOKUP(B5,Acuan!$A$2:$D$4,3,FALSE())</f>
        <v>10000</v>
      </c>
      <c r="L5" s="24" t="n">
        <f aca="false">ROUND(G5*K5,0)</f>
        <v>132000</v>
      </c>
      <c r="M5" s="24" t="n">
        <f aca="false">ROUND(L5/H5,0)</f>
        <v>776</v>
      </c>
      <c r="N5" s="25" t="str">
        <f aca="false">IF(I5&gt;=J5,"Efisien",IF(I5&gt;=$Q$2*J5,"Normal","Boros"))</f>
        <v>Efisien</v>
      </c>
    </row>
    <row r="6" customFormat="false" ht="15" hidden="false" customHeight="false" outlineLevel="0" collapsed="false">
      <c r="A6" s="17" t="s">
        <v>105</v>
      </c>
      <c r="B6" s="17" t="s">
        <v>106</v>
      </c>
      <c r="C6" s="17" t="s">
        <v>107</v>
      </c>
      <c r="D6" s="18" t="n">
        <v>46299</v>
      </c>
      <c r="E6" s="19" t="n">
        <v>31800</v>
      </c>
      <c r="F6" s="19" t="n">
        <v>31880</v>
      </c>
      <c r="G6" s="20" t="n">
        <v>17.5</v>
      </c>
      <c r="H6" s="21" t="n">
        <f aca="false">F6-E6</f>
        <v>80</v>
      </c>
      <c r="I6" s="22" t="n">
        <f aca="false">ROUND(H6/G6,2)</f>
        <v>4.57</v>
      </c>
      <c r="J6" s="23" t="n">
        <f aca="false">VLOOKUP(B6,Acuan!$A$2:$D$4,4,FALSE())</f>
        <v>7.5</v>
      </c>
      <c r="K6" s="24" t="n">
        <f aca="false">VLOOKUP(B6,Acuan!$A$2:$D$4,3,FALSE())</f>
        <v>6800</v>
      </c>
      <c r="L6" s="24" t="n">
        <f aca="false">ROUND(G6*K6,0)</f>
        <v>119000</v>
      </c>
      <c r="M6" s="24" t="n">
        <f aca="false">ROUND(L6/H6,0)</f>
        <v>1488</v>
      </c>
      <c r="N6" s="25" t="str">
        <f aca="false">IF(I6&gt;=J6,"Efisien",IF(I6&gt;=$Q$2*J6,"Normal","Boros"))</f>
        <v>Boros</v>
      </c>
    </row>
    <row r="7" customFormat="false" ht="15" hidden="false" customHeight="false" outlineLevel="0" collapsed="false">
      <c r="A7" s="17" t="s">
        <v>105</v>
      </c>
      <c r="B7" s="17" t="s">
        <v>106</v>
      </c>
      <c r="C7" s="17" t="s">
        <v>107</v>
      </c>
      <c r="D7" s="18" t="n">
        <v>46303</v>
      </c>
      <c r="E7" s="19" t="n">
        <v>31900</v>
      </c>
      <c r="F7" s="19" t="n">
        <v>31980</v>
      </c>
      <c r="G7" s="20" t="n">
        <v>15.2</v>
      </c>
      <c r="H7" s="21" t="n">
        <f aca="false">F7-E7</f>
        <v>80</v>
      </c>
      <c r="I7" s="22" t="n">
        <f aca="false">ROUND(H7/G7,2)</f>
        <v>5.26</v>
      </c>
      <c r="J7" s="23" t="n">
        <f aca="false">VLOOKUP(B7,Acuan!$A$2:$D$4,4,FALSE())</f>
        <v>7.5</v>
      </c>
      <c r="K7" s="24" t="n">
        <f aca="false">VLOOKUP(B7,Acuan!$A$2:$D$4,3,FALSE())</f>
        <v>6800</v>
      </c>
      <c r="L7" s="24" t="n">
        <f aca="false">ROUND(G7*K7,0)</f>
        <v>103360</v>
      </c>
      <c r="M7" s="24" t="n">
        <f aca="false">ROUND(L7/H7,0)</f>
        <v>1292</v>
      </c>
      <c r="N7" s="25" t="str">
        <f aca="false">IF(I7&gt;=J7,"Efisien",IF(I7&gt;=$Q$2*J7,"Normal","Boros"))</f>
        <v>Boros</v>
      </c>
    </row>
    <row r="8" customFormat="false" ht="15" hidden="false" customHeight="false" outlineLevel="0" collapsed="false">
      <c r="A8" s="17" t="s">
        <v>105</v>
      </c>
      <c r="B8" s="17" t="s">
        <v>106</v>
      </c>
      <c r="C8" s="17" t="s">
        <v>107</v>
      </c>
      <c r="D8" s="18" t="n">
        <v>46308</v>
      </c>
      <c r="E8" s="19" t="n">
        <v>32006</v>
      </c>
      <c r="F8" s="19" t="n">
        <v>32216</v>
      </c>
      <c r="G8" s="20" t="n">
        <v>36.4</v>
      </c>
      <c r="H8" s="21" t="n">
        <f aca="false">F8-E8</f>
        <v>210</v>
      </c>
      <c r="I8" s="22" t="n">
        <f aca="false">ROUND(H8/G8,2)</f>
        <v>5.77</v>
      </c>
      <c r="J8" s="23" t="n">
        <f aca="false">VLOOKUP(B8,Acuan!$A$2:$D$4,4,FALSE())</f>
        <v>7.5</v>
      </c>
      <c r="K8" s="24" t="n">
        <f aca="false">VLOOKUP(B8,Acuan!$A$2:$D$4,3,FALSE())</f>
        <v>6800</v>
      </c>
      <c r="L8" s="24" t="n">
        <f aca="false">ROUND(G8*K8,0)</f>
        <v>247520</v>
      </c>
      <c r="M8" s="24" t="n">
        <f aca="false">ROUND(L8/H8,0)</f>
        <v>1179</v>
      </c>
      <c r="N8" s="25" t="str">
        <f aca="false">IF(I8&gt;=J8,"Efisien",IF(I8&gt;=$Q$2*J8,"Normal","Boros"))</f>
        <v>Boros</v>
      </c>
    </row>
    <row r="9" customFormat="false" ht="15" hidden="false" customHeight="false" outlineLevel="0" collapsed="false">
      <c r="A9" s="17" t="s">
        <v>105</v>
      </c>
      <c r="B9" s="17" t="s">
        <v>106</v>
      </c>
      <c r="C9" s="17" t="s">
        <v>107</v>
      </c>
      <c r="D9" s="18" t="n">
        <v>46310</v>
      </c>
      <c r="E9" s="19" t="n">
        <v>32227</v>
      </c>
      <c r="F9" s="19" t="n">
        <v>32307</v>
      </c>
      <c r="G9" s="20" t="n">
        <v>11.6</v>
      </c>
      <c r="H9" s="21" t="n">
        <f aca="false">F9-E9</f>
        <v>80</v>
      </c>
      <c r="I9" s="22" t="n">
        <f aca="false">ROUND(H9/G9,2)</f>
        <v>6.9</v>
      </c>
      <c r="J9" s="23" t="n">
        <f aca="false">VLOOKUP(B9,Acuan!$A$2:$D$4,4,FALSE())</f>
        <v>7.5</v>
      </c>
      <c r="K9" s="24" t="n">
        <f aca="false">VLOOKUP(B9,Acuan!$A$2:$D$4,3,FALSE())</f>
        <v>6800</v>
      </c>
      <c r="L9" s="24" t="n">
        <f aca="false">ROUND(G9*K9,0)</f>
        <v>78880</v>
      </c>
      <c r="M9" s="24" t="n">
        <f aca="false">ROUND(L9/H9,0)</f>
        <v>986</v>
      </c>
      <c r="N9" s="25" t="str">
        <f aca="false">IF(I9&gt;=J9,"Efisien",IF(I9&gt;=$Q$2*J9,"Normal","Boros"))</f>
        <v>Normal</v>
      </c>
    </row>
    <row r="10" customFormat="false" ht="15" hidden="false" customHeight="false" outlineLevel="0" collapsed="false">
      <c r="A10" s="17" t="s">
        <v>108</v>
      </c>
      <c r="B10" s="17" t="s">
        <v>109</v>
      </c>
      <c r="C10" s="17" t="s">
        <v>110</v>
      </c>
      <c r="D10" s="18" t="n">
        <v>46296</v>
      </c>
      <c r="E10" s="19" t="n">
        <v>81500</v>
      </c>
      <c r="F10" s="19" t="n">
        <v>81565</v>
      </c>
      <c r="G10" s="20" t="n">
        <v>6.1</v>
      </c>
      <c r="H10" s="21" t="n">
        <f aca="false">F10-E10</f>
        <v>65</v>
      </c>
      <c r="I10" s="22" t="n">
        <f aca="false">ROUND(H10/G10,2)</f>
        <v>10.66</v>
      </c>
      <c r="J10" s="23" t="n">
        <f aca="false">VLOOKUP(B10,Acuan!$A$2:$D$4,4,FALSE())</f>
        <v>9.5</v>
      </c>
      <c r="K10" s="24" t="n">
        <f aca="false">VLOOKUP(B10,Acuan!$A$2:$D$4,3,FALSE())</f>
        <v>12500</v>
      </c>
      <c r="L10" s="24" t="n">
        <f aca="false">ROUND(G10*K10,0)</f>
        <v>76250</v>
      </c>
      <c r="M10" s="24" t="n">
        <f aca="false">ROUND(L10/H10,0)</f>
        <v>1173</v>
      </c>
      <c r="N10" s="25" t="str">
        <f aca="false">IF(I10&gt;=J10,"Efisien",IF(I10&gt;=$Q$2*J10,"Normal","Boros"))</f>
        <v>Efisien</v>
      </c>
    </row>
    <row r="11" customFormat="false" ht="15" hidden="false" customHeight="false" outlineLevel="0" collapsed="false">
      <c r="A11" s="17" t="s">
        <v>108</v>
      </c>
      <c r="B11" s="17" t="s">
        <v>109</v>
      </c>
      <c r="C11" s="17" t="s">
        <v>110</v>
      </c>
      <c r="D11" s="18" t="n">
        <v>46302</v>
      </c>
      <c r="E11" s="19" t="n">
        <v>81589</v>
      </c>
      <c r="F11" s="19" t="n">
        <v>81669</v>
      </c>
      <c r="G11" s="20" t="n">
        <v>8.2</v>
      </c>
      <c r="H11" s="21" t="n">
        <f aca="false">F11-E11</f>
        <v>80</v>
      </c>
      <c r="I11" s="22" t="n">
        <f aca="false">ROUND(H11/G11,2)</f>
        <v>9.76</v>
      </c>
      <c r="J11" s="23" t="n">
        <f aca="false">VLOOKUP(B11,Acuan!$A$2:$D$4,4,FALSE())</f>
        <v>9.5</v>
      </c>
      <c r="K11" s="24" t="n">
        <f aca="false">VLOOKUP(B11,Acuan!$A$2:$D$4,3,FALSE())</f>
        <v>12500</v>
      </c>
      <c r="L11" s="24" t="n">
        <f aca="false">ROUND(G11*K11,0)</f>
        <v>102500</v>
      </c>
      <c r="M11" s="24" t="n">
        <f aca="false">ROUND(L11/H11,0)</f>
        <v>1281</v>
      </c>
      <c r="N11" s="25" t="str">
        <f aca="false">IF(I11&gt;=J11,"Efisien",IF(I11&gt;=$Q$2*J11,"Normal","Boros"))</f>
        <v>Efisien</v>
      </c>
    </row>
    <row r="12" customFormat="false" ht="15" hidden="false" customHeight="false" outlineLevel="0" collapsed="false">
      <c r="A12" s="17" t="s">
        <v>108</v>
      </c>
      <c r="B12" s="17" t="s">
        <v>109</v>
      </c>
      <c r="C12" s="17" t="s">
        <v>110</v>
      </c>
      <c r="D12" s="18" t="n">
        <v>46304</v>
      </c>
      <c r="E12" s="19" t="n">
        <v>81692</v>
      </c>
      <c r="F12" s="19" t="n">
        <v>81862</v>
      </c>
      <c r="G12" s="20" t="n">
        <v>15.7</v>
      </c>
      <c r="H12" s="21" t="n">
        <f aca="false">F12-E12</f>
        <v>170</v>
      </c>
      <c r="I12" s="22" t="n">
        <f aca="false">ROUND(H12/G12,2)</f>
        <v>10.83</v>
      </c>
      <c r="J12" s="23" t="n">
        <f aca="false">VLOOKUP(B12,Acuan!$A$2:$D$4,4,FALSE())</f>
        <v>9.5</v>
      </c>
      <c r="K12" s="24" t="n">
        <f aca="false">VLOOKUP(B12,Acuan!$A$2:$D$4,3,FALSE())</f>
        <v>12500</v>
      </c>
      <c r="L12" s="24" t="n">
        <f aca="false">ROUND(G12*K12,0)</f>
        <v>196250</v>
      </c>
      <c r="M12" s="24" t="n">
        <f aca="false">ROUND(L12/H12,0)</f>
        <v>1154</v>
      </c>
      <c r="N12" s="25" t="str">
        <f aca="false">IF(I12&gt;=J12,"Efisien",IF(I12&gt;=$Q$2*J12,"Normal","Boros"))</f>
        <v>Efisien</v>
      </c>
    </row>
    <row r="13" customFormat="false" ht="15" hidden="false" customHeight="false" outlineLevel="0" collapsed="false">
      <c r="A13" s="17" t="s">
        <v>108</v>
      </c>
      <c r="B13" s="17" t="s">
        <v>109</v>
      </c>
      <c r="C13" s="17" t="s">
        <v>110</v>
      </c>
      <c r="D13" s="18" t="n">
        <v>46308</v>
      </c>
      <c r="E13" s="19" t="n">
        <v>81877</v>
      </c>
      <c r="F13" s="19" t="n">
        <v>81972</v>
      </c>
      <c r="G13" s="20" t="n">
        <v>9.8</v>
      </c>
      <c r="H13" s="21" t="n">
        <f aca="false">F13-E13</f>
        <v>95</v>
      </c>
      <c r="I13" s="22" t="n">
        <f aca="false">ROUND(H13/G13,2)</f>
        <v>9.69</v>
      </c>
      <c r="J13" s="23" t="n">
        <f aca="false">VLOOKUP(B13,Acuan!$A$2:$D$4,4,FALSE())</f>
        <v>9.5</v>
      </c>
      <c r="K13" s="24" t="n">
        <f aca="false">VLOOKUP(B13,Acuan!$A$2:$D$4,3,FALSE())</f>
        <v>12500</v>
      </c>
      <c r="L13" s="24" t="n">
        <f aca="false">ROUND(G13*K13,0)</f>
        <v>122500</v>
      </c>
      <c r="M13" s="24" t="n">
        <f aca="false">ROUND(L13/H13,0)</f>
        <v>1289</v>
      </c>
      <c r="N13" s="25" t="str">
        <f aca="false">IF(I13&gt;=J13,"Efisien",IF(I13&gt;=$Q$2*J13,"Normal","Boros"))</f>
        <v>Efisien</v>
      </c>
    </row>
    <row r="14" customFormat="false" ht="15" hidden="false" customHeight="false" outlineLevel="0" collapsed="false">
      <c r="A14" s="17" t="s">
        <v>111</v>
      </c>
      <c r="B14" s="17" t="s">
        <v>101</v>
      </c>
      <c r="C14" s="17" t="s">
        <v>112</v>
      </c>
      <c r="D14" s="18" t="n">
        <v>46296</v>
      </c>
      <c r="E14" s="19" t="n">
        <v>22000</v>
      </c>
      <c r="F14" s="19" t="n">
        <v>22120</v>
      </c>
      <c r="G14" s="20" t="n">
        <v>8.6</v>
      </c>
      <c r="H14" s="21" t="n">
        <f aca="false">F14-E14</f>
        <v>120</v>
      </c>
      <c r="I14" s="22" t="n">
        <f aca="false">ROUND(H14/G14,2)</f>
        <v>13.95</v>
      </c>
      <c r="J14" s="23" t="n">
        <f aca="false">VLOOKUP(B14,Acuan!$A$2:$D$4,4,FALSE())</f>
        <v>11</v>
      </c>
      <c r="K14" s="24" t="n">
        <f aca="false">VLOOKUP(B14,Acuan!$A$2:$D$4,3,FALSE())</f>
        <v>10000</v>
      </c>
      <c r="L14" s="24" t="n">
        <f aca="false">ROUND(G14*K14,0)</f>
        <v>86000</v>
      </c>
      <c r="M14" s="24" t="n">
        <f aca="false">ROUND(L14/H14,0)</f>
        <v>717</v>
      </c>
      <c r="N14" s="25" t="str">
        <f aca="false">IF(I14&gt;=J14,"Efisien",IF(I14&gt;=$Q$2*J14,"Normal","Boros"))</f>
        <v>Efisien</v>
      </c>
    </row>
    <row r="15" customFormat="false" ht="15" hidden="false" customHeight="false" outlineLevel="0" collapsed="false">
      <c r="A15" s="17" t="s">
        <v>111</v>
      </c>
      <c r="B15" s="17" t="s">
        <v>101</v>
      </c>
      <c r="C15" s="17" t="s">
        <v>112</v>
      </c>
      <c r="D15" s="18" t="n">
        <v>46299</v>
      </c>
      <c r="E15" s="19" t="n">
        <v>22147</v>
      </c>
      <c r="F15" s="19" t="n">
        <v>22292</v>
      </c>
      <c r="G15" s="20" t="n">
        <v>14.4</v>
      </c>
      <c r="H15" s="21" t="n">
        <f aca="false">F15-E15</f>
        <v>145</v>
      </c>
      <c r="I15" s="22" t="n">
        <f aca="false">ROUND(H15/G15,2)</f>
        <v>10.07</v>
      </c>
      <c r="J15" s="23" t="n">
        <f aca="false">VLOOKUP(B15,Acuan!$A$2:$D$4,4,FALSE())</f>
        <v>11</v>
      </c>
      <c r="K15" s="24" t="n">
        <f aca="false">VLOOKUP(B15,Acuan!$A$2:$D$4,3,FALSE())</f>
        <v>10000</v>
      </c>
      <c r="L15" s="24" t="n">
        <f aca="false">ROUND(G15*K15,0)</f>
        <v>144000</v>
      </c>
      <c r="M15" s="24" t="n">
        <f aca="false">ROUND(L15/H15,0)</f>
        <v>993</v>
      </c>
      <c r="N15" s="25" t="str">
        <f aca="false">IF(I15&gt;=J15,"Efisien",IF(I15&gt;=$Q$2*J15,"Normal","Boros"))</f>
        <v>Normal</v>
      </c>
    </row>
    <row r="16" customFormat="false" ht="15" hidden="false" customHeight="false" outlineLevel="0" collapsed="false">
      <c r="A16" s="17" t="s">
        <v>111</v>
      </c>
      <c r="B16" s="17" t="s">
        <v>101</v>
      </c>
      <c r="C16" s="17" t="s">
        <v>112</v>
      </c>
      <c r="D16" s="18" t="n">
        <v>46304</v>
      </c>
      <c r="E16" s="19" t="n">
        <v>22304</v>
      </c>
      <c r="F16" s="19" t="n">
        <v>22369</v>
      </c>
      <c r="G16" s="20" t="n">
        <v>6.4</v>
      </c>
      <c r="H16" s="21" t="n">
        <f aca="false">F16-E16</f>
        <v>65</v>
      </c>
      <c r="I16" s="22" t="n">
        <f aca="false">ROUND(H16/G16,2)</f>
        <v>10.16</v>
      </c>
      <c r="J16" s="23" t="n">
        <f aca="false">VLOOKUP(B16,Acuan!$A$2:$D$4,4,FALSE())</f>
        <v>11</v>
      </c>
      <c r="K16" s="24" t="n">
        <f aca="false">VLOOKUP(B16,Acuan!$A$2:$D$4,3,FALSE())</f>
        <v>10000</v>
      </c>
      <c r="L16" s="24" t="n">
        <f aca="false">ROUND(G16*K16,0)</f>
        <v>64000</v>
      </c>
      <c r="M16" s="24" t="n">
        <f aca="false">ROUND(L16/H16,0)</f>
        <v>985</v>
      </c>
      <c r="N16" s="25" t="str">
        <f aca="false">IF(I16&gt;=J16,"Efisien",IF(I16&gt;=$Q$2*J16,"Normal","Boros"))</f>
        <v>Normal</v>
      </c>
    </row>
    <row r="17" customFormat="false" ht="15" hidden="false" customHeight="false" outlineLevel="0" collapsed="false">
      <c r="A17" s="17" t="s">
        <v>111</v>
      </c>
      <c r="B17" s="17" t="s">
        <v>101</v>
      </c>
      <c r="C17" s="17" t="s">
        <v>112</v>
      </c>
      <c r="D17" s="18" t="n">
        <v>46310</v>
      </c>
      <c r="E17" s="19" t="n">
        <v>22392</v>
      </c>
      <c r="F17" s="19" t="n">
        <v>22537</v>
      </c>
      <c r="G17" s="20" t="n">
        <v>10.3</v>
      </c>
      <c r="H17" s="21" t="n">
        <f aca="false">F17-E17</f>
        <v>145</v>
      </c>
      <c r="I17" s="22" t="n">
        <f aca="false">ROUND(H17/G17,2)</f>
        <v>14.08</v>
      </c>
      <c r="J17" s="23" t="n">
        <f aca="false">VLOOKUP(B17,Acuan!$A$2:$D$4,4,FALSE())</f>
        <v>11</v>
      </c>
      <c r="K17" s="24" t="n">
        <f aca="false">VLOOKUP(B17,Acuan!$A$2:$D$4,3,FALSE())</f>
        <v>10000</v>
      </c>
      <c r="L17" s="24" t="n">
        <f aca="false">ROUND(G17*K17,0)</f>
        <v>103000</v>
      </c>
      <c r="M17" s="24" t="n">
        <f aca="false">ROUND(L17/H17,0)</f>
        <v>710</v>
      </c>
      <c r="N17" s="25" t="str">
        <f aca="false">IF(I17&gt;=J17,"Efisien",IF(I17&gt;=$Q$2*J17,"Normal","Boros"))</f>
        <v>Efisien</v>
      </c>
    </row>
    <row r="18" customFormat="false" ht="15" hidden="false" customHeight="false" outlineLevel="0" collapsed="false">
      <c r="A18" s="17" t="s">
        <v>113</v>
      </c>
      <c r="B18" s="17" t="s">
        <v>106</v>
      </c>
      <c r="C18" s="17" t="s">
        <v>114</v>
      </c>
      <c r="D18" s="18" t="n">
        <v>46299</v>
      </c>
      <c r="E18" s="19" t="n">
        <v>119100</v>
      </c>
      <c r="F18" s="19" t="n">
        <v>119165</v>
      </c>
      <c r="G18" s="20" t="n">
        <v>6.8</v>
      </c>
      <c r="H18" s="21" t="n">
        <f aca="false">F18-E18</f>
        <v>65</v>
      </c>
      <c r="I18" s="22" t="n">
        <f aca="false">ROUND(H18/G18,2)</f>
        <v>9.56</v>
      </c>
      <c r="J18" s="23" t="n">
        <f aca="false">VLOOKUP(B18,Acuan!$A$2:$D$4,4,FALSE())</f>
        <v>7.5</v>
      </c>
      <c r="K18" s="24" t="n">
        <f aca="false">VLOOKUP(B18,Acuan!$A$2:$D$4,3,FALSE())</f>
        <v>6800</v>
      </c>
      <c r="L18" s="24" t="n">
        <f aca="false">ROUND(G18*K18,0)</f>
        <v>46240</v>
      </c>
      <c r="M18" s="24" t="n">
        <f aca="false">ROUND(L18/H18,0)</f>
        <v>711</v>
      </c>
      <c r="N18" s="25" t="str">
        <f aca="false">IF(I18&gt;=J18,"Efisien",IF(I18&gt;=$Q$2*J18,"Normal","Boros"))</f>
        <v>Efisien</v>
      </c>
    </row>
    <row r="19" customFormat="false" ht="15" hidden="false" customHeight="false" outlineLevel="0" collapsed="false">
      <c r="A19" s="17" t="s">
        <v>113</v>
      </c>
      <c r="B19" s="17" t="s">
        <v>106</v>
      </c>
      <c r="C19" s="17" t="s">
        <v>114</v>
      </c>
      <c r="D19" s="18" t="n">
        <v>46303</v>
      </c>
      <c r="E19" s="19" t="n">
        <v>119195</v>
      </c>
      <c r="F19" s="19" t="n">
        <v>119243</v>
      </c>
      <c r="G19" s="20" t="n">
        <v>6.9</v>
      </c>
      <c r="H19" s="21" t="n">
        <f aca="false">F19-E19</f>
        <v>48</v>
      </c>
      <c r="I19" s="22" t="n">
        <f aca="false">ROUND(H19/G19,2)</f>
        <v>6.96</v>
      </c>
      <c r="J19" s="23" t="n">
        <f aca="false">VLOOKUP(B19,Acuan!$A$2:$D$4,4,FALSE())</f>
        <v>7.5</v>
      </c>
      <c r="K19" s="24" t="n">
        <f aca="false">VLOOKUP(B19,Acuan!$A$2:$D$4,3,FALSE())</f>
        <v>6800</v>
      </c>
      <c r="L19" s="24" t="n">
        <f aca="false">ROUND(G19*K19,0)</f>
        <v>46920</v>
      </c>
      <c r="M19" s="24" t="n">
        <f aca="false">ROUND(L19/H19,0)</f>
        <v>978</v>
      </c>
      <c r="N19" s="25" t="str">
        <f aca="false">IF(I19&gt;=J19,"Efisien",IF(I19&gt;=$Q$2*J19,"Normal","Boros"))</f>
        <v>Normal</v>
      </c>
    </row>
    <row r="20" customFormat="false" ht="15" hidden="false" customHeight="false" outlineLevel="0" collapsed="false">
      <c r="A20" s="17" t="s">
        <v>113</v>
      </c>
      <c r="B20" s="17" t="s">
        <v>106</v>
      </c>
      <c r="C20" s="17" t="s">
        <v>114</v>
      </c>
      <c r="D20" s="18" t="n">
        <v>46306</v>
      </c>
      <c r="E20" s="19" t="n">
        <v>119271</v>
      </c>
      <c r="F20" s="19" t="n">
        <v>119531</v>
      </c>
      <c r="G20" s="20" t="n">
        <v>27.4</v>
      </c>
      <c r="H20" s="21" t="n">
        <f aca="false">F20-E20</f>
        <v>260</v>
      </c>
      <c r="I20" s="22" t="n">
        <f aca="false">ROUND(H20/G20,2)</f>
        <v>9.49</v>
      </c>
      <c r="J20" s="23" t="n">
        <f aca="false">VLOOKUP(B20,Acuan!$A$2:$D$4,4,FALSE())</f>
        <v>7.5</v>
      </c>
      <c r="K20" s="24" t="n">
        <f aca="false">VLOOKUP(B20,Acuan!$A$2:$D$4,3,FALSE())</f>
        <v>6800</v>
      </c>
      <c r="L20" s="24" t="n">
        <f aca="false">ROUND(G20*K20,0)</f>
        <v>186320</v>
      </c>
      <c r="M20" s="24" t="n">
        <f aca="false">ROUND(L20/H20,0)</f>
        <v>717</v>
      </c>
      <c r="N20" s="25" t="str">
        <f aca="false">IF(I20&gt;=J20,"Efisien",IF(I20&gt;=$Q$2*J20,"Normal","Boros"))</f>
        <v>Efisien</v>
      </c>
    </row>
    <row r="21" customFormat="false" ht="15" hidden="false" customHeight="false" outlineLevel="0" collapsed="false">
      <c r="A21" s="17" t="s">
        <v>113</v>
      </c>
      <c r="B21" s="17" t="s">
        <v>106</v>
      </c>
      <c r="C21" s="17" t="s">
        <v>114</v>
      </c>
      <c r="D21" s="18" t="n">
        <v>46310</v>
      </c>
      <c r="E21" s="19" t="n">
        <v>119540</v>
      </c>
      <c r="F21" s="19" t="n">
        <v>119660</v>
      </c>
      <c r="G21" s="20" t="n">
        <v>13.7</v>
      </c>
      <c r="H21" s="21" t="n">
        <f aca="false">F21-E21</f>
        <v>120</v>
      </c>
      <c r="I21" s="22" t="n">
        <f aca="false">ROUND(H21/G21,2)</f>
        <v>8.76</v>
      </c>
      <c r="J21" s="23" t="n">
        <f aca="false">VLOOKUP(B21,Acuan!$A$2:$D$4,4,FALSE())</f>
        <v>7.5</v>
      </c>
      <c r="K21" s="24" t="n">
        <f aca="false">VLOOKUP(B21,Acuan!$A$2:$D$4,3,FALSE())</f>
        <v>6800</v>
      </c>
      <c r="L21" s="24" t="n">
        <f aca="false">ROUND(G21*K21,0)</f>
        <v>93160</v>
      </c>
      <c r="M21" s="24" t="n">
        <f aca="false">ROUND(L21/H21,0)</f>
        <v>776</v>
      </c>
      <c r="N21" s="25" t="str">
        <f aca="false">IF(I21&gt;=J21,"Efisien",IF(I21&gt;=$Q$2*J21,"Normal","Boros"))</f>
        <v>Efisien</v>
      </c>
    </row>
    <row r="22" customFormat="false" ht="15" hidden="false" customHeight="false" outlineLevel="0" collapsed="false">
      <c r="A22" s="17" t="s">
        <v>115</v>
      </c>
      <c r="B22" s="17" t="s">
        <v>109</v>
      </c>
      <c r="C22" s="17" t="s">
        <v>116</v>
      </c>
      <c r="D22" s="18" t="n">
        <v>46297</v>
      </c>
      <c r="E22" s="19" t="n">
        <v>124300</v>
      </c>
      <c r="F22" s="19" t="n">
        <v>124470</v>
      </c>
      <c r="G22" s="20" t="n">
        <v>20</v>
      </c>
      <c r="H22" s="21" t="n">
        <f aca="false">F22-E22</f>
        <v>170</v>
      </c>
      <c r="I22" s="22" t="n">
        <f aca="false">ROUND(H22/G22,2)</f>
        <v>8.5</v>
      </c>
      <c r="J22" s="23" t="n">
        <f aca="false">VLOOKUP(B22,Acuan!$A$2:$D$4,4,FALSE())</f>
        <v>9.5</v>
      </c>
      <c r="K22" s="24" t="n">
        <f aca="false">VLOOKUP(B22,Acuan!$A$2:$D$4,3,FALSE())</f>
        <v>12500</v>
      </c>
      <c r="L22" s="24" t="n">
        <f aca="false">ROUND(G22*K22,0)</f>
        <v>250000</v>
      </c>
      <c r="M22" s="24" t="n">
        <f aca="false">ROUND(L22/H22,0)</f>
        <v>1471</v>
      </c>
      <c r="N22" s="25" t="str">
        <f aca="false">IF(I22&gt;=J22,"Efisien",IF(I22&gt;=$Q$2*J22,"Normal","Boros"))</f>
        <v>Boros</v>
      </c>
    </row>
    <row r="23" customFormat="false" ht="15" hidden="false" customHeight="false" outlineLevel="0" collapsed="false">
      <c r="A23" s="17" t="s">
        <v>115</v>
      </c>
      <c r="B23" s="17" t="s">
        <v>109</v>
      </c>
      <c r="C23" s="17" t="s">
        <v>116</v>
      </c>
      <c r="D23" s="18" t="n">
        <v>46299</v>
      </c>
      <c r="E23" s="19" t="n">
        <v>124498</v>
      </c>
      <c r="F23" s="19" t="n">
        <v>124668</v>
      </c>
      <c r="G23" s="20" t="n">
        <v>13.6</v>
      </c>
      <c r="H23" s="21" t="n">
        <f aca="false">F23-E23</f>
        <v>170</v>
      </c>
      <c r="I23" s="22" t="n">
        <f aca="false">ROUND(H23/G23,2)</f>
        <v>12.5</v>
      </c>
      <c r="J23" s="23" t="n">
        <f aca="false">VLOOKUP(B23,Acuan!$A$2:$D$4,4,FALSE())</f>
        <v>9.5</v>
      </c>
      <c r="K23" s="24" t="n">
        <f aca="false">VLOOKUP(B23,Acuan!$A$2:$D$4,3,FALSE())</f>
        <v>12500</v>
      </c>
      <c r="L23" s="24" t="n">
        <f aca="false">ROUND(G23*K23,0)</f>
        <v>170000</v>
      </c>
      <c r="M23" s="24" t="n">
        <f aca="false">ROUND(L23/H23,0)</f>
        <v>1000</v>
      </c>
      <c r="N23" s="25" t="str">
        <f aca="false">IF(I23&gt;=J23,"Efisien",IF(I23&gt;=$Q$2*J23,"Normal","Boros"))</f>
        <v>Efisien</v>
      </c>
    </row>
    <row r="24" customFormat="false" ht="15" hidden="false" customHeight="false" outlineLevel="0" collapsed="false">
      <c r="A24" s="17" t="s">
        <v>115</v>
      </c>
      <c r="B24" s="17" t="s">
        <v>109</v>
      </c>
      <c r="C24" s="17" t="s">
        <v>116</v>
      </c>
      <c r="D24" s="18" t="n">
        <v>46303</v>
      </c>
      <c r="E24" s="19" t="n">
        <v>124681</v>
      </c>
      <c r="F24" s="19" t="n">
        <v>124746</v>
      </c>
      <c r="G24" s="20" t="n">
        <v>7.9</v>
      </c>
      <c r="H24" s="21" t="n">
        <f aca="false">F24-E24</f>
        <v>65</v>
      </c>
      <c r="I24" s="22" t="n">
        <f aca="false">ROUND(H24/G24,2)</f>
        <v>8.23</v>
      </c>
      <c r="J24" s="23" t="n">
        <f aca="false">VLOOKUP(B24,Acuan!$A$2:$D$4,4,FALSE())</f>
        <v>9.5</v>
      </c>
      <c r="K24" s="24" t="n">
        <f aca="false">VLOOKUP(B24,Acuan!$A$2:$D$4,3,FALSE())</f>
        <v>12500</v>
      </c>
      <c r="L24" s="24" t="n">
        <f aca="false">ROUND(G24*K24,0)</f>
        <v>98750</v>
      </c>
      <c r="M24" s="24" t="n">
        <f aca="false">ROUND(L24/H24,0)</f>
        <v>1519</v>
      </c>
      <c r="N24" s="25" t="str">
        <f aca="false">IF(I24&gt;=J24,"Efisien",IF(I24&gt;=$Q$2*J24,"Normal","Boros"))</f>
        <v>Boros</v>
      </c>
    </row>
    <row r="25" customFormat="false" ht="15" hidden="false" customHeight="false" outlineLevel="0" collapsed="false">
      <c r="A25" s="17" t="s">
        <v>115</v>
      </c>
      <c r="B25" s="17" t="s">
        <v>109</v>
      </c>
      <c r="C25" s="17" t="s">
        <v>116</v>
      </c>
      <c r="D25" s="18" t="n">
        <v>46305</v>
      </c>
      <c r="E25" s="19" t="n">
        <v>124755</v>
      </c>
      <c r="F25" s="19" t="n">
        <v>124835</v>
      </c>
      <c r="G25" s="20" t="n">
        <v>8.5</v>
      </c>
      <c r="H25" s="21" t="n">
        <f aca="false">F25-E25</f>
        <v>80</v>
      </c>
      <c r="I25" s="22" t="n">
        <f aca="false">ROUND(H25/G25,2)</f>
        <v>9.41</v>
      </c>
      <c r="J25" s="23" t="n">
        <f aca="false">VLOOKUP(B25,Acuan!$A$2:$D$4,4,FALSE())</f>
        <v>9.5</v>
      </c>
      <c r="K25" s="24" t="n">
        <f aca="false">VLOOKUP(B25,Acuan!$A$2:$D$4,3,FALSE())</f>
        <v>12500</v>
      </c>
      <c r="L25" s="24" t="n">
        <f aca="false">ROUND(G25*K25,0)</f>
        <v>106250</v>
      </c>
      <c r="M25" s="24" t="n">
        <f aca="false">ROUND(L25/H25,0)</f>
        <v>1328</v>
      </c>
      <c r="N25" s="25" t="str">
        <f aca="false">IF(I25&gt;=J25,"Efisien",IF(I25&gt;=$Q$2*J25,"Normal","Boros"))</f>
        <v>Normal</v>
      </c>
    </row>
    <row r="26" customFormat="false" ht="15" hidden="false" customHeight="false" outlineLevel="0" collapsed="false">
      <c r="A26" s="17" t="s">
        <v>117</v>
      </c>
      <c r="B26" s="17" t="s">
        <v>101</v>
      </c>
      <c r="C26" s="17" t="s">
        <v>118</v>
      </c>
      <c r="D26" s="18" t="n">
        <v>46296</v>
      </c>
      <c r="E26" s="19" t="n">
        <v>70700</v>
      </c>
      <c r="F26" s="19" t="n">
        <v>70748</v>
      </c>
      <c r="G26" s="20" t="n">
        <v>5.5</v>
      </c>
      <c r="H26" s="21" t="n">
        <f aca="false">F26-E26</f>
        <v>48</v>
      </c>
      <c r="I26" s="22" t="n">
        <f aca="false">ROUND(H26/G26,2)</f>
        <v>8.73</v>
      </c>
      <c r="J26" s="23" t="n">
        <f aca="false">VLOOKUP(B26,Acuan!$A$2:$D$4,4,FALSE())</f>
        <v>11</v>
      </c>
      <c r="K26" s="24" t="n">
        <f aca="false">VLOOKUP(B26,Acuan!$A$2:$D$4,3,FALSE())</f>
        <v>10000</v>
      </c>
      <c r="L26" s="24" t="n">
        <f aca="false">ROUND(G26*K26,0)</f>
        <v>55000</v>
      </c>
      <c r="M26" s="24" t="n">
        <f aca="false">ROUND(L26/H26,0)</f>
        <v>1146</v>
      </c>
      <c r="N26" s="25" t="str">
        <f aca="false">IF(I26&gt;=J26,"Efisien",IF(I26&gt;=$Q$2*J26,"Normal","Boros"))</f>
        <v>Boros</v>
      </c>
    </row>
    <row r="27" customFormat="false" ht="15" hidden="false" customHeight="false" outlineLevel="0" collapsed="false">
      <c r="A27" s="17" t="s">
        <v>117</v>
      </c>
      <c r="B27" s="17" t="s">
        <v>101</v>
      </c>
      <c r="C27" s="17" t="s">
        <v>118</v>
      </c>
      <c r="D27" s="18" t="n">
        <v>46299</v>
      </c>
      <c r="E27" s="19" t="n">
        <v>70763</v>
      </c>
      <c r="F27" s="19" t="n">
        <v>70973</v>
      </c>
      <c r="G27" s="20" t="n">
        <v>26.7</v>
      </c>
      <c r="H27" s="21" t="n">
        <f aca="false">F27-E27</f>
        <v>210</v>
      </c>
      <c r="I27" s="22" t="n">
        <f aca="false">ROUND(H27/G27,2)</f>
        <v>7.87</v>
      </c>
      <c r="J27" s="23" t="n">
        <f aca="false">VLOOKUP(B27,Acuan!$A$2:$D$4,4,FALSE())</f>
        <v>11</v>
      </c>
      <c r="K27" s="24" t="n">
        <f aca="false">VLOOKUP(B27,Acuan!$A$2:$D$4,3,FALSE())</f>
        <v>10000</v>
      </c>
      <c r="L27" s="24" t="n">
        <f aca="false">ROUND(G27*K27,0)</f>
        <v>267000</v>
      </c>
      <c r="M27" s="24" t="n">
        <f aca="false">ROUND(L27/H27,0)</f>
        <v>1271</v>
      </c>
      <c r="N27" s="25" t="str">
        <f aca="false">IF(I27&gt;=J27,"Efisien",IF(I27&gt;=$Q$2*J27,"Normal","Boros"))</f>
        <v>Boros</v>
      </c>
    </row>
    <row r="28" customFormat="false" ht="15" hidden="false" customHeight="false" outlineLevel="0" collapsed="false">
      <c r="A28" s="17" t="s">
        <v>117</v>
      </c>
      <c r="B28" s="17" t="s">
        <v>101</v>
      </c>
      <c r="C28" s="17" t="s">
        <v>118</v>
      </c>
      <c r="D28" s="18" t="n">
        <v>46302</v>
      </c>
      <c r="E28" s="19" t="n">
        <v>70976</v>
      </c>
      <c r="F28" s="19" t="n">
        <v>71056</v>
      </c>
      <c r="G28" s="20" t="n">
        <v>9.2</v>
      </c>
      <c r="H28" s="21" t="n">
        <f aca="false">F28-E28</f>
        <v>80</v>
      </c>
      <c r="I28" s="22" t="n">
        <f aca="false">ROUND(H28/G28,2)</f>
        <v>8.7</v>
      </c>
      <c r="J28" s="23" t="n">
        <f aca="false">VLOOKUP(B28,Acuan!$A$2:$D$4,4,FALSE())</f>
        <v>11</v>
      </c>
      <c r="K28" s="24" t="n">
        <f aca="false">VLOOKUP(B28,Acuan!$A$2:$D$4,3,FALSE())</f>
        <v>10000</v>
      </c>
      <c r="L28" s="24" t="n">
        <f aca="false">ROUND(G28*K28,0)</f>
        <v>92000</v>
      </c>
      <c r="M28" s="24" t="n">
        <f aca="false">ROUND(L28/H28,0)</f>
        <v>1150</v>
      </c>
      <c r="N28" s="25" t="str">
        <f aca="false">IF(I28&gt;=J28,"Efisien",IF(I28&gt;=$Q$2*J28,"Normal","Boros"))</f>
        <v>Boros</v>
      </c>
    </row>
    <row r="29" customFormat="false" ht="15" hidden="false" customHeight="false" outlineLevel="0" collapsed="false">
      <c r="A29" s="17" t="s">
        <v>117</v>
      </c>
      <c r="B29" s="17" t="s">
        <v>101</v>
      </c>
      <c r="C29" s="17" t="s">
        <v>118</v>
      </c>
      <c r="D29" s="18" t="n">
        <v>46305</v>
      </c>
      <c r="E29" s="19" t="n">
        <v>71061</v>
      </c>
      <c r="F29" s="19" t="n">
        <v>71231</v>
      </c>
      <c r="G29" s="20" t="n">
        <v>18.3</v>
      </c>
      <c r="H29" s="21" t="n">
        <f aca="false">F29-E29</f>
        <v>170</v>
      </c>
      <c r="I29" s="22" t="n">
        <f aca="false">ROUND(H29/G29,2)</f>
        <v>9.29</v>
      </c>
      <c r="J29" s="23" t="n">
        <f aca="false">VLOOKUP(B29,Acuan!$A$2:$D$4,4,FALSE())</f>
        <v>11</v>
      </c>
      <c r="K29" s="24" t="n">
        <f aca="false">VLOOKUP(B29,Acuan!$A$2:$D$4,3,FALSE())</f>
        <v>10000</v>
      </c>
      <c r="L29" s="24" t="n">
        <f aca="false">ROUND(G29*K29,0)</f>
        <v>183000</v>
      </c>
      <c r="M29" s="24" t="n">
        <f aca="false">ROUND(L29/H29,0)</f>
        <v>1076</v>
      </c>
      <c r="N29" s="25" t="str">
        <f aca="false">IF(I29&gt;=J29,"Efisien",IF(I29&gt;=$Q$2*J29,"Normal","Boros"))</f>
        <v>Boros</v>
      </c>
    </row>
    <row r="30" customFormat="false" ht="15" hidden="false" customHeight="false" outlineLevel="0" collapsed="false">
      <c r="A30" s="17" t="s">
        <v>119</v>
      </c>
      <c r="B30" s="17" t="s">
        <v>106</v>
      </c>
      <c r="C30" s="17" t="s">
        <v>120</v>
      </c>
      <c r="D30" s="18" t="n">
        <v>46298</v>
      </c>
      <c r="E30" s="19" t="n">
        <v>20200</v>
      </c>
      <c r="F30" s="19" t="n">
        <v>20345</v>
      </c>
      <c r="G30" s="20" t="n">
        <v>19.1</v>
      </c>
      <c r="H30" s="21" t="n">
        <f aca="false">F30-E30</f>
        <v>145</v>
      </c>
      <c r="I30" s="22" t="n">
        <f aca="false">ROUND(H30/G30,2)</f>
        <v>7.59</v>
      </c>
      <c r="J30" s="23" t="n">
        <f aca="false">VLOOKUP(B30,Acuan!$A$2:$D$4,4,FALSE())</f>
        <v>7.5</v>
      </c>
      <c r="K30" s="24" t="n">
        <f aca="false">VLOOKUP(B30,Acuan!$A$2:$D$4,3,FALSE())</f>
        <v>6800</v>
      </c>
      <c r="L30" s="24" t="n">
        <f aca="false">ROUND(G30*K30,0)</f>
        <v>129880</v>
      </c>
      <c r="M30" s="24" t="n">
        <f aca="false">ROUND(L30/H30,0)</f>
        <v>896</v>
      </c>
      <c r="N30" s="25" t="str">
        <f aca="false">IF(I30&gt;=J30,"Efisien",IF(I30&gt;=$Q$2*J30,"Normal","Boros"))</f>
        <v>Efisien</v>
      </c>
    </row>
    <row r="31" customFormat="false" ht="15" hidden="false" customHeight="false" outlineLevel="0" collapsed="false">
      <c r="A31" s="17" t="s">
        <v>119</v>
      </c>
      <c r="B31" s="17" t="s">
        <v>106</v>
      </c>
      <c r="C31" s="17" t="s">
        <v>120</v>
      </c>
      <c r="D31" s="18" t="n">
        <v>46304</v>
      </c>
      <c r="E31" s="19" t="n">
        <v>20362</v>
      </c>
      <c r="F31" s="19" t="n">
        <v>20482</v>
      </c>
      <c r="G31" s="20" t="n">
        <v>17.3</v>
      </c>
      <c r="H31" s="21" t="n">
        <f aca="false">F31-E31</f>
        <v>120</v>
      </c>
      <c r="I31" s="22" t="n">
        <f aca="false">ROUND(H31/G31,2)</f>
        <v>6.94</v>
      </c>
      <c r="J31" s="23" t="n">
        <f aca="false">VLOOKUP(B31,Acuan!$A$2:$D$4,4,FALSE())</f>
        <v>7.5</v>
      </c>
      <c r="K31" s="24" t="n">
        <f aca="false">VLOOKUP(B31,Acuan!$A$2:$D$4,3,FALSE())</f>
        <v>6800</v>
      </c>
      <c r="L31" s="24" t="n">
        <f aca="false">ROUND(G31*K31,0)</f>
        <v>117640</v>
      </c>
      <c r="M31" s="24" t="n">
        <f aca="false">ROUND(L31/H31,0)</f>
        <v>980</v>
      </c>
      <c r="N31" s="25" t="str">
        <f aca="false">IF(I31&gt;=J31,"Efisien",IF(I31&gt;=$Q$2*J31,"Normal","Boros"))</f>
        <v>Normal</v>
      </c>
    </row>
    <row r="32" customFormat="false" ht="15" hidden="false" customHeight="false" outlineLevel="0" collapsed="false">
      <c r="A32" s="17" t="s">
        <v>119</v>
      </c>
      <c r="B32" s="17" t="s">
        <v>106</v>
      </c>
      <c r="C32" s="17" t="s">
        <v>120</v>
      </c>
      <c r="D32" s="18" t="n">
        <v>46310</v>
      </c>
      <c r="E32" s="19" t="n">
        <v>20511</v>
      </c>
      <c r="F32" s="19" t="n">
        <v>20681</v>
      </c>
      <c r="G32" s="20" t="n">
        <v>27.6</v>
      </c>
      <c r="H32" s="21" t="n">
        <f aca="false">F32-E32</f>
        <v>170</v>
      </c>
      <c r="I32" s="22" t="n">
        <f aca="false">ROUND(H32/G32,2)</f>
        <v>6.16</v>
      </c>
      <c r="J32" s="23" t="n">
        <f aca="false">VLOOKUP(B32,Acuan!$A$2:$D$4,4,FALSE())</f>
        <v>7.5</v>
      </c>
      <c r="K32" s="24" t="n">
        <f aca="false">VLOOKUP(B32,Acuan!$A$2:$D$4,3,FALSE())</f>
        <v>6800</v>
      </c>
      <c r="L32" s="24" t="n">
        <f aca="false">ROUND(G32*K32,0)</f>
        <v>187680</v>
      </c>
      <c r="M32" s="24" t="n">
        <f aca="false">ROUND(L32/H32,0)</f>
        <v>1104</v>
      </c>
      <c r="N32" s="25" t="str">
        <f aca="false">IF(I32&gt;=J32,"Efisien",IF(I32&gt;=$Q$2*J32,"Normal","Boros"))</f>
        <v>Boros</v>
      </c>
    </row>
    <row r="33" customFormat="false" ht="15" hidden="false" customHeight="false" outlineLevel="0" collapsed="false">
      <c r="A33" s="17" t="s">
        <v>119</v>
      </c>
      <c r="B33" s="17" t="s">
        <v>106</v>
      </c>
      <c r="C33" s="17" t="s">
        <v>120</v>
      </c>
      <c r="D33" s="18" t="n">
        <v>46315</v>
      </c>
      <c r="E33" s="19" t="n">
        <v>20696</v>
      </c>
      <c r="F33" s="19" t="n">
        <v>20841</v>
      </c>
      <c r="G33" s="20" t="n">
        <v>23</v>
      </c>
      <c r="H33" s="21" t="n">
        <f aca="false">F33-E33</f>
        <v>145</v>
      </c>
      <c r="I33" s="22" t="n">
        <f aca="false">ROUND(H33/G33,2)</f>
        <v>6.3</v>
      </c>
      <c r="J33" s="23" t="n">
        <f aca="false">VLOOKUP(B33,Acuan!$A$2:$D$4,4,FALSE())</f>
        <v>7.5</v>
      </c>
      <c r="K33" s="24" t="n">
        <f aca="false">VLOOKUP(B33,Acuan!$A$2:$D$4,3,FALSE())</f>
        <v>6800</v>
      </c>
      <c r="L33" s="24" t="n">
        <f aca="false">ROUND(G33*K33,0)</f>
        <v>156400</v>
      </c>
      <c r="M33" s="24" t="n">
        <f aca="false">ROUND(L33/H33,0)</f>
        <v>1079</v>
      </c>
      <c r="N33" s="25" t="str">
        <f aca="false">IF(I33&gt;=J33,"Efisien",IF(I33&gt;=$Q$2*J33,"Normal","Boros"))</f>
        <v>Boros</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9"/>
    <col collapsed="false" customWidth="true" hidden="false" outlineLevel="0" max="4" min="4" style="0" width="20"/>
    <col collapsed="false" customWidth="true" hidden="false" outlineLevel="0" max="5" min="5" style="0" width="17"/>
    <col collapsed="false" customWidth="true" hidden="false" outlineLevel="0" max="6" min="6" style="0" width="16"/>
    <col collapsed="false" customWidth="true" hidden="false" outlineLevel="0" max="7" min="7" style="0" width="21"/>
  </cols>
  <sheetData>
    <row r="1" customFormat="false" ht="33.75" hidden="false" customHeight="true" outlineLevel="0" collapsed="false">
      <c r="A1" s="11" t="s">
        <v>84</v>
      </c>
      <c r="B1" s="11" t="s">
        <v>121</v>
      </c>
      <c r="C1" s="11" t="s">
        <v>122</v>
      </c>
      <c r="D1" s="11" t="s">
        <v>92</v>
      </c>
      <c r="E1" s="15" t="s">
        <v>123</v>
      </c>
      <c r="F1" s="15" t="s">
        <v>124</v>
      </c>
      <c r="G1" s="15" t="s">
        <v>125</v>
      </c>
    </row>
    <row r="2" customFormat="false" ht="15" hidden="false" customHeight="false" outlineLevel="0" collapsed="false">
      <c r="A2" s="17" t="s">
        <v>101</v>
      </c>
      <c r="B2" s="17" t="s">
        <v>126</v>
      </c>
      <c r="C2" s="28" t="n">
        <v>10000</v>
      </c>
      <c r="D2" s="20" t="n">
        <v>11</v>
      </c>
      <c r="E2" s="21" t="n">
        <f aca="false">COUNTIF(Data!$B$2:$B$33,A2)</f>
        <v>12</v>
      </c>
      <c r="F2" s="24" t="n">
        <f aca="false">SUMIF(Data!$B$2:$B$33,A2,Data!$L$2:$L$33)</f>
        <v>1647000</v>
      </c>
      <c r="G2" s="22" t="n">
        <f aca="false">AVERAGEIF(Data!$B$2:$B$33,A2,Data!$I$2:$I$33)</f>
        <v>10.8416666666667</v>
      </c>
    </row>
    <row r="3" customFormat="false" ht="15" hidden="false" customHeight="false" outlineLevel="0" collapsed="false">
      <c r="A3" s="17" t="s">
        <v>106</v>
      </c>
      <c r="B3" s="17" t="s">
        <v>127</v>
      </c>
      <c r="C3" s="28" t="n">
        <v>6800</v>
      </c>
      <c r="D3" s="20" t="n">
        <v>7.5</v>
      </c>
      <c r="E3" s="21" t="n">
        <f aca="false">COUNTIF(Data!$B$2:$B$33,A3)</f>
        <v>12</v>
      </c>
      <c r="F3" s="24" t="n">
        <f aca="false">SUMIF(Data!$B$2:$B$33,A3,Data!$L$2:$L$33)</f>
        <v>1513000</v>
      </c>
      <c r="G3" s="22" t="n">
        <f aca="false">AVERAGEIF(Data!$B$2:$B$33,A3,Data!$I$2:$I$33)</f>
        <v>7.02166666666667</v>
      </c>
    </row>
    <row r="4" customFormat="false" ht="15" hidden="false" customHeight="false" outlineLevel="0" collapsed="false">
      <c r="A4" s="17" t="s">
        <v>109</v>
      </c>
      <c r="B4" s="17" t="s">
        <v>128</v>
      </c>
      <c r="C4" s="28" t="n">
        <v>12500</v>
      </c>
      <c r="D4" s="20" t="n">
        <v>9.5</v>
      </c>
      <c r="E4" s="21" t="n">
        <f aca="false">COUNTIF(Data!$B$2:$B$33,A4)</f>
        <v>8</v>
      </c>
      <c r="F4" s="24" t="n">
        <f aca="false">SUMIF(Data!$B$2:$B$33,A4,Data!$L$2:$L$33)</f>
        <v>1122500</v>
      </c>
      <c r="G4" s="22" t="n">
        <f aca="false">AVERAGEIF(Data!$B$2:$B$33,A4,Data!$I$2:$I$33)</f>
        <v>9.9475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129</v>
      </c>
      <c r="B1" s="29"/>
      <c r="C1" s="29"/>
      <c r="D1" s="29"/>
    </row>
    <row r="2" customFormat="false" ht="15" hidden="false" customHeight="false" outlineLevel="0" collapsed="false">
      <c r="A2" s="30" t="s">
        <v>130</v>
      </c>
      <c r="B2" s="30"/>
      <c r="C2" s="30"/>
      <c r="D2" s="30"/>
    </row>
    <row r="3" customFormat="false" ht="15" hidden="false" customHeight="false" outlineLevel="0" collapsed="false">
      <c r="A3" s="11" t="s">
        <v>19</v>
      </c>
      <c r="B3" s="11" t="s">
        <v>131</v>
      </c>
      <c r="C3" s="11" t="s">
        <v>132</v>
      </c>
      <c r="D3" s="11" t="s">
        <v>133</v>
      </c>
    </row>
    <row r="4" customFormat="false" ht="15" hidden="false" customHeight="false" outlineLevel="0" collapsed="false">
      <c r="A4" s="31" t="s">
        <v>134</v>
      </c>
      <c r="B4" s="32" t="s">
        <v>135</v>
      </c>
      <c r="C4" s="33" t="n">
        <f aca="false">SUM(Data!$H$2:$H$33)</f>
        <v>4136</v>
      </c>
      <c r="D4" s="34" t="s">
        <v>136</v>
      </c>
    </row>
    <row r="5" customFormat="false" ht="15" hidden="false" customHeight="false" outlineLevel="0" collapsed="false">
      <c r="A5" s="31" t="s">
        <v>137</v>
      </c>
      <c r="B5" s="32" t="s">
        <v>138</v>
      </c>
      <c r="C5" s="23" t="n">
        <f aca="false">SUM(Data!$G$2:$G$33)</f>
        <v>477</v>
      </c>
      <c r="D5" s="34" t="s">
        <v>139</v>
      </c>
    </row>
    <row r="6" customFormat="false" ht="15" hidden="false" customHeight="false" outlineLevel="0" collapsed="false">
      <c r="A6" s="31" t="s">
        <v>140</v>
      </c>
      <c r="B6" s="32" t="s">
        <v>141</v>
      </c>
      <c r="C6" s="24" t="n">
        <f aca="false">SUM(Data!$L$2:$L$33)</f>
        <v>4282500</v>
      </c>
      <c r="D6" s="34" t="s">
        <v>142</v>
      </c>
    </row>
    <row r="7" customFormat="false" ht="15" hidden="false" customHeight="false" outlineLevel="0" collapsed="false">
      <c r="A7" s="31" t="s">
        <v>143</v>
      </c>
      <c r="B7" s="32" t="s">
        <v>144</v>
      </c>
      <c r="C7" s="21" t="n">
        <f aca="false">COUNTIF(Data!$N$2:$N$33,"Efisien")</f>
        <v>13</v>
      </c>
      <c r="D7" s="34" t="s">
        <v>145</v>
      </c>
    </row>
    <row r="8" customFormat="false" ht="15" hidden="false" customHeight="false" outlineLevel="0" collapsed="false">
      <c r="A8" s="31" t="s">
        <v>146</v>
      </c>
      <c r="B8" s="32" t="s">
        <v>147</v>
      </c>
      <c r="C8" s="21" t="n">
        <f aca="false">COUNTIF(Data!$N$2:$N$33,"Normal")</f>
        <v>8</v>
      </c>
      <c r="D8" s="34" t="s">
        <v>148</v>
      </c>
    </row>
    <row r="9" customFormat="false" ht="15" hidden="false" customHeight="false" outlineLevel="0" collapsed="false">
      <c r="A9" s="31" t="s">
        <v>149</v>
      </c>
      <c r="B9" s="32" t="s">
        <v>150</v>
      </c>
      <c r="C9" s="21" t="n">
        <f aca="false">COUNTIF(Data!$N$2:$N$33,"Boros")</f>
        <v>11</v>
      </c>
      <c r="D9" s="34" t="s">
        <v>151</v>
      </c>
    </row>
    <row r="10" customFormat="false" ht="15" hidden="false" customHeight="false" outlineLevel="0" collapsed="false">
      <c r="A10" s="31" t="s">
        <v>152</v>
      </c>
      <c r="B10" s="32" t="s">
        <v>153</v>
      </c>
      <c r="C10" s="25" t="str">
        <f aca="false">INDEX(Data!$C$2:$C$33,MATCH(MAX(Data!$L$2:$L$33),Data!$L$2:$L$33,0))</f>
        <v>Fajar Wijaya</v>
      </c>
      <c r="D10" s="34" t="s">
        <v>154</v>
      </c>
    </row>
    <row r="11" customFormat="false" ht="15" hidden="false" customHeight="false" outlineLevel="0" collapsed="false">
      <c r="A11" s="31" t="s">
        <v>155</v>
      </c>
      <c r="B11" s="32" t="s">
        <v>156</v>
      </c>
      <c r="C11" s="25" t="str">
        <f aca="false">INDEX(Acuan!$A$2:$A$4,MATCH(MAX(Acuan!$G$2:$G$4),Acuan!$G$2:$G$4,0))</f>
        <v>Pickup</v>
      </c>
      <c r="D11" s="34" t="s">
        <v>157</v>
      </c>
    </row>
    <row r="12" customFormat="false" ht="15" hidden="false" customHeight="false" outlineLevel="0" collapsed="false">
      <c r="A12" s="31" t="s">
        <v>158</v>
      </c>
      <c r="B12" s="32" t="s">
        <v>159</v>
      </c>
      <c r="C12" s="24" t="n">
        <f aca="false">AVERAGE(Data!$M$2:$M$33)</f>
        <v>1058.96875</v>
      </c>
      <c r="D12" s="34" t="s">
        <v>160</v>
      </c>
    </row>
    <row r="13" customFormat="false" ht="15" hidden="false" customHeight="false" outlineLevel="0" collapsed="false">
      <c r="A13" s="31" t="s">
        <v>161</v>
      </c>
      <c r="B13" s="32" t="s">
        <v>162</v>
      </c>
      <c r="C13" s="21" t="n">
        <f aca="false">MAX(Data!$H$2:$H$33)</f>
        <v>260</v>
      </c>
      <c r="D13" s="34" t="s">
        <v>163</v>
      </c>
    </row>
    <row r="14" customFormat="false" ht="15" hidden="false" customHeight="false" outlineLevel="0" collapsed="false">
      <c r="A14" s="31" t="s">
        <v>164</v>
      </c>
      <c r="B14" s="32" t="s">
        <v>165</v>
      </c>
      <c r="C14" s="21" t="n">
        <f aca="false">COUNTIFS(Data!$B$2:$B$33,"Pickup",Data!$N$2:$N$33,"Boros")</f>
        <v>4</v>
      </c>
      <c r="D14" s="34" t="s">
        <v>166</v>
      </c>
    </row>
    <row r="15" customFormat="false" ht="15" hidden="false" customHeight="false" outlineLevel="0" collapsed="false">
      <c r="A15" s="31" t="s">
        <v>167</v>
      </c>
      <c r="B15" s="32" t="s">
        <v>168</v>
      </c>
      <c r="C15" s="24" t="n">
        <f aca="false">SUMIF(Data!$A$2:$A$33,"AR-01",Data!$L$2:$L$33)</f>
        <v>653000</v>
      </c>
      <c r="D15" s="34" t="s">
        <v>169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2026-10-16T10:35:56Z</dcterms:created>
  <dc:creator>PushExcel</dc:creator>
  <dc:description/>
  <dc:language>en-US</dc:language>
  <cp:lastModifiedBy/>
  <dcterms:modified xsi:type="dcterms:W3CDTF">2026-10-16T10:35:56Z</dcterms:modified>
  <cp:revision>0</cp:revision>
  <dc:subject/>
  <dc:title>Konsumsi BBM dan Efisiensi Armada Distribusi - Kunci</dc:title>
</cp:coreProperties>
</file>

<file path=docProps/custom.xml><?xml version="1.0" encoding="utf-8"?>
<Properties xmlns="http://schemas.openxmlformats.org/officeDocument/2006/custom-properties" xmlns:vt="http://schemas.openxmlformats.org/officeDocument/2006/docPropsVTypes"/>
</file>