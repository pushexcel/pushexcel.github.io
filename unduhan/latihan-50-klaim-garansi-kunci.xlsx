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<sst xmlns="http://schemas.openxmlformats.org/spreadsheetml/2006/main" count="248" uniqueCount="199">
  <si>
    <t xml:space="preserve">Kunci Jawaban: Klaim Garansi Produk Elektronik</t>
  </si>
  <si>
    <t xml:space="preserve">Latihan 50 dari 56  |  Tingkat: Menengah  |  Perkiraan waktu: 55 menit  |  pushexcel.github.io/Pushexcel</t>
  </si>
  <si>
    <t xml:space="preserve">Skenario</t>
  </si>
  <si>
    <t xml:space="preserve">Kamu admin layanan purna jual Toko Elektronik Sentral. Ada 26 klaim servis yang masuk antara Agustus dan Oktober 2026. Masa garansi tiap produk (dalam bulan) ada di sheet Acuan dan dihitung dari tanggal beli. Klaim berstatus Dalam Garansi bila tanggal klaim sama dengan atau sebelum tanggal garansi berakhir. Klaim Ditanggung bila masih dalam garansi dan kerusakannya bukan akibat cairan atau kerusakan fisik. Klaim yang tidak ditanggung ditagihkan ke pelanggan sebesar biaya servis, sedangkan klaim yang ditanggung gratis.</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</si>
  <si>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</si>
  <si>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</si>
  <si>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</si>
  <si>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</si>
  <si>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</si>
  <si>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</si>
  <si>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</si>
  <si>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</si>
  <si>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</si>
  <si>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</si>
  <si>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</si>
  <si>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</si>
  <si>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</si>
  <si>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Daftar soal</t>
  </si>
  <si>
    <t xml:space="preserve">No</t>
  </si>
  <si>
    <t xml:space="preserve">Soal</t>
  </si>
  <si>
    <t xml:space="preserve">Jawab di</t>
  </si>
  <si>
    <t xml:space="preserve">Rumus kunci</t>
  </si>
  <si>
    <t xml:space="preserve">1</t>
  </si>
  <si>
    <t xml:space="preserve">Ambil masa garansi produk (dalam bulan) dari sheet Acuan.</t>
  </si>
  <si>
    <t xml:space="preserve">Sheet Data, kolom H (Masa Garansi), baris 2 sampai 27</t>
  </si>
  <si>
    <t xml:space="preserve">=VLOOKUP(C2;Acuan!$A$2:$B$7;2;FALSE)</t>
  </si>
  <si>
    <t xml:space="preserve">2</t>
  </si>
  <si>
    <t xml:space="preserve">Hitung tanggal garansi berakhir: tanggal beli ditambah masa garansi dalam bulan.</t>
  </si>
  <si>
    <t xml:space="preserve">Sheet Data, kolom I (Garansi Berakhir), baris 2 sampai 27</t>
  </si>
  <si>
    <t xml:space="preserve">=EDATE(D2;H2)</t>
  </si>
  <si>
    <t xml:space="preserve">3</t>
  </si>
  <si>
    <t xml:space="preserve">Hitung umur produk saat klaim dalam bulan penuh, dari tanggal beli sampai tanggal klaim.</t>
  </si>
  <si>
    <t xml:space="preserve">Sheet Data, kolom J (Umur Produk (Bulan)), baris 2 sampai 27</t>
  </si>
  <si>
    <t xml:space="preserve">=DATEDIF(D2;E2;"m")</t>
  </si>
  <si>
    <t xml:space="preserve">4</t>
  </si>
  <si>
    <t xml:space="preserve">Beri status Dalam Garansi bila tanggal klaim sama dengan atau sebelum tanggal garansi berakhir. Selain itu Habis.</t>
  </si>
  <si>
    <t xml:space="preserve">Sheet Data, kolom K (Status Garansi), baris 2 sampai 27</t>
  </si>
  <si>
    <t xml:space="preserve">=IF(E2&lt;=I2;"Dalam Garansi";"Habis")</t>
  </si>
  <si>
    <t xml:space="preserve">5</t>
  </si>
  <si>
    <t xml:space="preserve">Beri status Ditanggung bila masih dalam garansi dan kerusakan bukan Terkena Cairan atau Kerusakan Fisik. Selain itu Tidak Ditanggung.</t>
  </si>
  <si>
    <t xml:space="preserve">Sheet Data, kolom L (Ditanggung), baris 2 sampai 27</t>
  </si>
  <si>
    <t xml:space="preserve">=IF(AND(K2="Dalam Garansi";F2&lt;&gt;"Terkena Cairan";F2&lt;&gt;"Kerusakan Fisik");"Ditanggung";"Tidak Ditanggung")</t>
  </si>
  <si>
    <t xml:space="preserve">6</t>
  </si>
  <si>
    <t xml:space="preserve">Hitung biaya yang ditagihkan ke pelanggan: 0 bila klaim Ditanggung, selain itu sebesar biaya servis.</t>
  </si>
  <si>
    <t xml:space="preserve">Sheet Data, kolom M (Biaya Pelanggan), baris 2 sampai 27</t>
  </si>
  <si>
    <t xml:space="preserve">=IF(L2="Ditanggung";0;G2)</t>
  </si>
  <si>
    <t xml:space="preserve">7</t>
  </si>
  <si>
    <t xml:space="preserve">Hitung sisa hari garansi saat klaim: tanggal garansi berakhir dikurangi tanggal klaim. Bila garansi sudah lewat, hasilnya 0 (bukan negatif).</t>
  </si>
  <si>
    <t xml:space="preserve">Sheet Data, kolom N (Sisa Hari Garansi), baris 2 sampai 27</t>
  </si>
  <si>
    <t xml:space="preserve">=MAX(0;I2-E2)</t>
  </si>
  <si>
    <t xml:space="preserve">8</t>
  </si>
  <si>
    <t xml:space="preserve">Pada sheet Acuan, hitung jumlah klaim tiap produk.</t>
  </si>
  <si>
    <t xml:space="preserve">Sheet Acuan, kolom C (Jumlah Klaim), baris 2 sampai 7</t>
  </si>
  <si>
    <t xml:space="preserve">=COUNTIF(Data!$C$2:$C$27;A2)</t>
  </si>
  <si>
    <t xml:space="preserve">9</t>
  </si>
  <si>
    <t xml:space="preserve">Pada sheet Acuan, hitung total biaya servis tiap produk.</t>
  </si>
  <si>
    <t xml:space="preserve">Sheet Acuan, kolom D (Total Biaya Servis), baris 2 sampai 7</t>
  </si>
  <si>
    <t xml:space="preserve">=SUMIF(Data!$C$2:$C$27;A2;Data!$G$2:$G$27)</t>
  </si>
  <si>
    <t xml:space="preserve">10</t>
  </si>
  <si>
    <t xml:space="preserve">Berapa klaim yang masih Dalam Garansi, berapa yang Ditanggung, dan berapa klaim Dalam Garansi yang tetap tidak ditanggung?</t>
  </si>
  <si>
    <t xml:space="preserve">Sheet Ringkasan, sel C4 sampai C6</t>
  </si>
  <si>
    <t xml:space="preserve">=COUNTIF(Data!$K$2:$K$27;"Dalam Garansi")
=COUNTIF(Data!$L$2:$L$27;"Ditanggung")
=COUNTIFS(Data!$K$2:$K$27;"Dalam Garansi";Data!$L$2:$L$27;"Tidak Ditanggung")</t>
  </si>
  <si>
    <t xml:space="preserve">11</t>
  </si>
  <si>
    <t xml:space="preserve">Berapa total biaya servis seluruh klaim, berapa yang ditanggung toko, dan berapa yang ditagihkan ke pelanggan?</t>
  </si>
  <si>
    <t xml:space="preserve">Sheet Ringkasan, sel C7 sampai C9</t>
  </si>
  <si>
    <t xml:space="preserve">=SUM(Data!$G$2:$G$27)
=SUMIF(Data!$L$2:$L$27;"Ditanggung";Data!$G$2:$G$27)
=SUM(Data!$M$2:$M$27)</t>
  </si>
  <si>
    <t xml:space="preserve">12</t>
  </si>
  <si>
    <t xml:space="preserve">Produk apa yang paling banyak diklaim, dan produk apa yang total biaya servisnya terbesar?</t>
  </si>
  <si>
    <t xml:space="preserve">Sheet Ringkasan, sel C10 sampai C11</t>
  </si>
  <si>
    <t xml:space="preserve">=INDEX(Acuan!$A$2:$A$7;MATCH(MAX(Acuan!$C$2:$C$7);Acuan!$C$2:$C$7;0))
=INDEX(Acuan!$A$2:$A$7;MATCH(MAX(Acuan!$D$2:$D$7);Acuan!$D$2:$D$7;0))</t>
  </si>
  <si>
    <t xml:space="preserve">13</t>
  </si>
  <si>
    <t xml:space="preserve">Berapa umur produk terlama saat klaim (bulan), dan berapa rata-rata umur produk saat klaim?</t>
  </si>
  <si>
    <t xml:space="preserve">Sheet Ringkasan, sel C12 sampai C13</t>
  </si>
  <si>
    <t xml:space="preserve">=MAX(Data!$J$2:$J$27)
=AVERAGE(Data!$J$2:$J$27)</t>
  </si>
  <si>
    <t xml:space="preserve">14</t>
  </si>
  <si>
    <t xml:space="preserve">Kapan tanggal garansi berakhir paling awal, dan berapa total sisa hari garansi seluruh klaim?</t>
  </si>
  <si>
    <t xml:space="preserve">Sheet Ringkasan, sel C14 sampai C15</t>
  </si>
  <si>
    <t xml:space="preserve">=MIN(Data!$I$2:$I$27)
=SUM(Data!$N$2:$N$27)</t>
  </si>
  <si>
    <t xml:space="preserve">No Klaim</t>
  </si>
  <si>
    <t xml:space="preserve">Pelanggan</t>
  </si>
  <si>
    <t xml:space="preserve">Produk</t>
  </si>
  <si>
    <t xml:space="preserve">Tanggal Beli</t>
  </si>
  <si>
    <t xml:space="preserve">Tanggal Klaim</t>
  </si>
  <si>
    <t xml:space="preserve">Kerusakan</t>
  </si>
  <si>
    <t xml:space="preserve">Biaya Servis</t>
  </si>
  <si>
    <t xml:space="preserve">Masa Garansi</t>
  </si>
  <si>
    <t xml:space="preserve">Garansi Berakhir</t>
  </si>
  <si>
    <t xml:space="preserve">Umur Produk (Bulan)</t>
  </si>
  <si>
    <t xml:space="preserve">Status Garansi</t>
  </si>
  <si>
    <t xml:space="preserve">Ditanggung</t>
  </si>
  <si>
    <t xml:space="preserve">Biaya Pelanggan</t>
  </si>
  <si>
    <t xml:space="preserve">Sisa Hari Garansi</t>
  </si>
  <si>
    <t xml:space="preserve">KLM-001</t>
  </si>
  <si>
    <t xml:space="preserve">Oki Syahputra</t>
  </si>
  <si>
    <t xml:space="preserve">Kulkas</t>
  </si>
  <si>
    <t xml:space="preserve">Motherboard</t>
  </si>
  <si>
    <t xml:space="preserve">KLM-002</t>
  </si>
  <si>
    <t xml:space="preserve">Dimas Maharani</t>
  </si>
  <si>
    <t xml:space="preserve">Kerusakan Fisik</t>
  </si>
  <si>
    <t xml:space="preserve">KLM-003</t>
  </si>
  <si>
    <t xml:space="preserve">Siti Permana</t>
  </si>
  <si>
    <t xml:space="preserve">Mesin Cuci</t>
  </si>
  <si>
    <t xml:space="preserve">Mesin</t>
  </si>
  <si>
    <t xml:space="preserve">KLM-004</t>
  </si>
  <si>
    <t xml:space="preserve">Wawan Santoso</t>
  </si>
  <si>
    <t xml:space="preserve">KLM-005</t>
  </si>
  <si>
    <t xml:space="preserve">Dewi Handayani</t>
  </si>
  <si>
    <t xml:space="preserve">Ponsel</t>
  </si>
  <si>
    <t xml:space="preserve">Baterai</t>
  </si>
  <si>
    <t xml:space="preserve">KLM-006</t>
  </si>
  <si>
    <t xml:space="preserve">Oki Rahayu</t>
  </si>
  <si>
    <t xml:space="preserve">Layar</t>
  </si>
  <si>
    <t xml:space="preserve">KLM-007</t>
  </si>
  <si>
    <t xml:space="preserve">Hesti Firmansyah</t>
  </si>
  <si>
    <t xml:space="preserve">Televisi</t>
  </si>
  <si>
    <t xml:space="preserve">KLM-008</t>
  </si>
  <si>
    <t xml:space="preserve">Edi Syahputra</t>
  </si>
  <si>
    <t xml:space="preserve">KLM-009</t>
  </si>
  <si>
    <t xml:space="preserve">Lina Pratama</t>
  </si>
  <si>
    <t xml:space="preserve">Laptop</t>
  </si>
  <si>
    <t xml:space="preserve">KLM-010</t>
  </si>
  <si>
    <t xml:space="preserve">Mulyadi Handayani</t>
  </si>
  <si>
    <t xml:space="preserve">KLM-011</t>
  </si>
  <si>
    <t xml:space="preserve">Joko Handayani</t>
  </si>
  <si>
    <t xml:space="preserve">KLM-012</t>
  </si>
  <si>
    <t xml:space="preserve">Novi Permana</t>
  </si>
  <si>
    <t xml:space="preserve">KLM-013</t>
  </si>
  <si>
    <t xml:space="preserve">Maman Handayani</t>
  </si>
  <si>
    <t xml:space="preserve">KLM-014</t>
  </si>
  <si>
    <t xml:space="preserve">Putri Wibowo</t>
  </si>
  <si>
    <t xml:space="preserve">Blender</t>
  </si>
  <si>
    <t xml:space="preserve">KLM-015</t>
  </si>
  <si>
    <t xml:space="preserve">Bambang Putra</t>
  </si>
  <si>
    <t xml:space="preserve">Terkena Cairan</t>
  </si>
  <si>
    <t xml:space="preserve">KLM-016</t>
  </si>
  <si>
    <t xml:space="preserve">Dimas Amalia</t>
  </si>
  <si>
    <t xml:space="preserve">KLM-017</t>
  </si>
  <si>
    <t xml:space="preserve">Yoga Pangestu</t>
  </si>
  <si>
    <t xml:space="preserve">KLM-018</t>
  </si>
  <si>
    <t xml:space="preserve">Dian Kusuma</t>
  </si>
  <si>
    <t xml:space="preserve">KLM-019</t>
  </si>
  <si>
    <t xml:space="preserve">Eka Fauzi</t>
  </si>
  <si>
    <t xml:space="preserve">KLM-020</t>
  </si>
  <si>
    <t xml:space="preserve">Indah Suryani</t>
  </si>
  <si>
    <t xml:space="preserve">KLM-021</t>
  </si>
  <si>
    <t xml:space="preserve">Lina Amalia</t>
  </si>
  <si>
    <t xml:space="preserve">KLM-022</t>
  </si>
  <si>
    <t xml:space="preserve">Tika Ramadhan</t>
  </si>
  <si>
    <t xml:space="preserve">KLM-023</t>
  </si>
  <si>
    <t xml:space="preserve">Agus Ramadhan</t>
  </si>
  <si>
    <t xml:space="preserve">KLM-024</t>
  </si>
  <si>
    <t xml:space="preserve">Hadi Wijaya</t>
  </si>
  <si>
    <t xml:space="preserve">KLM-025</t>
  </si>
  <si>
    <t xml:space="preserve">Oki Nugroho</t>
  </si>
  <si>
    <t xml:space="preserve">KLM-026</t>
  </si>
  <si>
    <t xml:space="preserve">Agus Amalia</t>
  </si>
  <si>
    <t xml:space="preserve">Masa Garansi (Bulan)</t>
  </si>
  <si>
    <t xml:space="preserve">Jumlah Klaim</t>
  </si>
  <si>
    <t xml:space="preserve">Total Biaya Servis</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</si>
  <si>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</si>
  <si>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</si>
  <si>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</si>
  <si>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</si>
  <si>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</si>
  <si>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</si>
  <si>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Klaim Dalam Garansi</t>
  </si>
  <si>
    <t xml:space="preserve">Angka bulat, mis. 12</t>
  </si>
  <si>
    <t xml:space="preserve">10b</t>
  </si>
  <si>
    <t xml:space="preserve">Klaim Ditanggung</t>
  </si>
  <si>
    <t xml:space="preserve">Angka bulat, mis. 9</t>
  </si>
  <si>
    <t xml:space="preserve">10c</t>
  </si>
  <si>
    <t xml:space="preserve">Klaim Dalam Garansi tetapi tidak ditanggung</t>
  </si>
  <si>
    <t xml:space="preserve">Angka bulat, mis. 3</t>
  </si>
  <si>
    <t xml:space="preserve">11a</t>
  </si>
  <si>
    <t xml:space="preserve">Total biaya servis</t>
  </si>
  <si>
    <t xml:space="preserve">Rupiah, mis. Rp 15.000.000</t>
  </si>
  <si>
    <t xml:space="preserve">11b</t>
  </si>
  <si>
    <t xml:space="preserve">Biaya servis ditanggung toko</t>
  </si>
  <si>
    <t xml:space="preserve">Rupiah, mis. Rp 8.000.000</t>
  </si>
  <si>
    <t xml:space="preserve">11c</t>
  </si>
  <si>
    <t xml:space="preserve">Total ditagihkan ke pelanggan</t>
  </si>
  <si>
    <t xml:space="preserve">Rupiah, mis. Rp 7.000.000</t>
  </si>
  <si>
    <t xml:space="preserve">12a</t>
  </si>
  <si>
    <t xml:space="preserve">Produk paling banyak diklaim</t>
  </si>
  <si>
    <t xml:space="preserve">Teks: nama produk</t>
  </si>
  <si>
    <t xml:space="preserve">12b</t>
  </si>
  <si>
    <t xml:space="preserve">Produk dengan total biaya servis terbesar</t>
  </si>
  <si>
    <t xml:space="preserve">13a</t>
  </si>
  <si>
    <t xml:space="preserve">Umur produk terlama saat klaim (bulan)</t>
  </si>
  <si>
    <t xml:space="preserve">Angka bulat, jumlah bulan</t>
  </si>
  <si>
    <t xml:space="preserve">13b</t>
  </si>
  <si>
    <t xml:space="preserve">Rata-rata umur produk saat klaim (bulan)</t>
  </si>
  <si>
    <t xml:space="preserve">Angka desimal, mis. 12,5</t>
  </si>
  <si>
    <t xml:space="preserve">14a</t>
  </si>
  <si>
    <t xml:space="preserve">Tanggal garansi berakhir paling awal</t>
  </si>
  <si>
    <t xml:space="preserve">Tanggal, mis. 14/10/2026</t>
  </si>
  <si>
    <t xml:space="preserve">14b</t>
  </si>
  <si>
    <t xml:space="preserve">Total sisa hari garansi</t>
  </si>
  <si>
    <t xml:space="preserve">Angka bulat, jumlah hari</t>
  </si>
</sst>
</file>

<file path=xl/styles.xml><?xml version="1.0" encoding="utf-8"?>
<styleSheet xmlns="http://schemas.openxmlformats.org/spreadsheetml/2006/main">
  <numFmts count="5">
    <numFmt numFmtId="164" formatCode="General"/>
    <numFmt numFmtId="165" formatCode="dd/mm/yyyy"/>
    <numFmt numFmtId="166" formatCode="&quot;Rp &quot;#,##0"/>
    <numFmt numFmtId="167" formatCode="0"/>
    <numFmt numFmtId="168"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b val="true"/>
      <sz val="13"/>
      <color rgb="FF1F4E3D"/>
      <name val="Arial"/>
      <family val="0"/>
      <charset val="1"/>
    </font>
    <font>
      <i val="true"/>
      <sz val="9"/>
      <color rgb="FF595959"/>
      <name val="Arial"/>
      <family val="0"/>
      <charset val="1"/>
    </font>
  </fonts>
  <fills count="5">
    <fill>
      <patternFill patternType="none"/>
    </fill>
    <fill>
      <patternFill patternType="gray125"/>
    </fill>
    <fill>
      <patternFill patternType="solid">
        <fgColor rgb="FF1F4E3D"/>
        <bgColor rgb="FF003366"/>
      </patternFill>
    </fill>
    <fill>
      <patternFill patternType="solid">
        <fgColor rgb="FFB45F06"/>
        <bgColor rgb="FF8080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8" customFormat="false" ht="15" hidden="false" customHeight="false" outlineLevel="0" collapsed="false">
      <c r="A18" s="3" t="s">
        <v>17</v>
      </c>
    </row>
    <row r="19" customFormat="false" ht="15" hidden="false" customHeight="false" outlineLevel="0" collapsed="false">
      <c r="A19" s="10" t="s">
        <v>18</v>
      </c>
      <c r="B19" s="10" t="s">
        <v>19</v>
      </c>
      <c r="C19" s="10" t="s">
        <v>20</v>
      </c>
      <c r="D19" s="10" t="s">
        <v>21</v>
      </c>
    </row>
    <row r="20" customFormat="false" ht="30" hidden="false" customHeight="true" outlineLevel="0" collapsed="false">
      <c r="A20" s="11" t="s">
        <v>22</v>
      </c>
      <c r="B20" s="12" t="s">
        <v>23</v>
      </c>
      <c r="C20" s="12" t="s">
        <v>24</v>
      </c>
      <c r="D20" s="13" t="s">
        <v>25</v>
      </c>
    </row>
    <row r="21" customFormat="false" ht="30" hidden="false" customHeight="true" outlineLevel="0" collapsed="false">
      <c r="A21" s="11" t="s">
        <v>26</v>
      </c>
      <c r="B21" s="12" t="s">
        <v>27</v>
      </c>
      <c r="C21" s="12" t="s">
        <v>28</v>
      </c>
      <c r="D21" s="13" t="s">
        <v>29</v>
      </c>
    </row>
    <row r="22" customFormat="false" ht="30" hidden="false" customHeight="true" outlineLevel="0" collapsed="false">
      <c r="A22" s="11" t="s">
        <v>30</v>
      </c>
      <c r="B22" s="12" t="s">
        <v>31</v>
      </c>
      <c r="C22" s="12" t="s">
        <v>32</v>
      </c>
      <c r="D22" s="13" t="s">
        <v>33</v>
      </c>
    </row>
    <row r="23" customFormat="false" ht="30" hidden="false" customHeight="true" outlineLevel="0" collapsed="false">
      <c r="A23" s="11" t="s">
        <v>34</v>
      </c>
      <c r="B23" s="12" t="s">
        <v>35</v>
      </c>
      <c r="C23" s="12" t="s">
        <v>36</v>
      </c>
      <c r="D23" s="13" t="s">
        <v>37</v>
      </c>
    </row>
    <row r="24" customFormat="false" ht="42" hidden="false" customHeight="true" outlineLevel="0" collapsed="false">
      <c r="A24" s="11" t="s">
        <v>38</v>
      </c>
      <c r="B24" s="12" t="s">
        <v>39</v>
      </c>
      <c r="C24" s="12" t="s">
        <v>40</v>
      </c>
      <c r="D24" s="13" t="s">
        <v>41</v>
      </c>
    </row>
    <row r="25" customFormat="false" ht="30" hidden="false" customHeight="true" outlineLevel="0" collapsed="false">
      <c r="A25" s="11" t="s">
        <v>42</v>
      </c>
      <c r="B25" s="12" t="s">
        <v>43</v>
      </c>
      <c r="C25" s="12" t="s">
        <v>44</v>
      </c>
      <c r="D25" s="13" t="s">
        <v>45</v>
      </c>
    </row>
    <row r="26" customFormat="false" ht="42" hidden="false" customHeight="true" outlineLevel="0" collapsed="false">
      <c r="A26" s="11" t="s">
        <v>46</v>
      </c>
      <c r="B26" s="12" t="s">
        <v>47</v>
      </c>
      <c r="C26" s="12" t="s">
        <v>48</v>
      </c>
      <c r="D26" s="13" t="s">
        <v>49</v>
      </c>
    </row>
    <row r="27" customFormat="false" ht="30" hidden="false" customHeight="true" outlineLevel="0" collapsed="false">
      <c r="A27" s="11" t="s">
        <v>50</v>
      </c>
      <c r="B27" s="12" t="s">
        <v>51</v>
      </c>
      <c r="C27" s="12" t="s">
        <v>52</v>
      </c>
      <c r="D27" s="13" t="s">
        <v>53</v>
      </c>
    </row>
    <row r="28" customFormat="false" ht="30" hidden="false" customHeight="true" outlineLevel="0" collapsed="false">
      <c r="A28" s="11" t="s">
        <v>54</v>
      </c>
      <c r="B28" s="12" t="s">
        <v>55</v>
      </c>
      <c r="C28" s="12" t="s">
        <v>56</v>
      </c>
      <c r="D28" s="13" t="s">
        <v>57</v>
      </c>
    </row>
    <row r="29" customFormat="false" ht="69.75" hidden="false" customHeight="true" outlineLevel="0" collapsed="false">
      <c r="A29" s="11" t="s">
        <v>58</v>
      </c>
      <c r="B29" s="12" t="s">
        <v>59</v>
      </c>
      <c r="C29" s="12" t="s">
        <v>60</v>
      </c>
      <c r="D29" s="13" t="s">
        <v>61</v>
      </c>
    </row>
    <row r="30" customFormat="false" ht="57.75" hidden="false" customHeight="true" outlineLevel="0" collapsed="false">
      <c r="A30" s="11" t="s">
        <v>62</v>
      </c>
      <c r="B30" s="12" t="s">
        <v>63</v>
      </c>
      <c r="C30" s="12" t="s">
        <v>64</v>
      </c>
      <c r="D30" s="13" t="s">
        <v>65</v>
      </c>
    </row>
    <row r="31" customFormat="false" ht="55.5" hidden="false" customHeight="true" outlineLevel="0" collapsed="false">
      <c r="A31" s="11" t="s">
        <v>66</v>
      </c>
      <c r="B31" s="12" t="s">
        <v>67</v>
      </c>
      <c r="C31" s="12" t="s">
        <v>68</v>
      </c>
      <c r="D31" s="13" t="s">
        <v>69</v>
      </c>
    </row>
    <row r="32" customFormat="false" ht="43.5" hidden="false" customHeight="true" outlineLevel="0" collapsed="false">
      <c r="A32" s="11" t="s">
        <v>70</v>
      </c>
      <c r="B32" s="12" t="s">
        <v>71</v>
      </c>
      <c r="C32" s="12" t="s">
        <v>72</v>
      </c>
      <c r="D32" s="13" t="s">
        <v>73</v>
      </c>
    </row>
    <row r="33" customFormat="false" ht="43.5" hidden="false" customHeight="true" outlineLevel="0" collapsed="false">
      <c r="A33" s="11" t="s">
        <v>74</v>
      </c>
      <c r="B33" s="12" t="s">
        <v>75</v>
      </c>
      <c r="C33" s="12" t="s">
        <v>76</v>
      </c>
      <c r="D33" s="13" t="s">
        <v>77</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2"/>
    <col collapsed="false" customWidth="true" hidden="false" outlineLevel="0" max="5" min="4" style="0" width="13"/>
    <col collapsed="false" customWidth="true" hidden="false" outlineLevel="0" max="6" min="6" style="0" width="16"/>
    <col collapsed="false" customWidth="true" hidden="false" outlineLevel="0" max="7" min="7" style="0" width="14"/>
    <col collapsed="false" customWidth="true" hidden="false" outlineLevel="0" max="8" min="8" style="0" width="13"/>
    <col collapsed="false" customWidth="true" hidden="false" outlineLevel="0" max="9" min="9" style="0" width="16"/>
    <col collapsed="false" customWidth="true" hidden="false" outlineLevel="0" max="10" min="10" style="0" width="18"/>
    <col collapsed="false" customWidth="true" hidden="false" outlineLevel="0" max="11" min="11" style="0" width="15"/>
    <col collapsed="false" customWidth="true" hidden="false" outlineLevel="0" max="12" min="12" style="0" width="17"/>
    <col collapsed="false" customWidth="true" hidden="false" outlineLevel="0" max="13" min="13" style="0" width="15"/>
    <col collapsed="false" customWidth="true" hidden="false" outlineLevel="0" max="14" min="14" style="0" width="17"/>
  </cols>
  <sheetData>
    <row r="1" customFormat="false" ht="33.75" hidden="false" customHeight="true" outlineLevel="0" collapsed="false">
      <c r="A1" s="10" t="s">
        <v>78</v>
      </c>
      <c r="B1" s="10" t="s">
        <v>79</v>
      </c>
      <c r="C1" s="10" t="s">
        <v>80</v>
      </c>
      <c r="D1" s="10" t="s">
        <v>81</v>
      </c>
      <c r="E1" s="10" t="s">
        <v>82</v>
      </c>
      <c r="F1" s="10" t="s">
        <v>83</v>
      </c>
      <c r="G1" s="10" t="s">
        <v>84</v>
      </c>
      <c r="H1" s="14" t="s">
        <v>85</v>
      </c>
      <c r="I1" s="14" t="s">
        <v>86</v>
      </c>
      <c r="J1" s="14" t="s">
        <v>87</v>
      </c>
      <c r="K1" s="14" t="s">
        <v>88</v>
      </c>
      <c r="L1" s="14" t="s">
        <v>89</v>
      </c>
      <c r="M1" s="14" t="s">
        <v>90</v>
      </c>
      <c r="N1" s="14" t="s">
        <v>91</v>
      </c>
    </row>
    <row r="2" customFormat="false" ht="15" hidden="false" customHeight="false" outlineLevel="0" collapsed="false">
      <c r="A2" s="15" t="s">
        <v>92</v>
      </c>
      <c r="B2" s="15" t="s">
        <v>93</v>
      </c>
      <c r="C2" s="15" t="s">
        <v>94</v>
      </c>
      <c r="D2" s="16" t="n">
        <v>45872</v>
      </c>
      <c r="E2" s="16" t="n">
        <v>46238</v>
      </c>
      <c r="F2" s="15" t="s">
        <v>95</v>
      </c>
      <c r="G2" s="17" t="n">
        <v>750000</v>
      </c>
      <c r="H2" s="18" t="n">
        <f aca="false">VLOOKUP(C2,Acuan!$A$2:$B$7,2,FALSE())</f>
        <v>36</v>
      </c>
      <c r="I2" s="19" t="n">
        <f aca="false">EDATE(D2,H2)</f>
        <v>46968</v>
      </c>
      <c r="J2" s="18" t="n">
        <f aca="false">DATEDIF(D2,E2,"m")</f>
        <v>12</v>
      </c>
      <c r="K2" s="20" t="str">
        <f aca="false">IF(E2&lt;=I2,"Dalam Garansi","Habis")</f>
        <v>Dalam Garansi</v>
      </c>
      <c r="L2" s="20" t="str">
        <f aca="false">IF(AND(K2="Dalam Garansi",F2&lt;&gt;"Terkena Cairan",F2&lt;&gt;"Kerusakan Fisik"),"Ditanggung","Tidak Ditanggung")</f>
        <v>Ditanggung</v>
      </c>
      <c r="M2" s="21" t="n">
        <f aca="false">IF(L2="Ditanggung",0,G2)</f>
        <v>0</v>
      </c>
      <c r="N2" s="18" t="n">
        <f aca="false">MAX(0,I2-E2)</f>
        <v>730</v>
      </c>
    </row>
    <row r="3" customFormat="false" ht="15" hidden="false" customHeight="false" outlineLevel="0" collapsed="false">
      <c r="A3" s="15" t="s">
        <v>96</v>
      </c>
      <c r="B3" s="15" t="s">
        <v>97</v>
      </c>
      <c r="C3" s="15" t="s">
        <v>94</v>
      </c>
      <c r="D3" s="16" t="n">
        <v>45870</v>
      </c>
      <c r="E3" s="16" t="n">
        <v>46238</v>
      </c>
      <c r="F3" s="15" t="s">
        <v>98</v>
      </c>
      <c r="G3" s="17" t="n">
        <v>150000</v>
      </c>
      <c r="H3" s="18" t="n">
        <f aca="false">VLOOKUP(C3,Acuan!$A$2:$B$7,2,FALSE())</f>
        <v>36</v>
      </c>
      <c r="I3" s="19" t="n">
        <f aca="false">EDATE(D3,H3)</f>
        <v>46966</v>
      </c>
      <c r="J3" s="18" t="n">
        <f aca="false">DATEDIF(D3,E3,"m")</f>
        <v>12</v>
      </c>
      <c r="K3" s="20" t="str">
        <f aca="false">IF(E3&lt;=I3,"Dalam Garansi","Habis")</f>
        <v>Dalam Garansi</v>
      </c>
      <c r="L3" s="20" t="str">
        <f aca="false">IF(AND(K3="Dalam Garansi",F3&lt;&gt;"Terkena Cairan",F3&lt;&gt;"Kerusakan Fisik"),"Ditanggung","Tidak Ditanggung")</f>
        <v>Tidak Ditanggung</v>
      </c>
      <c r="M3" s="21" t="n">
        <f aca="false">IF(L3="Ditanggung",0,G3)</f>
        <v>150000</v>
      </c>
      <c r="N3" s="18" t="n">
        <f aca="false">MAX(0,I3-E3)</f>
        <v>728</v>
      </c>
    </row>
    <row r="4" customFormat="false" ht="15" hidden="false" customHeight="false" outlineLevel="0" collapsed="false">
      <c r="A4" s="15" t="s">
        <v>99</v>
      </c>
      <c r="B4" s="15" t="s">
        <v>100</v>
      </c>
      <c r="C4" s="15" t="s">
        <v>101</v>
      </c>
      <c r="D4" s="16" t="n">
        <v>45568</v>
      </c>
      <c r="E4" s="16" t="n">
        <v>46239</v>
      </c>
      <c r="F4" s="15" t="s">
        <v>102</v>
      </c>
      <c r="G4" s="17" t="n">
        <v>750000</v>
      </c>
      <c r="H4" s="18" t="n">
        <f aca="false">VLOOKUP(C4,Acuan!$A$2:$B$7,2,FALSE())</f>
        <v>24</v>
      </c>
      <c r="I4" s="19" t="n">
        <f aca="false">EDATE(D4,H4)</f>
        <v>46298</v>
      </c>
      <c r="J4" s="18" t="n">
        <f aca="false">DATEDIF(D4,E4,"m")</f>
        <v>22</v>
      </c>
      <c r="K4" s="20" t="str">
        <f aca="false">IF(E4&lt;=I4,"Dalam Garansi","Habis")</f>
        <v>Dalam Garansi</v>
      </c>
      <c r="L4" s="20" t="str">
        <f aca="false">IF(AND(K4="Dalam Garansi",F4&lt;&gt;"Terkena Cairan",F4&lt;&gt;"Kerusakan Fisik"),"Ditanggung","Tidak Ditanggung")</f>
        <v>Ditanggung</v>
      </c>
      <c r="M4" s="21" t="n">
        <f aca="false">IF(L4="Ditanggung",0,G4)</f>
        <v>0</v>
      </c>
      <c r="N4" s="18" t="n">
        <f aca="false">MAX(0,I4-E4)</f>
        <v>59</v>
      </c>
    </row>
    <row r="5" customFormat="false" ht="15" hidden="false" customHeight="false" outlineLevel="0" collapsed="false">
      <c r="A5" s="15" t="s">
        <v>103</v>
      </c>
      <c r="B5" s="15" t="s">
        <v>104</v>
      </c>
      <c r="C5" s="15" t="s">
        <v>101</v>
      </c>
      <c r="D5" s="16" t="n">
        <v>45409</v>
      </c>
      <c r="E5" s="16" t="n">
        <v>46241</v>
      </c>
      <c r="F5" s="15" t="s">
        <v>98</v>
      </c>
      <c r="G5" s="17" t="n">
        <v>2300000</v>
      </c>
      <c r="H5" s="18" t="n">
        <f aca="false">VLOOKUP(C5,Acuan!$A$2:$B$7,2,FALSE())</f>
        <v>24</v>
      </c>
      <c r="I5" s="19" t="n">
        <f aca="false">EDATE(D5,H5)</f>
        <v>46139</v>
      </c>
      <c r="J5" s="18" t="n">
        <f aca="false">DATEDIF(D5,E5,"m")</f>
        <v>27</v>
      </c>
      <c r="K5" s="20" t="str">
        <f aca="false">IF(E5&lt;=I5,"Dalam Garansi","Habis")</f>
        <v>Habis</v>
      </c>
      <c r="L5" s="20" t="str">
        <f aca="false">IF(AND(K5="Dalam Garansi",F5&lt;&gt;"Terkena Cairan",F5&lt;&gt;"Kerusakan Fisik"),"Ditanggung","Tidak Ditanggung")</f>
        <v>Tidak Ditanggung</v>
      </c>
      <c r="M5" s="21" t="n">
        <f aca="false">IF(L5="Ditanggung",0,G5)</f>
        <v>2300000</v>
      </c>
      <c r="N5" s="18" t="n">
        <f aca="false">MAX(0,I5-E5)</f>
        <v>0</v>
      </c>
    </row>
    <row r="6" customFormat="false" ht="15" hidden="false" customHeight="false" outlineLevel="0" collapsed="false">
      <c r="A6" s="15" t="s">
        <v>105</v>
      </c>
      <c r="B6" s="15" t="s">
        <v>106</v>
      </c>
      <c r="C6" s="15" t="s">
        <v>107</v>
      </c>
      <c r="D6" s="16" t="n">
        <v>45503</v>
      </c>
      <c r="E6" s="16" t="n">
        <v>46254</v>
      </c>
      <c r="F6" s="15" t="s">
        <v>108</v>
      </c>
      <c r="G6" s="17" t="n">
        <v>750000</v>
      </c>
      <c r="H6" s="18" t="n">
        <f aca="false">VLOOKUP(C6,Acuan!$A$2:$B$7,2,FALSE())</f>
        <v>12</v>
      </c>
      <c r="I6" s="19" t="n">
        <f aca="false">EDATE(D6,H6)</f>
        <v>45868</v>
      </c>
      <c r="J6" s="18" t="n">
        <f aca="false">DATEDIF(D6,E6,"m")</f>
        <v>24</v>
      </c>
      <c r="K6" s="20" t="str">
        <f aca="false">IF(E6&lt;=I6,"Dalam Garansi","Habis")</f>
        <v>Habis</v>
      </c>
      <c r="L6" s="20" t="str">
        <f aca="false">IF(AND(K6="Dalam Garansi",F6&lt;&gt;"Terkena Cairan",F6&lt;&gt;"Kerusakan Fisik"),"Ditanggung","Tidak Ditanggung")</f>
        <v>Tidak Ditanggung</v>
      </c>
      <c r="M6" s="21" t="n">
        <f aca="false">IF(L6="Ditanggung",0,G6)</f>
        <v>750000</v>
      </c>
      <c r="N6" s="18" t="n">
        <f aca="false">MAX(0,I6-E6)</f>
        <v>0</v>
      </c>
    </row>
    <row r="7" customFormat="false" ht="15" hidden="false" customHeight="false" outlineLevel="0" collapsed="false">
      <c r="A7" s="15" t="s">
        <v>109</v>
      </c>
      <c r="B7" s="15" t="s">
        <v>110</v>
      </c>
      <c r="C7" s="15" t="s">
        <v>107</v>
      </c>
      <c r="D7" s="16" t="n">
        <v>45236</v>
      </c>
      <c r="E7" s="16" t="n">
        <v>46256</v>
      </c>
      <c r="F7" s="15" t="s">
        <v>111</v>
      </c>
      <c r="G7" s="17" t="n">
        <v>500000</v>
      </c>
      <c r="H7" s="18" t="n">
        <f aca="false">VLOOKUP(C7,Acuan!$A$2:$B$7,2,FALSE())</f>
        <v>12</v>
      </c>
      <c r="I7" s="19" t="n">
        <f aca="false">EDATE(D7,H7)</f>
        <v>45602</v>
      </c>
      <c r="J7" s="18" t="n">
        <f aca="false">DATEDIF(D7,E7,"m")</f>
        <v>33</v>
      </c>
      <c r="K7" s="20" t="str">
        <f aca="false">IF(E7&lt;=I7,"Dalam Garansi","Habis")</f>
        <v>Habis</v>
      </c>
      <c r="L7" s="20" t="str">
        <f aca="false">IF(AND(K7="Dalam Garansi",F7&lt;&gt;"Terkena Cairan",F7&lt;&gt;"Kerusakan Fisik"),"Ditanggung","Tidak Ditanggung")</f>
        <v>Tidak Ditanggung</v>
      </c>
      <c r="M7" s="21" t="n">
        <f aca="false">IF(L7="Ditanggung",0,G7)</f>
        <v>500000</v>
      </c>
      <c r="N7" s="18" t="n">
        <f aca="false">MAX(0,I7-E7)</f>
        <v>0</v>
      </c>
    </row>
    <row r="8" customFormat="false" ht="15" hidden="false" customHeight="false" outlineLevel="0" collapsed="false">
      <c r="A8" s="15" t="s">
        <v>112</v>
      </c>
      <c r="B8" s="15" t="s">
        <v>113</v>
      </c>
      <c r="C8" s="15" t="s">
        <v>114</v>
      </c>
      <c r="D8" s="16" t="n">
        <v>45302</v>
      </c>
      <c r="E8" s="16" t="n">
        <v>46262</v>
      </c>
      <c r="F8" s="15" t="s">
        <v>108</v>
      </c>
      <c r="G8" s="17" t="n">
        <v>500000</v>
      </c>
      <c r="H8" s="18" t="n">
        <f aca="false">VLOOKUP(C8,Acuan!$A$2:$B$7,2,FALSE())</f>
        <v>24</v>
      </c>
      <c r="I8" s="19" t="n">
        <f aca="false">EDATE(D8,H8)</f>
        <v>46033</v>
      </c>
      <c r="J8" s="18" t="n">
        <f aca="false">DATEDIF(D8,E8,"m")</f>
        <v>31</v>
      </c>
      <c r="K8" s="20" t="str">
        <f aca="false">IF(E8&lt;=I8,"Dalam Garansi","Habis")</f>
        <v>Habis</v>
      </c>
      <c r="L8" s="20" t="str">
        <f aca="false">IF(AND(K8="Dalam Garansi",F8&lt;&gt;"Terkena Cairan",F8&lt;&gt;"Kerusakan Fisik"),"Ditanggung","Tidak Ditanggung")</f>
        <v>Tidak Ditanggung</v>
      </c>
      <c r="M8" s="21" t="n">
        <f aca="false">IF(L8="Ditanggung",0,G8)</f>
        <v>500000</v>
      </c>
      <c r="N8" s="18" t="n">
        <f aca="false">MAX(0,I8-E8)</f>
        <v>0</v>
      </c>
    </row>
    <row r="9" customFormat="false" ht="15" hidden="false" customHeight="false" outlineLevel="0" collapsed="false">
      <c r="A9" s="15" t="s">
        <v>115</v>
      </c>
      <c r="B9" s="15" t="s">
        <v>116</v>
      </c>
      <c r="C9" s="15" t="s">
        <v>101</v>
      </c>
      <c r="D9" s="16" t="n">
        <v>46110</v>
      </c>
      <c r="E9" s="16" t="n">
        <v>46262</v>
      </c>
      <c r="F9" s="15" t="s">
        <v>108</v>
      </c>
      <c r="G9" s="17" t="n">
        <v>2300000</v>
      </c>
      <c r="H9" s="18" t="n">
        <f aca="false">VLOOKUP(C9,Acuan!$A$2:$B$7,2,FALSE())</f>
        <v>24</v>
      </c>
      <c r="I9" s="19" t="n">
        <f aca="false">EDATE(D9,H9)</f>
        <v>46841</v>
      </c>
      <c r="J9" s="18" t="n">
        <f aca="false">DATEDIF(D9,E9,"m")</f>
        <v>4</v>
      </c>
      <c r="K9" s="20" t="str">
        <f aca="false">IF(E9&lt;=I9,"Dalam Garansi","Habis")</f>
        <v>Dalam Garansi</v>
      </c>
      <c r="L9" s="20" t="str">
        <f aca="false">IF(AND(K9="Dalam Garansi",F9&lt;&gt;"Terkena Cairan",F9&lt;&gt;"Kerusakan Fisik"),"Ditanggung","Tidak Ditanggung")</f>
        <v>Ditanggung</v>
      </c>
      <c r="M9" s="21" t="n">
        <f aca="false">IF(L9="Ditanggung",0,G9)</f>
        <v>0</v>
      </c>
      <c r="N9" s="18" t="n">
        <f aca="false">MAX(0,I9-E9)</f>
        <v>579</v>
      </c>
    </row>
    <row r="10" customFormat="false" ht="15" hidden="false" customHeight="false" outlineLevel="0" collapsed="false">
      <c r="A10" s="15" t="s">
        <v>117</v>
      </c>
      <c r="B10" s="15" t="s">
        <v>118</v>
      </c>
      <c r="C10" s="15" t="s">
        <v>119</v>
      </c>
      <c r="D10" s="16" t="n">
        <v>45577</v>
      </c>
      <c r="E10" s="16" t="n">
        <v>46264</v>
      </c>
      <c r="F10" s="15" t="s">
        <v>98</v>
      </c>
      <c r="G10" s="17" t="n">
        <v>500000</v>
      </c>
      <c r="H10" s="18" t="n">
        <f aca="false">VLOOKUP(C10,Acuan!$A$2:$B$7,2,FALSE())</f>
        <v>24</v>
      </c>
      <c r="I10" s="19" t="n">
        <f aca="false">EDATE(D10,H10)</f>
        <v>46307</v>
      </c>
      <c r="J10" s="18" t="n">
        <f aca="false">DATEDIF(D10,E10,"m")</f>
        <v>22</v>
      </c>
      <c r="K10" s="20" t="str">
        <f aca="false">IF(E10&lt;=I10,"Dalam Garansi","Habis")</f>
        <v>Dalam Garansi</v>
      </c>
      <c r="L10" s="20" t="str">
        <f aca="false">IF(AND(K10="Dalam Garansi",F10&lt;&gt;"Terkena Cairan",F10&lt;&gt;"Kerusakan Fisik"),"Ditanggung","Tidak Ditanggung")</f>
        <v>Tidak Ditanggung</v>
      </c>
      <c r="M10" s="21" t="n">
        <f aca="false">IF(L10="Ditanggung",0,G10)</f>
        <v>500000</v>
      </c>
      <c r="N10" s="18" t="n">
        <f aca="false">MAX(0,I10-E10)</f>
        <v>43</v>
      </c>
    </row>
    <row r="11" customFormat="false" ht="15" hidden="false" customHeight="false" outlineLevel="0" collapsed="false">
      <c r="A11" s="15" t="s">
        <v>120</v>
      </c>
      <c r="B11" s="15" t="s">
        <v>121</v>
      </c>
      <c r="C11" s="15" t="s">
        <v>101</v>
      </c>
      <c r="D11" s="16" t="n">
        <v>45757</v>
      </c>
      <c r="E11" s="16" t="n">
        <v>46265</v>
      </c>
      <c r="F11" s="15" t="s">
        <v>102</v>
      </c>
      <c r="G11" s="17" t="n">
        <v>250000</v>
      </c>
      <c r="H11" s="18" t="n">
        <f aca="false">VLOOKUP(C11,Acuan!$A$2:$B$7,2,FALSE())</f>
        <v>24</v>
      </c>
      <c r="I11" s="19" t="n">
        <f aca="false">EDATE(D11,H11)</f>
        <v>46487</v>
      </c>
      <c r="J11" s="18" t="n">
        <f aca="false">DATEDIF(D11,E11,"m")</f>
        <v>16</v>
      </c>
      <c r="K11" s="20" t="str">
        <f aca="false">IF(E11&lt;=I11,"Dalam Garansi","Habis")</f>
        <v>Dalam Garansi</v>
      </c>
      <c r="L11" s="20" t="str">
        <f aca="false">IF(AND(K11="Dalam Garansi",F11&lt;&gt;"Terkena Cairan",F11&lt;&gt;"Kerusakan Fisik"),"Ditanggung","Tidak Ditanggung")</f>
        <v>Ditanggung</v>
      </c>
      <c r="M11" s="21" t="n">
        <f aca="false">IF(L11="Ditanggung",0,G11)</f>
        <v>0</v>
      </c>
      <c r="N11" s="18" t="n">
        <f aca="false">MAX(0,I11-E11)</f>
        <v>222</v>
      </c>
    </row>
    <row r="12" customFormat="false" ht="15" hidden="false" customHeight="false" outlineLevel="0" collapsed="false">
      <c r="A12" s="15" t="s">
        <v>122</v>
      </c>
      <c r="B12" s="15" t="s">
        <v>123</v>
      </c>
      <c r="C12" s="15" t="s">
        <v>107</v>
      </c>
      <c r="D12" s="16" t="n">
        <v>45443</v>
      </c>
      <c r="E12" s="16" t="n">
        <v>46265</v>
      </c>
      <c r="F12" s="15" t="s">
        <v>102</v>
      </c>
      <c r="G12" s="17" t="n">
        <v>1100000</v>
      </c>
      <c r="H12" s="18" t="n">
        <f aca="false">VLOOKUP(C12,Acuan!$A$2:$B$7,2,FALSE())</f>
        <v>12</v>
      </c>
      <c r="I12" s="19" t="n">
        <f aca="false">EDATE(D12,H12)</f>
        <v>45808</v>
      </c>
      <c r="J12" s="18" t="n">
        <f aca="false">DATEDIF(D12,E12,"m")</f>
        <v>27</v>
      </c>
      <c r="K12" s="20" t="str">
        <f aca="false">IF(E12&lt;=I12,"Dalam Garansi","Habis")</f>
        <v>Habis</v>
      </c>
      <c r="L12" s="20" t="str">
        <f aca="false">IF(AND(K12="Dalam Garansi",F12&lt;&gt;"Terkena Cairan",F12&lt;&gt;"Kerusakan Fisik"),"Ditanggung","Tidak Ditanggung")</f>
        <v>Tidak Ditanggung</v>
      </c>
      <c r="M12" s="21" t="n">
        <f aca="false">IF(L12="Ditanggung",0,G12)</f>
        <v>1100000</v>
      </c>
      <c r="N12" s="18" t="n">
        <f aca="false">MAX(0,I12-E12)</f>
        <v>0</v>
      </c>
    </row>
    <row r="13" customFormat="false" ht="15" hidden="false" customHeight="false" outlineLevel="0" collapsed="false">
      <c r="A13" s="15" t="s">
        <v>124</v>
      </c>
      <c r="B13" s="15" t="s">
        <v>125</v>
      </c>
      <c r="C13" s="15" t="s">
        <v>114</v>
      </c>
      <c r="D13" s="16" t="n">
        <v>45888</v>
      </c>
      <c r="E13" s="16" t="n">
        <v>46267</v>
      </c>
      <c r="F13" s="15" t="s">
        <v>108</v>
      </c>
      <c r="G13" s="17" t="n">
        <v>1500000</v>
      </c>
      <c r="H13" s="18" t="n">
        <f aca="false">VLOOKUP(C13,Acuan!$A$2:$B$7,2,FALSE())</f>
        <v>24</v>
      </c>
      <c r="I13" s="19" t="n">
        <f aca="false">EDATE(D13,H13)</f>
        <v>46618</v>
      </c>
      <c r="J13" s="18" t="n">
        <f aca="false">DATEDIF(D13,E13,"m")</f>
        <v>12</v>
      </c>
      <c r="K13" s="20" t="str">
        <f aca="false">IF(E13&lt;=I13,"Dalam Garansi","Habis")</f>
        <v>Dalam Garansi</v>
      </c>
      <c r="L13" s="20" t="str">
        <f aca="false">IF(AND(K13="Dalam Garansi",F13&lt;&gt;"Terkena Cairan",F13&lt;&gt;"Kerusakan Fisik"),"Ditanggung","Tidak Ditanggung")</f>
        <v>Ditanggung</v>
      </c>
      <c r="M13" s="21" t="n">
        <f aca="false">IF(L13="Ditanggung",0,G13)</f>
        <v>0</v>
      </c>
      <c r="N13" s="18" t="n">
        <f aca="false">MAX(0,I13-E13)</f>
        <v>351</v>
      </c>
    </row>
    <row r="14" customFormat="false" ht="15" hidden="false" customHeight="false" outlineLevel="0" collapsed="false">
      <c r="A14" s="15" t="s">
        <v>126</v>
      </c>
      <c r="B14" s="15" t="s">
        <v>127</v>
      </c>
      <c r="C14" s="15" t="s">
        <v>119</v>
      </c>
      <c r="D14" s="16" t="n">
        <v>45306</v>
      </c>
      <c r="E14" s="16" t="n">
        <v>46269</v>
      </c>
      <c r="F14" s="15" t="s">
        <v>108</v>
      </c>
      <c r="G14" s="17" t="n">
        <v>1100000</v>
      </c>
      <c r="H14" s="18" t="n">
        <f aca="false">VLOOKUP(C14,Acuan!$A$2:$B$7,2,FALSE())</f>
        <v>24</v>
      </c>
      <c r="I14" s="19" t="n">
        <f aca="false">EDATE(D14,H14)</f>
        <v>46037</v>
      </c>
      <c r="J14" s="18" t="n">
        <f aca="false">DATEDIF(D14,E14,"m")</f>
        <v>31</v>
      </c>
      <c r="K14" s="20" t="str">
        <f aca="false">IF(E14&lt;=I14,"Dalam Garansi","Habis")</f>
        <v>Habis</v>
      </c>
      <c r="L14" s="20" t="str">
        <f aca="false">IF(AND(K14="Dalam Garansi",F14&lt;&gt;"Terkena Cairan",F14&lt;&gt;"Kerusakan Fisik"),"Ditanggung","Tidak Ditanggung")</f>
        <v>Tidak Ditanggung</v>
      </c>
      <c r="M14" s="21" t="n">
        <f aca="false">IF(L14="Ditanggung",0,G14)</f>
        <v>1100000</v>
      </c>
      <c r="N14" s="18" t="n">
        <f aca="false">MAX(0,I14-E14)</f>
        <v>0</v>
      </c>
    </row>
    <row r="15" customFormat="false" ht="15" hidden="false" customHeight="false" outlineLevel="0" collapsed="false">
      <c r="A15" s="15" t="s">
        <v>128</v>
      </c>
      <c r="B15" s="15" t="s">
        <v>129</v>
      </c>
      <c r="C15" s="15" t="s">
        <v>130</v>
      </c>
      <c r="D15" s="16" t="n">
        <v>45984</v>
      </c>
      <c r="E15" s="16" t="n">
        <v>46269</v>
      </c>
      <c r="F15" s="15" t="s">
        <v>102</v>
      </c>
      <c r="G15" s="17" t="n">
        <v>250000</v>
      </c>
      <c r="H15" s="18" t="n">
        <f aca="false">VLOOKUP(C15,Acuan!$A$2:$B$7,2,FALSE())</f>
        <v>6</v>
      </c>
      <c r="I15" s="19" t="n">
        <f aca="false">EDATE(D15,H15)</f>
        <v>46165</v>
      </c>
      <c r="J15" s="18" t="n">
        <f aca="false">DATEDIF(D15,E15,"m")</f>
        <v>9</v>
      </c>
      <c r="K15" s="20" t="str">
        <f aca="false">IF(E15&lt;=I15,"Dalam Garansi","Habis")</f>
        <v>Habis</v>
      </c>
      <c r="L15" s="20" t="str">
        <f aca="false">IF(AND(K15="Dalam Garansi",F15&lt;&gt;"Terkena Cairan",F15&lt;&gt;"Kerusakan Fisik"),"Ditanggung","Tidak Ditanggung")</f>
        <v>Tidak Ditanggung</v>
      </c>
      <c r="M15" s="21" t="n">
        <f aca="false">IF(L15="Ditanggung",0,G15)</f>
        <v>250000</v>
      </c>
      <c r="N15" s="18" t="n">
        <f aca="false">MAX(0,I15-E15)</f>
        <v>0</v>
      </c>
    </row>
    <row r="16" customFormat="false" ht="15" hidden="false" customHeight="false" outlineLevel="0" collapsed="false">
      <c r="A16" s="15" t="s">
        <v>131</v>
      </c>
      <c r="B16" s="15" t="s">
        <v>132</v>
      </c>
      <c r="C16" s="15" t="s">
        <v>94</v>
      </c>
      <c r="D16" s="16" t="n">
        <v>45867</v>
      </c>
      <c r="E16" s="16" t="n">
        <v>46272</v>
      </c>
      <c r="F16" s="15" t="s">
        <v>133</v>
      </c>
      <c r="G16" s="17" t="n">
        <v>500000</v>
      </c>
      <c r="H16" s="18" t="n">
        <f aca="false">VLOOKUP(C16,Acuan!$A$2:$B$7,2,FALSE())</f>
        <v>36</v>
      </c>
      <c r="I16" s="19" t="n">
        <f aca="false">EDATE(D16,H16)</f>
        <v>46963</v>
      </c>
      <c r="J16" s="18" t="n">
        <f aca="false">DATEDIF(D16,E16,"m")</f>
        <v>13</v>
      </c>
      <c r="K16" s="20" t="str">
        <f aca="false">IF(E16&lt;=I16,"Dalam Garansi","Habis")</f>
        <v>Dalam Garansi</v>
      </c>
      <c r="L16" s="20" t="str">
        <f aca="false">IF(AND(K16="Dalam Garansi",F16&lt;&gt;"Terkena Cairan",F16&lt;&gt;"Kerusakan Fisik"),"Ditanggung","Tidak Ditanggung")</f>
        <v>Tidak Ditanggung</v>
      </c>
      <c r="M16" s="21" t="n">
        <f aca="false">IF(L16="Ditanggung",0,G16)</f>
        <v>500000</v>
      </c>
      <c r="N16" s="18" t="n">
        <f aca="false">MAX(0,I16-E16)</f>
        <v>691</v>
      </c>
    </row>
    <row r="17" customFormat="false" ht="15" hidden="false" customHeight="false" outlineLevel="0" collapsed="false">
      <c r="A17" s="15" t="s">
        <v>134</v>
      </c>
      <c r="B17" s="15" t="s">
        <v>135</v>
      </c>
      <c r="C17" s="15" t="s">
        <v>119</v>
      </c>
      <c r="D17" s="16" t="n">
        <v>45329</v>
      </c>
      <c r="E17" s="16" t="n">
        <v>46273</v>
      </c>
      <c r="F17" s="15" t="s">
        <v>95</v>
      </c>
      <c r="G17" s="17" t="n">
        <v>500000</v>
      </c>
      <c r="H17" s="18" t="n">
        <f aca="false">VLOOKUP(C17,Acuan!$A$2:$B$7,2,FALSE())</f>
        <v>24</v>
      </c>
      <c r="I17" s="19" t="n">
        <f aca="false">EDATE(D17,H17)</f>
        <v>46060</v>
      </c>
      <c r="J17" s="18" t="n">
        <f aca="false">DATEDIF(D17,E17,"m")</f>
        <v>31</v>
      </c>
      <c r="K17" s="20" t="str">
        <f aca="false">IF(E17&lt;=I17,"Dalam Garansi","Habis")</f>
        <v>Habis</v>
      </c>
      <c r="L17" s="20" t="str">
        <f aca="false">IF(AND(K17="Dalam Garansi",F17&lt;&gt;"Terkena Cairan",F17&lt;&gt;"Kerusakan Fisik"),"Ditanggung","Tidak Ditanggung")</f>
        <v>Tidak Ditanggung</v>
      </c>
      <c r="M17" s="21" t="n">
        <f aca="false">IF(L17="Ditanggung",0,G17)</f>
        <v>500000</v>
      </c>
      <c r="N17" s="18" t="n">
        <f aca="false">MAX(0,I17-E17)</f>
        <v>0</v>
      </c>
    </row>
    <row r="18" customFormat="false" ht="15" hidden="false" customHeight="false" outlineLevel="0" collapsed="false">
      <c r="A18" s="15" t="s">
        <v>136</v>
      </c>
      <c r="B18" s="15" t="s">
        <v>137</v>
      </c>
      <c r="C18" s="15" t="s">
        <v>94</v>
      </c>
      <c r="D18" s="16" t="n">
        <v>45407</v>
      </c>
      <c r="E18" s="16" t="n">
        <v>46280</v>
      </c>
      <c r="F18" s="15" t="s">
        <v>98</v>
      </c>
      <c r="G18" s="17" t="n">
        <v>750000</v>
      </c>
      <c r="H18" s="18" t="n">
        <f aca="false">VLOOKUP(C18,Acuan!$A$2:$B$7,2,FALSE())</f>
        <v>36</v>
      </c>
      <c r="I18" s="19" t="n">
        <f aca="false">EDATE(D18,H18)</f>
        <v>46502</v>
      </c>
      <c r="J18" s="18" t="n">
        <f aca="false">DATEDIF(D18,E18,"m")</f>
        <v>28</v>
      </c>
      <c r="K18" s="20" t="str">
        <f aca="false">IF(E18&lt;=I18,"Dalam Garansi","Habis")</f>
        <v>Dalam Garansi</v>
      </c>
      <c r="L18" s="20" t="str">
        <f aca="false">IF(AND(K18="Dalam Garansi",F18&lt;&gt;"Terkena Cairan",F18&lt;&gt;"Kerusakan Fisik"),"Ditanggung","Tidak Ditanggung")</f>
        <v>Tidak Ditanggung</v>
      </c>
      <c r="M18" s="21" t="n">
        <f aca="false">IF(L18="Ditanggung",0,G18)</f>
        <v>750000</v>
      </c>
      <c r="N18" s="18" t="n">
        <f aca="false">MAX(0,I18-E18)</f>
        <v>222</v>
      </c>
    </row>
    <row r="19" customFormat="false" ht="15" hidden="false" customHeight="false" outlineLevel="0" collapsed="false">
      <c r="A19" s="15" t="s">
        <v>138</v>
      </c>
      <c r="B19" s="15" t="s">
        <v>139</v>
      </c>
      <c r="C19" s="15" t="s">
        <v>130</v>
      </c>
      <c r="D19" s="16" t="n">
        <v>45364</v>
      </c>
      <c r="E19" s="16" t="n">
        <v>46280</v>
      </c>
      <c r="F19" s="15" t="s">
        <v>95</v>
      </c>
      <c r="G19" s="17" t="n">
        <v>150000</v>
      </c>
      <c r="H19" s="18" t="n">
        <f aca="false">VLOOKUP(C19,Acuan!$A$2:$B$7,2,FALSE())</f>
        <v>6</v>
      </c>
      <c r="I19" s="19" t="n">
        <f aca="false">EDATE(D19,H19)</f>
        <v>45548</v>
      </c>
      <c r="J19" s="18" t="n">
        <f aca="false">DATEDIF(D19,E19,"m")</f>
        <v>30</v>
      </c>
      <c r="K19" s="20" t="str">
        <f aca="false">IF(E19&lt;=I19,"Dalam Garansi","Habis")</f>
        <v>Habis</v>
      </c>
      <c r="L19" s="20" t="str">
        <f aca="false">IF(AND(K19="Dalam Garansi",F19&lt;&gt;"Terkena Cairan",F19&lt;&gt;"Kerusakan Fisik"),"Ditanggung","Tidak Ditanggung")</f>
        <v>Tidak Ditanggung</v>
      </c>
      <c r="M19" s="21" t="n">
        <f aca="false">IF(L19="Ditanggung",0,G19)</f>
        <v>150000</v>
      </c>
      <c r="N19" s="18" t="n">
        <f aca="false">MAX(0,I19-E19)</f>
        <v>0</v>
      </c>
    </row>
    <row r="20" customFormat="false" ht="15" hidden="false" customHeight="false" outlineLevel="0" collapsed="false">
      <c r="A20" s="15" t="s">
        <v>140</v>
      </c>
      <c r="B20" s="15" t="s">
        <v>141</v>
      </c>
      <c r="C20" s="15" t="s">
        <v>114</v>
      </c>
      <c r="D20" s="16" t="n">
        <v>45508</v>
      </c>
      <c r="E20" s="16" t="n">
        <v>46281</v>
      </c>
      <c r="F20" s="15" t="s">
        <v>102</v>
      </c>
      <c r="G20" s="17" t="n">
        <v>350000</v>
      </c>
      <c r="H20" s="18" t="n">
        <f aca="false">VLOOKUP(C20,Acuan!$A$2:$B$7,2,FALSE())</f>
        <v>24</v>
      </c>
      <c r="I20" s="19" t="n">
        <f aca="false">EDATE(D20,H20)</f>
        <v>46238</v>
      </c>
      <c r="J20" s="18" t="n">
        <f aca="false">DATEDIF(D20,E20,"m")</f>
        <v>25</v>
      </c>
      <c r="K20" s="20" t="str">
        <f aca="false">IF(E20&lt;=I20,"Dalam Garansi","Habis")</f>
        <v>Habis</v>
      </c>
      <c r="L20" s="20" t="str">
        <f aca="false">IF(AND(K20="Dalam Garansi",F20&lt;&gt;"Terkena Cairan",F20&lt;&gt;"Kerusakan Fisik"),"Ditanggung","Tidak Ditanggung")</f>
        <v>Tidak Ditanggung</v>
      </c>
      <c r="M20" s="21" t="n">
        <f aca="false">IF(L20="Ditanggung",0,G20)</f>
        <v>350000</v>
      </c>
      <c r="N20" s="18" t="n">
        <f aca="false">MAX(0,I20-E20)</f>
        <v>0</v>
      </c>
    </row>
    <row r="21" customFormat="false" ht="15" hidden="false" customHeight="false" outlineLevel="0" collapsed="false">
      <c r="A21" s="15" t="s">
        <v>142</v>
      </c>
      <c r="B21" s="15" t="s">
        <v>143</v>
      </c>
      <c r="C21" s="15" t="s">
        <v>130</v>
      </c>
      <c r="D21" s="16" t="n">
        <v>45956</v>
      </c>
      <c r="E21" s="16" t="n">
        <v>46282</v>
      </c>
      <c r="F21" s="15" t="s">
        <v>98</v>
      </c>
      <c r="G21" s="17" t="n">
        <v>250000</v>
      </c>
      <c r="H21" s="18" t="n">
        <f aca="false">VLOOKUP(C21,Acuan!$A$2:$B$7,2,FALSE())</f>
        <v>6</v>
      </c>
      <c r="I21" s="19" t="n">
        <f aca="false">EDATE(D21,H21)</f>
        <v>46138</v>
      </c>
      <c r="J21" s="18" t="n">
        <f aca="false">DATEDIF(D21,E21,"m")</f>
        <v>10</v>
      </c>
      <c r="K21" s="20" t="str">
        <f aca="false">IF(E21&lt;=I21,"Dalam Garansi","Habis")</f>
        <v>Habis</v>
      </c>
      <c r="L21" s="20" t="str">
        <f aca="false">IF(AND(K21="Dalam Garansi",F21&lt;&gt;"Terkena Cairan",F21&lt;&gt;"Kerusakan Fisik"),"Ditanggung","Tidak Ditanggung")</f>
        <v>Tidak Ditanggung</v>
      </c>
      <c r="M21" s="21" t="n">
        <f aca="false">IF(L21="Ditanggung",0,G21)</f>
        <v>250000</v>
      </c>
      <c r="N21" s="18" t="n">
        <f aca="false">MAX(0,I21-E21)</f>
        <v>0</v>
      </c>
    </row>
    <row r="22" customFormat="false" ht="15" hidden="false" customHeight="false" outlineLevel="0" collapsed="false">
      <c r="A22" s="15" t="s">
        <v>144</v>
      </c>
      <c r="B22" s="15" t="s">
        <v>145</v>
      </c>
      <c r="C22" s="15" t="s">
        <v>130</v>
      </c>
      <c r="D22" s="16" t="n">
        <v>45598</v>
      </c>
      <c r="E22" s="16" t="n">
        <v>46282</v>
      </c>
      <c r="F22" s="15" t="s">
        <v>102</v>
      </c>
      <c r="G22" s="17" t="n">
        <v>1500000</v>
      </c>
      <c r="H22" s="18" t="n">
        <f aca="false">VLOOKUP(C22,Acuan!$A$2:$B$7,2,FALSE())</f>
        <v>6</v>
      </c>
      <c r="I22" s="19" t="n">
        <f aca="false">EDATE(D22,H22)</f>
        <v>45779</v>
      </c>
      <c r="J22" s="18" t="n">
        <f aca="false">DATEDIF(D22,E22,"m")</f>
        <v>22</v>
      </c>
      <c r="K22" s="20" t="str">
        <f aca="false">IF(E22&lt;=I22,"Dalam Garansi","Habis")</f>
        <v>Habis</v>
      </c>
      <c r="L22" s="20" t="str">
        <f aca="false">IF(AND(K22="Dalam Garansi",F22&lt;&gt;"Terkena Cairan",F22&lt;&gt;"Kerusakan Fisik"),"Ditanggung","Tidak Ditanggung")</f>
        <v>Tidak Ditanggung</v>
      </c>
      <c r="M22" s="21" t="n">
        <f aca="false">IF(L22="Ditanggung",0,G22)</f>
        <v>1500000</v>
      </c>
      <c r="N22" s="18" t="n">
        <f aca="false">MAX(0,I22-E22)</f>
        <v>0</v>
      </c>
    </row>
    <row r="23" customFormat="false" ht="15" hidden="false" customHeight="false" outlineLevel="0" collapsed="false">
      <c r="A23" s="15" t="s">
        <v>146</v>
      </c>
      <c r="B23" s="15" t="s">
        <v>147</v>
      </c>
      <c r="C23" s="15" t="s">
        <v>119</v>
      </c>
      <c r="D23" s="16" t="n">
        <v>46011</v>
      </c>
      <c r="E23" s="16" t="n">
        <v>46284</v>
      </c>
      <c r="F23" s="15" t="s">
        <v>95</v>
      </c>
      <c r="G23" s="17" t="n">
        <v>1500000</v>
      </c>
      <c r="H23" s="18" t="n">
        <f aca="false">VLOOKUP(C23,Acuan!$A$2:$B$7,2,FALSE())</f>
        <v>24</v>
      </c>
      <c r="I23" s="19" t="n">
        <f aca="false">EDATE(D23,H23)</f>
        <v>46741</v>
      </c>
      <c r="J23" s="18" t="n">
        <f aca="false">DATEDIF(D23,E23,"m")</f>
        <v>8</v>
      </c>
      <c r="K23" s="20" t="str">
        <f aca="false">IF(E23&lt;=I23,"Dalam Garansi","Habis")</f>
        <v>Dalam Garansi</v>
      </c>
      <c r="L23" s="20" t="str">
        <f aca="false">IF(AND(K23="Dalam Garansi",F23&lt;&gt;"Terkena Cairan",F23&lt;&gt;"Kerusakan Fisik"),"Ditanggung","Tidak Ditanggung")</f>
        <v>Ditanggung</v>
      </c>
      <c r="M23" s="21" t="n">
        <f aca="false">IF(L23="Ditanggung",0,G23)</f>
        <v>0</v>
      </c>
      <c r="N23" s="18" t="n">
        <f aca="false">MAX(0,I23-E23)</f>
        <v>457</v>
      </c>
    </row>
    <row r="24" customFormat="false" ht="15" hidden="false" customHeight="false" outlineLevel="0" collapsed="false">
      <c r="A24" s="15" t="s">
        <v>148</v>
      </c>
      <c r="B24" s="15" t="s">
        <v>149</v>
      </c>
      <c r="C24" s="15" t="s">
        <v>101</v>
      </c>
      <c r="D24" s="16" t="n">
        <v>45589</v>
      </c>
      <c r="E24" s="16" t="n">
        <v>46289</v>
      </c>
      <c r="F24" s="15" t="s">
        <v>98</v>
      </c>
      <c r="G24" s="17" t="n">
        <v>500000</v>
      </c>
      <c r="H24" s="18" t="n">
        <f aca="false">VLOOKUP(C24,Acuan!$A$2:$B$7,2,FALSE())</f>
        <v>24</v>
      </c>
      <c r="I24" s="19" t="n">
        <f aca="false">EDATE(D24,H24)</f>
        <v>46319</v>
      </c>
      <c r="J24" s="18" t="n">
        <f aca="false">DATEDIF(D24,E24,"m")</f>
        <v>23</v>
      </c>
      <c r="K24" s="20" t="str">
        <f aca="false">IF(E24&lt;=I24,"Dalam Garansi","Habis")</f>
        <v>Dalam Garansi</v>
      </c>
      <c r="L24" s="20" t="str">
        <f aca="false">IF(AND(K24="Dalam Garansi",F24&lt;&gt;"Terkena Cairan",F24&lt;&gt;"Kerusakan Fisik"),"Ditanggung","Tidak Ditanggung")</f>
        <v>Tidak Ditanggung</v>
      </c>
      <c r="M24" s="21" t="n">
        <f aca="false">IF(L24="Ditanggung",0,G24)</f>
        <v>500000</v>
      </c>
      <c r="N24" s="18" t="n">
        <f aca="false">MAX(0,I24-E24)</f>
        <v>30</v>
      </c>
    </row>
    <row r="25" customFormat="false" ht="15" hidden="false" customHeight="false" outlineLevel="0" collapsed="false">
      <c r="A25" s="15" t="s">
        <v>150</v>
      </c>
      <c r="B25" s="15" t="s">
        <v>151</v>
      </c>
      <c r="C25" s="15" t="s">
        <v>101</v>
      </c>
      <c r="D25" s="16" t="n">
        <v>45595</v>
      </c>
      <c r="E25" s="16" t="n">
        <v>46292</v>
      </c>
      <c r="F25" s="15" t="s">
        <v>102</v>
      </c>
      <c r="G25" s="17" t="n">
        <v>1500000</v>
      </c>
      <c r="H25" s="18" t="n">
        <f aca="false">VLOOKUP(C25,Acuan!$A$2:$B$7,2,FALSE())</f>
        <v>24</v>
      </c>
      <c r="I25" s="19" t="n">
        <f aca="false">EDATE(D25,H25)</f>
        <v>46325</v>
      </c>
      <c r="J25" s="18" t="n">
        <f aca="false">DATEDIF(D25,E25,"m")</f>
        <v>22</v>
      </c>
      <c r="K25" s="20" t="str">
        <f aca="false">IF(E25&lt;=I25,"Dalam Garansi","Habis")</f>
        <v>Dalam Garansi</v>
      </c>
      <c r="L25" s="20" t="str">
        <f aca="false">IF(AND(K25="Dalam Garansi",F25&lt;&gt;"Terkena Cairan",F25&lt;&gt;"Kerusakan Fisik"),"Ditanggung","Tidak Ditanggung")</f>
        <v>Ditanggung</v>
      </c>
      <c r="M25" s="21" t="n">
        <f aca="false">IF(L25="Ditanggung",0,G25)</f>
        <v>0</v>
      </c>
      <c r="N25" s="18" t="n">
        <f aca="false">MAX(0,I25-E25)</f>
        <v>33</v>
      </c>
    </row>
    <row r="26" customFormat="false" ht="15" hidden="false" customHeight="false" outlineLevel="0" collapsed="false">
      <c r="A26" s="15" t="s">
        <v>152</v>
      </c>
      <c r="B26" s="15" t="s">
        <v>153</v>
      </c>
      <c r="C26" s="15" t="s">
        <v>107</v>
      </c>
      <c r="D26" s="16" t="n">
        <v>45559</v>
      </c>
      <c r="E26" s="16" t="n">
        <v>46296</v>
      </c>
      <c r="F26" s="15" t="s">
        <v>98</v>
      </c>
      <c r="G26" s="17" t="n">
        <v>1100000</v>
      </c>
      <c r="H26" s="18" t="n">
        <f aca="false">VLOOKUP(C26,Acuan!$A$2:$B$7,2,FALSE())</f>
        <v>12</v>
      </c>
      <c r="I26" s="19" t="n">
        <f aca="false">EDATE(D26,H26)</f>
        <v>45924</v>
      </c>
      <c r="J26" s="18" t="n">
        <f aca="false">DATEDIF(D26,E26,"m")</f>
        <v>24</v>
      </c>
      <c r="K26" s="20" t="str">
        <f aca="false">IF(E26&lt;=I26,"Dalam Garansi","Habis")</f>
        <v>Habis</v>
      </c>
      <c r="L26" s="20" t="str">
        <f aca="false">IF(AND(K26="Dalam Garansi",F26&lt;&gt;"Terkena Cairan",F26&lt;&gt;"Kerusakan Fisik"),"Ditanggung","Tidak Ditanggung")</f>
        <v>Tidak Ditanggung</v>
      </c>
      <c r="M26" s="21" t="n">
        <f aca="false">IF(L26="Ditanggung",0,G26)</f>
        <v>1100000</v>
      </c>
      <c r="N26" s="18" t="n">
        <f aca="false">MAX(0,I26-E26)</f>
        <v>0</v>
      </c>
    </row>
    <row r="27" customFormat="false" ht="15" hidden="false" customHeight="false" outlineLevel="0" collapsed="false">
      <c r="A27" s="15" t="s">
        <v>154</v>
      </c>
      <c r="B27" s="15" t="s">
        <v>155</v>
      </c>
      <c r="C27" s="15" t="s">
        <v>114</v>
      </c>
      <c r="D27" s="16" t="n">
        <v>45854</v>
      </c>
      <c r="E27" s="16" t="n">
        <v>46302</v>
      </c>
      <c r="F27" s="15" t="s">
        <v>133</v>
      </c>
      <c r="G27" s="17" t="n">
        <v>1100000</v>
      </c>
      <c r="H27" s="18" t="n">
        <f aca="false">VLOOKUP(C27,Acuan!$A$2:$B$7,2,FALSE())</f>
        <v>24</v>
      </c>
      <c r="I27" s="19" t="n">
        <f aca="false">EDATE(D27,H27)</f>
        <v>46584</v>
      </c>
      <c r="J27" s="18" t="n">
        <f aca="false">DATEDIF(D27,E27,"m")</f>
        <v>14</v>
      </c>
      <c r="K27" s="20" t="str">
        <f aca="false">IF(E27&lt;=I27,"Dalam Garansi","Habis")</f>
        <v>Dalam Garansi</v>
      </c>
      <c r="L27" s="20" t="str">
        <f aca="false">IF(AND(K27="Dalam Garansi",F27&lt;&gt;"Terkena Cairan",F27&lt;&gt;"Kerusakan Fisik"),"Ditanggung","Tidak Ditanggung")</f>
        <v>Tidak Ditanggung</v>
      </c>
      <c r="M27" s="21" t="n">
        <f aca="false">IF(L27="Ditanggung",0,G27)</f>
        <v>1100000</v>
      </c>
      <c r="N27" s="18" t="n">
        <f aca="false">MAX(0,I27-E27)</f>
        <v>282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4"/>
    <col collapsed="false" customWidth="true" hidden="false" outlineLevel="0" max="4" min="4" style="0" width="18"/>
  </cols>
  <sheetData>
    <row r="1" customFormat="false" ht="33.75" hidden="false" customHeight="true" outlineLevel="0" collapsed="false">
      <c r="A1" s="10" t="s">
        <v>80</v>
      </c>
      <c r="B1" s="10" t="s">
        <v>156</v>
      </c>
      <c r="C1" s="14" t="s">
        <v>157</v>
      </c>
      <c r="D1" s="14" t="s">
        <v>158</v>
      </c>
    </row>
    <row r="2" customFormat="false" ht="15" hidden="false" customHeight="false" outlineLevel="0" collapsed="false">
      <c r="A2" s="15" t="s">
        <v>107</v>
      </c>
      <c r="B2" s="22" t="n">
        <v>12</v>
      </c>
      <c r="C2" s="18" t="n">
        <f aca="false">COUNTIF(Data!$C$2:$C$27,A2)</f>
        <v>4</v>
      </c>
      <c r="D2" s="21" t="n">
        <f aca="false">SUMIF(Data!$C$2:$C$27,A2,Data!$G$2:$G$27)</f>
        <v>3450000</v>
      </c>
    </row>
    <row r="3" customFormat="false" ht="15" hidden="false" customHeight="false" outlineLevel="0" collapsed="false">
      <c r="A3" s="15" t="s">
        <v>119</v>
      </c>
      <c r="B3" s="22" t="n">
        <v>24</v>
      </c>
      <c r="C3" s="18" t="n">
        <f aca="false">COUNTIF(Data!$C$2:$C$27,A3)</f>
        <v>4</v>
      </c>
      <c r="D3" s="21" t="n">
        <f aca="false">SUMIF(Data!$C$2:$C$27,A3,Data!$G$2:$G$27)</f>
        <v>3600000</v>
      </c>
    </row>
    <row r="4" customFormat="false" ht="15" hidden="false" customHeight="false" outlineLevel="0" collapsed="false">
      <c r="A4" s="15" t="s">
        <v>114</v>
      </c>
      <c r="B4" s="22" t="n">
        <v>24</v>
      </c>
      <c r="C4" s="18" t="n">
        <f aca="false">COUNTIF(Data!$C$2:$C$27,A4)</f>
        <v>4</v>
      </c>
      <c r="D4" s="21" t="n">
        <f aca="false">SUMIF(Data!$C$2:$C$27,A4,Data!$G$2:$G$27)</f>
        <v>3450000</v>
      </c>
    </row>
    <row r="5" customFormat="false" ht="15" hidden="false" customHeight="false" outlineLevel="0" collapsed="false">
      <c r="A5" s="15" t="s">
        <v>94</v>
      </c>
      <c r="B5" s="22" t="n">
        <v>36</v>
      </c>
      <c r="C5" s="18" t="n">
        <f aca="false">COUNTIF(Data!$C$2:$C$27,A5)</f>
        <v>4</v>
      </c>
      <c r="D5" s="21" t="n">
        <f aca="false">SUMIF(Data!$C$2:$C$27,A5,Data!$G$2:$G$27)</f>
        <v>2150000</v>
      </c>
    </row>
    <row r="6" customFormat="false" ht="15" hidden="false" customHeight="false" outlineLevel="0" collapsed="false">
      <c r="A6" s="15" t="s">
        <v>101</v>
      </c>
      <c r="B6" s="22" t="n">
        <v>24</v>
      </c>
      <c r="C6" s="18" t="n">
        <f aca="false">COUNTIF(Data!$C$2:$C$27,A6)</f>
        <v>6</v>
      </c>
      <c r="D6" s="21" t="n">
        <f aca="false">SUMIF(Data!$C$2:$C$27,A6,Data!$G$2:$G$27)</f>
        <v>7600000</v>
      </c>
    </row>
    <row r="7" customFormat="false" ht="15" hidden="false" customHeight="false" outlineLevel="0" collapsed="false">
      <c r="A7" s="15" t="s">
        <v>130</v>
      </c>
      <c r="B7" s="22" t="n">
        <v>6</v>
      </c>
      <c r="C7" s="18" t="n">
        <f aca="false">COUNTIF(Data!$C$2:$C$27,A7)</f>
        <v>4</v>
      </c>
      <c r="D7" s="21" t="n">
        <f aca="false">SUMIF(Data!$C$2:$C$27,A7,Data!$G$2:$G$27)</f>
        <v>2150000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3" t="s">
        <v>159</v>
      </c>
      <c r="B1" s="23"/>
      <c r="C1" s="23"/>
      <c r="D1" s="23"/>
    </row>
    <row r="2" customFormat="false" ht="15" hidden="false" customHeight="false" outlineLevel="0" collapsed="false">
      <c r="A2" s="24" t="s">
        <v>160</v>
      </c>
      <c r="B2" s="24"/>
      <c r="C2" s="24"/>
      <c r="D2" s="24"/>
    </row>
    <row r="3" customFormat="false" ht="15" hidden="false" customHeight="false" outlineLevel="0" collapsed="false">
      <c r="A3" s="10" t="s">
        <v>18</v>
      </c>
      <c r="B3" s="10" t="s">
        <v>161</v>
      </c>
      <c r="C3" s="10" t="s">
        <v>162</v>
      </c>
      <c r="D3" s="10" t="s">
        <v>163</v>
      </c>
    </row>
    <row r="4" customFormat="false" ht="15" hidden="false" customHeight="false" outlineLevel="0" collapsed="false">
      <c r="A4" s="25" t="s">
        <v>164</v>
      </c>
      <c r="B4" s="26" t="s">
        <v>165</v>
      </c>
      <c r="C4" s="18" t="n">
        <f aca="false">COUNTIF(Data!$K$2:$K$27,"Dalam Garansi")</f>
        <v>13</v>
      </c>
      <c r="D4" s="27" t="s">
        <v>166</v>
      </c>
    </row>
    <row r="5" customFormat="false" ht="15" hidden="false" customHeight="false" outlineLevel="0" collapsed="false">
      <c r="A5" s="25" t="s">
        <v>167</v>
      </c>
      <c r="B5" s="26" t="s">
        <v>168</v>
      </c>
      <c r="C5" s="18" t="n">
        <f aca="false">COUNTIF(Data!$L$2:$L$27,"Ditanggung")</f>
        <v>7</v>
      </c>
      <c r="D5" s="27" t="s">
        <v>169</v>
      </c>
    </row>
    <row r="6" customFormat="false" ht="15" hidden="false" customHeight="false" outlineLevel="0" collapsed="false">
      <c r="A6" s="25" t="s">
        <v>170</v>
      </c>
      <c r="B6" s="26" t="s">
        <v>171</v>
      </c>
      <c r="C6" s="18" t="n">
        <f aca="false">COUNTIFS(Data!$K$2:$K$27,"Dalam Garansi",Data!$L$2:$L$27,"Tidak Ditanggung")</f>
        <v>6</v>
      </c>
      <c r="D6" s="27" t="s">
        <v>172</v>
      </c>
    </row>
    <row r="7" customFormat="false" ht="15" hidden="false" customHeight="false" outlineLevel="0" collapsed="false">
      <c r="A7" s="25" t="s">
        <v>173</v>
      </c>
      <c r="B7" s="26" t="s">
        <v>174</v>
      </c>
      <c r="C7" s="21" t="n">
        <f aca="false">SUM(Data!$G$2:$G$27)</f>
        <v>22400000</v>
      </c>
      <c r="D7" s="27" t="s">
        <v>175</v>
      </c>
    </row>
    <row r="8" customFormat="false" ht="15" hidden="false" customHeight="false" outlineLevel="0" collapsed="false">
      <c r="A8" s="25" t="s">
        <v>176</v>
      </c>
      <c r="B8" s="26" t="s">
        <v>177</v>
      </c>
      <c r="C8" s="21" t="n">
        <f aca="false">SUMIF(Data!$L$2:$L$27,"Ditanggung",Data!$G$2:$G$27)</f>
        <v>8550000</v>
      </c>
      <c r="D8" s="27" t="s">
        <v>178</v>
      </c>
    </row>
    <row r="9" customFormat="false" ht="15" hidden="false" customHeight="false" outlineLevel="0" collapsed="false">
      <c r="A9" s="25" t="s">
        <v>179</v>
      </c>
      <c r="B9" s="26" t="s">
        <v>180</v>
      </c>
      <c r="C9" s="21" t="n">
        <f aca="false">SUM(Data!$M$2:$M$27)</f>
        <v>13850000</v>
      </c>
      <c r="D9" s="27" t="s">
        <v>181</v>
      </c>
    </row>
    <row r="10" customFormat="false" ht="15" hidden="false" customHeight="false" outlineLevel="0" collapsed="false">
      <c r="A10" s="25" t="s">
        <v>182</v>
      </c>
      <c r="B10" s="26" t="s">
        <v>183</v>
      </c>
      <c r="C10" s="20" t="str">
        <f aca="false">INDEX(Acuan!$A$2:$A$7,MATCH(MAX(Acuan!$C$2:$C$7),Acuan!$C$2:$C$7,0))</f>
        <v>Mesin Cuci</v>
      </c>
      <c r="D10" s="27" t="s">
        <v>184</v>
      </c>
    </row>
    <row r="11" customFormat="false" ht="15" hidden="false" customHeight="false" outlineLevel="0" collapsed="false">
      <c r="A11" s="25" t="s">
        <v>185</v>
      </c>
      <c r="B11" s="26" t="s">
        <v>186</v>
      </c>
      <c r="C11" s="20" t="str">
        <f aca="false">INDEX(Acuan!$A$2:$A$7,MATCH(MAX(Acuan!$D$2:$D$7),Acuan!$D$2:$D$7,0))</f>
        <v>Mesin Cuci</v>
      </c>
      <c r="D11" s="27" t="s">
        <v>184</v>
      </c>
    </row>
    <row r="12" customFormat="false" ht="15" hidden="false" customHeight="false" outlineLevel="0" collapsed="false">
      <c r="A12" s="25" t="s">
        <v>187</v>
      </c>
      <c r="B12" s="26" t="s">
        <v>188</v>
      </c>
      <c r="C12" s="18" t="n">
        <f aca="false">MAX(Data!$J$2:$J$27)</f>
        <v>33</v>
      </c>
      <c r="D12" s="27" t="s">
        <v>189</v>
      </c>
    </row>
    <row r="13" customFormat="false" ht="15" hidden="false" customHeight="false" outlineLevel="0" collapsed="false">
      <c r="A13" s="25" t="s">
        <v>190</v>
      </c>
      <c r="B13" s="26" t="s">
        <v>191</v>
      </c>
      <c r="C13" s="28" t="n">
        <f aca="false">AVERAGE(Data!$J$2:$J$27)</f>
        <v>20.4615384615385</v>
      </c>
      <c r="D13" s="27" t="s">
        <v>192</v>
      </c>
    </row>
    <row r="14" customFormat="false" ht="15" hidden="false" customHeight="false" outlineLevel="0" collapsed="false">
      <c r="A14" s="25" t="s">
        <v>193</v>
      </c>
      <c r="B14" s="26" t="s">
        <v>194</v>
      </c>
      <c r="C14" s="19" t="n">
        <f aca="false">MIN(Data!$I$2:$I$27)</f>
        <v>45548</v>
      </c>
      <c r="D14" s="27" t="s">
        <v>195</v>
      </c>
    </row>
    <row r="15" customFormat="false" ht="15" hidden="false" customHeight="false" outlineLevel="0" collapsed="false">
      <c r="A15" s="25" t="s">
        <v>196</v>
      </c>
      <c r="B15" s="26" t="s">
        <v>197</v>
      </c>
      <c r="C15" s="18" t="n">
        <f aca="false">SUM(Data!$N$2:$N$27)</f>
        <v>4427</v>
      </c>
      <c r="D15" s="27" t="s">
        <v>198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2026-10-14T23:34:12Z</dcterms:created>
  <dc:creator>PushExcel</dc:creator>
  <dc:description/>
  <dc:language>en-US</dc:language>
  <cp:lastModifiedBy/>
  <dcterms:modified xsi:type="dcterms:W3CDTF">2026-10-14T23:34:12Z</dcterms:modified>
  <cp:revision>0</cp:revision>
  <dc:subject/>
  <dc:title>Klaim Garansi Produk Elektronik - Kunci</dc:title>
</cp:coreProperties>
</file>

<file path=docProps/custom.xml><?xml version="1.0" encoding="utf-8"?>
<Properties xmlns="http://schemas.openxmlformats.org/officeDocument/2006/custom-properties" xmlns:vt="http://schemas.openxmlformats.org/officeDocument/2006/docPropsVTypes"/>
</file>