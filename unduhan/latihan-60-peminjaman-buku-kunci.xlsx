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<sst xmlns="http://schemas.openxmlformats.org/spreadsheetml/2006/main" count="248" uniqueCount="198">
  <si>
    <t xml:space="preserve">Kunci Jawaban: Peminjaman Buku dan Denda Keterlambatan</t>
  </si>
  <si>
    <t xml:space="preserve">Latihan 60 dari 40  |  Tingkat: Pemula  |  Perkiraan waktu: 35 menit  |  pushexcel.github.io/Pushexcel</t>
  </si>
  <si>
    <t xml:space="preserve">Skenario</t>
  </si>
  <si>
    <t xml:space="preserve">Kamu petugas Perpustakaan Desa Tunas Baca yang mencatat 30 peminjaman buku antara September dan Oktober 2026. Batas pinjam adalah 7 hari, dihitung dari tanggal pinjam sampai tanggal kembali. Keterlambatan dikenai denda Rp 500 per hari. Status peminjaman: Tepat Waktu bila tidak terlambat, Terlambat Berat bila terlambat 5 hari atau lebih, selain itu Terlambat. Semua buku sudah dikembalikan. Angka tetap ada di blok Parameter.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</si>
  <si>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</si>
  <si>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</si>
  <si>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</si>
  <si>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</si>
  <si>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</si>
  <si>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</si>
  <si>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</si>
  <si>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</si>
  <si>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</si>
  <si>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</si>
  <si>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</si>
  <si>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</si>
  <si>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</si>
  <si>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</si>
  <si>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</si>
  <si>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</si>
  <si>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</si>
  <si>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</si>
  <si>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</si>
  <si>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</si>
  <si>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lama pinjam dalam hari: tanggal kembali dikurangi tanggal pinjam.</t>
  </si>
  <si>
    <t xml:space="preserve">Sheet Data, kolom G (Lama Pinjam), baris 2 sampai 31</t>
  </si>
  <si>
    <t xml:space="preserve">=F2-E2</t>
  </si>
  <si>
    <t xml:space="preserve">2</t>
  </si>
  <si>
    <t xml:space="preserve">Hitung hari terlambat: lama pinjam dikurangi batas lama pinjam, tetapi tidak boleh negatif (minimal 0).</t>
  </si>
  <si>
    <t xml:space="preserve">Sheet Data, kolom H (Hari Terlambat), baris 2 sampai 31</t>
  </si>
  <si>
    <t xml:space="preserve">=MAX(0;G2-$M$2)</t>
  </si>
  <si>
    <t xml:space="preserve">3</t>
  </si>
  <si>
    <t xml:space="preserve">Hitung denda: hari terlambat dikali denda per hari.</t>
  </si>
  <si>
    <t xml:space="preserve">Sheet Data, kolom I (Denda), baris 2 sampai 31</t>
  </si>
  <si>
    <t xml:space="preserve">=H2*$M$3</t>
  </si>
  <si>
    <t xml:space="preserve">4</t>
  </si>
  <si>
    <t xml:space="preserve">Beri status: Tepat Waktu bila hari terlambat 0, Terlambat Berat bila sama dengan atau lebih dari batas terlambat berat, selain itu Terlambat.</t>
  </si>
  <si>
    <t xml:space="preserve">Sheet Data, kolom J (Status), baris 2 sampai 31</t>
  </si>
  <si>
    <t xml:space="preserve">=IF(H2=0;"Tepat Waktu";IF(H2&gt;=$M$4;"Terlambat Berat";"Terlambat"))</t>
  </si>
  <si>
    <t xml:space="preserve">5</t>
  </si>
  <si>
    <t xml:space="preserve">Pada sheet Acuan, hitung jumlah peminjaman tiap kategori buku.</t>
  </si>
  <si>
    <t xml:space="preserve">Sheet Acuan, kolom B (Jumlah Peminjaman), baris 2 sampai 5</t>
  </si>
  <si>
    <t xml:space="preserve">=COUNTIF(Data!$D$2:$D$31;A2)</t>
  </si>
  <si>
    <t xml:space="preserve">6</t>
  </si>
  <si>
    <t xml:space="preserve">Pada sheet Acuan, hitung total denda tiap kategori buku.</t>
  </si>
  <si>
    <t xml:space="preserve">Sheet Acuan, kolom C (Total Denda), baris 2 sampai 5</t>
  </si>
  <si>
    <t xml:space="preserve">=SUMIF(Data!$D$2:$D$31;A2;Data!$I$2:$I$31)</t>
  </si>
  <si>
    <t xml:space="preserve">7</t>
  </si>
  <si>
    <t xml:space="preserve">Berapa peminjaman yang Tepat Waktu, Terlambat, dan Terlambat Berat?</t>
  </si>
  <si>
    <t xml:space="preserve">Sheet Ringkasan, sel C4 sampai C6</t>
  </si>
  <si>
    <t xml:space="preserve">=COUNTIF(Data!$J$2:$J$31;"Tepat Waktu")
=COUNTIF(Data!$J$2:$J$31;"Terlambat")
=COUNTIF(Data!$J$2:$J$31;"Terlambat Berat")</t>
  </si>
  <si>
    <t xml:space="preserve">8</t>
  </si>
  <si>
    <t xml:space="preserve">Berapa total denda yang terkumpul, dan berapa rata-rata lama pinjam?</t>
  </si>
  <si>
    <t xml:space="preserve">Sheet Ringkasan, sel C7 sampai C8</t>
  </si>
  <si>
    <t xml:space="preserve">=SUM(Data!$I$2:$I$31)
=AVERAGE(Data!$G$2:$G$31)</t>
  </si>
  <si>
    <t xml:space="preserve">9</t>
  </si>
  <si>
    <t xml:space="preserve">Siapa anggota yang dendanya terbesar, dan berapa hari terlambat terlama?</t>
  </si>
  <si>
    <t xml:space="preserve">Sheet Ringkasan, sel C9 sampai C10</t>
  </si>
  <si>
    <t xml:space="preserve">=INDEX(Data!$B$2:$B$31;MATCH(MAX(Data!$I$2:$I$31);Data!$I$2:$I$31;0))
=MAX(Data!$H$2:$H$31)</t>
  </si>
  <si>
    <t xml:space="preserve">10</t>
  </si>
  <si>
    <t xml:space="preserve">Kategori mana yang paling banyak dipinjam, dan kategori mana yang total dendanya terbesar?</t>
  </si>
  <si>
    <t xml:space="preserve">Sheet Ringkasan, sel C11 sampai C12</t>
  </si>
  <si>
    <t xml:space="preserve">=INDEX(Acuan!$A$2:$A$5;MATCH(MAX(Acuan!$B$2:$B$5);Acuan!$B$2:$B$5;0))
=INDEX(Acuan!$A$2:$A$5;MATCH(MAX(Acuan!$C$2:$C$5);Acuan!$C$2:$C$5;0))</t>
  </si>
  <si>
    <t xml:space="preserve">11</t>
  </si>
  <si>
    <t xml:space="preserve">Berapa peminjaman buku Novel yang Terlambat Berat?</t>
  </si>
  <si>
    <t xml:space="preserve">Sheet Ringkasan, sel C13</t>
  </si>
  <si>
    <t xml:space="preserve">=COUNTIFS(Data!$D$2:$D$31;"Novel";Data!$J$2:$J$31;"Terlambat Berat")</t>
  </si>
  <si>
    <t xml:space="preserve">No Pinjam</t>
  </si>
  <si>
    <t xml:space="preserve">Nama Anggota</t>
  </si>
  <si>
    <t xml:space="preserve">Judul Buku</t>
  </si>
  <si>
    <t xml:space="preserve">Kategori</t>
  </si>
  <si>
    <t xml:space="preserve">Tanggal Pinjam</t>
  </si>
  <si>
    <t xml:space="preserve">Tanggal Kembali</t>
  </si>
  <si>
    <t xml:space="preserve">Lama Pinjam</t>
  </si>
  <si>
    <t xml:space="preserve">Hari Terlambat</t>
  </si>
  <si>
    <t xml:space="preserve">Denda</t>
  </si>
  <si>
    <t xml:space="preserve">Status</t>
  </si>
  <si>
    <t xml:space="preserve">Parameter</t>
  </si>
  <si>
    <t xml:space="preserve">Nilai</t>
  </si>
  <si>
    <t xml:space="preserve">Keterangan</t>
  </si>
  <si>
    <t xml:space="preserve">PJ-001</t>
  </si>
  <si>
    <t xml:space="preserve">Tika Suryani</t>
  </si>
  <si>
    <t xml:space="preserve">Perjalanan Kemerdekaan</t>
  </si>
  <si>
    <t xml:space="preserve">Sejarah</t>
  </si>
  <si>
    <t xml:space="preserve">Batas lama pinjam</t>
  </si>
  <si>
    <t xml:space="preserve">Dalam hari</t>
  </si>
  <si>
    <t xml:space="preserve">PJ-002</t>
  </si>
  <si>
    <t xml:space="preserve">Edi Anggraini</t>
  </si>
  <si>
    <t xml:space="preserve">Rumah di Ujung Jalan</t>
  </si>
  <si>
    <t xml:space="preserve">Novel</t>
  </si>
  <si>
    <t xml:space="preserve">Denda per hari</t>
  </si>
  <si>
    <t xml:space="preserve">PJ-003</t>
  </si>
  <si>
    <t xml:space="preserve">Khoirul Pangestu</t>
  </si>
  <si>
    <t xml:space="preserve">Belajar Berhitung</t>
  </si>
  <si>
    <t xml:space="preserve">Anak</t>
  </si>
  <si>
    <t xml:space="preserve">Batas terlambat berat</t>
  </si>
  <si>
    <t xml:space="preserve">Hari terlambat sama dengan atau lebih dari angka ini</t>
  </si>
  <si>
    <t xml:space="preserve">PJ-004</t>
  </si>
  <si>
    <t xml:space="preserve">Novi Saputra</t>
  </si>
  <si>
    <t xml:space="preserve">Jejak Pelaut Lama</t>
  </si>
  <si>
    <t xml:space="preserve">PJ-005</t>
  </si>
  <si>
    <t xml:space="preserve">Sari Sari</t>
  </si>
  <si>
    <t xml:space="preserve">PJ-006</t>
  </si>
  <si>
    <t xml:space="preserve">Zainal Fauzi</t>
  </si>
  <si>
    <t xml:space="preserve">Kebun Binatang Mini</t>
  </si>
  <si>
    <t xml:space="preserve">PJ-007</t>
  </si>
  <si>
    <t xml:space="preserve">Zainal Rahayu</t>
  </si>
  <si>
    <t xml:space="preserve">Mengenal Tata Surya</t>
  </si>
  <si>
    <t xml:space="preserve">Sains</t>
  </si>
  <si>
    <t xml:space="preserve">PJ-008</t>
  </si>
  <si>
    <t xml:space="preserve">Wawan Fauzi</t>
  </si>
  <si>
    <t xml:space="preserve">Si Kancil Pintar</t>
  </si>
  <si>
    <t xml:space="preserve">PJ-009</t>
  </si>
  <si>
    <t xml:space="preserve">Umar Hidayat</t>
  </si>
  <si>
    <t xml:space="preserve">PJ-010</t>
  </si>
  <si>
    <t xml:space="preserve">Hadi Utomo</t>
  </si>
  <si>
    <t xml:space="preserve">PJ-011</t>
  </si>
  <si>
    <t xml:space="preserve">Tono Susanto</t>
  </si>
  <si>
    <t xml:space="preserve">Perempuan Penjahit</t>
  </si>
  <si>
    <t xml:space="preserve">PJ-012</t>
  </si>
  <si>
    <t xml:space="preserve">Citra Saputra</t>
  </si>
  <si>
    <t xml:space="preserve">Laut Biru Senja</t>
  </si>
  <si>
    <t xml:space="preserve">PJ-013</t>
  </si>
  <si>
    <t xml:space="preserve">Agus Permana</t>
  </si>
  <si>
    <t xml:space="preserve">Energi dan Lingkungan</t>
  </si>
  <si>
    <t xml:space="preserve">PJ-014</t>
  </si>
  <si>
    <t xml:space="preserve">Irfan Santoso</t>
  </si>
  <si>
    <t xml:space="preserve">Candi dan Prasasti</t>
  </si>
  <si>
    <t xml:space="preserve">PJ-015</t>
  </si>
  <si>
    <t xml:space="preserve">Putri Sari</t>
  </si>
  <si>
    <t xml:space="preserve">PJ-016</t>
  </si>
  <si>
    <t xml:space="preserve">Tono Kusuma</t>
  </si>
  <si>
    <t xml:space="preserve">PJ-017</t>
  </si>
  <si>
    <t xml:space="preserve">Bayu Suryani</t>
  </si>
  <si>
    <t xml:space="preserve">Petualangan Kiki</t>
  </si>
  <si>
    <t xml:space="preserve">PJ-018</t>
  </si>
  <si>
    <t xml:space="preserve">Galih Firmansyah</t>
  </si>
  <si>
    <t xml:space="preserve">PJ-019</t>
  </si>
  <si>
    <t xml:space="preserve">Dewi Anggraini</t>
  </si>
  <si>
    <t xml:space="preserve">Fisika Sehari-hari</t>
  </si>
  <si>
    <t xml:space="preserve">PJ-020</t>
  </si>
  <si>
    <t xml:space="preserve">Lina Anggraini</t>
  </si>
  <si>
    <t xml:space="preserve">PJ-021</t>
  </si>
  <si>
    <t xml:space="preserve">Lestari Setiawan</t>
  </si>
  <si>
    <t xml:space="preserve">PJ-022</t>
  </si>
  <si>
    <t xml:space="preserve">Fitri Permana</t>
  </si>
  <si>
    <t xml:space="preserve">PJ-023</t>
  </si>
  <si>
    <t xml:space="preserve">Galih Suryani</t>
  </si>
  <si>
    <t xml:space="preserve">PJ-024</t>
  </si>
  <si>
    <t xml:space="preserve">Andi Suryani</t>
  </si>
  <si>
    <t xml:space="preserve">PJ-025</t>
  </si>
  <si>
    <t xml:space="preserve">Eka Kusuma</t>
  </si>
  <si>
    <t xml:space="preserve">PJ-026</t>
  </si>
  <si>
    <t xml:space="preserve">Gita Syahputra</t>
  </si>
  <si>
    <t xml:space="preserve">PJ-027</t>
  </si>
  <si>
    <t xml:space="preserve">Tono Hartono</t>
  </si>
  <si>
    <t xml:space="preserve">Kerajaan Nusantara</t>
  </si>
  <si>
    <t xml:space="preserve">PJ-028</t>
  </si>
  <si>
    <t xml:space="preserve">Sari Santoso</t>
  </si>
  <si>
    <t xml:space="preserve">PJ-029</t>
  </si>
  <si>
    <t xml:space="preserve">Kartika Lestari</t>
  </si>
  <si>
    <t xml:space="preserve">PJ-030</t>
  </si>
  <si>
    <t xml:space="preserve">Putri Putra</t>
  </si>
  <si>
    <t xml:space="preserve">Jumlah Peminjaman</t>
  </si>
  <si>
    <t xml:space="preserve">Total Denda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</si>
  <si>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</si>
  <si>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</si>
  <si>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</si>
  <si>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</si>
  <si>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</si>
  <si>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7a</t>
  </si>
  <si>
    <t xml:space="preserve">Peminjaman Tepat Waktu</t>
  </si>
  <si>
    <t xml:space="preserve">Angka bulat, mis. 12</t>
  </si>
  <si>
    <t xml:space="preserve">7b</t>
  </si>
  <si>
    <t xml:space="preserve">Peminjaman Terlambat</t>
  </si>
  <si>
    <t xml:space="preserve">Angka bulat, mis. 7</t>
  </si>
  <si>
    <t xml:space="preserve">7c</t>
  </si>
  <si>
    <t xml:space="preserve">Peminjaman Terlambat Berat</t>
  </si>
  <si>
    <t xml:space="preserve">Angka bulat, mis. 5</t>
  </si>
  <si>
    <t xml:space="preserve">8a</t>
  </si>
  <si>
    <t xml:space="preserve">Total denda terkumpul</t>
  </si>
  <si>
    <t xml:space="preserve">Rupiah, mis. Rp 40.000</t>
  </si>
  <si>
    <t xml:space="preserve">8b</t>
  </si>
  <si>
    <t xml:space="preserve">Rata-rata lama pinjam (hari)</t>
  </si>
  <si>
    <t xml:space="preserve">Angka desimal, mis. 6,5</t>
  </si>
  <si>
    <t xml:space="preserve">9a</t>
  </si>
  <si>
    <t xml:space="preserve">Anggota dengan denda terbesar</t>
  </si>
  <si>
    <t xml:space="preserve">Teks: nama anggota</t>
  </si>
  <si>
    <t xml:space="preserve">9b</t>
  </si>
  <si>
    <t xml:space="preserve">Hari terlambat terlama</t>
  </si>
  <si>
    <t xml:space="preserve">Angka bulat, mis. 8</t>
  </si>
  <si>
    <t xml:space="preserve">10a</t>
  </si>
  <si>
    <t xml:space="preserve">Kategori paling banyak dipinjam</t>
  </si>
  <si>
    <t xml:space="preserve">Teks: nama kategori</t>
  </si>
  <si>
    <t xml:space="preserve">10b</t>
  </si>
  <si>
    <t xml:space="preserve">Kategori dengan denda terbesar</t>
  </si>
  <si>
    <t xml:space="preserve">Novel Terlambat Berat</t>
  </si>
  <si>
    <t xml:space="preserve">Angka bulat, mis.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</si>
</sst>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&quot;Rp &quot;#,##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42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57.75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43.5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5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30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5" t="s">
        <v>73</v>
      </c>
      <c r="H1" s="15" t="s">
        <v>74</v>
      </c>
      <c r="I1" s="15" t="s">
        <v>75</v>
      </c>
      <c r="J1" s="15" t="s">
        <v>76</v>
      </c>
      <c r="L1" s="16" t="s">
        <v>77</v>
      </c>
      <c r="M1" s="16" t="s">
        <v>78</v>
      </c>
      <c r="N1" s="16" t="s">
        <v>79</v>
      </c>
    </row>
    <row r="2" customFormat="false" ht="15" hidden="false" customHeight="false" outlineLevel="0" collapsed="false">
      <c r="A2" s="17" t="s">
        <v>80</v>
      </c>
      <c r="B2" s="17" t="s">
        <v>81</v>
      </c>
      <c r="C2" s="17" t="s">
        <v>82</v>
      </c>
      <c r="D2" s="17" t="s">
        <v>83</v>
      </c>
      <c r="E2" s="18" t="n">
        <v>46266</v>
      </c>
      <c r="F2" s="18" t="n">
        <v>46273</v>
      </c>
      <c r="G2" s="19" t="n">
        <f aca="false">F2-E2</f>
        <v>7</v>
      </c>
      <c r="H2" s="19" t="n">
        <f aca="false">MAX(0,G2-$M$2)</f>
        <v>0</v>
      </c>
      <c r="I2" s="20" t="n">
        <f aca="false">H2*$M$3</f>
        <v>0</v>
      </c>
      <c r="J2" s="21" t="str">
        <f aca="false">IF(H2=0,"Tepat Waktu",IF(H2&gt;=$M$4,"Terlambat Berat","Terlambat"))</f>
        <v>Tepat Waktu</v>
      </c>
      <c r="L2" s="22" t="s">
        <v>84</v>
      </c>
      <c r="M2" s="23" t="n">
        <v>7</v>
      </c>
      <c r="N2" s="22" t="s">
        <v>85</v>
      </c>
    </row>
    <row r="3" customFormat="false" ht="15" hidden="false" customHeight="false" outlineLevel="0" collapsed="false">
      <c r="A3" s="17" t="s">
        <v>86</v>
      </c>
      <c r="B3" s="17" t="s">
        <v>87</v>
      </c>
      <c r="C3" s="17" t="s">
        <v>88</v>
      </c>
      <c r="D3" s="17" t="s">
        <v>89</v>
      </c>
      <c r="E3" s="18" t="n">
        <v>46268</v>
      </c>
      <c r="F3" s="18" t="n">
        <v>46278</v>
      </c>
      <c r="G3" s="19" t="n">
        <f aca="false">F3-E3</f>
        <v>10</v>
      </c>
      <c r="H3" s="19" t="n">
        <f aca="false">MAX(0,G3-$M$2)</f>
        <v>3</v>
      </c>
      <c r="I3" s="20" t="n">
        <f aca="false">H3*$M$3</f>
        <v>1500</v>
      </c>
      <c r="J3" s="21" t="str">
        <f aca="false">IF(H3=0,"Tepat Waktu",IF(H3&gt;=$M$4,"Terlambat Berat","Terlambat"))</f>
        <v>Terlambat</v>
      </c>
      <c r="L3" s="22" t="s">
        <v>90</v>
      </c>
      <c r="M3" s="24" t="n">
        <v>500</v>
      </c>
      <c r="N3" s="22"/>
    </row>
    <row r="4" customFormat="false" ht="15" hidden="false" customHeight="false" outlineLevel="0" collapsed="false">
      <c r="A4" s="17" t="s">
        <v>91</v>
      </c>
      <c r="B4" s="17" t="s">
        <v>92</v>
      </c>
      <c r="C4" s="17" t="s">
        <v>93</v>
      </c>
      <c r="D4" s="17" t="s">
        <v>94</v>
      </c>
      <c r="E4" s="18" t="n">
        <v>46269</v>
      </c>
      <c r="F4" s="18" t="n">
        <v>46274</v>
      </c>
      <c r="G4" s="19" t="n">
        <f aca="false">F4-E4</f>
        <v>5</v>
      </c>
      <c r="H4" s="19" t="n">
        <f aca="false">MAX(0,G4-$M$2)</f>
        <v>0</v>
      </c>
      <c r="I4" s="20" t="n">
        <f aca="false">H4*$M$3</f>
        <v>0</v>
      </c>
      <c r="J4" s="21" t="str">
        <f aca="false">IF(H4=0,"Tepat Waktu",IF(H4&gt;=$M$4,"Terlambat Berat","Terlambat"))</f>
        <v>Tepat Waktu</v>
      </c>
      <c r="L4" s="22" t="s">
        <v>95</v>
      </c>
      <c r="M4" s="23" t="n">
        <v>5</v>
      </c>
      <c r="N4" s="22" t="s">
        <v>96</v>
      </c>
    </row>
    <row r="5" customFormat="false" ht="15" hidden="false" customHeight="false" outlineLevel="0" collapsed="false">
      <c r="A5" s="17" t="s">
        <v>97</v>
      </c>
      <c r="B5" s="17" t="s">
        <v>98</v>
      </c>
      <c r="C5" s="17" t="s">
        <v>99</v>
      </c>
      <c r="D5" s="17" t="s">
        <v>83</v>
      </c>
      <c r="E5" s="18" t="n">
        <v>46270</v>
      </c>
      <c r="F5" s="18" t="n">
        <v>46274</v>
      </c>
      <c r="G5" s="19" t="n">
        <f aca="false">F5-E5</f>
        <v>4</v>
      </c>
      <c r="H5" s="19" t="n">
        <f aca="false">MAX(0,G5-$M$2)</f>
        <v>0</v>
      </c>
      <c r="I5" s="20" t="n">
        <f aca="false">H5*$M$3</f>
        <v>0</v>
      </c>
      <c r="J5" s="21" t="str">
        <f aca="false">IF(H5=0,"Tepat Waktu",IF(H5&gt;=$M$4,"Terlambat Berat","Terlambat"))</f>
        <v>Tepat Waktu</v>
      </c>
    </row>
    <row r="6" customFormat="false" ht="15" hidden="false" customHeight="false" outlineLevel="0" collapsed="false">
      <c r="A6" s="17" t="s">
        <v>100</v>
      </c>
      <c r="B6" s="17" t="s">
        <v>101</v>
      </c>
      <c r="C6" s="17" t="s">
        <v>93</v>
      </c>
      <c r="D6" s="17" t="s">
        <v>94</v>
      </c>
      <c r="E6" s="18" t="n">
        <v>46272</v>
      </c>
      <c r="F6" s="18" t="n">
        <v>46282</v>
      </c>
      <c r="G6" s="19" t="n">
        <f aca="false">F6-E6</f>
        <v>10</v>
      </c>
      <c r="H6" s="19" t="n">
        <f aca="false">MAX(0,G6-$M$2)</f>
        <v>3</v>
      </c>
      <c r="I6" s="20" t="n">
        <f aca="false">H6*$M$3</f>
        <v>1500</v>
      </c>
      <c r="J6" s="21" t="str">
        <f aca="false">IF(H6=0,"Tepat Waktu",IF(H6&gt;=$M$4,"Terlambat Berat","Terlambat"))</f>
        <v>Terlambat</v>
      </c>
    </row>
    <row r="7" customFormat="false" ht="15" hidden="false" customHeight="false" outlineLevel="0" collapsed="false">
      <c r="A7" s="17" t="s">
        <v>102</v>
      </c>
      <c r="B7" s="17" t="s">
        <v>103</v>
      </c>
      <c r="C7" s="17" t="s">
        <v>104</v>
      </c>
      <c r="D7" s="17" t="s">
        <v>94</v>
      </c>
      <c r="E7" s="18" t="n">
        <v>46273</v>
      </c>
      <c r="F7" s="18" t="n">
        <v>46276</v>
      </c>
      <c r="G7" s="19" t="n">
        <f aca="false">F7-E7</f>
        <v>3</v>
      </c>
      <c r="H7" s="19" t="n">
        <f aca="false">MAX(0,G7-$M$2)</f>
        <v>0</v>
      </c>
      <c r="I7" s="20" t="n">
        <f aca="false">H7*$M$3</f>
        <v>0</v>
      </c>
      <c r="J7" s="21" t="str">
        <f aca="false">IF(H7=0,"Tepat Waktu",IF(H7&gt;=$M$4,"Terlambat Berat","Terlambat"))</f>
        <v>Tepat Waktu</v>
      </c>
    </row>
    <row r="8" customFormat="false" ht="15" hidden="false" customHeight="false" outlineLevel="0" collapsed="false">
      <c r="A8" s="17" t="s">
        <v>105</v>
      </c>
      <c r="B8" s="17" t="s">
        <v>106</v>
      </c>
      <c r="C8" s="17" t="s">
        <v>107</v>
      </c>
      <c r="D8" s="17" t="s">
        <v>108</v>
      </c>
      <c r="E8" s="18" t="n">
        <v>46274</v>
      </c>
      <c r="F8" s="18" t="n">
        <v>46281</v>
      </c>
      <c r="G8" s="19" t="n">
        <f aca="false">F8-E8</f>
        <v>7</v>
      </c>
      <c r="H8" s="19" t="n">
        <f aca="false">MAX(0,G8-$M$2)</f>
        <v>0</v>
      </c>
      <c r="I8" s="20" t="n">
        <f aca="false">H8*$M$3</f>
        <v>0</v>
      </c>
      <c r="J8" s="21" t="str">
        <f aca="false">IF(H8=0,"Tepat Waktu",IF(H8&gt;=$M$4,"Terlambat Berat","Terlambat"))</f>
        <v>Tepat Waktu</v>
      </c>
    </row>
    <row r="9" customFormat="false" ht="15" hidden="false" customHeight="false" outlineLevel="0" collapsed="false">
      <c r="A9" s="17" t="s">
        <v>109</v>
      </c>
      <c r="B9" s="17" t="s">
        <v>110</v>
      </c>
      <c r="C9" s="17" t="s">
        <v>111</v>
      </c>
      <c r="D9" s="17" t="s">
        <v>94</v>
      </c>
      <c r="E9" s="18" t="n">
        <v>46275</v>
      </c>
      <c r="F9" s="18" t="n">
        <v>46285</v>
      </c>
      <c r="G9" s="19" t="n">
        <f aca="false">F9-E9</f>
        <v>10</v>
      </c>
      <c r="H9" s="19" t="n">
        <f aca="false">MAX(0,G9-$M$2)</f>
        <v>3</v>
      </c>
      <c r="I9" s="20" t="n">
        <f aca="false">H9*$M$3</f>
        <v>1500</v>
      </c>
      <c r="J9" s="21" t="str">
        <f aca="false">IF(H9=0,"Tepat Waktu",IF(H9&gt;=$M$4,"Terlambat Berat","Terlambat"))</f>
        <v>Terlambat</v>
      </c>
    </row>
    <row r="10" customFormat="false" ht="15" hidden="false" customHeight="false" outlineLevel="0" collapsed="false">
      <c r="A10" s="17" t="s">
        <v>112</v>
      </c>
      <c r="B10" s="17" t="s">
        <v>113</v>
      </c>
      <c r="C10" s="17" t="s">
        <v>88</v>
      </c>
      <c r="D10" s="17" t="s">
        <v>89</v>
      </c>
      <c r="E10" s="18" t="n">
        <v>46277</v>
      </c>
      <c r="F10" s="18" t="n">
        <v>46285</v>
      </c>
      <c r="G10" s="19" t="n">
        <f aca="false">F10-E10</f>
        <v>8</v>
      </c>
      <c r="H10" s="19" t="n">
        <f aca="false">MAX(0,G10-$M$2)</f>
        <v>1</v>
      </c>
      <c r="I10" s="20" t="n">
        <f aca="false">H10*$M$3</f>
        <v>500</v>
      </c>
      <c r="J10" s="21" t="str">
        <f aca="false">IF(H10=0,"Tepat Waktu",IF(H10&gt;=$M$4,"Terlambat Berat","Terlambat"))</f>
        <v>Terlambat</v>
      </c>
    </row>
    <row r="11" customFormat="false" ht="15" hidden="false" customHeight="false" outlineLevel="0" collapsed="false">
      <c r="A11" s="17" t="s">
        <v>114</v>
      </c>
      <c r="B11" s="17" t="s">
        <v>115</v>
      </c>
      <c r="C11" s="17" t="s">
        <v>93</v>
      </c>
      <c r="D11" s="17" t="s">
        <v>94</v>
      </c>
      <c r="E11" s="18" t="n">
        <v>46279</v>
      </c>
      <c r="F11" s="18" t="n">
        <v>46288</v>
      </c>
      <c r="G11" s="19" t="n">
        <f aca="false">F11-E11</f>
        <v>9</v>
      </c>
      <c r="H11" s="19" t="n">
        <f aca="false">MAX(0,G11-$M$2)</f>
        <v>2</v>
      </c>
      <c r="I11" s="20" t="n">
        <f aca="false">H11*$M$3</f>
        <v>1000</v>
      </c>
      <c r="J11" s="21" t="str">
        <f aca="false">IF(H11=0,"Tepat Waktu",IF(H11&gt;=$M$4,"Terlambat Berat","Terlambat"))</f>
        <v>Terlambat</v>
      </c>
    </row>
    <row r="12" customFormat="false" ht="15" hidden="false" customHeight="false" outlineLevel="0" collapsed="false">
      <c r="A12" s="17" t="s">
        <v>116</v>
      </c>
      <c r="B12" s="17" t="s">
        <v>117</v>
      </c>
      <c r="C12" s="17" t="s">
        <v>118</v>
      </c>
      <c r="D12" s="17" t="s">
        <v>89</v>
      </c>
      <c r="E12" s="18" t="n">
        <v>46280</v>
      </c>
      <c r="F12" s="18" t="n">
        <v>46287</v>
      </c>
      <c r="G12" s="19" t="n">
        <f aca="false">F12-E12</f>
        <v>7</v>
      </c>
      <c r="H12" s="19" t="n">
        <f aca="false">MAX(0,G12-$M$2)</f>
        <v>0</v>
      </c>
      <c r="I12" s="20" t="n">
        <f aca="false">H12*$M$3</f>
        <v>0</v>
      </c>
      <c r="J12" s="21" t="str">
        <f aca="false">IF(H12=0,"Tepat Waktu",IF(H12&gt;=$M$4,"Terlambat Berat","Terlambat"))</f>
        <v>Tepat Waktu</v>
      </c>
    </row>
    <row r="13" customFormat="false" ht="15" hidden="false" customHeight="false" outlineLevel="0" collapsed="false">
      <c r="A13" s="17" t="s">
        <v>119</v>
      </c>
      <c r="B13" s="17" t="s">
        <v>120</v>
      </c>
      <c r="C13" s="17" t="s">
        <v>121</v>
      </c>
      <c r="D13" s="17" t="s">
        <v>89</v>
      </c>
      <c r="E13" s="18" t="n">
        <v>46281</v>
      </c>
      <c r="F13" s="18" t="n">
        <v>46291</v>
      </c>
      <c r="G13" s="19" t="n">
        <f aca="false">F13-E13</f>
        <v>10</v>
      </c>
      <c r="H13" s="19" t="n">
        <f aca="false">MAX(0,G13-$M$2)</f>
        <v>3</v>
      </c>
      <c r="I13" s="20" t="n">
        <f aca="false">H13*$M$3</f>
        <v>1500</v>
      </c>
      <c r="J13" s="21" t="str">
        <f aca="false">IF(H13=0,"Tepat Waktu",IF(H13&gt;=$M$4,"Terlambat Berat","Terlambat"))</f>
        <v>Terlambat</v>
      </c>
    </row>
    <row r="14" customFormat="false" ht="15" hidden="false" customHeight="false" outlineLevel="0" collapsed="false">
      <c r="A14" s="17" t="s">
        <v>122</v>
      </c>
      <c r="B14" s="17" t="s">
        <v>123</v>
      </c>
      <c r="C14" s="17" t="s">
        <v>124</v>
      </c>
      <c r="D14" s="17" t="s">
        <v>108</v>
      </c>
      <c r="E14" s="18" t="n">
        <v>46282</v>
      </c>
      <c r="F14" s="18" t="n">
        <v>46287</v>
      </c>
      <c r="G14" s="19" t="n">
        <f aca="false">F14-E14</f>
        <v>5</v>
      </c>
      <c r="H14" s="19" t="n">
        <f aca="false">MAX(0,G14-$M$2)</f>
        <v>0</v>
      </c>
      <c r="I14" s="20" t="n">
        <f aca="false">H14*$M$3</f>
        <v>0</v>
      </c>
      <c r="J14" s="21" t="str">
        <f aca="false">IF(H14=0,"Tepat Waktu",IF(H14&gt;=$M$4,"Terlambat Berat","Terlambat"))</f>
        <v>Tepat Waktu</v>
      </c>
    </row>
    <row r="15" customFormat="false" ht="15" hidden="false" customHeight="false" outlineLevel="0" collapsed="false">
      <c r="A15" s="17" t="s">
        <v>125</v>
      </c>
      <c r="B15" s="17" t="s">
        <v>126</v>
      </c>
      <c r="C15" s="17" t="s">
        <v>127</v>
      </c>
      <c r="D15" s="17" t="s">
        <v>83</v>
      </c>
      <c r="E15" s="18" t="n">
        <v>46284</v>
      </c>
      <c r="F15" s="18" t="n">
        <v>46293</v>
      </c>
      <c r="G15" s="19" t="n">
        <f aca="false">F15-E15</f>
        <v>9</v>
      </c>
      <c r="H15" s="19" t="n">
        <f aca="false">MAX(0,G15-$M$2)</f>
        <v>2</v>
      </c>
      <c r="I15" s="20" t="n">
        <f aca="false">H15*$M$3</f>
        <v>1000</v>
      </c>
      <c r="J15" s="21" t="str">
        <f aca="false">IF(H15=0,"Tepat Waktu",IF(H15&gt;=$M$4,"Terlambat Berat","Terlambat"))</f>
        <v>Terlambat</v>
      </c>
    </row>
    <row r="16" customFormat="false" ht="15" hidden="false" customHeight="false" outlineLevel="0" collapsed="false">
      <c r="A16" s="17" t="s">
        <v>128</v>
      </c>
      <c r="B16" s="17" t="s">
        <v>129</v>
      </c>
      <c r="C16" s="17" t="s">
        <v>107</v>
      </c>
      <c r="D16" s="17" t="s">
        <v>108</v>
      </c>
      <c r="E16" s="18" t="n">
        <v>46285</v>
      </c>
      <c r="F16" s="18" t="n">
        <v>46290</v>
      </c>
      <c r="G16" s="19" t="n">
        <f aca="false">F16-E16</f>
        <v>5</v>
      </c>
      <c r="H16" s="19" t="n">
        <f aca="false">MAX(0,G16-$M$2)</f>
        <v>0</v>
      </c>
      <c r="I16" s="20" t="n">
        <f aca="false">H16*$M$3</f>
        <v>0</v>
      </c>
      <c r="J16" s="21" t="str">
        <f aca="false">IF(H16=0,"Tepat Waktu",IF(H16&gt;=$M$4,"Terlambat Berat","Terlambat"))</f>
        <v>Tepat Waktu</v>
      </c>
    </row>
    <row r="17" customFormat="false" ht="15" hidden="false" customHeight="false" outlineLevel="0" collapsed="false">
      <c r="A17" s="17" t="s">
        <v>130</v>
      </c>
      <c r="B17" s="17" t="s">
        <v>131</v>
      </c>
      <c r="C17" s="17" t="s">
        <v>99</v>
      </c>
      <c r="D17" s="17" t="s">
        <v>83</v>
      </c>
      <c r="E17" s="18" t="n">
        <v>46287</v>
      </c>
      <c r="F17" s="18" t="n">
        <v>46301</v>
      </c>
      <c r="G17" s="19" t="n">
        <f aca="false">F17-E17</f>
        <v>14</v>
      </c>
      <c r="H17" s="19" t="n">
        <f aca="false">MAX(0,G17-$M$2)</f>
        <v>7</v>
      </c>
      <c r="I17" s="20" t="n">
        <f aca="false">H17*$M$3</f>
        <v>3500</v>
      </c>
      <c r="J17" s="21" t="str">
        <f aca="false">IF(H17=0,"Tepat Waktu",IF(H17&gt;=$M$4,"Terlambat Berat","Terlambat"))</f>
        <v>Terlambat Berat</v>
      </c>
    </row>
    <row r="18" customFormat="false" ht="15" hidden="false" customHeight="false" outlineLevel="0" collapsed="false">
      <c r="A18" s="17" t="s">
        <v>132</v>
      </c>
      <c r="B18" s="17" t="s">
        <v>133</v>
      </c>
      <c r="C18" s="17" t="s">
        <v>134</v>
      </c>
      <c r="D18" s="17" t="s">
        <v>94</v>
      </c>
      <c r="E18" s="18" t="n">
        <v>46287</v>
      </c>
      <c r="F18" s="18" t="n">
        <v>46299</v>
      </c>
      <c r="G18" s="19" t="n">
        <f aca="false">F18-E18</f>
        <v>12</v>
      </c>
      <c r="H18" s="19" t="n">
        <f aca="false">MAX(0,G18-$M$2)</f>
        <v>5</v>
      </c>
      <c r="I18" s="20" t="n">
        <f aca="false">H18*$M$3</f>
        <v>2500</v>
      </c>
      <c r="J18" s="21" t="str">
        <f aca="false">IF(H18=0,"Tepat Waktu",IF(H18&gt;=$M$4,"Terlambat Berat","Terlambat"))</f>
        <v>Terlambat Berat</v>
      </c>
    </row>
    <row r="19" customFormat="false" ht="15" hidden="false" customHeight="false" outlineLevel="0" collapsed="false">
      <c r="A19" s="17" t="s">
        <v>135</v>
      </c>
      <c r="B19" s="17" t="s">
        <v>136</v>
      </c>
      <c r="C19" s="17" t="s">
        <v>82</v>
      </c>
      <c r="D19" s="17" t="s">
        <v>83</v>
      </c>
      <c r="E19" s="18" t="n">
        <v>46289</v>
      </c>
      <c r="F19" s="18" t="n">
        <v>46299</v>
      </c>
      <c r="G19" s="19" t="n">
        <f aca="false">F19-E19</f>
        <v>10</v>
      </c>
      <c r="H19" s="19" t="n">
        <f aca="false">MAX(0,G19-$M$2)</f>
        <v>3</v>
      </c>
      <c r="I19" s="20" t="n">
        <f aca="false">H19*$M$3</f>
        <v>1500</v>
      </c>
      <c r="J19" s="21" t="str">
        <f aca="false">IF(H19=0,"Tepat Waktu",IF(H19&gt;=$M$4,"Terlambat Berat","Terlambat"))</f>
        <v>Terlambat</v>
      </c>
    </row>
    <row r="20" customFormat="false" ht="15" hidden="false" customHeight="false" outlineLevel="0" collapsed="false">
      <c r="A20" s="17" t="s">
        <v>137</v>
      </c>
      <c r="B20" s="17" t="s">
        <v>138</v>
      </c>
      <c r="C20" s="17" t="s">
        <v>139</v>
      </c>
      <c r="D20" s="17" t="s">
        <v>108</v>
      </c>
      <c r="E20" s="18" t="n">
        <v>46291</v>
      </c>
      <c r="F20" s="18" t="n">
        <v>46299</v>
      </c>
      <c r="G20" s="19" t="n">
        <f aca="false">F20-E20</f>
        <v>8</v>
      </c>
      <c r="H20" s="19" t="n">
        <f aca="false">MAX(0,G20-$M$2)</f>
        <v>1</v>
      </c>
      <c r="I20" s="20" t="n">
        <f aca="false">H20*$M$3</f>
        <v>500</v>
      </c>
      <c r="J20" s="21" t="str">
        <f aca="false">IF(H20=0,"Tepat Waktu",IF(H20&gt;=$M$4,"Terlambat Berat","Terlambat"))</f>
        <v>Terlambat</v>
      </c>
    </row>
    <row r="21" customFormat="false" ht="15" hidden="false" customHeight="false" outlineLevel="0" collapsed="false">
      <c r="A21" s="17" t="s">
        <v>140</v>
      </c>
      <c r="B21" s="17" t="s">
        <v>141</v>
      </c>
      <c r="C21" s="17" t="s">
        <v>93</v>
      </c>
      <c r="D21" s="17" t="s">
        <v>94</v>
      </c>
      <c r="E21" s="18" t="n">
        <v>46291</v>
      </c>
      <c r="F21" s="18" t="n">
        <v>46294</v>
      </c>
      <c r="G21" s="19" t="n">
        <f aca="false">F21-E21</f>
        <v>3</v>
      </c>
      <c r="H21" s="19" t="n">
        <f aca="false">MAX(0,G21-$M$2)</f>
        <v>0</v>
      </c>
      <c r="I21" s="20" t="n">
        <f aca="false">H21*$M$3</f>
        <v>0</v>
      </c>
      <c r="J21" s="21" t="str">
        <f aca="false">IF(H21=0,"Tepat Waktu",IF(H21&gt;=$M$4,"Terlambat Berat","Terlambat"))</f>
        <v>Tepat Waktu</v>
      </c>
    </row>
    <row r="22" customFormat="false" ht="15" hidden="false" customHeight="false" outlineLevel="0" collapsed="false">
      <c r="A22" s="17" t="s">
        <v>142</v>
      </c>
      <c r="B22" s="17" t="s">
        <v>143</v>
      </c>
      <c r="C22" s="17" t="s">
        <v>107</v>
      </c>
      <c r="D22" s="17" t="s">
        <v>108</v>
      </c>
      <c r="E22" s="18" t="n">
        <v>46292</v>
      </c>
      <c r="F22" s="18" t="n">
        <v>46309</v>
      </c>
      <c r="G22" s="19" t="n">
        <f aca="false">F22-E22</f>
        <v>17</v>
      </c>
      <c r="H22" s="19" t="n">
        <f aca="false">MAX(0,G22-$M$2)</f>
        <v>10</v>
      </c>
      <c r="I22" s="20" t="n">
        <f aca="false">H22*$M$3</f>
        <v>5000</v>
      </c>
      <c r="J22" s="21" t="str">
        <f aca="false">IF(H22=0,"Tepat Waktu",IF(H22&gt;=$M$4,"Terlambat Berat","Terlambat"))</f>
        <v>Terlambat Berat</v>
      </c>
    </row>
    <row r="23" customFormat="false" ht="15" hidden="false" customHeight="false" outlineLevel="0" collapsed="false">
      <c r="A23" s="17" t="s">
        <v>144</v>
      </c>
      <c r="B23" s="17" t="s">
        <v>145</v>
      </c>
      <c r="C23" s="17" t="s">
        <v>121</v>
      </c>
      <c r="D23" s="17" t="s">
        <v>89</v>
      </c>
      <c r="E23" s="18" t="n">
        <v>46295</v>
      </c>
      <c r="F23" s="18" t="n">
        <v>46302</v>
      </c>
      <c r="G23" s="19" t="n">
        <f aca="false">F23-E23</f>
        <v>7</v>
      </c>
      <c r="H23" s="19" t="n">
        <f aca="false">MAX(0,G23-$M$2)</f>
        <v>0</v>
      </c>
      <c r="I23" s="20" t="n">
        <f aca="false">H23*$M$3</f>
        <v>0</v>
      </c>
      <c r="J23" s="21" t="str">
        <f aca="false">IF(H23=0,"Tepat Waktu",IF(H23&gt;=$M$4,"Terlambat Berat","Terlambat"))</f>
        <v>Tepat Waktu</v>
      </c>
    </row>
    <row r="24" customFormat="false" ht="15" hidden="false" customHeight="false" outlineLevel="0" collapsed="false">
      <c r="A24" s="17" t="s">
        <v>146</v>
      </c>
      <c r="B24" s="17" t="s">
        <v>147</v>
      </c>
      <c r="C24" s="17" t="s">
        <v>104</v>
      </c>
      <c r="D24" s="17" t="s">
        <v>94</v>
      </c>
      <c r="E24" s="18" t="n">
        <v>46296</v>
      </c>
      <c r="F24" s="18" t="n">
        <v>46302</v>
      </c>
      <c r="G24" s="19" t="n">
        <f aca="false">F24-E24</f>
        <v>6</v>
      </c>
      <c r="H24" s="19" t="n">
        <f aca="false">MAX(0,G24-$M$2)</f>
        <v>0</v>
      </c>
      <c r="I24" s="20" t="n">
        <f aca="false">H24*$M$3</f>
        <v>0</v>
      </c>
      <c r="J24" s="21" t="str">
        <f aca="false">IF(H24=0,"Tepat Waktu",IF(H24&gt;=$M$4,"Terlambat Berat","Terlambat"))</f>
        <v>Tepat Waktu</v>
      </c>
    </row>
    <row r="25" customFormat="false" ht="15" hidden="false" customHeight="false" outlineLevel="0" collapsed="false">
      <c r="A25" s="17" t="s">
        <v>148</v>
      </c>
      <c r="B25" s="17" t="s">
        <v>149</v>
      </c>
      <c r="C25" s="17" t="s">
        <v>107</v>
      </c>
      <c r="D25" s="17" t="s">
        <v>108</v>
      </c>
      <c r="E25" s="18" t="n">
        <v>46296</v>
      </c>
      <c r="F25" s="18" t="n">
        <v>46303</v>
      </c>
      <c r="G25" s="19" t="n">
        <f aca="false">F25-E25</f>
        <v>7</v>
      </c>
      <c r="H25" s="19" t="n">
        <f aca="false">MAX(0,G25-$M$2)</f>
        <v>0</v>
      </c>
      <c r="I25" s="20" t="n">
        <f aca="false">H25*$M$3</f>
        <v>0</v>
      </c>
      <c r="J25" s="21" t="str">
        <f aca="false">IF(H25=0,"Tepat Waktu",IF(H25&gt;=$M$4,"Terlambat Berat","Terlambat"))</f>
        <v>Tepat Waktu</v>
      </c>
    </row>
    <row r="26" customFormat="false" ht="15" hidden="false" customHeight="false" outlineLevel="0" collapsed="false">
      <c r="A26" s="17" t="s">
        <v>150</v>
      </c>
      <c r="B26" s="17" t="s">
        <v>151</v>
      </c>
      <c r="C26" s="17" t="s">
        <v>111</v>
      </c>
      <c r="D26" s="17" t="s">
        <v>94</v>
      </c>
      <c r="E26" s="18" t="n">
        <v>46299</v>
      </c>
      <c r="F26" s="18" t="n">
        <v>46305</v>
      </c>
      <c r="G26" s="19" t="n">
        <f aca="false">F26-E26</f>
        <v>6</v>
      </c>
      <c r="H26" s="19" t="n">
        <f aca="false">MAX(0,G26-$M$2)</f>
        <v>0</v>
      </c>
      <c r="I26" s="20" t="n">
        <f aca="false">H26*$M$3</f>
        <v>0</v>
      </c>
      <c r="J26" s="21" t="str">
        <f aca="false">IF(H26=0,"Tepat Waktu",IF(H26&gt;=$M$4,"Terlambat Berat","Terlambat"))</f>
        <v>Tepat Waktu</v>
      </c>
    </row>
    <row r="27" customFormat="false" ht="15" hidden="false" customHeight="false" outlineLevel="0" collapsed="false">
      <c r="A27" s="17" t="s">
        <v>152</v>
      </c>
      <c r="B27" s="17" t="s">
        <v>153</v>
      </c>
      <c r="C27" s="17" t="s">
        <v>121</v>
      </c>
      <c r="D27" s="17" t="s">
        <v>89</v>
      </c>
      <c r="E27" s="18" t="n">
        <v>46299</v>
      </c>
      <c r="F27" s="18" t="n">
        <v>46313</v>
      </c>
      <c r="G27" s="19" t="n">
        <f aca="false">F27-E27</f>
        <v>14</v>
      </c>
      <c r="H27" s="19" t="n">
        <f aca="false">MAX(0,G27-$M$2)</f>
        <v>7</v>
      </c>
      <c r="I27" s="20" t="n">
        <f aca="false">H27*$M$3</f>
        <v>3500</v>
      </c>
      <c r="J27" s="21" t="str">
        <f aca="false">IF(H27=0,"Tepat Waktu",IF(H27&gt;=$M$4,"Terlambat Berat","Terlambat"))</f>
        <v>Terlambat Berat</v>
      </c>
    </row>
    <row r="28" customFormat="false" ht="15" hidden="false" customHeight="false" outlineLevel="0" collapsed="false">
      <c r="A28" s="17" t="s">
        <v>154</v>
      </c>
      <c r="B28" s="17" t="s">
        <v>155</v>
      </c>
      <c r="C28" s="17" t="s">
        <v>156</v>
      </c>
      <c r="D28" s="17" t="s">
        <v>83</v>
      </c>
      <c r="E28" s="18" t="n">
        <v>46300</v>
      </c>
      <c r="F28" s="18" t="n">
        <v>46307</v>
      </c>
      <c r="G28" s="19" t="n">
        <f aca="false">F28-E28</f>
        <v>7</v>
      </c>
      <c r="H28" s="19" t="n">
        <f aca="false">MAX(0,G28-$M$2)</f>
        <v>0</v>
      </c>
      <c r="I28" s="20" t="n">
        <f aca="false">H28*$M$3</f>
        <v>0</v>
      </c>
      <c r="J28" s="21" t="str">
        <f aca="false">IF(H28=0,"Tepat Waktu",IF(H28&gt;=$M$4,"Terlambat Berat","Terlambat"))</f>
        <v>Tepat Waktu</v>
      </c>
    </row>
    <row r="29" customFormat="false" ht="15" hidden="false" customHeight="false" outlineLevel="0" collapsed="false">
      <c r="A29" s="17" t="s">
        <v>157</v>
      </c>
      <c r="B29" s="17" t="s">
        <v>158</v>
      </c>
      <c r="C29" s="17" t="s">
        <v>118</v>
      </c>
      <c r="D29" s="17" t="s">
        <v>89</v>
      </c>
      <c r="E29" s="18" t="n">
        <v>46303</v>
      </c>
      <c r="F29" s="18" t="n">
        <v>46309</v>
      </c>
      <c r="G29" s="19" t="n">
        <f aca="false">F29-E29</f>
        <v>6</v>
      </c>
      <c r="H29" s="19" t="n">
        <f aca="false">MAX(0,G29-$M$2)</f>
        <v>0</v>
      </c>
      <c r="I29" s="20" t="n">
        <f aca="false">H29*$M$3</f>
        <v>0</v>
      </c>
      <c r="J29" s="21" t="str">
        <f aca="false">IF(H29=0,"Tepat Waktu",IF(H29&gt;=$M$4,"Terlambat Berat","Terlambat"))</f>
        <v>Tepat Waktu</v>
      </c>
    </row>
    <row r="30" customFormat="false" ht="15" hidden="false" customHeight="false" outlineLevel="0" collapsed="false">
      <c r="A30" s="17" t="s">
        <v>159</v>
      </c>
      <c r="B30" s="17" t="s">
        <v>160</v>
      </c>
      <c r="C30" s="17" t="s">
        <v>82</v>
      </c>
      <c r="D30" s="17" t="s">
        <v>83</v>
      </c>
      <c r="E30" s="18" t="n">
        <v>46304</v>
      </c>
      <c r="F30" s="18" t="n">
        <v>46314</v>
      </c>
      <c r="G30" s="19" t="n">
        <f aca="false">F30-E30</f>
        <v>10</v>
      </c>
      <c r="H30" s="19" t="n">
        <f aca="false">MAX(0,G30-$M$2)</f>
        <v>3</v>
      </c>
      <c r="I30" s="20" t="n">
        <f aca="false">H30*$M$3</f>
        <v>1500</v>
      </c>
      <c r="J30" s="21" t="str">
        <f aca="false">IF(H30=0,"Tepat Waktu",IF(H30&gt;=$M$4,"Terlambat Berat","Terlambat"))</f>
        <v>Terlambat</v>
      </c>
    </row>
    <row r="31" customFormat="false" ht="15" hidden="false" customHeight="false" outlineLevel="0" collapsed="false">
      <c r="A31" s="17" t="s">
        <v>161</v>
      </c>
      <c r="B31" s="17" t="s">
        <v>162</v>
      </c>
      <c r="C31" s="17" t="s">
        <v>99</v>
      </c>
      <c r="D31" s="17" t="s">
        <v>83</v>
      </c>
      <c r="E31" s="18" t="n">
        <v>46305</v>
      </c>
      <c r="F31" s="18" t="n">
        <v>46316</v>
      </c>
      <c r="G31" s="19" t="n">
        <f aca="false">F31-E31</f>
        <v>11</v>
      </c>
      <c r="H31" s="19" t="n">
        <f aca="false">MAX(0,G31-$M$2)</f>
        <v>4</v>
      </c>
      <c r="I31" s="20" t="n">
        <f aca="false">H31*$M$3</f>
        <v>2000</v>
      </c>
      <c r="J31" s="21" t="str">
        <f aca="false">IF(H31=0,"Tepat Waktu",IF(H31&gt;=$M$4,"Terlambat Berat","Terlambat"))</f>
        <v>Terlambat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3.75" hidden="false" customHeight="true" outlineLevel="0" collapsed="false">
      <c r="A1" s="11" t="s">
        <v>70</v>
      </c>
      <c r="B1" s="15" t="s">
        <v>163</v>
      </c>
      <c r="C1" s="15" t="s">
        <v>164</v>
      </c>
    </row>
    <row r="2" customFormat="false" ht="15" hidden="false" customHeight="false" outlineLevel="0" collapsed="false">
      <c r="A2" s="17" t="s">
        <v>89</v>
      </c>
      <c r="B2" s="19" t="n">
        <f aca="false">COUNTIF(Data!$D$2:$D$31,A2)</f>
        <v>7</v>
      </c>
      <c r="C2" s="20" t="n">
        <f aca="false">SUMIF(Data!$D$2:$D$31,A2,Data!$I$2:$I$31)</f>
        <v>7000</v>
      </c>
    </row>
    <row r="3" customFormat="false" ht="15" hidden="false" customHeight="false" outlineLevel="0" collapsed="false">
      <c r="A3" s="17" t="s">
        <v>108</v>
      </c>
      <c r="B3" s="19" t="n">
        <f aca="false">COUNTIF(Data!$D$2:$D$31,A3)</f>
        <v>6</v>
      </c>
      <c r="C3" s="20" t="n">
        <f aca="false">SUMIF(Data!$D$2:$D$31,A3,Data!$I$2:$I$31)</f>
        <v>5500</v>
      </c>
    </row>
    <row r="4" customFormat="false" ht="15" hidden="false" customHeight="false" outlineLevel="0" collapsed="false">
      <c r="A4" s="17" t="s">
        <v>83</v>
      </c>
      <c r="B4" s="19" t="n">
        <f aca="false">COUNTIF(Data!$D$2:$D$31,A4)</f>
        <v>8</v>
      </c>
      <c r="C4" s="20" t="n">
        <f aca="false">SUMIF(Data!$D$2:$D$31,A4,Data!$I$2:$I$31)</f>
        <v>9500</v>
      </c>
    </row>
    <row r="5" customFormat="false" ht="15" hidden="false" customHeight="false" outlineLevel="0" collapsed="false">
      <c r="A5" s="17" t="s">
        <v>94</v>
      </c>
      <c r="B5" s="19" t="n">
        <f aca="false">COUNTIF(Data!$D$2:$D$31,A5)</f>
        <v>9</v>
      </c>
      <c r="C5" s="20" t="n">
        <f aca="false">SUMIF(Data!$D$2:$D$31,A5,Data!$I$2:$I$31)</f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165</v>
      </c>
      <c r="B1" s="25"/>
      <c r="C1" s="25"/>
      <c r="D1" s="25"/>
    </row>
    <row r="2" customFormat="false" ht="15" hidden="false" customHeight="false" outlineLevel="0" collapsed="false">
      <c r="A2" s="26" t="s">
        <v>166</v>
      </c>
      <c r="B2" s="26"/>
      <c r="C2" s="26"/>
      <c r="D2" s="26"/>
    </row>
    <row r="3" customFormat="false" ht="15" hidden="false" customHeight="false" outlineLevel="0" collapsed="false">
      <c r="A3" s="11" t="s">
        <v>19</v>
      </c>
      <c r="B3" s="11" t="s">
        <v>167</v>
      </c>
      <c r="C3" s="11" t="s">
        <v>168</v>
      </c>
      <c r="D3" s="11" t="s">
        <v>169</v>
      </c>
    </row>
    <row r="4" customFormat="false" ht="15" hidden="false" customHeight="false" outlineLevel="0" collapsed="false">
      <c r="A4" s="27" t="s">
        <v>170</v>
      </c>
      <c r="B4" s="28" t="s">
        <v>171</v>
      </c>
      <c r="C4" s="19" t="n">
        <f aca="false">COUNTIF(Data!$J$2:$J$31,"Tepat Waktu")</f>
        <v>15</v>
      </c>
      <c r="D4" s="29" t="s">
        <v>172</v>
      </c>
    </row>
    <row r="5" customFormat="false" ht="15" hidden="false" customHeight="false" outlineLevel="0" collapsed="false">
      <c r="A5" s="27" t="s">
        <v>173</v>
      </c>
      <c r="B5" s="28" t="s">
        <v>174</v>
      </c>
      <c r="C5" s="19" t="n">
        <f aca="false">COUNTIF(Data!$J$2:$J$31,"Terlambat")</f>
        <v>11</v>
      </c>
      <c r="D5" s="29" t="s">
        <v>175</v>
      </c>
    </row>
    <row r="6" customFormat="false" ht="15" hidden="false" customHeight="false" outlineLevel="0" collapsed="false">
      <c r="A6" s="27" t="s">
        <v>176</v>
      </c>
      <c r="B6" s="28" t="s">
        <v>177</v>
      </c>
      <c r="C6" s="19" t="n">
        <f aca="false">COUNTIF(Data!$J$2:$J$31,"Terlambat Berat")</f>
        <v>4</v>
      </c>
      <c r="D6" s="29" t="s">
        <v>178</v>
      </c>
    </row>
    <row r="7" customFormat="false" ht="15" hidden="false" customHeight="false" outlineLevel="0" collapsed="false">
      <c r="A7" s="27" t="s">
        <v>179</v>
      </c>
      <c r="B7" s="28" t="s">
        <v>180</v>
      </c>
      <c r="C7" s="20" t="n">
        <f aca="false">SUM(Data!$I$2:$I$31)</f>
        <v>28500</v>
      </c>
      <c r="D7" s="29" t="s">
        <v>181</v>
      </c>
    </row>
    <row r="8" customFormat="false" ht="15" hidden="false" customHeight="false" outlineLevel="0" collapsed="false">
      <c r="A8" s="27" t="s">
        <v>182</v>
      </c>
      <c r="B8" s="28" t="s">
        <v>183</v>
      </c>
      <c r="C8" s="30" t="n">
        <f aca="false">AVERAGE(Data!$G$2:$G$31)</f>
        <v>8.23333333333333</v>
      </c>
      <c r="D8" s="29" t="s">
        <v>184</v>
      </c>
    </row>
    <row r="9" customFormat="false" ht="15" hidden="false" customHeight="false" outlineLevel="0" collapsed="false">
      <c r="A9" s="27" t="s">
        <v>185</v>
      </c>
      <c r="B9" s="28" t="s">
        <v>186</v>
      </c>
      <c r="C9" s="21" t="str">
        <f aca="false">INDEX(Data!$B$2:$B$31,MATCH(MAX(Data!$I$2:$I$31),Data!$I$2:$I$31,0))</f>
        <v>Lestari Setiawan</v>
      </c>
      <c r="D9" s="29" t="s">
        <v>187</v>
      </c>
    </row>
    <row r="10" customFormat="false" ht="15" hidden="false" customHeight="false" outlineLevel="0" collapsed="false">
      <c r="A10" s="27" t="s">
        <v>188</v>
      </c>
      <c r="B10" s="28" t="s">
        <v>189</v>
      </c>
      <c r="C10" s="19" t="n">
        <f aca="false">MAX(Data!$H$2:$H$31)</f>
        <v>10</v>
      </c>
      <c r="D10" s="29" t="s">
        <v>190</v>
      </c>
    </row>
    <row r="11" customFormat="false" ht="15" hidden="false" customHeight="false" outlineLevel="0" collapsed="false">
      <c r="A11" s="27" t="s">
        <v>191</v>
      </c>
      <c r="B11" s="28" t="s">
        <v>192</v>
      </c>
      <c r="C11" s="21" t="str">
        <f aca="false">INDEX(Acuan!$A$2:$A$5,MATCH(MAX(Acuan!$B$2:$B$5),Acuan!$B$2:$B$5,0))</f>
        <v>Anak</v>
      </c>
      <c r="D11" s="29" t="s">
        <v>193</v>
      </c>
    </row>
    <row r="12" customFormat="false" ht="15" hidden="false" customHeight="false" outlineLevel="0" collapsed="false">
      <c r="A12" s="27" t="s">
        <v>194</v>
      </c>
      <c r="B12" s="28" t="s">
        <v>195</v>
      </c>
      <c r="C12" s="21" t="str">
        <f aca="false">INDEX(Acuan!$A$2:$A$5,MATCH(MAX(Acuan!$C$2:$C$5),Acuan!$C$2:$C$5,0))</f>
        <v>Sejarah</v>
      </c>
      <c r="D12" s="29" t="s">
        <v>193</v>
      </c>
    </row>
    <row r="13" customFormat="false" ht="15" hidden="false" customHeight="false" outlineLevel="0" collapsed="false">
      <c r="A13" s="27" t="s">
        <v>63</v>
      </c>
      <c r="B13" s="28" t="s">
        <v>196</v>
      </c>
      <c r="C13" s="19" t="n">
        <f aca="false">COUNTIFS(Data!$D$2:$D$31,"Novel",Data!$J$2:$J$31,"Terlambat Berat")</f>
        <v>1</v>
      </c>
      <c r="D13" s="29" t="s">
        <v>197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2026-10-15T23:39:08Z</dcterms:created>
  <dc:creator>PushExcel</dc:creator>
  <dc:description/>
  <dc:language>en-US</dc:language>
  <cp:lastModifiedBy/>
  <dcterms:modified xsi:type="dcterms:W3CDTF">2026-10-15T23:39:08Z</dcterms:modified>
  <cp:revision>0</cp:revision>
  <dc:subject/>
  <dc:title>Peminjaman Buku dan Denda Keterlambatan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