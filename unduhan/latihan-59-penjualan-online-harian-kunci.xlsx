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<sst xmlns="http://schemas.openxmlformats.org/spreadsheetml/2006/main" count="224" uniqueCount="166">
  <si>
    <t xml:space="preserve">Kunci Jawaban: Rekap Penjualan Toko Online Harian</t>
  </si>
  <si>
    <t xml:space="preserve">Latihan 59 dari 40  |  Tingkat: Pemula  |  Perkiraan waktu: 40 menit  |  pushexcel.github.io/Pushexcel</t>
  </si>
  <si>
    <t xml:space="preserve">Skenario</t>
  </si>
  <si>
    <t xml:space="preserve">Kamu pemilik toko online Lapak Nusantara yang mencatat 32 pesanan pada 5 sampai 18 Oktober 2026. Pembeli yang belanja minimal Rp 250.000 mendapat diskon 10 persen. Bila belanja setelah diskon minimal Rp 300.000, ongkir gratis (ditanggung toko dan tidak ditagihkan ke pembeli). Setiap platform memotong biaya persen tertentu dari belanja setelah diskon, daftarnya ada di sheet Acuan. Pendapatan bersih toko adalah belanja setelah diskon dikurangi biaya platform. Angka tetap ada di blok Parameter.</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</si>
  <si>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</si>
  <si>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</si>
  <si>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</si>
  <si>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</si>
  <si>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</si>
  <si>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</si>
  <si>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</si>
  <si>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</si>
  <si>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</si>
  <si>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</si>
  <si>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</si>
  <si>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</si>
  <si>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</si>
  <si>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</si>
  <si>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</si>
  <si>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</si>
  <si>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</si>
  <si>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</si>
  <si>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</si>
  <si>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</si>
  <si>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subtotal tiap pesanan: harga satuan dikali jumlah.</t>
  </si>
  <si>
    <t xml:space="preserve">Sheet Data, kolom H (Subtotal), baris 2 sampai 33</t>
  </si>
  <si>
    <t xml:space="preserve">=E2*F2</t>
  </si>
  <si>
    <t xml:space="preserve">2</t>
  </si>
  <si>
    <t xml:space="preserve">Beri diskon sebesar persen diskon dari subtotal bila subtotal sama dengan atau lebih dari minimal belanja diskon. Selain itu 0.</t>
  </si>
  <si>
    <t xml:space="preserve">Sheet Data, kolom I (Diskon), baris 2 sampai 33</t>
  </si>
  <si>
    <t xml:space="preserve">=IF(H2&gt;=$P$2;ROUND(H2*$P$3;0);0)</t>
  </si>
  <si>
    <t xml:space="preserve">3</t>
  </si>
  <si>
    <t xml:space="preserve">Tentukan ongkir yang ditagihkan: 0 bila belanja setelah diskon sama dengan atau lebih dari minimal gratis ongkir, selain itu sebesar kolom Ongkir.</t>
  </si>
  <si>
    <t xml:space="preserve">Sheet Data, kolom J (Ongkir Ditagih), baris 2 sampai 33</t>
  </si>
  <si>
    <t xml:space="preserve">=IF(H2-I2&gt;=$P$4;0;G2)</t>
  </si>
  <si>
    <t xml:space="preserve">4</t>
  </si>
  <si>
    <t xml:space="preserve">Hitung total bayar pembeli: subtotal dikurangi diskon, ditambah ongkir ditagih.</t>
  </si>
  <si>
    <t xml:space="preserve">Sheet Data, kolom K (Total Bayar), baris 2 sampai 33</t>
  </si>
  <si>
    <t xml:space="preserve">=H2-I2+J2</t>
  </si>
  <si>
    <t xml:space="preserve">5</t>
  </si>
  <si>
    <t xml:space="preserve">Hitung biaya platform: persen biaya platform (dari sheet Acuan) dikali belanja setelah diskon, dibulatkan ke rupiah.</t>
  </si>
  <si>
    <t xml:space="preserve">Sheet Data, kolom L (Biaya Platform), baris 2 sampai 33</t>
  </si>
  <si>
    <t xml:space="preserve">=ROUND((H2-I2)*VLOOKUP(D2;Acuan!$A$2:$B$4;2;FALSE);0)</t>
  </si>
  <si>
    <t xml:space="preserve">6</t>
  </si>
  <si>
    <t xml:space="preserve">Hitung pendapatan bersih toko: subtotal dikurangi diskon dan biaya platform.</t>
  </si>
  <si>
    <t xml:space="preserve">Sheet Data, kolom M (Pendapatan Bersih), baris 2 sampai 33</t>
  </si>
  <si>
    <t xml:space="preserve">=H2-I2-L2</t>
  </si>
  <si>
    <t xml:space="preserve">7</t>
  </si>
  <si>
    <t xml:space="preserve">Pada sheet Acuan, hitung jumlah pesanan tiap platform.</t>
  </si>
  <si>
    <t xml:space="preserve">Sheet Acuan, kolom C (Jumlah Pesanan), baris 2 sampai 4</t>
  </si>
  <si>
    <t xml:space="preserve">=COUNTIF(Data!$D$2:$D$33;A2)</t>
  </si>
  <si>
    <t xml:space="preserve">8</t>
  </si>
  <si>
    <t xml:space="preserve">Pada sheet Acuan, hitung total bayar dari tiap platform.</t>
  </si>
  <si>
    <t xml:space="preserve">Sheet Acuan, kolom D (Total Penjualan), baris 2 sampai 4</t>
  </si>
  <si>
    <t xml:space="preserve">=SUMIF(Data!$D$2:$D$33;A2;Data!$K$2:$K$33)</t>
  </si>
  <si>
    <t xml:space="preserve">9</t>
  </si>
  <si>
    <t xml:space="preserve">Berapa total bayar seluruh pesanan, dan berapa total pendapatan bersih toko?</t>
  </si>
  <si>
    <t xml:space="preserve">Sheet Ringkasan, sel C4 sampai C5</t>
  </si>
  <si>
    <t xml:space="preserve">=SUM(Data!$K$2:$K$33)
=SUM(Data!$M$2:$M$33)</t>
  </si>
  <si>
    <t xml:space="preserve">10</t>
  </si>
  <si>
    <t xml:space="preserve">Berapa pesanan yang mendapat diskon, dan berapa yang mendapat gratis ongkir?</t>
  </si>
  <si>
    <t xml:space="preserve">Sheet Ringkasan, sel C6 sampai C7</t>
  </si>
  <si>
    <t xml:space="preserve">=COUNTIF(Data!$I$2:$I$33;"&gt;0")
=COUNTIF(Data!$J$2:$J$33;0)</t>
  </si>
  <si>
    <t xml:space="preserve">11</t>
  </si>
  <si>
    <t xml:space="preserve">Platform mana yang total penjualannya terbesar, dan berapa rata-rata total bayar per pesanan?</t>
  </si>
  <si>
    <t xml:space="preserve">Sheet Ringkasan, sel C8 sampai C9</t>
  </si>
  <si>
    <t xml:space="preserve">=INDEX(Acuan!$A$2:$A$4;MATCH(MAX(Acuan!$D$2:$D$4);Acuan!$D$2:$D$4;0))
=AVERAGE(Data!$K$2:$K$33)</t>
  </si>
  <si>
    <t xml:space="preserve">12</t>
  </si>
  <si>
    <t xml:space="preserve">Produk apa pada pesanan dengan total bayar terbesar, dan berapa total bayar terbesar itu?</t>
  </si>
  <si>
    <t xml:space="preserve">Sheet Ringkasan, sel C10 sampai C11</t>
  </si>
  <si>
    <t xml:space="preserve">=INDEX(Data!$C$2:$C$33;MATCH(MAX(Data!$K$2:$K$33);Data!$K$2:$K$33;0))
=MAX(Data!$K$2:$K$33)</t>
  </si>
  <si>
    <t xml:space="preserve">No Pesanan</t>
  </si>
  <si>
    <t xml:space="preserve">Tanggal</t>
  </si>
  <si>
    <t xml:space="preserve">Produk</t>
  </si>
  <si>
    <t xml:space="preserve">Platform</t>
  </si>
  <si>
    <t xml:space="preserve">Harga Satuan</t>
  </si>
  <si>
    <t xml:space="preserve">Jumlah</t>
  </si>
  <si>
    <t xml:space="preserve">Ongkir</t>
  </si>
  <si>
    <t xml:space="preserve">Subtotal</t>
  </si>
  <si>
    <t xml:space="preserve">Diskon</t>
  </si>
  <si>
    <t xml:space="preserve">Ongkir Ditagih</t>
  </si>
  <si>
    <t xml:space="preserve">Total Bayar</t>
  </si>
  <si>
    <t xml:space="preserve">Biaya Platform</t>
  </si>
  <si>
    <t xml:space="preserve">Pendapatan Bersih</t>
  </si>
  <si>
    <t xml:space="preserve">Parameter</t>
  </si>
  <si>
    <t xml:space="preserve">Nilai</t>
  </si>
  <si>
    <t xml:space="preserve">Keterangan</t>
  </si>
  <si>
    <t xml:space="preserve">PS-001</t>
  </si>
  <si>
    <t xml:space="preserve">Botol Minum</t>
  </si>
  <si>
    <t xml:space="preserve">Pasar Digital</t>
  </si>
  <si>
    <t xml:space="preserve">Minimal belanja diskon</t>
  </si>
  <si>
    <t xml:space="preserve">PS-002</t>
  </si>
  <si>
    <t xml:space="preserve">Dompet Kulit</t>
  </si>
  <si>
    <t xml:space="preserve">Persen diskon</t>
  </si>
  <si>
    <t xml:space="preserve">PS-003</t>
  </si>
  <si>
    <t xml:space="preserve">Tas Kanvas</t>
  </si>
  <si>
    <t xml:space="preserve">Minimal gratis ongkir</t>
  </si>
  <si>
    <t xml:space="preserve">Dihitung dari belanja setelah diskon</t>
  </si>
  <si>
    <t xml:space="preserve">PS-004</t>
  </si>
  <si>
    <t xml:space="preserve">Kaos Polos</t>
  </si>
  <si>
    <t xml:space="preserve">Situs Sendiri</t>
  </si>
  <si>
    <t xml:space="preserve">PS-005</t>
  </si>
  <si>
    <t xml:space="preserve">Jaket Hoodie</t>
  </si>
  <si>
    <t xml:space="preserve">PS-006</t>
  </si>
  <si>
    <t xml:space="preserve">Topi Rajut</t>
  </si>
  <si>
    <t xml:space="preserve">PS-007</t>
  </si>
  <si>
    <t xml:space="preserve">Sepatu Kets</t>
  </si>
  <si>
    <t xml:space="preserve">PS-008</t>
  </si>
  <si>
    <t xml:space="preserve">Casing Ponsel</t>
  </si>
  <si>
    <t xml:space="preserve">Toko Sosial</t>
  </si>
  <si>
    <t xml:space="preserve">PS-009</t>
  </si>
  <si>
    <t xml:space="preserve">PS-010</t>
  </si>
  <si>
    <t xml:space="preserve">PS-011</t>
  </si>
  <si>
    <t xml:space="preserve">PS-012</t>
  </si>
  <si>
    <t xml:space="preserve">PS-013</t>
  </si>
  <si>
    <t xml:space="preserve">PS-014</t>
  </si>
  <si>
    <t xml:space="preserve">PS-015</t>
  </si>
  <si>
    <t xml:space="preserve">PS-016</t>
  </si>
  <si>
    <t xml:space="preserve">PS-017</t>
  </si>
  <si>
    <t xml:space="preserve">PS-018</t>
  </si>
  <si>
    <t xml:space="preserve">PS-019</t>
  </si>
  <si>
    <t xml:space="preserve">PS-020</t>
  </si>
  <si>
    <t xml:space="preserve">PS-021</t>
  </si>
  <si>
    <t xml:space="preserve">PS-022</t>
  </si>
  <si>
    <t xml:space="preserve">PS-023</t>
  </si>
  <si>
    <t xml:space="preserve">PS-024</t>
  </si>
  <si>
    <t xml:space="preserve">PS-025</t>
  </si>
  <si>
    <t xml:space="preserve">PS-026</t>
  </si>
  <si>
    <t xml:space="preserve">PS-027</t>
  </si>
  <si>
    <t xml:space="preserve">PS-028</t>
  </si>
  <si>
    <t xml:space="preserve">PS-029</t>
  </si>
  <si>
    <t xml:space="preserve">PS-030</t>
  </si>
  <si>
    <t xml:space="preserve">PS-031</t>
  </si>
  <si>
    <t xml:space="preserve">PS-032</t>
  </si>
  <si>
    <t xml:space="preserve">Persen Biaya</t>
  </si>
  <si>
    <t xml:space="preserve">Jumlah Pesanan</t>
  </si>
  <si>
    <t xml:space="preserve">Total Penjualan</t>
  </si>
  <si>
    <t xml:space="preserve">Ringkasan: lembar jawaban soal berjenis ringkasan</t>
  </si>
  <si>
    <t xml:space="preserve">Sel hijau berisi rumus kunci.</t>
  </si>
  <si>
    <t xml:space="preserve">Pertanyaan</t>
  </si>
  <si>
    <t xml:space="preserve">Jawaban</t>
  </si>
  <si>
    <t xml:space="preserve">Contoh format hasil</t>
  </si>
  <si>
    <t xml:space="preserve">9a</t>
  </si>
  <si>
    <t xml:space="preserve">Total bayar seluruh pesanan</t>
  </si>
  <si>
    <t xml:space="preserve">Rupiah, mis. Rp 8.000.000</t>
  </si>
  <si>
    <t xml:space="preserve">9b</t>
  </si>
  <si>
    <t xml:space="preserve">Total pendapatan bersih</t>
  </si>
  <si>
    <t xml:space="preserve">Rupiah, mis. Rp 7.000.000</t>
  </si>
  <si>
    <t xml:space="preserve">10a</t>
  </si>
  <si>
    <t xml:space="preserve">Pesanan mendapat diskon</t>
  </si>
  <si>
    <t xml:space="preserve">Angka bulat, mis. 12</t>
  </si>
  <si>
    <t xml:space="preserve">10b</t>
  </si>
  <si>
    <t xml:space="preserve">Pesanan gratis ongkir</t>
  </si>
  <si>
    <t xml:space="preserve">Angka bulat, mis. 9</t>
  </si>
  <si>
    <t xml:space="preserve">11a</t>
  </si>
  <si>
    <t xml:space="preserve">Platform dengan penjualan terbesar</t>
  </si>
  <si>
    <t xml:space="preserve">Teks: nama platform</t>
  </si>
  <si>
    <t xml:space="preserve">11b</t>
  </si>
  <si>
    <t xml:space="preserve">Rata-rata total bayar per pesanan</t>
  </si>
  <si>
    <t xml:space="preserve">Rupiah, mis. Rp 250.000</t>
  </si>
  <si>
    <t xml:space="preserve">12a</t>
  </si>
  <si>
    <t xml:space="preserve">Produk pada pesanan terbesar</t>
  </si>
  <si>
    <t xml:space="preserve">Teks: nama produk</t>
  </si>
  <si>
    <t xml:space="preserve">12b</t>
  </si>
  <si>
    <t xml:space="preserve">Total bayar terbesar</t>
  </si>
  <si>
    <t xml:space="preserve">Rupiah, mis. Rp 600.000</t>
  </si>
</sst>
</file>

<file path=xl/styles.xml><?xml version="1.0" encoding="utf-8"?>
<styleSheet xmlns="http://schemas.openxmlformats.org/spreadsheetml/2006/main">
  <numFmts count="5">
    <numFmt numFmtId="164" formatCode="General"/>
    <numFmt numFmtId="165" formatCode="dd/mm/yyyy"/>
    <numFmt numFmtId="166" formatCode="&quot;Rp &quot;#,##0"/>
    <numFmt numFmtId="167" formatCode="0"/>
    <numFmt numFmtId="168" formatCode="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true" applyProtection="false">
      <alignment horizontal="right" vertical="center" textRotation="0" wrapText="false" indent="0" shrinkToFit="false"/>
      <protection locked="true" hidden="false"/>
    </xf>
    <xf numFmtId="168" fontId="10" fillId="0" borderId="1" xfId="0" applyFont="true" applyBorder="true" applyAlignment="true" applyProtection="false">
      <alignment horizontal="right" vertical="center" textRotation="0" wrapText="false" indent="0" shrinkToFit="false"/>
      <protection locked="true" hidden="false"/>
    </xf>
    <xf numFmtId="168" fontId="7" fillId="0"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6"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42" hidden="false" customHeight="true" outlineLevel="0" collapsed="false">
      <c r="A22" s="12" t="s">
        <v>27</v>
      </c>
      <c r="B22" s="13" t="s">
        <v>28</v>
      </c>
      <c r="C22" s="13" t="s">
        <v>29</v>
      </c>
      <c r="D22" s="14" t="s">
        <v>30</v>
      </c>
    </row>
    <row r="23" customFormat="false" ht="42" hidden="false" customHeight="true" outlineLevel="0" collapsed="false">
      <c r="A23" s="12" t="s">
        <v>31</v>
      </c>
      <c r="B23" s="13" t="s">
        <v>32</v>
      </c>
      <c r="C23" s="13" t="s">
        <v>33</v>
      </c>
      <c r="D23" s="14" t="s">
        <v>34</v>
      </c>
    </row>
    <row r="24" customFormat="false" ht="30" hidden="false" customHeight="true" outlineLevel="0" collapsed="false">
      <c r="A24" s="12" t="s">
        <v>35</v>
      </c>
      <c r="B24" s="13" t="s">
        <v>36</v>
      </c>
      <c r="C24" s="13" t="s">
        <v>37</v>
      </c>
      <c r="D24" s="14" t="s">
        <v>38</v>
      </c>
    </row>
    <row r="25" customFormat="false" ht="30"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30" hidden="false" customHeight="true" outlineLevel="0" collapsed="false">
      <c r="A27" s="12" t="s">
        <v>47</v>
      </c>
      <c r="B27" s="13" t="s">
        <v>48</v>
      </c>
      <c r="C27" s="13" t="s">
        <v>49</v>
      </c>
      <c r="D27" s="14" t="s">
        <v>50</v>
      </c>
    </row>
    <row r="28" customFormat="false" ht="30" hidden="false" customHeight="true" outlineLevel="0" collapsed="false">
      <c r="A28" s="12" t="s">
        <v>51</v>
      </c>
      <c r="B28" s="13" t="s">
        <v>52</v>
      </c>
      <c r="C28" s="13" t="s">
        <v>53</v>
      </c>
      <c r="D28" s="14" t="s">
        <v>54</v>
      </c>
    </row>
    <row r="29" customFormat="false" ht="43.5" hidden="false" customHeight="true" outlineLevel="0" collapsed="false">
      <c r="A29" s="12" t="s">
        <v>55</v>
      </c>
      <c r="B29" s="13" t="s">
        <v>56</v>
      </c>
      <c r="C29" s="13" t="s">
        <v>57</v>
      </c>
      <c r="D29" s="14" t="s">
        <v>58</v>
      </c>
    </row>
    <row r="30" customFormat="false" ht="43.5" hidden="false" customHeight="true" outlineLevel="0" collapsed="false">
      <c r="A30" s="12" t="s">
        <v>59</v>
      </c>
      <c r="B30" s="13" t="s">
        <v>60</v>
      </c>
      <c r="C30" s="13" t="s">
        <v>61</v>
      </c>
      <c r="D30" s="14" t="s">
        <v>62</v>
      </c>
    </row>
    <row r="31" customFormat="false" ht="43.5" hidden="false" customHeight="true" outlineLevel="0" collapsed="false">
      <c r="A31" s="12" t="s">
        <v>63</v>
      </c>
      <c r="B31" s="13" t="s">
        <v>64</v>
      </c>
      <c r="C31" s="13" t="s">
        <v>65</v>
      </c>
      <c r="D31" s="14" t="s">
        <v>66</v>
      </c>
    </row>
    <row r="32" customFormat="false" ht="43.5" hidden="false" customHeight="true" outlineLevel="0" collapsed="false">
      <c r="A32" s="12" t="s">
        <v>67</v>
      </c>
      <c r="B32" s="13" t="s">
        <v>68</v>
      </c>
      <c r="C32" s="13" t="s">
        <v>69</v>
      </c>
      <c r="D32" s="14" t="s">
        <v>70</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16"/>
    <col collapsed="false" customWidth="true" hidden="false" outlineLevel="0" max="4" min="4" style="0" width="15"/>
    <col collapsed="false" customWidth="true" hidden="false" outlineLevel="0" max="5" min="5" style="0" width="14"/>
    <col collapsed="false" customWidth="true" hidden="false" outlineLevel="0" max="6" min="6" style="0" width="9"/>
    <col collapsed="false" customWidth="true" hidden="false" outlineLevel="0" max="7" min="7" style="0" width="12"/>
    <col collapsed="false" customWidth="true" hidden="false" outlineLevel="0" max="8" min="8" style="0" width="14"/>
    <col collapsed="false" customWidth="true" hidden="false" outlineLevel="0" max="9" min="9" style="0" width="12"/>
    <col collapsed="false" customWidth="true" hidden="false" outlineLevel="0" max="12" min="10" style="0" width="14"/>
    <col collapsed="false" customWidth="true" hidden="false" outlineLevel="0" max="13" min="13" style="0" width="17"/>
    <col collapsed="false" customWidth="true" hidden="false" outlineLevel="0" max="14" min="14" style="0" width="3"/>
    <col collapsed="false" customWidth="true" hidden="false" outlineLevel="0" max="15" min="15" style="0" width="30"/>
    <col collapsed="false" customWidth="true" hidden="false" outlineLevel="0" max="16" min="16" style="0" width="16"/>
    <col collapsed="false" customWidth="true" hidden="false" outlineLevel="0" max="17" min="17" style="0" width="42"/>
  </cols>
  <sheetData>
    <row r="1" customFormat="false" ht="33.75" hidden="false" customHeight="true" outlineLevel="0" collapsed="false">
      <c r="A1" s="11" t="s">
        <v>71</v>
      </c>
      <c r="B1" s="11" t="s">
        <v>72</v>
      </c>
      <c r="C1" s="11" t="s">
        <v>73</v>
      </c>
      <c r="D1" s="11" t="s">
        <v>74</v>
      </c>
      <c r="E1" s="11" t="s">
        <v>75</v>
      </c>
      <c r="F1" s="11" t="s">
        <v>76</v>
      </c>
      <c r="G1" s="11" t="s">
        <v>77</v>
      </c>
      <c r="H1" s="15" t="s">
        <v>78</v>
      </c>
      <c r="I1" s="15" t="s">
        <v>79</v>
      </c>
      <c r="J1" s="15" t="s">
        <v>80</v>
      </c>
      <c r="K1" s="15" t="s">
        <v>81</v>
      </c>
      <c r="L1" s="15" t="s">
        <v>82</v>
      </c>
      <c r="M1" s="15" t="s">
        <v>83</v>
      </c>
      <c r="O1" s="16" t="s">
        <v>84</v>
      </c>
      <c r="P1" s="16" t="s">
        <v>85</v>
      </c>
      <c r="Q1" s="16" t="s">
        <v>86</v>
      </c>
    </row>
    <row r="2" customFormat="false" ht="15" hidden="false" customHeight="false" outlineLevel="0" collapsed="false">
      <c r="A2" s="17" t="s">
        <v>87</v>
      </c>
      <c r="B2" s="18" t="n">
        <v>46300</v>
      </c>
      <c r="C2" s="17" t="s">
        <v>88</v>
      </c>
      <c r="D2" s="17" t="s">
        <v>89</v>
      </c>
      <c r="E2" s="19" t="n">
        <v>55000</v>
      </c>
      <c r="F2" s="20" t="n">
        <v>1</v>
      </c>
      <c r="G2" s="19" t="n">
        <v>12000</v>
      </c>
      <c r="H2" s="21" t="n">
        <f aca="false">E2*F2</f>
        <v>55000</v>
      </c>
      <c r="I2" s="21" t="n">
        <f aca="false">IF(H2&gt;=$P$2,ROUND(H2*$P$3,0),0)</f>
        <v>0</v>
      </c>
      <c r="J2" s="21" t="n">
        <f aca="false">IF(H2-I2&gt;=$P$4,0,G2)</f>
        <v>12000</v>
      </c>
      <c r="K2" s="21" t="n">
        <f aca="false">H2-I2+J2</f>
        <v>67000</v>
      </c>
      <c r="L2" s="21" t="n">
        <f aca="false">ROUND((H2-I2)*VLOOKUP(D2,Acuan!$A$2:$B$4,2,FALSE()),0)</f>
        <v>2750</v>
      </c>
      <c r="M2" s="21" t="n">
        <f aca="false">H2-I2-L2</f>
        <v>52250</v>
      </c>
      <c r="O2" s="22" t="s">
        <v>90</v>
      </c>
      <c r="P2" s="23" t="n">
        <v>250000</v>
      </c>
      <c r="Q2" s="22"/>
    </row>
    <row r="3" customFormat="false" ht="15" hidden="false" customHeight="false" outlineLevel="0" collapsed="false">
      <c r="A3" s="17" t="s">
        <v>91</v>
      </c>
      <c r="B3" s="18" t="n">
        <v>46300</v>
      </c>
      <c r="C3" s="17" t="s">
        <v>92</v>
      </c>
      <c r="D3" s="17" t="s">
        <v>89</v>
      </c>
      <c r="E3" s="19" t="n">
        <v>85000</v>
      </c>
      <c r="F3" s="20" t="n">
        <v>4</v>
      </c>
      <c r="G3" s="19" t="n">
        <v>15000</v>
      </c>
      <c r="H3" s="21" t="n">
        <f aca="false">E3*F3</f>
        <v>340000</v>
      </c>
      <c r="I3" s="21" t="n">
        <f aca="false">IF(H3&gt;=$P$2,ROUND(H3*$P$3,0),0)</f>
        <v>34000</v>
      </c>
      <c r="J3" s="21" t="n">
        <f aca="false">IF(H3-I3&gt;=$P$4,0,G3)</f>
        <v>0</v>
      </c>
      <c r="K3" s="21" t="n">
        <f aca="false">H3-I3+J3</f>
        <v>306000</v>
      </c>
      <c r="L3" s="21" t="n">
        <f aca="false">ROUND((H3-I3)*VLOOKUP(D3,Acuan!$A$2:$B$4,2,FALSE()),0)</f>
        <v>15300</v>
      </c>
      <c r="M3" s="21" t="n">
        <f aca="false">H3-I3-L3</f>
        <v>290700</v>
      </c>
      <c r="O3" s="22" t="s">
        <v>93</v>
      </c>
      <c r="P3" s="24" t="n">
        <v>0.1</v>
      </c>
      <c r="Q3" s="22"/>
    </row>
    <row r="4" customFormat="false" ht="15" hidden="false" customHeight="false" outlineLevel="0" collapsed="false">
      <c r="A4" s="17" t="s">
        <v>94</v>
      </c>
      <c r="B4" s="18" t="n">
        <v>46300</v>
      </c>
      <c r="C4" s="17" t="s">
        <v>95</v>
      </c>
      <c r="D4" s="17" t="s">
        <v>89</v>
      </c>
      <c r="E4" s="19" t="n">
        <v>120000</v>
      </c>
      <c r="F4" s="20" t="n">
        <v>3</v>
      </c>
      <c r="G4" s="19" t="n">
        <v>15000</v>
      </c>
      <c r="H4" s="21" t="n">
        <f aca="false">E4*F4</f>
        <v>360000</v>
      </c>
      <c r="I4" s="21" t="n">
        <f aca="false">IF(H4&gt;=$P$2,ROUND(H4*$P$3,0),0)</f>
        <v>36000</v>
      </c>
      <c r="J4" s="21" t="n">
        <f aca="false">IF(H4-I4&gt;=$P$4,0,G4)</f>
        <v>0</v>
      </c>
      <c r="K4" s="21" t="n">
        <f aca="false">H4-I4+J4</f>
        <v>324000</v>
      </c>
      <c r="L4" s="21" t="n">
        <f aca="false">ROUND((H4-I4)*VLOOKUP(D4,Acuan!$A$2:$B$4,2,FALSE()),0)</f>
        <v>16200</v>
      </c>
      <c r="M4" s="21" t="n">
        <f aca="false">H4-I4-L4</f>
        <v>307800</v>
      </c>
      <c r="O4" s="22" t="s">
        <v>96</v>
      </c>
      <c r="P4" s="23" t="n">
        <v>300000</v>
      </c>
      <c r="Q4" s="22" t="s">
        <v>97</v>
      </c>
    </row>
    <row r="5" customFormat="false" ht="15" hidden="false" customHeight="false" outlineLevel="0" collapsed="false">
      <c r="A5" s="17" t="s">
        <v>98</v>
      </c>
      <c r="B5" s="18" t="n">
        <v>46301</v>
      </c>
      <c r="C5" s="17" t="s">
        <v>99</v>
      </c>
      <c r="D5" s="17" t="s">
        <v>100</v>
      </c>
      <c r="E5" s="19" t="n">
        <v>65000</v>
      </c>
      <c r="F5" s="20" t="n">
        <v>1</v>
      </c>
      <c r="G5" s="19" t="n">
        <v>15000</v>
      </c>
      <c r="H5" s="21" t="n">
        <f aca="false">E5*F5</f>
        <v>65000</v>
      </c>
      <c r="I5" s="21" t="n">
        <f aca="false">IF(H5&gt;=$P$2,ROUND(H5*$P$3,0),0)</f>
        <v>0</v>
      </c>
      <c r="J5" s="21" t="n">
        <f aca="false">IF(H5-I5&gt;=$P$4,0,G5)</f>
        <v>15000</v>
      </c>
      <c r="K5" s="21" t="n">
        <f aca="false">H5-I5+J5</f>
        <v>80000</v>
      </c>
      <c r="L5" s="21" t="n">
        <f aca="false">ROUND((H5-I5)*VLOOKUP(D5,Acuan!$A$2:$B$4,2,FALSE()),0)</f>
        <v>1300</v>
      </c>
      <c r="M5" s="21" t="n">
        <f aca="false">H5-I5-L5</f>
        <v>63700</v>
      </c>
    </row>
    <row r="6" customFormat="false" ht="15" hidden="false" customHeight="false" outlineLevel="0" collapsed="false">
      <c r="A6" s="17" t="s">
        <v>101</v>
      </c>
      <c r="B6" s="18" t="n">
        <v>46301</v>
      </c>
      <c r="C6" s="17" t="s">
        <v>102</v>
      </c>
      <c r="D6" s="17" t="s">
        <v>89</v>
      </c>
      <c r="E6" s="19" t="n">
        <v>180000</v>
      </c>
      <c r="F6" s="20" t="n">
        <v>1</v>
      </c>
      <c r="G6" s="19" t="n">
        <v>18000</v>
      </c>
      <c r="H6" s="21" t="n">
        <f aca="false">E6*F6</f>
        <v>180000</v>
      </c>
      <c r="I6" s="21" t="n">
        <f aca="false">IF(H6&gt;=$P$2,ROUND(H6*$P$3,0),0)</f>
        <v>0</v>
      </c>
      <c r="J6" s="21" t="n">
        <f aca="false">IF(H6-I6&gt;=$P$4,0,G6)</f>
        <v>18000</v>
      </c>
      <c r="K6" s="21" t="n">
        <f aca="false">H6-I6+J6</f>
        <v>198000</v>
      </c>
      <c r="L6" s="21" t="n">
        <f aca="false">ROUND((H6-I6)*VLOOKUP(D6,Acuan!$A$2:$B$4,2,FALSE()),0)</f>
        <v>9000</v>
      </c>
      <c r="M6" s="21" t="n">
        <f aca="false">H6-I6-L6</f>
        <v>171000</v>
      </c>
    </row>
    <row r="7" customFormat="false" ht="15" hidden="false" customHeight="false" outlineLevel="0" collapsed="false">
      <c r="A7" s="17" t="s">
        <v>103</v>
      </c>
      <c r="B7" s="18" t="n">
        <v>46302</v>
      </c>
      <c r="C7" s="17" t="s">
        <v>104</v>
      </c>
      <c r="D7" s="17" t="s">
        <v>100</v>
      </c>
      <c r="E7" s="19" t="n">
        <v>45000</v>
      </c>
      <c r="F7" s="20" t="n">
        <v>2</v>
      </c>
      <c r="G7" s="19" t="n">
        <v>15000</v>
      </c>
      <c r="H7" s="21" t="n">
        <f aca="false">E7*F7</f>
        <v>90000</v>
      </c>
      <c r="I7" s="21" t="n">
        <f aca="false">IF(H7&gt;=$P$2,ROUND(H7*$P$3,0),0)</f>
        <v>0</v>
      </c>
      <c r="J7" s="21" t="n">
        <f aca="false">IF(H7-I7&gt;=$P$4,0,G7)</f>
        <v>15000</v>
      </c>
      <c r="K7" s="21" t="n">
        <f aca="false">H7-I7+J7</f>
        <v>105000</v>
      </c>
      <c r="L7" s="21" t="n">
        <f aca="false">ROUND((H7-I7)*VLOOKUP(D7,Acuan!$A$2:$B$4,2,FALSE()),0)</f>
        <v>1800</v>
      </c>
      <c r="M7" s="21" t="n">
        <f aca="false">H7-I7-L7</f>
        <v>88200</v>
      </c>
    </row>
    <row r="8" customFormat="false" ht="15" hidden="false" customHeight="false" outlineLevel="0" collapsed="false">
      <c r="A8" s="17" t="s">
        <v>105</v>
      </c>
      <c r="B8" s="18" t="n">
        <v>46302</v>
      </c>
      <c r="C8" s="17" t="s">
        <v>106</v>
      </c>
      <c r="D8" s="17" t="s">
        <v>89</v>
      </c>
      <c r="E8" s="19" t="n">
        <v>235000</v>
      </c>
      <c r="F8" s="20" t="n">
        <v>2</v>
      </c>
      <c r="G8" s="19" t="n">
        <v>9000</v>
      </c>
      <c r="H8" s="21" t="n">
        <f aca="false">E8*F8</f>
        <v>470000</v>
      </c>
      <c r="I8" s="21" t="n">
        <f aca="false">IF(H8&gt;=$P$2,ROUND(H8*$P$3,0),0)</f>
        <v>47000</v>
      </c>
      <c r="J8" s="21" t="n">
        <f aca="false">IF(H8-I8&gt;=$P$4,0,G8)</f>
        <v>0</v>
      </c>
      <c r="K8" s="21" t="n">
        <f aca="false">H8-I8+J8</f>
        <v>423000</v>
      </c>
      <c r="L8" s="21" t="n">
        <f aca="false">ROUND((H8-I8)*VLOOKUP(D8,Acuan!$A$2:$B$4,2,FALSE()),0)</f>
        <v>21150</v>
      </c>
      <c r="M8" s="21" t="n">
        <f aca="false">H8-I8-L8</f>
        <v>401850</v>
      </c>
    </row>
    <row r="9" customFormat="false" ht="15" hidden="false" customHeight="false" outlineLevel="0" collapsed="false">
      <c r="A9" s="17" t="s">
        <v>107</v>
      </c>
      <c r="B9" s="18" t="n">
        <v>46303</v>
      </c>
      <c r="C9" s="17" t="s">
        <v>108</v>
      </c>
      <c r="D9" s="17" t="s">
        <v>109</v>
      </c>
      <c r="E9" s="19" t="n">
        <v>30000</v>
      </c>
      <c r="F9" s="20" t="n">
        <v>1</v>
      </c>
      <c r="G9" s="19" t="n">
        <v>15000</v>
      </c>
      <c r="H9" s="21" t="n">
        <f aca="false">E9*F9</f>
        <v>30000</v>
      </c>
      <c r="I9" s="21" t="n">
        <f aca="false">IF(H9&gt;=$P$2,ROUND(H9*$P$3,0),0)</f>
        <v>0</v>
      </c>
      <c r="J9" s="21" t="n">
        <f aca="false">IF(H9-I9&gt;=$P$4,0,G9)</f>
        <v>15000</v>
      </c>
      <c r="K9" s="21" t="n">
        <f aca="false">H9-I9+J9</f>
        <v>45000</v>
      </c>
      <c r="L9" s="21" t="n">
        <f aca="false">ROUND((H9-I9)*VLOOKUP(D9,Acuan!$A$2:$B$4,2,FALSE()),0)</f>
        <v>900</v>
      </c>
      <c r="M9" s="21" t="n">
        <f aca="false">H9-I9-L9</f>
        <v>29100</v>
      </c>
    </row>
    <row r="10" customFormat="false" ht="15" hidden="false" customHeight="false" outlineLevel="0" collapsed="false">
      <c r="A10" s="17" t="s">
        <v>110</v>
      </c>
      <c r="B10" s="18" t="n">
        <v>46303</v>
      </c>
      <c r="C10" s="17" t="s">
        <v>99</v>
      </c>
      <c r="D10" s="17" t="s">
        <v>100</v>
      </c>
      <c r="E10" s="19" t="n">
        <v>65000</v>
      </c>
      <c r="F10" s="20" t="n">
        <v>3</v>
      </c>
      <c r="G10" s="19" t="n">
        <v>15000</v>
      </c>
      <c r="H10" s="21" t="n">
        <f aca="false">E10*F10</f>
        <v>195000</v>
      </c>
      <c r="I10" s="21" t="n">
        <f aca="false">IF(H10&gt;=$P$2,ROUND(H10*$P$3,0),0)</f>
        <v>0</v>
      </c>
      <c r="J10" s="21" t="n">
        <f aca="false">IF(H10-I10&gt;=$P$4,0,G10)</f>
        <v>15000</v>
      </c>
      <c r="K10" s="21" t="n">
        <f aca="false">H10-I10+J10</f>
        <v>210000</v>
      </c>
      <c r="L10" s="21" t="n">
        <f aca="false">ROUND((H10-I10)*VLOOKUP(D10,Acuan!$A$2:$B$4,2,FALSE()),0)</f>
        <v>3900</v>
      </c>
      <c r="M10" s="21" t="n">
        <f aca="false">H10-I10-L10</f>
        <v>191100</v>
      </c>
    </row>
    <row r="11" customFormat="false" ht="15" hidden="false" customHeight="false" outlineLevel="0" collapsed="false">
      <c r="A11" s="17" t="s">
        <v>111</v>
      </c>
      <c r="B11" s="18" t="n">
        <v>46303</v>
      </c>
      <c r="C11" s="17" t="s">
        <v>95</v>
      </c>
      <c r="D11" s="17" t="s">
        <v>89</v>
      </c>
      <c r="E11" s="19" t="n">
        <v>120000</v>
      </c>
      <c r="F11" s="20" t="n">
        <v>2</v>
      </c>
      <c r="G11" s="19" t="n">
        <v>22000</v>
      </c>
      <c r="H11" s="21" t="n">
        <f aca="false">E11*F11</f>
        <v>240000</v>
      </c>
      <c r="I11" s="21" t="n">
        <f aca="false">IF(H11&gt;=$P$2,ROUND(H11*$P$3,0),0)</f>
        <v>0</v>
      </c>
      <c r="J11" s="21" t="n">
        <f aca="false">IF(H11-I11&gt;=$P$4,0,G11)</f>
        <v>22000</v>
      </c>
      <c r="K11" s="21" t="n">
        <f aca="false">H11-I11+J11</f>
        <v>262000</v>
      </c>
      <c r="L11" s="21" t="n">
        <f aca="false">ROUND((H11-I11)*VLOOKUP(D11,Acuan!$A$2:$B$4,2,FALSE()),0)</f>
        <v>12000</v>
      </c>
      <c r="M11" s="21" t="n">
        <f aca="false">H11-I11-L11</f>
        <v>228000</v>
      </c>
    </row>
    <row r="12" customFormat="false" ht="15" hidden="false" customHeight="false" outlineLevel="0" collapsed="false">
      <c r="A12" s="17" t="s">
        <v>112</v>
      </c>
      <c r="B12" s="18" t="n">
        <v>46304</v>
      </c>
      <c r="C12" s="17" t="s">
        <v>92</v>
      </c>
      <c r="D12" s="17" t="s">
        <v>109</v>
      </c>
      <c r="E12" s="19" t="n">
        <v>85000</v>
      </c>
      <c r="F12" s="20" t="n">
        <v>3</v>
      </c>
      <c r="G12" s="19" t="n">
        <v>18000</v>
      </c>
      <c r="H12" s="21" t="n">
        <f aca="false">E12*F12</f>
        <v>255000</v>
      </c>
      <c r="I12" s="21" t="n">
        <f aca="false">IF(H12&gt;=$P$2,ROUND(H12*$P$3,0),0)</f>
        <v>25500</v>
      </c>
      <c r="J12" s="21" t="n">
        <f aca="false">IF(H12-I12&gt;=$P$4,0,G12)</f>
        <v>18000</v>
      </c>
      <c r="K12" s="21" t="n">
        <f aca="false">H12-I12+J12</f>
        <v>247500</v>
      </c>
      <c r="L12" s="21" t="n">
        <f aca="false">ROUND((H12-I12)*VLOOKUP(D12,Acuan!$A$2:$B$4,2,FALSE()),0)</f>
        <v>6885</v>
      </c>
      <c r="M12" s="21" t="n">
        <f aca="false">H12-I12-L12</f>
        <v>222615</v>
      </c>
    </row>
    <row r="13" customFormat="false" ht="15" hidden="false" customHeight="false" outlineLevel="0" collapsed="false">
      <c r="A13" s="17" t="s">
        <v>113</v>
      </c>
      <c r="B13" s="18" t="n">
        <v>46304</v>
      </c>
      <c r="C13" s="17" t="s">
        <v>104</v>
      </c>
      <c r="D13" s="17" t="s">
        <v>109</v>
      </c>
      <c r="E13" s="19" t="n">
        <v>45000</v>
      </c>
      <c r="F13" s="20" t="n">
        <v>3</v>
      </c>
      <c r="G13" s="19" t="n">
        <v>9000</v>
      </c>
      <c r="H13" s="21" t="n">
        <f aca="false">E13*F13</f>
        <v>135000</v>
      </c>
      <c r="I13" s="21" t="n">
        <f aca="false">IF(H13&gt;=$P$2,ROUND(H13*$P$3,0),0)</f>
        <v>0</v>
      </c>
      <c r="J13" s="21" t="n">
        <f aca="false">IF(H13-I13&gt;=$P$4,0,G13)</f>
        <v>9000</v>
      </c>
      <c r="K13" s="21" t="n">
        <f aca="false">H13-I13+J13</f>
        <v>144000</v>
      </c>
      <c r="L13" s="21" t="n">
        <f aca="false">ROUND((H13-I13)*VLOOKUP(D13,Acuan!$A$2:$B$4,2,FALSE()),0)</f>
        <v>4050</v>
      </c>
      <c r="M13" s="21" t="n">
        <f aca="false">H13-I13-L13</f>
        <v>130950</v>
      </c>
    </row>
    <row r="14" customFormat="false" ht="15" hidden="false" customHeight="false" outlineLevel="0" collapsed="false">
      <c r="A14" s="17" t="s">
        <v>114</v>
      </c>
      <c r="B14" s="18" t="n">
        <v>46305</v>
      </c>
      <c r="C14" s="17" t="s">
        <v>92</v>
      </c>
      <c r="D14" s="17" t="s">
        <v>89</v>
      </c>
      <c r="E14" s="19" t="n">
        <v>85000</v>
      </c>
      <c r="F14" s="20" t="n">
        <v>3</v>
      </c>
      <c r="G14" s="19" t="n">
        <v>12000</v>
      </c>
      <c r="H14" s="21" t="n">
        <f aca="false">E14*F14</f>
        <v>255000</v>
      </c>
      <c r="I14" s="21" t="n">
        <f aca="false">IF(H14&gt;=$P$2,ROUND(H14*$P$3,0),0)</f>
        <v>25500</v>
      </c>
      <c r="J14" s="21" t="n">
        <f aca="false">IF(H14-I14&gt;=$P$4,0,G14)</f>
        <v>12000</v>
      </c>
      <c r="K14" s="21" t="n">
        <f aca="false">H14-I14+J14</f>
        <v>241500</v>
      </c>
      <c r="L14" s="21" t="n">
        <f aca="false">ROUND((H14-I14)*VLOOKUP(D14,Acuan!$A$2:$B$4,2,FALSE()),0)</f>
        <v>11475</v>
      </c>
      <c r="M14" s="21" t="n">
        <f aca="false">H14-I14-L14</f>
        <v>218025</v>
      </c>
    </row>
    <row r="15" customFormat="false" ht="15" hidden="false" customHeight="false" outlineLevel="0" collapsed="false">
      <c r="A15" s="17" t="s">
        <v>115</v>
      </c>
      <c r="B15" s="18" t="n">
        <v>46305</v>
      </c>
      <c r="C15" s="17" t="s">
        <v>92</v>
      </c>
      <c r="D15" s="17" t="s">
        <v>89</v>
      </c>
      <c r="E15" s="19" t="n">
        <v>85000</v>
      </c>
      <c r="F15" s="20" t="n">
        <v>2</v>
      </c>
      <c r="G15" s="19" t="n">
        <v>15000</v>
      </c>
      <c r="H15" s="21" t="n">
        <f aca="false">E15*F15</f>
        <v>170000</v>
      </c>
      <c r="I15" s="21" t="n">
        <f aca="false">IF(H15&gt;=$P$2,ROUND(H15*$P$3,0),0)</f>
        <v>0</v>
      </c>
      <c r="J15" s="21" t="n">
        <f aca="false">IF(H15-I15&gt;=$P$4,0,G15)</f>
        <v>15000</v>
      </c>
      <c r="K15" s="21" t="n">
        <f aca="false">H15-I15+J15</f>
        <v>185000</v>
      </c>
      <c r="L15" s="21" t="n">
        <f aca="false">ROUND((H15-I15)*VLOOKUP(D15,Acuan!$A$2:$B$4,2,FALSE()),0)</f>
        <v>8500</v>
      </c>
      <c r="M15" s="21" t="n">
        <f aca="false">H15-I15-L15</f>
        <v>161500</v>
      </c>
    </row>
    <row r="16" customFormat="false" ht="15" hidden="false" customHeight="false" outlineLevel="0" collapsed="false">
      <c r="A16" s="17" t="s">
        <v>116</v>
      </c>
      <c r="B16" s="18" t="n">
        <v>46306</v>
      </c>
      <c r="C16" s="17" t="s">
        <v>104</v>
      </c>
      <c r="D16" s="17" t="s">
        <v>100</v>
      </c>
      <c r="E16" s="19" t="n">
        <v>45000</v>
      </c>
      <c r="F16" s="20" t="n">
        <v>3</v>
      </c>
      <c r="G16" s="19" t="n">
        <v>22000</v>
      </c>
      <c r="H16" s="21" t="n">
        <f aca="false">E16*F16</f>
        <v>135000</v>
      </c>
      <c r="I16" s="21" t="n">
        <f aca="false">IF(H16&gt;=$P$2,ROUND(H16*$P$3,0),0)</f>
        <v>0</v>
      </c>
      <c r="J16" s="21" t="n">
        <f aca="false">IF(H16-I16&gt;=$P$4,0,G16)</f>
        <v>22000</v>
      </c>
      <c r="K16" s="21" t="n">
        <f aca="false">H16-I16+J16</f>
        <v>157000</v>
      </c>
      <c r="L16" s="21" t="n">
        <f aca="false">ROUND((H16-I16)*VLOOKUP(D16,Acuan!$A$2:$B$4,2,FALSE()),0)</f>
        <v>2700</v>
      </c>
      <c r="M16" s="21" t="n">
        <f aca="false">H16-I16-L16</f>
        <v>132300</v>
      </c>
    </row>
    <row r="17" customFormat="false" ht="15" hidden="false" customHeight="false" outlineLevel="0" collapsed="false">
      <c r="A17" s="17" t="s">
        <v>117</v>
      </c>
      <c r="B17" s="18" t="n">
        <v>46306</v>
      </c>
      <c r="C17" s="17" t="s">
        <v>88</v>
      </c>
      <c r="D17" s="17" t="s">
        <v>89</v>
      </c>
      <c r="E17" s="19" t="n">
        <v>55000</v>
      </c>
      <c r="F17" s="20" t="n">
        <v>4</v>
      </c>
      <c r="G17" s="19" t="n">
        <v>12000</v>
      </c>
      <c r="H17" s="21" t="n">
        <f aca="false">E17*F17</f>
        <v>220000</v>
      </c>
      <c r="I17" s="21" t="n">
        <f aca="false">IF(H17&gt;=$P$2,ROUND(H17*$P$3,0),0)</f>
        <v>0</v>
      </c>
      <c r="J17" s="21" t="n">
        <f aca="false">IF(H17-I17&gt;=$P$4,0,G17)</f>
        <v>12000</v>
      </c>
      <c r="K17" s="21" t="n">
        <f aca="false">H17-I17+J17</f>
        <v>232000</v>
      </c>
      <c r="L17" s="21" t="n">
        <f aca="false">ROUND((H17-I17)*VLOOKUP(D17,Acuan!$A$2:$B$4,2,FALSE()),0)</f>
        <v>11000</v>
      </c>
      <c r="M17" s="21" t="n">
        <f aca="false">H17-I17-L17</f>
        <v>209000</v>
      </c>
    </row>
    <row r="18" customFormat="false" ht="15" hidden="false" customHeight="false" outlineLevel="0" collapsed="false">
      <c r="A18" s="17" t="s">
        <v>118</v>
      </c>
      <c r="B18" s="18" t="n">
        <v>46307</v>
      </c>
      <c r="C18" s="17" t="s">
        <v>92</v>
      </c>
      <c r="D18" s="17" t="s">
        <v>109</v>
      </c>
      <c r="E18" s="19" t="n">
        <v>85000</v>
      </c>
      <c r="F18" s="20" t="n">
        <v>2</v>
      </c>
      <c r="G18" s="19" t="n">
        <v>22000</v>
      </c>
      <c r="H18" s="21" t="n">
        <f aca="false">E18*F18</f>
        <v>170000</v>
      </c>
      <c r="I18" s="21" t="n">
        <f aca="false">IF(H18&gt;=$P$2,ROUND(H18*$P$3,0),0)</f>
        <v>0</v>
      </c>
      <c r="J18" s="21" t="n">
        <f aca="false">IF(H18-I18&gt;=$P$4,0,G18)</f>
        <v>22000</v>
      </c>
      <c r="K18" s="21" t="n">
        <f aca="false">H18-I18+J18</f>
        <v>192000</v>
      </c>
      <c r="L18" s="21" t="n">
        <f aca="false">ROUND((H18-I18)*VLOOKUP(D18,Acuan!$A$2:$B$4,2,FALSE()),0)</f>
        <v>5100</v>
      </c>
      <c r="M18" s="21" t="n">
        <f aca="false">H18-I18-L18</f>
        <v>164900</v>
      </c>
    </row>
    <row r="19" customFormat="false" ht="15" hidden="false" customHeight="false" outlineLevel="0" collapsed="false">
      <c r="A19" s="17" t="s">
        <v>119</v>
      </c>
      <c r="B19" s="18" t="n">
        <v>46307</v>
      </c>
      <c r="C19" s="17" t="s">
        <v>106</v>
      </c>
      <c r="D19" s="17" t="s">
        <v>100</v>
      </c>
      <c r="E19" s="19" t="n">
        <v>235000</v>
      </c>
      <c r="F19" s="20" t="n">
        <v>2</v>
      </c>
      <c r="G19" s="19" t="n">
        <v>22000</v>
      </c>
      <c r="H19" s="21" t="n">
        <f aca="false">E19*F19</f>
        <v>470000</v>
      </c>
      <c r="I19" s="21" t="n">
        <f aca="false">IF(H19&gt;=$P$2,ROUND(H19*$P$3,0),0)</f>
        <v>47000</v>
      </c>
      <c r="J19" s="21" t="n">
        <f aca="false">IF(H19-I19&gt;=$P$4,0,G19)</f>
        <v>0</v>
      </c>
      <c r="K19" s="21" t="n">
        <f aca="false">H19-I19+J19</f>
        <v>423000</v>
      </c>
      <c r="L19" s="21" t="n">
        <f aca="false">ROUND((H19-I19)*VLOOKUP(D19,Acuan!$A$2:$B$4,2,FALSE()),0)</f>
        <v>8460</v>
      </c>
      <c r="M19" s="21" t="n">
        <f aca="false">H19-I19-L19</f>
        <v>414540</v>
      </c>
    </row>
    <row r="20" customFormat="false" ht="15" hidden="false" customHeight="false" outlineLevel="0" collapsed="false">
      <c r="A20" s="17" t="s">
        <v>120</v>
      </c>
      <c r="B20" s="18" t="n">
        <v>46307</v>
      </c>
      <c r="C20" s="17" t="s">
        <v>95</v>
      </c>
      <c r="D20" s="17" t="s">
        <v>100</v>
      </c>
      <c r="E20" s="19" t="n">
        <v>120000</v>
      </c>
      <c r="F20" s="20" t="n">
        <v>2</v>
      </c>
      <c r="G20" s="19" t="n">
        <v>15000</v>
      </c>
      <c r="H20" s="21" t="n">
        <f aca="false">E20*F20</f>
        <v>240000</v>
      </c>
      <c r="I20" s="21" t="n">
        <f aca="false">IF(H20&gt;=$P$2,ROUND(H20*$P$3,0),0)</f>
        <v>0</v>
      </c>
      <c r="J20" s="21" t="n">
        <f aca="false">IF(H20-I20&gt;=$P$4,0,G20)</f>
        <v>15000</v>
      </c>
      <c r="K20" s="21" t="n">
        <f aca="false">H20-I20+J20</f>
        <v>255000</v>
      </c>
      <c r="L20" s="21" t="n">
        <f aca="false">ROUND((H20-I20)*VLOOKUP(D20,Acuan!$A$2:$B$4,2,FALSE()),0)</f>
        <v>4800</v>
      </c>
      <c r="M20" s="21" t="n">
        <f aca="false">H20-I20-L20</f>
        <v>235200</v>
      </c>
    </row>
    <row r="21" customFormat="false" ht="15" hidden="false" customHeight="false" outlineLevel="0" collapsed="false">
      <c r="A21" s="17" t="s">
        <v>121</v>
      </c>
      <c r="B21" s="18" t="n">
        <v>46308</v>
      </c>
      <c r="C21" s="17" t="s">
        <v>88</v>
      </c>
      <c r="D21" s="17" t="s">
        <v>89</v>
      </c>
      <c r="E21" s="19" t="n">
        <v>55000</v>
      </c>
      <c r="F21" s="20" t="n">
        <v>1</v>
      </c>
      <c r="G21" s="19" t="n">
        <v>15000</v>
      </c>
      <c r="H21" s="21" t="n">
        <f aca="false">E21*F21</f>
        <v>55000</v>
      </c>
      <c r="I21" s="21" t="n">
        <f aca="false">IF(H21&gt;=$P$2,ROUND(H21*$P$3,0),0)</f>
        <v>0</v>
      </c>
      <c r="J21" s="21" t="n">
        <f aca="false">IF(H21-I21&gt;=$P$4,0,G21)</f>
        <v>15000</v>
      </c>
      <c r="K21" s="21" t="n">
        <f aca="false">H21-I21+J21</f>
        <v>70000</v>
      </c>
      <c r="L21" s="21" t="n">
        <f aca="false">ROUND((H21-I21)*VLOOKUP(D21,Acuan!$A$2:$B$4,2,FALSE()),0)</f>
        <v>2750</v>
      </c>
      <c r="M21" s="21" t="n">
        <f aca="false">H21-I21-L21</f>
        <v>52250</v>
      </c>
    </row>
    <row r="22" customFormat="false" ht="15" hidden="false" customHeight="false" outlineLevel="0" collapsed="false">
      <c r="A22" s="17" t="s">
        <v>122</v>
      </c>
      <c r="B22" s="18" t="n">
        <v>46308</v>
      </c>
      <c r="C22" s="17" t="s">
        <v>88</v>
      </c>
      <c r="D22" s="17" t="s">
        <v>100</v>
      </c>
      <c r="E22" s="19" t="n">
        <v>55000</v>
      </c>
      <c r="F22" s="20" t="n">
        <v>4</v>
      </c>
      <c r="G22" s="19" t="n">
        <v>18000</v>
      </c>
      <c r="H22" s="21" t="n">
        <f aca="false">E22*F22</f>
        <v>220000</v>
      </c>
      <c r="I22" s="21" t="n">
        <f aca="false">IF(H22&gt;=$P$2,ROUND(H22*$P$3,0),0)</f>
        <v>0</v>
      </c>
      <c r="J22" s="21" t="n">
        <f aca="false">IF(H22-I22&gt;=$P$4,0,G22)</f>
        <v>18000</v>
      </c>
      <c r="K22" s="21" t="n">
        <f aca="false">H22-I22+J22</f>
        <v>238000</v>
      </c>
      <c r="L22" s="21" t="n">
        <f aca="false">ROUND((H22-I22)*VLOOKUP(D22,Acuan!$A$2:$B$4,2,FALSE()),0)</f>
        <v>4400</v>
      </c>
      <c r="M22" s="21" t="n">
        <f aca="false">H22-I22-L22</f>
        <v>215600</v>
      </c>
    </row>
    <row r="23" customFormat="false" ht="15" hidden="false" customHeight="false" outlineLevel="0" collapsed="false">
      <c r="A23" s="17" t="s">
        <v>123</v>
      </c>
      <c r="B23" s="18" t="n">
        <v>46309</v>
      </c>
      <c r="C23" s="17" t="s">
        <v>102</v>
      </c>
      <c r="D23" s="17" t="s">
        <v>89</v>
      </c>
      <c r="E23" s="19" t="n">
        <v>180000</v>
      </c>
      <c r="F23" s="20" t="n">
        <v>1</v>
      </c>
      <c r="G23" s="19" t="n">
        <v>12000</v>
      </c>
      <c r="H23" s="21" t="n">
        <f aca="false">E23*F23</f>
        <v>180000</v>
      </c>
      <c r="I23" s="21" t="n">
        <f aca="false">IF(H23&gt;=$P$2,ROUND(H23*$P$3,0),0)</f>
        <v>0</v>
      </c>
      <c r="J23" s="21" t="n">
        <f aca="false">IF(H23-I23&gt;=$P$4,0,G23)</f>
        <v>12000</v>
      </c>
      <c r="K23" s="21" t="n">
        <f aca="false">H23-I23+J23</f>
        <v>192000</v>
      </c>
      <c r="L23" s="21" t="n">
        <f aca="false">ROUND((H23-I23)*VLOOKUP(D23,Acuan!$A$2:$B$4,2,FALSE()),0)</f>
        <v>9000</v>
      </c>
      <c r="M23" s="21" t="n">
        <f aca="false">H23-I23-L23</f>
        <v>171000</v>
      </c>
    </row>
    <row r="24" customFormat="false" ht="15" hidden="false" customHeight="false" outlineLevel="0" collapsed="false">
      <c r="A24" s="17" t="s">
        <v>124</v>
      </c>
      <c r="B24" s="18" t="n">
        <v>46309</v>
      </c>
      <c r="C24" s="17" t="s">
        <v>104</v>
      </c>
      <c r="D24" s="17" t="s">
        <v>100</v>
      </c>
      <c r="E24" s="19" t="n">
        <v>45000</v>
      </c>
      <c r="F24" s="20" t="n">
        <v>2</v>
      </c>
      <c r="G24" s="19" t="n">
        <v>12000</v>
      </c>
      <c r="H24" s="21" t="n">
        <f aca="false">E24*F24</f>
        <v>90000</v>
      </c>
      <c r="I24" s="21" t="n">
        <f aca="false">IF(H24&gt;=$P$2,ROUND(H24*$P$3,0),0)</f>
        <v>0</v>
      </c>
      <c r="J24" s="21" t="n">
        <f aca="false">IF(H24-I24&gt;=$P$4,0,G24)</f>
        <v>12000</v>
      </c>
      <c r="K24" s="21" t="n">
        <f aca="false">H24-I24+J24</f>
        <v>102000</v>
      </c>
      <c r="L24" s="21" t="n">
        <f aca="false">ROUND((H24-I24)*VLOOKUP(D24,Acuan!$A$2:$B$4,2,FALSE()),0)</f>
        <v>1800</v>
      </c>
      <c r="M24" s="21" t="n">
        <f aca="false">H24-I24-L24</f>
        <v>88200</v>
      </c>
    </row>
    <row r="25" customFormat="false" ht="15" hidden="false" customHeight="false" outlineLevel="0" collapsed="false">
      <c r="A25" s="17" t="s">
        <v>125</v>
      </c>
      <c r="B25" s="18" t="n">
        <v>46310</v>
      </c>
      <c r="C25" s="17" t="s">
        <v>99</v>
      </c>
      <c r="D25" s="17" t="s">
        <v>109</v>
      </c>
      <c r="E25" s="19" t="n">
        <v>65000</v>
      </c>
      <c r="F25" s="20" t="n">
        <v>1</v>
      </c>
      <c r="G25" s="19" t="n">
        <v>12000</v>
      </c>
      <c r="H25" s="21" t="n">
        <f aca="false">E25*F25</f>
        <v>65000</v>
      </c>
      <c r="I25" s="21" t="n">
        <f aca="false">IF(H25&gt;=$P$2,ROUND(H25*$P$3,0),0)</f>
        <v>0</v>
      </c>
      <c r="J25" s="21" t="n">
        <f aca="false">IF(H25-I25&gt;=$P$4,0,G25)</f>
        <v>12000</v>
      </c>
      <c r="K25" s="21" t="n">
        <f aca="false">H25-I25+J25</f>
        <v>77000</v>
      </c>
      <c r="L25" s="21" t="n">
        <f aca="false">ROUND((H25-I25)*VLOOKUP(D25,Acuan!$A$2:$B$4,2,FALSE()),0)</f>
        <v>1950</v>
      </c>
      <c r="M25" s="21" t="n">
        <f aca="false">H25-I25-L25</f>
        <v>63050</v>
      </c>
    </row>
    <row r="26" customFormat="false" ht="15" hidden="false" customHeight="false" outlineLevel="0" collapsed="false">
      <c r="A26" s="17" t="s">
        <v>126</v>
      </c>
      <c r="B26" s="18" t="n">
        <v>46310</v>
      </c>
      <c r="C26" s="17" t="s">
        <v>88</v>
      </c>
      <c r="D26" s="17" t="s">
        <v>109</v>
      </c>
      <c r="E26" s="19" t="n">
        <v>55000</v>
      </c>
      <c r="F26" s="20" t="n">
        <v>2</v>
      </c>
      <c r="G26" s="19" t="n">
        <v>9000</v>
      </c>
      <c r="H26" s="21" t="n">
        <f aca="false">E26*F26</f>
        <v>110000</v>
      </c>
      <c r="I26" s="21" t="n">
        <f aca="false">IF(H26&gt;=$P$2,ROUND(H26*$P$3,0),0)</f>
        <v>0</v>
      </c>
      <c r="J26" s="21" t="n">
        <f aca="false">IF(H26-I26&gt;=$P$4,0,G26)</f>
        <v>9000</v>
      </c>
      <c r="K26" s="21" t="n">
        <f aca="false">H26-I26+J26</f>
        <v>119000</v>
      </c>
      <c r="L26" s="21" t="n">
        <f aca="false">ROUND((H26-I26)*VLOOKUP(D26,Acuan!$A$2:$B$4,2,FALSE()),0)</f>
        <v>3300</v>
      </c>
      <c r="M26" s="21" t="n">
        <f aca="false">H26-I26-L26</f>
        <v>106700</v>
      </c>
    </row>
    <row r="27" customFormat="false" ht="15" hidden="false" customHeight="false" outlineLevel="0" collapsed="false">
      <c r="A27" s="17" t="s">
        <v>127</v>
      </c>
      <c r="B27" s="18" t="n">
        <v>46310</v>
      </c>
      <c r="C27" s="17" t="s">
        <v>108</v>
      </c>
      <c r="D27" s="17" t="s">
        <v>109</v>
      </c>
      <c r="E27" s="19" t="n">
        <v>30000</v>
      </c>
      <c r="F27" s="20" t="n">
        <v>3</v>
      </c>
      <c r="G27" s="19" t="n">
        <v>12000</v>
      </c>
      <c r="H27" s="21" t="n">
        <f aca="false">E27*F27</f>
        <v>90000</v>
      </c>
      <c r="I27" s="21" t="n">
        <f aca="false">IF(H27&gt;=$P$2,ROUND(H27*$P$3,0),0)</f>
        <v>0</v>
      </c>
      <c r="J27" s="21" t="n">
        <f aca="false">IF(H27-I27&gt;=$P$4,0,G27)</f>
        <v>12000</v>
      </c>
      <c r="K27" s="21" t="n">
        <f aca="false">H27-I27+J27</f>
        <v>102000</v>
      </c>
      <c r="L27" s="21" t="n">
        <f aca="false">ROUND((H27-I27)*VLOOKUP(D27,Acuan!$A$2:$B$4,2,FALSE()),0)</f>
        <v>2700</v>
      </c>
      <c r="M27" s="21" t="n">
        <f aca="false">H27-I27-L27</f>
        <v>87300</v>
      </c>
    </row>
    <row r="28" customFormat="false" ht="15" hidden="false" customHeight="false" outlineLevel="0" collapsed="false">
      <c r="A28" s="17" t="s">
        <v>128</v>
      </c>
      <c r="B28" s="18" t="n">
        <v>46311</v>
      </c>
      <c r="C28" s="17" t="s">
        <v>102</v>
      </c>
      <c r="D28" s="17" t="s">
        <v>109</v>
      </c>
      <c r="E28" s="19" t="n">
        <v>180000</v>
      </c>
      <c r="F28" s="20" t="n">
        <v>1</v>
      </c>
      <c r="G28" s="19" t="n">
        <v>22000</v>
      </c>
      <c r="H28" s="21" t="n">
        <f aca="false">E28*F28</f>
        <v>180000</v>
      </c>
      <c r="I28" s="21" t="n">
        <f aca="false">IF(H28&gt;=$P$2,ROUND(H28*$P$3,0),0)</f>
        <v>0</v>
      </c>
      <c r="J28" s="21" t="n">
        <f aca="false">IF(H28-I28&gt;=$P$4,0,G28)</f>
        <v>22000</v>
      </c>
      <c r="K28" s="21" t="n">
        <f aca="false">H28-I28+J28</f>
        <v>202000</v>
      </c>
      <c r="L28" s="21" t="n">
        <f aca="false">ROUND((H28-I28)*VLOOKUP(D28,Acuan!$A$2:$B$4,2,FALSE()),0)</f>
        <v>5400</v>
      </c>
      <c r="M28" s="21" t="n">
        <f aca="false">H28-I28-L28</f>
        <v>174600</v>
      </c>
    </row>
    <row r="29" customFormat="false" ht="15" hidden="false" customHeight="false" outlineLevel="0" collapsed="false">
      <c r="A29" s="17" t="s">
        <v>129</v>
      </c>
      <c r="B29" s="18" t="n">
        <v>46311</v>
      </c>
      <c r="C29" s="17" t="s">
        <v>88</v>
      </c>
      <c r="D29" s="17" t="s">
        <v>100</v>
      </c>
      <c r="E29" s="19" t="n">
        <v>55000</v>
      </c>
      <c r="F29" s="20" t="n">
        <v>4</v>
      </c>
      <c r="G29" s="19" t="n">
        <v>18000</v>
      </c>
      <c r="H29" s="21" t="n">
        <f aca="false">E29*F29</f>
        <v>220000</v>
      </c>
      <c r="I29" s="21" t="n">
        <f aca="false">IF(H29&gt;=$P$2,ROUND(H29*$P$3,0),0)</f>
        <v>0</v>
      </c>
      <c r="J29" s="21" t="n">
        <f aca="false">IF(H29-I29&gt;=$P$4,0,G29)</f>
        <v>18000</v>
      </c>
      <c r="K29" s="21" t="n">
        <f aca="false">H29-I29+J29</f>
        <v>238000</v>
      </c>
      <c r="L29" s="21" t="n">
        <f aca="false">ROUND((H29-I29)*VLOOKUP(D29,Acuan!$A$2:$B$4,2,FALSE()),0)</f>
        <v>4400</v>
      </c>
      <c r="M29" s="21" t="n">
        <f aca="false">H29-I29-L29</f>
        <v>215600</v>
      </c>
    </row>
    <row r="30" customFormat="false" ht="15" hidden="false" customHeight="false" outlineLevel="0" collapsed="false">
      <c r="A30" s="17" t="s">
        <v>130</v>
      </c>
      <c r="B30" s="18" t="n">
        <v>46312</v>
      </c>
      <c r="C30" s="17" t="s">
        <v>99</v>
      </c>
      <c r="D30" s="17" t="s">
        <v>89</v>
      </c>
      <c r="E30" s="19" t="n">
        <v>65000</v>
      </c>
      <c r="F30" s="20" t="n">
        <v>1</v>
      </c>
      <c r="G30" s="19" t="n">
        <v>18000</v>
      </c>
      <c r="H30" s="21" t="n">
        <f aca="false">E30*F30</f>
        <v>65000</v>
      </c>
      <c r="I30" s="21" t="n">
        <f aca="false">IF(H30&gt;=$P$2,ROUND(H30*$P$3,0),0)</f>
        <v>0</v>
      </c>
      <c r="J30" s="21" t="n">
        <f aca="false">IF(H30-I30&gt;=$P$4,0,G30)</f>
        <v>18000</v>
      </c>
      <c r="K30" s="21" t="n">
        <f aca="false">H30-I30+J30</f>
        <v>83000</v>
      </c>
      <c r="L30" s="21" t="n">
        <f aca="false">ROUND((H30-I30)*VLOOKUP(D30,Acuan!$A$2:$B$4,2,FALSE()),0)</f>
        <v>3250</v>
      </c>
      <c r="M30" s="21" t="n">
        <f aca="false">H30-I30-L30</f>
        <v>61750</v>
      </c>
    </row>
    <row r="31" customFormat="false" ht="15" hidden="false" customHeight="false" outlineLevel="0" collapsed="false">
      <c r="A31" s="17" t="s">
        <v>131</v>
      </c>
      <c r="B31" s="18" t="n">
        <v>46312</v>
      </c>
      <c r="C31" s="17" t="s">
        <v>108</v>
      </c>
      <c r="D31" s="17" t="s">
        <v>109</v>
      </c>
      <c r="E31" s="19" t="n">
        <v>30000</v>
      </c>
      <c r="F31" s="20" t="n">
        <v>2</v>
      </c>
      <c r="G31" s="19" t="n">
        <v>12000</v>
      </c>
      <c r="H31" s="21" t="n">
        <f aca="false">E31*F31</f>
        <v>60000</v>
      </c>
      <c r="I31" s="21" t="n">
        <f aca="false">IF(H31&gt;=$P$2,ROUND(H31*$P$3,0),0)</f>
        <v>0</v>
      </c>
      <c r="J31" s="21" t="n">
        <f aca="false">IF(H31-I31&gt;=$P$4,0,G31)</f>
        <v>12000</v>
      </c>
      <c r="K31" s="21" t="n">
        <f aca="false">H31-I31+J31</f>
        <v>72000</v>
      </c>
      <c r="L31" s="21" t="n">
        <f aca="false">ROUND((H31-I31)*VLOOKUP(D31,Acuan!$A$2:$B$4,2,FALSE()),0)</f>
        <v>1800</v>
      </c>
      <c r="M31" s="21" t="n">
        <f aca="false">H31-I31-L31</f>
        <v>58200</v>
      </c>
    </row>
    <row r="32" customFormat="false" ht="15" hidden="false" customHeight="false" outlineLevel="0" collapsed="false">
      <c r="A32" s="17" t="s">
        <v>132</v>
      </c>
      <c r="B32" s="18" t="n">
        <v>46313</v>
      </c>
      <c r="C32" s="17" t="s">
        <v>88</v>
      </c>
      <c r="D32" s="17" t="s">
        <v>109</v>
      </c>
      <c r="E32" s="19" t="n">
        <v>55000</v>
      </c>
      <c r="F32" s="20" t="n">
        <v>1</v>
      </c>
      <c r="G32" s="19" t="n">
        <v>22000</v>
      </c>
      <c r="H32" s="21" t="n">
        <f aca="false">E32*F32</f>
        <v>55000</v>
      </c>
      <c r="I32" s="21" t="n">
        <f aca="false">IF(H32&gt;=$P$2,ROUND(H32*$P$3,0),0)</f>
        <v>0</v>
      </c>
      <c r="J32" s="21" t="n">
        <f aca="false">IF(H32-I32&gt;=$P$4,0,G32)</f>
        <v>22000</v>
      </c>
      <c r="K32" s="21" t="n">
        <f aca="false">H32-I32+J32</f>
        <v>77000</v>
      </c>
      <c r="L32" s="21" t="n">
        <f aca="false">ROUND((H32-I32)*VLOOKUP(D32,Acuan!$A$2:$B$4,2,FALSE()),0)</f>
        <v>1650</v>
      </c>
      <c r="M32" s="21" t="n">
        <f aca="false">H32-I32-L32</f>
        <v>53350</v>
      </c>
    </row>
    <row r="33" customFormat="false" ht="15" hidden="false" customHeight="false" outlineLevel="0" collapsed="false">
      <c r="A33" s="17" t="s">
        <v>133</v>
      </c>
      <c r="B33" s="18" t="n">
        <v>46313</v>
      </c>
      <c r="C33" s="17" t="s">
        <v>106</v>
      </c>
      <c r="D33" s="17" t="s">
        <v>89</v>
      </c>
      <c r="E33" s="19" t="n">
        <v>235000</v>
      </c>
      <c r="F33" s="20" t="n">
        <v>3</v>
      </c>
      <c r="G33" s="19" t="n">
        <v>9000</v>
      </c>
      <c r="H33" s="21" t="n">
        <f aca="false">E33*F33</f>
        <v>705000</v>
      </c>
      <c r="I33" s="21" t="n">
        <f aca="false">IF(H33&gt;=$P$2,ROUND(H33*$P$3,0),0)</f>
        <v>70500</v>
      </c>
      <c r="J33" s="21" t="n">
        <f aca="false">IF(H33-I33&gt;=$P$4,0,G33)</f>
        <v>0</v>
      </c>
      <c r="K33" s="21" t="n">
        <f aca="false">H33-I33+J33</f>
        <v>634500</v>
      </c>
      <c r="L33" s="21" t="n">
        <f aca="false">ROUND((H33-I33)*VLOOKUP(D33,Acuan!$A$2:$B$4,2,FALSE()),0)</f>
        <v>31725</v>
      </c>
      <c r="M33" s="21" t="n">
        <f aca="false">H33-I33-L33</f>
        <v>602775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3"/>
    <col collapsed="false" customWidth="true" hidden="false" outlineLevel="0" max="3" min="3" style="0" width="14"/>
    <col collapsed="false" customWidth="true" hidden="false" outlineLevel="0" max="4" min="4" style="0" width="16"/>
  </cols>
  <sheetData>
    <row r="1" customFormat="false" ht="33.75" hidden="false" customHeight="true" outlineLevel="0" collapsed="false">
      <c r="A1" s="11" t="s">
        <v>74</v>
      </c>
      <c r="B1" s="11" t="s">
        <v>134</v>
      </c>
      <c r="C1" s="15" t="s">
        <v>135</v>
      </c>
      <c r="D1" s="15" t="s">
        <v>136</v>
      </c>
    </row>
    <row r="2" customFormat="false" ht="15" hidden="false" customHeight="false" outlineLevel="0" collapsed="false">
      <c r="A2" s="17" t="s">
        <v>89</v>
      </c>
      <c r="B2" s="25" t="n">
        <v>0.05</v>
      </c>
      <c r="C2" s="26" t="n">
        <f aca="false">COUNTIF(Data!$D$2:$D$33,A2)</f>
        <v>13</v>
      </c>
      <c r="D2" s="21" t="n">
        <f aca="false">SUMIF(Data!$D$2:$D$33,A2,Data!$K$2:$K$33)</f>
        <v>3218000</v>
      </c>
    </row>
    <row r="3" customFormat="false" ht="15" hidden="false" customHeight="false" outlineLevel="0" collapsed="false">
      <c r="A3" s="17" t="s">
        <v>109</v>
      </c>
      <c r="B3" s="25" t="n">
        <v>0.03</v>
      </c>
      <c r="C3" s="26" t="n">
        <f aca="false">COUNTIF(Data!$D$2:$D$33,A3)</f>
        <v>10</v>
      </c>
      <c r="D3" s="21" t="n">
        <f aca="false">SUMIF(Data!$D$2:$D$33,A3,Data!$K$2:$K$33)</f>
        <v>1277500</v>
      </c>
    </row>
    <row r="4" customFormat="false" ht="15" hidden="false" customHeight="false" outlineLevel="0" collapsed="false">
      <c r="A4" s="17" t="s">
        <v>100</v>
      </c>
      <c r="B4" s="25" t="n">
        <v>0.02</v>
      </c>
      <c r="C4" s="26" t="n">
        <f aca="false">COUNTIF(Data!$D$2:$D$33,A4)</f>
        <v>9</v>
      </c>
      <c r="D4" s="21" t="n">
        <f aca="false">SUMIF(Data!$D$2:$D$33,A4,Data!$K$2:$K$33)</f>
        <v>1808000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7" t="s">
        <v>137</v>
      </c>
      <c r="B1" s="27"/>
      <c r="C1" s="27"/>
      <c r="D1" s="27"/>
    </row>
    <row r="2" customFormat="false" ht="15" hidden="false" customHeight="false" outlineLevel="0" collapsed="false">
      <c r="A2" s="28" t="s">
        <v>138</v>
      </c>
      <c r="B2" s="28"/>
      <c r="C2" s="28"/>
      <c r="D2" s="28"/>
    </row>
    <row r="3" customFormat="false" ht="15" hidden="false" customHeight="false" outlineLevel="0" collapsed="false">
      <c r="A3" s="11" t="s">
        <v>19</v>
      </c>
      <c r="B3" s="11" t="s">
        <v>139</v>
      </c>
      <c r="C3" s="11" t="s">
        <v>140</v>
      </c>
      <c r="D3" s="11" t="s">
        <v>141</v>
      </c>
    </row>
    <row r="4" customFormat="false" ht="15" hidden="false" customHeight="false" outlineLevel="0" collapsed="false">
      <c r="A4" s="29" t="s">
        <v>142</v>
      </c>
      <c r="B4" s="30" t="s">
        <v>143</v>
      </c>
      <c r="C4" s="21" t="n">
        <f aca="false">SUM(Data!$K$2:$K$33)</f>
        <v>6303500</v>
      </c>
      <c r="D4" s="31" t="s">
        <v>144</v>
      </c>
    </row>
    <row r="5" customFormat="false" ht="15" hidden="false" customHeight="false" outlineLevel="0" collapsed="false">
      <c r="A5" s="29" t="s">
        <v>145</v>
      </c>
      <c r="B5" s="30" t="s">
        <v>146</v>
      </c>
      <c r="C5" s="21" t="n">
        <f aca="false">SUM(Data!$M$2:$M$33)</f>
        <v>5663105</v>
      </c>
      <c r="D5" s="31" t="s">
        <v>147</v>
      </c>
    </row>
    <row r="6" customFormat="false" ht="15" hidden="false" customHeight="false" outlineLevel="0" collapsed="false">
      <c r="A6" s="29" t="s">
        <v>148</v>
      </c>
      <c r="B6" s="30" t="s">
        <v>149</v>
      </c>
      <c r="C6" s="26" t="n">
        <f aca="false">COUNTIF(Data!$I$2:$I$33,"&gt;0")</f>
        <v>7</v>
      </c>
      <c r="D6" s="31" t="s">
        <v>150</v>
      </c>
    </row>
    <row r="7" customFormat="false" ht="15" hidden="false" customHeight="false" outlineLevel="0" collapsed="false">
      <c r="A7" s="29" t="s">
        <v>151</v>
      </c>
      <c r="B7" s="30" t="s">
        <v>152</v>
      </c>
      <c r="C7" s="26" t="n">
        <f aca="false">COUNTIF(Data!$J$2:$J$33,0)</f>
        <v>5</v>
      </c>
      <c r="D7" s="31" t="s">
        <v>153</v>
      </c>
    </row>
    <row r="8" customFormat="false" ht="15" hidden="false" customHeight="false" outlineLevel="0" collapsed="false">
      <c r="A8" s="29" t="s">
        <v>154</v>
      </c>
      <c r="B8" s="30" t="s">
        <v>155</v>
      </c>
      <c r="C8" s="32" t="str">
        <f aca="false">INDEX(Acuan!$A$2:$A$4,MATCH(MAX(Acuan!$D$2:$D$4),Acuan!$D$2:$D$4,0))</f>
        <v>Pasar Digital</v>
      </c>
      <c r="D8" s="31" t="s">
        <v>156</v>
      </c>
    </row>
    <row r="9" customFormat="false" ht="15" hidden="false" customHeight="false" outlineLevel="0" collapsed="false">
      <c r="A9" s="29" t="s">
        <v>157</v>
      </c>
      <c r="B9" s="30" t="s">
        <v>158</v>
      </c>
      <c r="C9" s="21" t="n">
        <f aca="false">AVERAGE(Data!$K$2:$K$33)</f>
        <v>196984.375</v>
      </c>
      <c r="D9" s="31" t="s">
        <v>159</v>
      </c>
    </row>
    <row r="10" customFormat="false" ht="15" hidden="false" customHeight="false" outlineLevel="0" collapsed="false">
      <c r="A10" s="29" t="s">
        <v>160</v>
      </c>
      <c r="B10" s="30" t="s">
        <v>161</v>
      </c>
      <c r="C10" s="32" t="str">
        <f aca="false">INDEX(Data!$C$2:$C$33,MATCH(MAX(Data!$K$2:$K$33),Data!$K$2:$K$33,0))</f>
        <v>Sepatu Kets</v>
      </c>
      <c r="D10" s="31" t="s">
        <v>162</v>
      </c>
    </row>
    <row r="11" customFormat="false" ht="15" hidden="false" customHeight="false" outlineLevel="0" collapsed="false">
      <c r="A11" s="29" t="s">
        <v>163</v>
      </c>
      <c r="B11" s="30" t="s">
        <v>164</v>
      </c>
      <c r="C11" s="21" t="n">
        <f aca="false">MAX(Data!$K$2:$K$33)</f>
        <v>634500</v>
      </c>
      <c r="D11" s="31" t="s">
        <v>165</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2026-10-15T23:39:06Z</dcterms:created>
  <dc:creator>PushExcel</dc:creator>
  <dc:description/>
  <dc:language>en-US</dc:language>
  <cp:lastModifiedBy/>
  <dcterms:modified xsi:type="dcterms:W3CDTF">2026-10-15T23:39:06Z</dcterms:modified>
  <cp:revision>0</cp:revision>
  <dc:subject/>
  <dc:title>Rekap Penjualan Toko Online Harian - Kunci</dc:title>
</cp:coreProperties>
</file>

<file path=docProps/custom.xml><?xml version="1.0" encoding="utf-8"?>
<Properties xmlns="http://schemas.openxmlformats.org/officeDocument/2006/custom-properties" xmlns:vt="http://schemas.openxmlformats.org/officeDocument/2006/docPropsVTypes"/>
</file>