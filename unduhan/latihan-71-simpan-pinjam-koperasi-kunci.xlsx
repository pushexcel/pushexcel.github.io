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<sst xmlns="http://schemas.openxmlformats.org/spreadsheetml/2006/main" count="175" uniqueCount="172">
  <si>
    <t xml:space="preserve">Kunci Jawaban: Simpan Pinjam Koperasi: Simpanan, Plafon, dan Angsuran</t>
  </si>
  <si>
    <t xml:space="preserve">Latihan 71 dari 40  |  Tingkat: Menengah  |  Perkiraan waktu: 50 menit  |  pushexcel.github.io/Pushexcel</t>
  </si>
  <si>
    <t xml:space="preserve">Skenario</t>
  </si>
  <si>
    <t xml:space="preserve">Kamu pengurus Koperasi Maju Bersama yang mencatat 32 anggota. Setiap anggota membayar simpanan pokok Rp 100.000 satu kali dan simpanan wajib Rp 50.000 per bulan sejak bulan bergabung, ditambah simpanan sukarela bila ada. Lama keanggotaan dihitung dalam bulan penuh sampai tanggal acuan 31 Oktober 2026. Golongan dan plafon pinjaman ditentukan dari total simpanan memakai tabel di sheet Acuan. Pinjaman disetujui bila jumlahnya tidak melebihi plafon, selain itu ditolak. Bunga flat 1 persen per bulan dihitung dari pokok pinjaman dikali tenor, lalu angsuran per bulan adalah pokok ditambah bunga dibagi tenor, dibulatkan ke rupiah. Anggota yang tidak meminjam ditandai Tidak Ada.</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</si>
  <si>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</si>
  <si>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</si>
  <si>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</si>
  <si>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</si>
  <si>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</si>
  <si>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</si>
  <si>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</si>
  <si>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</si>
  <si>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</si>
  <si>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</si>
  <si>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</si>
  <si>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</si>
  <si>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</si>
  <si>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</si>
  <si>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</si>
  <si>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</si>
  <si>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</si>
  <si>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</si>
  <si>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</si>
  <si>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</si>
  <si>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lama keanggotaan dalam bulan penuh dari tanggal masuk sampai tanggal acuan.</t>
  </si>
  <si>
    <t xml:space="preserve">Sheet Data, kolom F (Lama Anggota (Bulan)), baris 2 sampai 33</t>
  </si>
  <si>
    <t xml:space="preserve">=DATEDIF(B2;$P$2;"m")</t>
  </si>
  <si>
    <t xml:space="preserve">2</t>
  </si>
  <si>
    <t xml:space="preserve">Hitung simpanan wajib terkumpul: lama anggota dalam bulan dikali simpanan wajib per bulan.</t>
  </si>
  <si>
    <t xml:space="preserve">Sheet Data, kolom G (Simpanan Wajib), baris 2 sampai 33</t>
  </si>
  <si>
    <t xml:space="preserve">=F2*$P$4</t>
  </si>
  <si>
    <t xml:space="preserve">3</t>
  </si>
  <si>
    <t xml:space="preserve">Hitung total simpanan: simpanan pokok ditambah simpanan wajib ditambah simpanan sukarela.</t>
  </si>
  <si>
    <t xml:space="preserve">Sheet Data, kolom H (Total Simpanan), baris 2 sampai 33</t>
  </si>
  <si>
    <t xml:space="preserve">=$P$3+G2+C2</t>
  </si>
  <si>
    <t xml:space="preserve">4</t>
  </si>
  <si>
    <t xml:space="preserve">Tentukan golongan anggota dari total simpanan memakai tabel di sheet Acuan (pencocokan perkiraan, bukan persis).</t>
  </si>
  <si>
    <t xml:space="preserve">Sheet Data, kolom I (Golongan), baris 2 sampai 33</t>
  </si>
  <si>
    <t xml:space="preserve">=VLOOKUP(H2;Acuan!$A$2:$C$5;2;TRUE)</t>
  </si>
  <si>
    <t xml:space="preserve">5</t>
  </si>
  <si>
    <t xml:space="preserve">Ambil plafon pinjaman anggota dari tabel Acuan berdasarkan total simpanan.</t>
  </si>
  <si>
    <t xml:space="preserve">Sheet Data, kolom J (Plafon Pinjaman), baris 2 sampai 33</t>
  </si>
  <si>
    <t xml:space="preserve">=VLOOKUP(H2;Acuan!$A$2:$C$5;3;TRUE)</t>
  </si>
  <si>
    <t xml:space="preserve">6</t>
  </si>
  <si>
    <t xml:space="preserve">Beri status: Tidak Ada bila pinjaman 0, Disetujui bila pinjaman tidak melebihi plafon, selain itu Ditolak.</t>
  </si>
  <si>
    <t xml:space="preserve">Sheet Data, kolom K (Status Pinjaman), baris 2 sampai 33</t>
  </si>
  <si>
    <t xml:space="preserve">=IF(D2=0;"Tidak Ada";IF(D2&lt;=J2;"Disetujui";"Ditolak"))</t>
  </si>
  <si>
    <t xml:space="preserve">7</t>
  </si>
  <si>
    <t xml:space="preserve">Hitung total bunga flat untuk pinjaman yang Disetujui: pokok pinjaman dikali bunga per bulan dikali tenor. Selain itu 0.</t>
  </si>
  <si>
    <t xml:space="preserve">Sheet Data, kolom L (Total Bunga), baris 2 sampai 33</t>
  </si>
  <si>
    <t xml:space="preserve">=IF(K2="Disetujui";D2*$P$5*E2;0)</t>
  </si>
  <si>
    <t xml:space="preserve">8</t>
  </si>
  <si>
    <t xml:space="preserve">Hitung angsuran per bulan untuk pinjaman yang Disetujui: (pinjaman + total bunga) dibagi tenor, dibulatkan ke rupiah. Selain itu 0.</t>
  </si>
  <si>
    <t xml:space="preserve">Sheet Data, kolom M (Angsuran per Bulan), baris 2 sampai 33</t>
  </si>
  <si>
    <t xml:space="preserve">=IF(K2="Disetujui";ROUND((D2+L2)/E2;0);0)</t>
  </si>
  <si>
    <t xml:space="preserve">9</t>
  </si>
  <si>
    <t xml:space="preserve">Pada sheet Acuan, hitung jumlah anggota tiap golongan.</t>
  </si>
  <si>
    <t xml:space="preserve">Sheet Acuan, kolom D (Jumlah Anggota), baris 2 sampai 5</t>
  </si>
  <si>
    <t xml:space="preserve">=COUNTIF(Data!$I$2:$I$33;B2)</t>
  </si>
  <si>
    <t xml:space="preserve">10</t>
  </si>
  <si>
    <t xml:space="preserve">Pada sheet Acuan, hitung total pinjaman yang berstatus Disetujui untuk tiap golongan.</t>
  </si>
  <si>
    <t xml:space="preserve">Sheet Acuan, kolom E (Pinjaman Disetujui), baris 2 sampai 5</t>
  </si>
  <si>
    <t xml:space="preserve">=SUMIFS(Data!$D$2:$D$33;Data!$I$2:$I$33;B2;Data!$K$2:$K$33;"Disetujui")</t>
  </si>
  <si>
    <t xml:space="preserve">11</t>
  </si>
  <si>
    <t xml:space="preserve">Berapa total simpanan seluruh anggota, dan berapa rata-rata lama keanggotaan (bulan)?</t>
  </si>
  <si>
    <t xml:space="preserve">Sheet Ringkasan, sel C4 sampai C5</t>
  </si>
  <si>
    <t xml:space="preserve">=SUM(Data!$H$2:$H$33)
=AVERAGE(Data!$F$2:$F$33)</t>
  </si>
  <si>
    <t xml:space="preserve">12</t>
  </si>
  <si>
    <t xml:space="preserve">Berapa pengajuan yang Disetujui dan yang Ditolak, dan berapa total pinjaman yang disetujui?</t>
  </si>
  <si>
    <t xml:space="preserve">Sheet Ringkasan, sel C6 sampai C8</t>
  </si>
  <si>
    <t xml:space="preserve">=COUNTIF(Data!$K$2:$K$33;"Disetujui")
=COUNTIF(Data!$K$2:$K$33;"Ditolak")
=SUMIF(Data!$K$2:$K$33;"Disetujui";Data!$D$2:$D$33)</t>
  </si>
  <si>
    <t xml:space="preserve">13</t>
  </si>
  <si>
    <t xml:space="preserve">Siapa anggota dengan angsuran per bulan terbesar, dan golongan apa yang anggotanya terbanyak?</t>
  </si>
  <si>
    <t xml:space="preserve">Sheet Ringkasan, sel C9 sampai C10</t>
  </si>
  <si>
    <t xml:space="preserve">=INDEX(Data!$A$2:$A$33;MATCH(MAX(Data!$M$2:$M$33);Data!$M$2:$M$33;0))
=INDEX(Acuan!$B$2:$B$5;MATCH(MAX(Acuan!$D$2:$D$5);Acuan!$D$2:$D$5;0))</t>
  </si>
  <si>
    <t xml:space="preserve">14</t>
  </si>
  <si>
    <t xml:space="preserve">Berapa total bunga seluruh pinjaman disetujui, dan berapa total angsuran per bulan yang harus ditagih?</t>
  </si>
  <si>
    <t xml:space="preserve">Sheet Ringkasan, sel C11 sampai C12</t>
  </si>
  <si>
    <t xml:space="preserve">=SUM(Data!$L$2:$L$33)
=SUM(Data!$M$2:$M$33)</t>
  </si>
  <si>
    <t xml:space="preserve">Nama Anggota</t>
  </si>
  <si>
    <t xml:space="preserve">Tanggal Masuk</t>
  </si>
  <si>
    <t xml:space="preserve">Simpanan Sukarela</t>
  </si>
  <si>
    <t xml:space="preserve">Pinjaman</t>
  </si>
  <si>
    <t xml:space="preserve">Tenor (Bulan)</t>
  </si>
  <si>
    <t xml:space="preserve">Lama Anggota (Bulan)</t>
  </si>
  <si>
    <t xml:space="preserve">Simpanan Wajib</t>
  </si>
  <si>
    <t xml:space="preserve">Total Simpanan</t>
  </si>
  <si>
    <t xml:space="preserve">Golongan</t>
  </si>
  <si>
    <t xml:space="preserve">Plafon Pinjaman</t>
  </si>
  <si>
    <t xml:space="preserve">Status Pinjaman</t>
  </si>
  <si>
    <t xml:space="preserve">Total Bunga</t>
  </si>
  <si>
    <t xml:space="preserve">Angsuran per Bulan</t>
  </si>
  <si>
    <t xml:space="preserve">Parameter</t>
  </si>
  <si>
    <t xml:space="preserve">Nilai</t>
  </si>
  <si>
    <t xml:space="preserve">Keterangan</t>
  </si>
  <si>
    <t xml:space="preserve">Prasetyo Pratama</t>
  </si>
  <si>
    <t xml:space="preserve">Tanggal acuan</t>
  </si>
  <si>
    <t xml:space="preserve">Batas perhitungan lama anggota</t>
  </si>
  <si>
    <t xml:space="preserve">Farida Hidayat</t>
  </si>
  <si>
    <t xml:space="preserve">Simpanan pokok</t>
  </si>
  <si>
    <t xml:space="preserve">Yoga Kurniawan</t>
  </si>
  <si>
    <t xml:space="preserve">Simpanan wajib per bulan</t>
  </si>
  <si>
    <t xml:space="preserve">Indah Sari</t>
  </si>
  <si>
    <t xml:space="preserve">Bunga flat per bulan</t>
  </si>
  <si>
    <t xml:space="preserve">Dikali pokok pinjaman dan tenor</t>
  </si>
  <si>
    <t xml:space="preserve">Bambang Kurniawan</t>
  </si>
  <si>
    <t xml:space="preserve">Fitri Ramadhan</t>
  </si>
  <si>
    <t xml:space="preserve">Galih Putra</t>
  </si>
  <si>
    <t xml:space="preserve">Nurul Santoso</t>
  </si>
  <si>
    <t xml:space="preserve">Eka Pratama</t>
  </si>
  <si>
    <t xml:space="preserve">Rina Kurniawan</t>
  </si>
  <si>
    <t xml:space="preserve">Ayu Fauzi</t>
  </si>
  <si>
    <t xml:space="preserve">Hesti Nugroho</t>
  </si>
  <si>
    <t xml:space="preserve">Eka Hartono</t>
  </si>
  <si>
    <t xml:space="preserve">Rina Pratama</t>
  </si>
  <si>
    <t xml:space="preserve">Utami Pratama</t>
  </si>
  <si>
    <t xml:space="preserve">Fitri Saputra</t>
  </si>
  <si>
    <t xml:space="preserve">Indah Purnomo</t>
  </si>
  <si>
    <t xml:space="preserve">Jihan Kurniawan</t>
  </si>
  <si>
    <t xml:space="preserve">Rizki Anggraini</t>
  </si>
  <si>
    <t xml:space="preserve">Zainal Ramadhan</t>
  </si>
  <si>
    <t xml:space="preserve">Sari Firmansyah</t>
  </si>
  <si>
    <t xml:space="preserve">Rina Putra</t>
  </si>
  <si>
    <t xml:space="preserve">Wawan Saputra</t>
  </si>
  <si>
    <t xml:space="preserve">Nurul Fauzi</t>
  </si>
  <si>
    <t xml:space="preserve">Andi Yulianto</t>
  </si>
  <si>
    <t xml:space="preserve">Hesti Susanto</t>
  </si>
  <si>
    <t xml:space="preserve">Galih Utomo</t>
  </si>
  <si>
    <t xml:space="preserve">Dian Maharani</t>
  </si>
  <si>
    <t xml:space="preserve">Andi Rahayu</t>
  </si>
  <si>
    <t xml:space="preserve">Putri Handayani</t>
  </si>
  <si>
    <t xml:space="preserve">Ahmad Anggraini</t>
  </si>
  <si>
    <t xml:space="preserve">Utami Hidayat</t>
  </si>
  <si>
    <t xml:space="preserve">Simpanan Minimal</t>
  </si>
  <si>
    <t xml:space="preserve">Jumlah Anggota</t>
  </si>
  <si>
    <t xml:space="preserve">Pinjaman Disetujui</t>
  </si>
  <si>
    <t xml:space="preserve">Golongan I</t>
  </si>
  <si>
    <t xml:space="preserve">Golongan II</t>
  </si>
  <si>
    <t xml:space="preserve">Golongan III</t>
  </si>
  <si>
    <t xml:space="preserve">Golongan IV</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</si>
  <si>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</si>
  <si>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</si>
  <si>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</si>
  <si>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</si>
  <si>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</si>
  <si>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</si>
  <si>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Total simpanan seluruh anggota</t>
  </si>
  <si>
    <t xml:space="preserve">Rupiah, mis. Rp 85.000.000</t>
  </si>
  <si>
    <t xml:space="preserve">11b</t>
  </si>
  <si>
    <t xml:space="preserve">Rata-rata lama anggota (bulan)</t>
  </si>
  <si>
    <t xml:space="preserve">Angka desimal, mis. 40,5</t>
  </si>
  <si>
    <t xml:space="preserve">12a</t>
  </si>
  <si>
    <t xml:space="preserve">Pengajuan disetujui</t>
  </si>
  <si>
    <t xml:space="preserve">Angka bulat, mis. 14</t>
  </si>
  <si>
    <t xml:space="preserve">12b</t>
  </si>
  <si>
    <t xml:space="preserve">Pengajuan ditolak</t>
  </si>
  <si>
    <t xml:space="preserve">Angka bulat, mis. 3</t>
  </si>
  <si>
    <t xml:space="preserve">12c</t>
  </si>
  <si>
    <t xml:space="preserve">Total pinjaman disetujui</t>
  </si>
  <si>
    <t xml:space="preserve">Rupiah, mis. Rp 90.000.000</t>
  </si>
  <si>
    <t xml:space="preserve">13a</t>
  </si>
  <si>
    <t xml:space="preserve">Anggota dengan angsuran terbesar</t>
  </si>
  <si>
    <t xml:space="preserve">Teks: nama anggota</t>
  </si>
  <si>
    <t xml:space="preserve">13b</t>
  </si>
  <si>
    <t xml:space="preserve">Golongan dengan anggota terbanyak</t>
  </si>
  <si>
    <t xml:space="preserve">Teks: nama golongan</t>
  </si>
  <si>
    <t xml:space="preserve">14a</t>
  </si>
  <si>
    <t xml:space="preserve">Total bunga</t>
  </si>
  <si>
    <t xml:space="preserve">Rupiah, mis. Rp 12.000.000</t>
  </si>
  <si>
    <t xml:space="preserve">14b</t>
  </si>
  <si>
    <t xml:space="preserve">Total angsuran per bulan</t>
  </si>
  <si>
    <t xml:space="preserve">Rupiah, mis. Rp 15.000.000</t>
  </si>
</sst>
</file>

<file path=xl/styles.xml><?xml version="1.0" encoding="utf-8"?>
<styleSheet xmlns="http://schemas.openxmlformats.org/spreadsheetml/2006/main">
  <numFmts count="6">
    <numFmt numFmtId="164" formatCode="General"/>
    <numFmt numFmtId="165" formatCode="dd/mm/yyyy"/>
    <numFmt numFmtId="166" formatCode="&quot;Rp &quot;#,##0"/>
    <numFmt numFmtId="167" formatCode="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42"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7.7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18"/>
    <col collapsed="false" customWidth="true" hidden="false" outlineLevel="0" max="7" min="7" style="0" width="14"/>
    <col collapsed="false" customWidth="true" hidden="false" outlineLevel="0" max="8" min="8" style="0" width="15"/>
    <col collapsed="false" customWidth="true" hidden="false" outlineLevel="0" max="9" min="9" style="0" width="12"/>
    <col collapsed="false" customWidth="true" hidden="false" outlineLevel="0" max="10" min="10" style="0" width="15"/>
    <col collapsed="false" customWidth="true" hidden="false" outlineLevel="0" max="11" min="11" style="0" width="14"/>
    <col collapsed="false" customWidth="true" hidden="false" outlineLevel="0" max="12" min="12" style="0" width="13"/>
    <col collapsed="false" customWidth="true" hidden="false" outlineLevel="0" max="13" min="13" style="0" width="16"/>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79</v>
      </c>
      <c r="B1" s="11" t="s">
        <v>80</v>
      </c>
      <c r="C1" s="11" t="s">
        <v>81</v>
      </c>
      <c r="D1" s="11" t="s">
        <v>82</v>
      </c>
      <c r="E1" s="11" t="s">
        <v>83</v>
      </c>
      <c r="F1" s="15" t="s">
        <v>84</v>
      </c>
      <c r="G1" s="15" t="s">
        <v>85</v>
      </c>
      <c r="H1" s="15" t="s">
        <v>86</v>
      </c>
      <c r="I1" s="15" t="s">
        <v>87</v>
      </c>
      <c r="J1" s="15" t="s">
        <v>88</v>
      </c>
      <c r="K1" s="15" t="s">
        <v>89</v>
      </c>
      <c r="L1" s="15" t="s">
        <v>90</v>
      </c>
      <c r="M1" s="15" t="s">
        <v>91</v>
      </c>
      <c r="O1" s="16" t="s">
        <v>92</v>
      </c>
      <c r="P1" s="16" t="s">
        <v>93</v>
      </c>
      <c r="Q1" s="16" t="s">
        <v>94</v>
      </c>
    </row>
    <row r="2" customFormat="false" ht="15" hidden="false" customHeight="false" outlineLevel="0" collapsed="false">
      <c r="A2" s="17" t="s">
        <v>95</v>
      </c>
      <c r="B2" s="18" t="n">
        <v>43893</v>
      </c>
      <c r="C2" s="19" t="n">
        <v>0</v>
      </c>
      <c r="D2" s="19" t="n">
        <v>2000000</v>
      </c>
      <c r="E2" s="20" t="n">
        <v>10</v>
      </c>
      <c r="F2" s="21" t="n">
        <f aca="false">DATEDIF(B2,$P$2,"m")</f>
        <v>79</v>
      </c>
      <c r="G2" s="22" t="n">
        <f aca="false">F2*$P$4</f>
        <v>3950000</v>
      </c>
      <c r="H2" s="22" t="n">
        <f aca="false">$P$3+G2+C2</f>
        <v>4050000</v>
      </c>
      <c r="I2" s="23" t="str">
        <f aca="false">VLOOKUP(H2,Acuan!$A$2:$C$5,2,TRUE())</f>
        <v>Golongan IV</v>
      </c>
      <c r="J2" s="22" t="n">
        <f aca="false">VLOOKUP(H2,Acuan!$A$2:$C$5,3,TRUE())</f>
        <v>20000000</v>
      </c>
      <c r="K2" s="23" t="str">
        <f aca="false">IF(D2=0,"Tidak Ada",IF(D2&lt;=J2,"Disetujui","Ditolak"))</f>
        <v>Disetujui</v>
      </c>
      <c r="L2" s="22" t="n">
        <f aca="false">IF(K2="Disetujui",D2*$P$5*E2,0)</f>
        <v>200000</v>
      </c>
      <c r="M2" s="22" t="n">
        <f aca="false">IF(K2="Disetujui",ROUND((D2+L2)/E2,0),0)</f>
        <v>220000</v>
      </c>
      <c r="O2" s="24" t="s">
        <v>96</v>
      </c>
      <c r="P2" s="25" t="n">
        <v>46326</v>
      </c>
      <c r="Q2" s="24" t="s">
        <v>97</v>
      </c>
    </row>
    <row r="3" customFormat="false" ht="15" hidden="false" customHeight="false" outlineLevel="0" collapsed="false">
      <c r="A3" s="17" t="s">
        <v>98</v>
      </c>
      <c r="B3" s="18" t="n">
        <v>43995</v>
      </c>
      <c r="C3" s="19" t="n">
        <v>0</v>
      </c>
      <c r="D3" s="19" t="n">
        <v>7500000</v>
      </c>
      <c r="E3" s="20" t="n">
        <v>12</v>
      </c>
      <c r="F3" s="21" t="n">
        <f aca="false">DATEDIF(B3,$P$2,"m")</f>
        <v>76</v>
      </c>
      <c r="G3" s="22" t="n">
        <f aca="false">F3*$P$4</f>
        <v>3800000</v>
      </c>
      <c r="H3" s="22" t="n">
        <f aca="false">$P$3+G3+C3</f>
        <v>3900000</v>
      </c>
      <c r="I3" s="23" t="str">
        <f aca="false">VLOOKUP(H3,Acuan!$A$2:$C$5,2,TRUE())</f>
        <v>Golongan III</v>
      </c>
      <c r="J3" s="22" t="n">
        <f aca="false">VLOOKUP(H3,Acuan!$A$2:$C$5,3,TRUE())</f>
        <v>10000000</v>
      </c>
      <c r="K3" s="23" t="str">
        <f aca="false">IF(D3=0,"Tidak Ada",IF(D3&lt;=J3,"Disetujui","Ditolak"))</f>
        <v>Disetujui</v>
      </c>
      <c r="L3" s="22" t="n">
        <f aca="false">IF(K3="Disetujui",D3*$P$5*E3,0)</f>
        <v>900000</v>
      </c>
      <c r="M3" s="22" t="n">
        <f aca="false">IF(K3="Disetujui",ROUND((D3+L3)/E3,0),0)</f>
        <v>700000</v>
      </c>
      <c r="O3" s="24" t="s">
        <v>99</v>
      </c>
      <c r="P3" s="26" t="n">
        <v>100000</v>
      </c>
      <c r="Q3" s="24"/>
    </row>
    <row r="4" customFormat="false" ht="15" hidden="false" customHeight="false" outlineLevel="0" collapsed="false">
      <c r="A4" s="17" t="s">
        <v>100</v>
      </c>
      <c r="B4" s="18" t="n">
        <v>44005</v>
      </c>
      <c r="C4" s="19" t="n">
        <v>0</v>
      </c>
      <c r="D4" s="19" t="n">
        <v>15000000</v>
      </c>
      <c r="E4" s="20" t="n">
        <v>10</v>
      </c>
      <c r="F4" s="21" t="n">
        <f aca="false">DATEDIF(B4,$P$2,"m")</f>
        <v>76</v>
      </c>
      <c r="G4" s="22" t="n">
        <f aca="false">F4*$P$4</f>
        <v>3800000</v>
      </c>
      <c r="H4" s="22" t="n">
        <f aca="false">$P$3+G4+C4</f>
        <v>3900000</v>
      </c>
      <c r="I4" s="23" t="str">
        <f aca="false">VLOOKUP(H4,Acuan!$A$2:$C$5,2,TRUE())</f>
        <v>Golongan III</v>
      </c>
      <c r="J4" s="22" t="n">
        <f aca="false">VLOOKUP(H4,Acuan!$A$2:$C$5,3,TRUE())</f>
        <v>10000000</v>
      </c>
      <c r="K4" s="23" t="str">
        <f aca="false">IF(D4=0,"Tidak Ada",IF(D4&lt;=J4,"Disetujui","Ditolak"))</f>
        <v>Ditolak</v>
      </c>
      <c r="L4" s="22" t="n">
        <f aca="false">IF(K4="Disetujui",D4*$P$5*E4,0)</f>
        <v>0</v>
      </c>
      <c r="M4" s="22" t="n">
        <f aca="false">IF(K4="Disetujui",ROUND((D4+L4)/E4,0),0)</f>
        <v>0</v>
      </c>
      <c r="O4" s="24" t="s">
        <v>101</v>
      </c>
      <c r="P4" s="26" t="n">
        <v>50000</v>
      </c>
      <c r="Q4" s="24"/>
    </row>
    <row r="5" customFormat="false" ht="15" hidden="false" customHeight="false" outlineLevel="0" collapsed="false">
      <c r="A5" s="17" t="s">
        <v>102</v>
      </c>
      <c r="B5" s="18" t="n">
        <v>44013</v>
      </c>
      <c r="C5" s="19" t="n">
        <v>200000</v>
      </c>
      <c r="D5" s="19" t="n">
        <v>3000000</v>
      </c>
      <c r="E5" s="20" t="n">
        <v>6</v>
      </c>
      <c r="F5" s="21" t="n">
        <f aca="false">DATEDIF(B5,$P$2,"m")</f>
        <v>75</v>
      </c>
      <c r="G5" s="22" t="n">
        <f aca="false">F5*$P$4</f>
        <v>3750000</v>
      </c>
      <c r="H5" s="22" t="n">
        <f aca="false">$P$3+G5+C5</f>
        <v>4050000</v>
      </c>
      <c r="I5" s="23" t="str">
        <f aca="false">VLOOKUP(H5,Acuan!$A$2:$C$5,2,TRUE())</f>
        <v>Golongan IV</v>
      </c>
      <c r="J5" s="22" t="n">
        <f aca="false">VLOOKUP(H5,Acuan!$A$2:$C$5,3,TRUE())</f>
        <v>20000000</v>
      </c>
      <c r="K5" s="23" t="str">
        <f aca="false">IF(D5=0,"Tidak Ada",IF(D5&lt;=J5,"Disetujui","Ditolak"))</f>
        <v>Disetujui</v>
      </c>
      <c r="L5" s="22" t="n">
        <f aca="false">IF(K5="Disetujui",D5*$P$5*E5,0)</f>
        <v>180000</v>
      </c>
      <c r="M5" s="22" t="n">
        <f aca="false">IF(K5="Disetujui",ROUND((D5+L5)/E5,0),0)</f>
        <v>530000</v>
      </c>
      <c r="O5" s="24" t="s">
        <v>103</v>
      </c>
      <c r="P5" s="27" t="n">
        <v>0.01</v>
      </c>
      <c r="Q5" s="24" t="s">
        <v>104</v>
      </c>
    </row>
    <row r="6" customFormat="false" ht="15" hidden="false" customHeight="false" outlineLevel="0" collapsed="false">
      <c r="A6" s="17" t="s">
        <v>105</v>
      </c>
      <c r="B6" s="18" t="n">
        <v>44057</v>
      </c>
      <c r="C6" s="19" t="n">
        <v>500000</v>
      </c>
      <c r="D6" s="19" t="n">
        <v>15000000</v>
      </c>
      <c r="E6" s="20" t="n">
        <v>12</v>
      </c>
      <c r="F6" s="21" t="n">
        <f aca="false">DATEDIF(B6,$P$2,"m")</f>
        <v>74</v>
      </c>
      <c r="G6" s="22" t="n">
        <f aca="false">F6*$P$4</f>
        <v>3700000</v>
      </c>
      <c r="H6" s="22" t="n">
        <f aca="false">$P$3+G6+C6</f>
        <v>4300000</v>
      </c>
      <c r="I6" s="23" t="str">
        <f aca="false">VLOOKUP(H6,Acuan!$A$2:$C$5,2,TRUE())</f>
        <v>Golongan IV</v>
      </c>
      <c r="J6" s="22" t="n">
        <f aca="false">VLOOKUP(H6,Acuan!$A$2:$C$5,3,TRUE())</f>
        <v>20000000</v>
      </c>
      <c r="K6" s="23" t="str">
        <f aca="false">IF(D6=0,"Tidak Ada",IF(D6&lt;=J6,"Disetujui","Ditolak"))</f>
        <v>Disetujui</v>
      </c>
      <c r="L6" s="22" t="n">
        <f aca="false">IF(K6="Disetujui",D6*$P$5*E6,0)</f>
        <v>1800000</v>
      </c>
      <c r="M6" s="22" t="n">
        <f aca="false">IF(K6="Disetujui",ROUND((D6+L6)/E6,0),0)</f>
        <v>1400000</v>
      </c>
    </row>
    <row r="7" customFormat="false" ht="15" hidden="false" customHeight="false" outlineLevel="0" collapsed="false">
      <c r="A7" s="17" t="s">
        <v>106</v>
      </c>
      <c r="B7" s="18" t="n">
        <v>44113</v>
      </c>
      <c r="C7" s="19" t="n">
        <v>0</v>
      </c>
      <c r="D7" s="19" t="n">
        <v>0</v>
      </c>
      <c r="E7" s="20" t="n">
        <v>0</v>
      </c>
      <c r="F7" s="21" t="n">
        <f aca="false">DATEDIF(B7,$P$2,"m")</f>
        <v>72</v>
      </c>
      <c r="G7" s="22" t="n">
        <f aca="false">F7*$P$4</f>
        <v>3600000</v>
      </c>
      <c r="H7" s="22" t="n">
        <f aca="false">$P$3+G7+C7</f>
        <v>3700000</v>
      </c>
      <c r="I7" s="23" t="str">
        <f aca="false">VLOOKUP(H7,Acuan!$A$2:$C$5,2,TRUE())</f>
        <v>Golongan III</v>
      </c>
      <c r="J7" s="22" t="n">
        <f aca="false">VLOOKUP(H7,Acuan!$A$2:$C$5,3,TRUE())</f>
        <v>10000000</v>
      </c>
      <c r="K7" s="23" t="str">
        <f aca="false">IF(D7=0,"Tidak Ada",IF(D7&lt;=J7,"Disetujui","Ditolak"))</f>
        <v>Tidak Ada</v>
      </c>
      <c r="L7" s="22" t="n">
        <f aca="false">IF(K7="Disetujui",D7*$P$5*E7,0)</f>
        <v>0</v>
      </c>
      <c r="M7" s="22" t="n">
        <f aca="false">IF(K7="Disetujui",ROUND((D7+L7)/E7,0),0)</f>
        <v>0</v>
      </c>
    </row>
    <row r="8" customFormat="false" ht="15" hidden="false" customHeight="false" outlineLevel="0" collapsed="false">
      <c r="A8" s="17" t="s">
        <v>107</v>
      </c>
      <c r="B8" s="18" t="n">
        <v>44193</v>
      </c>
      <c r="C8" s="19" t="n">
        <v>100000</v>
      </c>
      <c r="D8" s="19" t="n">
        <v>0</v>
      </c>
      <c r="E8" s="20" t="n">
        <v>0</v>
      </c>
      <c r="F8" s="21" t="n">
        <f aca="false">DATEDIF(B8,$P$2,"m")</f>
        <v>70</v>
      </c>
      <c r="G8" s="22" t="n">
        <f aca="false">F8*$P$4</f>
        <v>3500000</v>
      </c>
      <c r="H8" s="22" t="n">
        <f aca="false">$P$3+G8+C8</f>
        <v>3700000</v>
      </c>
      <c r="I8" s="23" t="str">
        <f aca="false">VLOOKUP(H8,Acuan!$A$2:$C$5,2,TRUE())</f>
        <v>Golongan III</v>
      </c>
      <c r="J8" s="22" t="n">
        <f aca="false">VLOOKUP(H8,Acuan!$A$2:$C$5,3,TRUE())</f>
        <v>10000000</v>
      </c>
      <c r="K8" s="23" t="str">
        <f aca="false">IF(D8=0,"Tidak Ada",IF(D8&lt;=J8,"Disetujui","Ditolak"))</f>
        <v>Tidak Ada</v>
      </c>
      <c r="L8" s="22" t="n">
        <f aca="false">IF(K8="Disetujui",D8*$P$5*E8,0)</f>
        <v>0</v>
      </c>
      <c r="M8" s="22" t="n">
        <f aca="false">IF(K8="Disetujui",ROUND((D8+L8)/E8,0),0)</f>
        <v>0</v>
      </c>
    </row>
    <row r="9" customFormat="false" ht="15" hidden="false" customHeight="false" outlineLevel="0" collapsed="false">
      <c r="A9" s="17" t="s">
        <v>108</v>
      </c>
      <c r="B9" s="18" t="n">
        <v>44305</v>
      </c>
      <c r="C9" s="19" t="n">
        <v>200000</v>
      </c>
      <c r="D9" s="19" t="n">
        <v>0</v>
      </c>
      <c r="E9" s="20" t="n">
        <v>0</v>
      </c>
      <c r="F9" s="21" t="n">
        <f aca="false">DATEDIF(B9,$P$2,"m")</f>
        <v>66</v>
      </c>
      <c r="G9" s="22" t="n">
        <f aca="false">F9*$P$4</f>
        <v>3300000</v>
      </c>
      <c r="H9" s="22" t="n">
        <f aca="false">$P$3+G9+C9</f>
        <v>3600000</v>
      </c>
      <c r="I9" s="23" t="str">
        <f aca="false">VLOOKUP(H9,Acuan!$A$2:$C$5,2,TRUE())</f>
        <v>Golongan III</v>
      </c>
      <c r="J9" s="22" t="n">
        <f aca="false">VLOOKUP(H9,Acuan!$A$2:$C$5,3,TRUE())</f>
        <v>10000000</v>
      </c>
      <c r="K9" s="23" t="str">
        <f aca="false">IF(D9=0,"Tidak Ada",IF(D9&lt;=J9,"Disetujui","Ditolak"))</f>
        <v>Tidak Ada</v>
      </c>
      <c r="L9" s="22" t="n">
        <f aca="false">IF(K9="Disetujui",D9*$P$5*E9,0)</f>
        <v>0</v>
      </c>
      <c r="M9" s="22" t="n">
        <f aca="false">IF(K9="Disetujui",ROUND((D9+L9)/E9,0),0)</f>
        <v>0</v>
      </c>
    </row>
    <row r="10" customFormat="false" ht="15" hidden="false" customHeight="false" outlineLevel="0" collapsed="false">
      <c r="A10" s="17" t="s">
        <v>109</v>
      </c>
      <c r="B10" s="18" t="n">
        <v>44392</v>
      </c>
      <c r="C10" s="19" t="n">
        <v>0</v>
      </c>
      <c r="D10" s="19" t="n">
        <v>0</v>
      </c>
      <c r="E10" s="20" t="n">
        <v>0</v>
      </c>
      <c r="F10" s="21" t="n">
        <f aca="false">DATEDIF(B10,$P$2,"m")</f>
        <v>63</v>
      </c>
      <c r="G10" s="22" t="n">
        <f aca="false">F10*$P$4</f>
        <v>3150000</v>
      </c>
      <c r="H10" s="22" t="n">
        <f aca="false">$P$3+G10+C10</f>
        <v>3250000</v>
      </c>
      <c r="I10" s="23" t="str">
        <f aca="false">VLOOKUP(H10,Acuan!$A$2:$C$5,2,TRUE())</f>
        <v>Golongan III</v>
      </c>
      <c r="J10" s="22" t="n">
        <f aca="false">VLOOKUP(H10,Acuan!$A$2:$C$5,3,TRUE())</f>
        <v>10000000</v>
      </c>
      <c r="K10" s="23" t="str">
        <f aca="false">IF(D10=0,"Tidak Ada",IF(D10&lt;=J10,"Disetujui","Ditolak"))</f>
        <v>Tidak Ada</v>
      </c>
      <c r="L10" s="22" t="n">
        <f aca="false">IF(K10="Disetujui",D10*$P$5*E10,0)</f>
        <v>0</v>
      </c>
      <c r="M10" s="22" t="n">
        <f aca="false">IF(K10="Disetujui",ROUND((D10+L10)/E10,0),0)</f>
        <v>0</v>
      </c>
    </row>
    <row r="11" customFormat="false" ht="15" hidden="false" customHeight="false" outlineLevel="0" collapsed="false">
      <c r="A11" s="17" t="s">
        <v>110</v>
      </c>
      <c r="B11" s="18" t="n">
        <v>44432</v>
      </c>
      <c r="C11" s="19" t="n">
        <v>300000</v>
      </c>
      <c r="D11" s="19" t="n">
        <v>7500000</v>
      </c>
      <c r="E11" s="20" t="n">
        <v>12</v>
      </c>
      <c r="F11" s="21" t="n">
        <f aca="false">DATEDIF(B11,$P$2,"m")</f>
        <v>62</v>
      </c>
      <c r="G11" s="22" t="n">
        <f aca="false">F11*$P$4</f>
        <v>3100000</v>
      </c>
      <c r="H11" s="22" t="n">
        <f aca="false">$P$3+G11+C11</f>
        <v>3500000</v>
      </c>
      <c r="I11" s="23" t="str">
        <f aca="false">VLOOKUP(H11,Acuan!$A$2:$C$5,2,TRUE())</f>
        <v>Golongan III</v>
      </c>
      <c r="J11" s="22" t="n">
        <f aca="false">VLOOKUP(H11,Acuan!$A$2:$C$5,3,TRUE())</f>
        <v>10000000</v>
      </c>
      <c r="K11" s="23" t="str">
        <f aca="false">IF(D11=0,"Tidak Ada",IF(D11&lt;=J11,"Disetujui","Ditolak"))</f>
        <v>Disetujui</v>
      </c>
      <c r="L11" s="22" t="n">
        <f aca="false">IF(K11="Disetujui",D11*$P$5*E11,0)</f>
        <v>900000</v>
      </c>
      <c r="M11" s="22" t="n">
        <f aca="false">IF(K11="Disetujui",ROUND((D11+L11)/E11,0),0)</f>
        <v>700000</v>
      </c>
    </row>
    <row r="12" customFormat="false" ht="15" hidden="false" customHeight="false" outlineLevel="0" collapsed="false">
      <c r="A12" s="17" t="s">
        <v>111</v>
      </c>
      <c r="B12" s="18" t="n">
        <v>44504</v>
      </c>
      <c r="C12" s="19" t="n">
        <v>500000</v>
      </c>
      <c r="D12" s="19" t="n">
        <v>3000000</v>
      </c>
      <c r="E12" s="20" t="n">
        <v>12</v>
      </c>
      <c r="F12" s="21" t="n">
        <f aca="false">DATEDIF(B12,$P$2,"m")</f>
        <v>59</v>
      </c>
      <c r="G12" s="22" t="n">
        <f aca="false">F12*$P$4</f>
        <v>2950000</v>
      </c>
      <c r="H12" s="22" t="n">
        <f aca="false">$P$3+G12+C12</f>
        <v>3550000</v>
      </c>
      <c r="I12" s="23" t="str">
        <f aca="false">VLOOKUP(H12,Acuan!$A$2:$C$5,2,TRUE())</f>
        <v>Golongan III</v>
      </c>
      <c r="J12" s="22" t="n">
        <f aca="false">VLOOKUP(H12,Acuan!$A$2:$C$5,3,TRUE())</f>
        <v>10000000</v>
      </c>
      <c r="K12" s="23" t="str">
        <f aca="false">IF(D12=0,"Tidak Ada",IF(D12&lt;=J12,"Disetujui","Ditolak"))</f>
        <v>Disetujui</v>
      </c>
      <c r="L12" s="22" t="n">
        <f aca="false">IF(K12="Disetujui",D12*$P$5*E12,0)</f>
        <v>360000</v>
      </c>
      <c r="M12" s="22" t="n">
        <f aca="false">IF(K12="Disetujui",ROUND((D12+L12)/E12,0),0)</f>
        <v>280000</v>
      </c>
    </row>
    <row r="13" customFormat="false" ht="15" hidden="false" customHeight="false" outlineLevel="0" collapsed="false">
      <c r="A13" s="17" t="s">
        <v>112</v>
      </c>
      <c r="B13" s="18" t="n">
        <v>44521</v>
      </c>
      <c r="C13" s="19" t="n">
        <v>500000</v>
      </c>
      <c r="D13" s="19" t="n">
        <v>0</v>
      </c>
      <c r="E13" s="20" t="n">
        <v>0</v>
      </c>
      <c r="F13" s="21" t="n">
        <f aca="false">DATEDIF(B13,$P$2,"m")</f>
        <v>59</v>
      </c>
      <c r="G13" s="22" t="n">
        <f aca="false">F13*$P$4</f>
        <v>2950000</v>
      </c>
      <c r="H13" s="22" t="n">
        <f aca="false">$P$3+G13+C13</f>
        <v>3550000</v>
      </c>
      <c r="I13" s="23" t="str">
        <f aca="false">VLOOKUP(H13,Acuan!$A$2:$C$5,2,TRUE())</f>
        <v>Golongan III</v>
      </c>
      <c r="J13" s="22" t="n">
        <f aca="false">VLOOKUP(H13,Acuan!$A$2:$C$5,3,TRUE())</f>
        <v>10000000</v>
      </c>
      <c r="K13" s="23" t="str">
        <f aca="false">IF(D13=0,"Tidak Ada",IF(D13&lt;=J13,"Disetujui","Ditolak"))</f>
        <v>Tidak Ada</v>
      </c>
      <c r="L13" s="22" t="n">
        <f aca="false">IF(K13="Disetujui",D13*$P$5*E13,0)</f>
        <v>0</v>
      </c>
      <c r="M13" s="22" t="n">
        <f aca="false">IF(K13="Disetujui",ROUND((D13+L13)/E13,0),0)</f>
        <v>0</v>
      </c>
    </row>
    <row r="14" customFormat="false" ht="15" hidden="false" customHeight="false" outlineLevel="0" collapsed="false">
      <c r="A14" s="17" t="s">
        <v>113</v>
      </c>
      <c r="B14" s="18" t="n">
        <v>44552</v>
      </c>
      <c r="C14" s="19" t="n">
        <v>100000</v>
      </c>
      <c r="D14" s="19" t="n">
        <v>0</v>
      </c>
      <c r="E14" s="20" t="n">
        <v>0</v>
      </c>
      <c r="F14" s="21" t="n">
        <f aca="false">DATEDIF(B14,$P$2,"m")</f>
        <v>58</v>
      </c>
      <c r="G14" s="22" t="n">
        <f aca="false">F14*$P$4</f>
        <v>2900000</v>
      </c>
      <c r="H14" s="22" t="n">
        <f aca="false">$P$3+G14+C14</f>
        <v>3100000</v>
      </c>
      <c r="I14" s="23" t="str">
        <f aca="false">VLOOKUP(H14,Acuan!$A$2:$C$5,2,TRUE())</f>
        <v>Golongan III</v>
      </c>
      <c r="J14" s="22" t="n">
        <f aca="false">VLOOKUP(H14,Acuan!$A$2:$C$5,3,TRUE())</f>
        <v>10000000</v>
      </c>
      <c r="K14" s="23" t="str">
        <f aca="false">IF(D14=0,"Tidak Ada",IF(D14&lt;=J14,"Disetujui","Ditolak"))</f>
        <v>Tidak Ada</v>
      </c>
      <c r="L14" s="22" t="n">
        <f aca="false">IF(K14="Disetujui",D14*$P$5*E14,0)</f>
        <v>0</v>
      </c>
      <c r="M14" s="22" t="n">
        <f aca="false">IF(K14="Disetujui",ROUND((D14+L14)/E14,0),0)</f>
        <v>0</v>
      </c>
    </row>
    <row r="15" customFormat="false" ht="15" hidden="false" customHeight="false" outlineLevel="0" collapsed="false">
      <c r="A15" s="17" t="s">
        <v>114</v>
      </c>
      <c r="B15" s="18" t="n">
        <v>44582</v>
      </c>
      <c r="C15" s="19" t="n">
        <v>200000</v>
      </c>
      <c r="D15" s="19" t="n">
        <v>3000000</v>
      </c>
      <c r="E15" s="20" t="n">
        <v>18</v>
      </c>
      <c r="F15" s="21" t="n">
        <f aca="false">DATEDIF(B15,$P$2,"m")</f>
        <v>57</v>
      </c>
      <c r="G15" s="22" t="n">
        <f aca="false">F15*$P$4</f>
        <v>2850000</v>
      </c>
      <c r="H15" s="22" t="n">
        <f aca="false">$P$3+G15+C15</f>
        <v>3150000</v>
      </c>
      <c r="I15" s="23" t="str">
        <f aca="false">VLOOKUP(H15,Acuan!$A$2:$C$5,2,TRUE())</f>
        <v>Golongan III</v>
      </c>
      <c r="J15" s="22" t="n">
        <f aca="false">VLOOKUP(H15,Acuan!$A$2:$C$5,3,TRUE())</f>
        <v>10000000</v>
      </c>
      <c r="K15" s="23" t="str">
        <f aca="false">IF(D15=0,"Tidak Ada",IF(D15&lt;=J15,"Disetujui","Ditolak"))</f>
        <v>Disetujui</v>
      </c>
      <c r="L15" s="22" t="n">
        <f aca="false">IF(K15="Disetujui",D15*$P$5*E15,0)</f>
        <v>540000</v>
      </c>
      <c r="M15" s="22" t="n">
        <f aca="false">IF(K15="Disetujui",ROUND((D15+L15)/E15,0),0)</f>
        <v>196667</v>
      </c>
    </row>
    <row r="16" customFormat="false" ht="15" hidden="false" customHeight="false" outlineLevel="0" collapsed="false">
      <c r="A16" s="17" t="s">
        <v>115</v>
      </c>
      <c r="B16" s="18" t="n">
        <v>44760</v>
      </c>
      <c r="C16" s="19" t="n">
        <v>300000</v>
      </c>
      <c r="D16" s="19" t="n">
        <v>15000000</v>
      </c>
      <c r="E16" s="20" t="n">
        <v>24</v>
      </c>
      <c r="F16" s="21" t="n">
        <f aca="false">DATEDIF(B16,$P$2,"m")</f>
        <v>51</v>
      </c>
      <c r="G16" s="22" t="n">
        <f aca="false">F16*$P$4</f>
        <v>2550000</v>
      </c>
      <c r="H16" s="22" t="n">
        <f aca="false">$P$3+G16+C16</f>
        <v>2950000</v>
      </c>
      <c r="I16" s="23" t="str">
        <f aca="false">VLOOKUP(H16,Acuan!$A$2:$C$5,2,TRUE())</f>
        <v>Golongan II</v>
      </c>
      <c r="J16" s="22" t="n">
        <f aca="false">VLOOKUP(H16,Acuan!$A$2:$C$5,3,TRUE())</f>
        <v>5000000</v>
      </c>
      <c r="K16" s="23" t="str">
        <f aca="false">IF(D16=0,"Tidak Ada",IF(D16&lt;=J16,"Disetujui","Ditolak"))</f>
        <v>Ditolak</v>
      </c>
      <c r="L16" s="22" t="n">
        <f aca="false">IF(K16="Disetujui",D16*$P$5*E16,0)</f>
        <v>0</v>
      </c>
      <c r="M16" s="22" t="n">
        <f aca="false">IF(K16="Disetujui",ROUND((D16+L16)/E16,0),0)</f>
        <v>0</v>
      </c>
    </row>
    <row r="17" customFormat="false" ht="15" hidden="false" customHeight="false" outlineLevel="0" collapsed="false">
      <c r="A17" s="17" t="s">
        <v>116</v>
      </c>
      <c r="B17" s="18" t="n">
        <v>44949</v>
      </c>
      <c r="C17" s="19" t="n">
        <v>0</v>
      </c>
      <c r="D17" s="19" t="n">
        <v>7500000</v>
      </c>
      <c r="E17" s="20" t="n">
        <v>18</v>
      </c>
      <c r="F17" s="21" t="n">
        <f aca="false">DATEDIF(B17,$P$2,"m")</f>
        <v>45</v>
      </c>
      <c r="G17" s="22" t="n">
        <f aca="false">F17*$P$4</f>
        <v>2250000</v>
      </c>
      <c r="H17" s="22" t="n">
        <f aca="false">$P$3+G17+C17</f>
        <v>2350000</v>
      </c>
      <c r="I17" s="23" t="str">
        <f aca="false">VLOOKUP(H17,Acuan!$A$2:$C$5,2,TRUE())</f>
        <v>Golongan II</v>
      </c>
      <c r="J17" s="22" t="n">
        <f aca="false">VLOOKUP(H17,Acuan!$A$2:$C$5,3,TRUE())</f>
        <v>5000000</v>
      </c>
      <c r="K17" s="23" t="str">
        <f aca="false">IF(D17=0,"Tidak Ada",IF(D17&lt;=J17,"Disetujui","Ditolak"))</f>
        <v>Ditolak</v>
      </c>
      <c r="L17" s="22" t="n">
        <f aca="false">IF(K17="Disetujui",D17*$P$5*E17,0)</f>
        <v>0</v>
      </c>
      <c r="M17" s="22" t="n">
        <f aca="false">IF(K17="Disetujui",ROUND((D17+L17)/E17,0),0)</f>
        <v>0</v>
      </c>
    </row>
    <row r="18" customFormat="false" ht="15" hidden="false" customHeight="false" outlineLevel="0" collapsed="false">
      <c r="A18" s="17" t="s">
        <v>117</v>
      </c>
      <c r="B18" s="18" t="n">
        <v>45096</v>
      </c>
      <c r="C18" s="19" t="n">
        <v>100000</v>
      </c>
      <c r="D18" s="19" t="n">
        <v>7500000</v>
      </c>
      <c r="E18" s="20" t="n">
        <v>18</v>
      </c>
      <c r="F18" s="21" t="n">
        <f aca="false">DATEDIF(B18,$P$2,"m")</f>
        <v>40</v>
      </c>
      <c r="G18" s="22" t="n">
        <f aca="false">F18*$P$4</f>
        <v>2000000</v>
      </c>
      <c r="H18" s="22" t="n">
        <f aca="false">$P$3+G18+C18</f>
        <v>2200000</v>
      </c>
      <c r="I18" s="23" t="str">
        <f aca="false">VLOOKUP(H18,Acuan!$A$2:$C$5,2,TRUE())</f>
        <v>Golongan II</v>
      </c>
      <c r="J18" s="22" t="n">
        <f aca="false">VLOOKUP(H18,Acuan!$A$2:$C$5,3,TRUE())</f>
        <v>5000000</v>
      </c>
      <c r="K18" s="23" t="str">
        <f aca="false">IF(D18=0,"Tidak Ada",IF(D18&lt;=J18,"Disetujui","Ditolak"))</f>
        <v>Ditolak</v>
      </c>
      <c r="L18" s="22" t="n">
        <f aca="false">IF(K18="Disetujui",D18*$P$5*E18,0)</f>
        <v>0</v>
      </c>
      <c r="M18" s="22" t="n">
        <f aca="false">IF(K18="Disetujui",ROUND((D18+L18)/E18,0),0)</f>
        <v>0</v>
      </c>
    </row>
    <row r="19" customFormat="false" ht="15" hidden="false" customHeight="false" outlineLevel="0" collapsed="false">
      <c r="A19" s="17" t="s">
        <v>118</v>
      </c>
      <c r="B19" s="18" t="n">
        <v>45139</v>
      </c>
      <c r="C19" s="19" t="n">
        <v>500000</v>
      </c>
      <c r="D19" s="19" t="n">
        <v>0</v>
      </c>
      <c r="E19" s="20" t="n">
        <v>0</v>
      </c>
      <c r="F19" s="21" t="n">
        <f aca="false">DATEDIF(B19,$P$2,"m")</f>
        <v>38</v>
      </c>
      <c r="G19" s="22" t="n">
        <f aca="false">F19*$P$4</f>
        <v>1900000</v>
      </c>
      <c r="H19" s="22" t="n">
        <f aca="false">$P$3+G19+C19</f>
        <v>2500000</v>
      </c>
      <c r="I19" s="23" t="str">
        <f aca="false">VLOOKUP(H19,Acuan!$A$2:$C$5,2,TRUE())</f>
        <v>Golongan II</v>
      </c>
      <c r="J19" s="22" t="n">
        <f aca="false">VLOOKUP(H19,Acuan!$A$2:$C$5,3,TRUE())</f>
        <v>5000000</v>
      </c>
      <c r="K19" s="23" t="str">
        <f aca="false">IF(D19=0,"Tidak Ada",IF(D19&lt;=J19,"Disetujui","Ditolak"))</f>
        <v>Tidak Ada</v>
      </c>
      <c r="L19" s="22" t="n">
        <f aca="false">IF(K19="Disetujui",D19*$P$5*E19,0)</f>
        <v>0</v>
      </c>
      <c r="M19" s="22" t="n">
        <f aca="false">IF(K19="Disetujui",ROUND((D19+L19)/E19,0),0)</f>
        <v>0</v>
      </c>
    </row>
    <row r="20" customFormat="false" ht="15" hidden="false" customHeight="false" outlineLevel="0" collapsed="false">
      <c r="A20" s="17" t="s">
        <v>119</v>
      </c>
      <c r="B20" s="18" t="n">
        <v>45413</v>
      </c>
      <c r="C20" s="19" t="n">
        <v>100000</v>
      </c>
      <c r="D20" s="19" t="n">
        <v>7500000</v>
      </c>
      <c r="E20" s="20" t="n">
        <v>18</v>
      </c>
      <c r="F20" s="21" t="n">
        <f aca="false">DATEDIF(B20,$P$2,"m")</f>
        <v>29</v>
      </c>
      <c r="G20" s="22" t="n">
        <f aca="false">F20*$P$4</f>
        <v>1450000</v>
      </c>
      <c r="H20" s="22" t="n">
        <f aca="false">$P$3+G20+C20</f>
        <v>1650000</v>
      </c>
      <c r="I20" s="23" t="str">
        <f aca="false">VLOOKUP(H20,Acuan!$A$2:$C$5,2,TRUE())</f>
        <v>Golongan II</v>
      </c>
      <c r="J20" s="22" t="n">
        <f aca="false">VLOOKUP(H20,Acuan!$A$2:$C$5,3,TRUE())</f>
        <v>5000000</v>
      </c>
      <c r="K20" s="23" t="str">
        <f aca="false">IF(D20=0,"Tidak Ada",IF(D20&lt;=J20,"Disetujui","Ditolak"))</f>
        <v>Ditolak</v>
      </c>
      <c r="L20" s="22" t="n">
        <f aca="false">IF(K20="Disetujui",D20*$P$5*E20,0)</f>
        <v>0</v>
      </c>
      <c r="M20" s="22" t="n">
        <f aca="false">IF(K20="Disetujui",ROUND((D20+L20)/E20,0),0)</f>
        <v>0</v>
      </c>
    </row>
    <row r="21" customFormat="false" ht="15" hidden="false" customHeight="false" outlineLevel="0" collapsed="false">
      <c r="A21" s="17" t="s">
        <v>120</v>
      </c>
      <c r="B21" s="18" t="n">
        <v>45485</v>
      </c>
      <c r="C21" s="19" t="n">
        <v>200000</v>
      </c>
      <c r="D21" s="19" t="n">
        <v>2000000</v>
      </c>
      <c r="E21" s="20" t="n">
        <v>10</v>
      </c>
      <c r="F21" s="21" t="n">
        <f aca="false">DATEDIF(B21,$P$2,"m")</f>
        <v>27</v>
      </c>
      <c r="G21" s="22" t="n">
        <f aca="false">F21*$P$4</f>
        <v>1350000</v>
      </c>
      <c r="H21" s="22" t="n">
        <f aca="false">$P$3+G21+C21</f>
        <v>1650000</v>
      </c>
      <c r="I21" s="23" t="str">
        <f aca="false">VLOOKUP(H21,Acuan!$A$2:$C$5,2,TRUE())</f>
        <v>Golongan II</v>
      </c>
      <c r="J21" s="22" t="n">
        <f aca="false">VLOOKUP(H21,Acuan!$A$2:$C$5,3,TRUE())</f>
        <v>5000000</v>
      </c>
      <c r="K21" s="23" t="str">
        <f aca="false">IF(D21=0,"Tidak Ada",IF(D21&lt;=J21,"Disetujui","Ditolak"))</f>
        <v>Disetujui</v>
      </c>
      <c r="L21" s="22" t="n">
        <f aca="false">IF(K21="Disetujui",D21*$P$5*E21,0)</f>
        <v>200000</v>
      </c>
      <c r="M21" s="22" t="n">
        <f aca="false">IF(K21="Disetujui",ROUND((D21+L21)/E21,0),0)</f>
        <v>220000</v>
      </c>
    </row>
    <row r="22" customFormat="false" ht="15" hidden="false" customHeight="false" outlineLevel="0" collapsed="false">
      <c r="A22" s="17" t="s">
        <v>121</v>
      </c>
      <c r="B22" s="18" t="n">
        <v>45498</v>
      </c>
      <c r="C22" s="19" t="n">
        <v>500000</v>
      </c>
      <c r="D22" s="19" t="n">
        <v>1000000</v>
      </c>
      <c r="E22" s="20" t="n">
        <v>24</v>
      </c>
      <c r="F22" s="21" t="n">
        <f aca="false">DATEDIF(B22,$P$2,"m")</f>
        <v>27</v>
      </c>
      <c r="G22" s="22" t="n">
        <f aca="false">F22*$P$4</f>
        <v>1350000</v>
      </c>
      <c r="H22" s="22" t="n">
        <f aca="false">$P$3+G22+C22</f>
        <v>1950000</v>
      </c>
      <c r="I22" s="23" t="str">
        <f aca="false">VLOOKUP(H22,Acuan!$A$2:$C$5,2,TRUE())</f>
        <v>Golongan II</v>
      </c>
      <c r="J22" s="22" t="n">
        <f aca="false">VLOOKUP(H22,Acuan!$A$2:$C$5,3,TRUE())</f>
        <v>5000000</v>
      </c>
      <c r="K22" s="23" t="str">
        <f aca="false">IF(D22=0,"Tidak Ada",IF(D22&lt;=J22,"Disetujui","Ditolak"))</f>
        <v>Disetujui</v>
      </c>
      <c r="L22" s="22" t="n">
        <f aca="false">IF(K22="Disetujui",D22*$P$5*E22,0)</f>
        <v>240000</v>
      </c>
      <c r="M22" s="22" t="n">
        <f aca="false">IF(K22="Disetujui",ROUND((D22+L22)/E22,0),0)</f>
        <v>51667</v>
      </c>
    </row>
    <row r="23" customFormat="false" ht="15" hidden="false" customHeight="false" outlineLevel="0" collapsed="false">
      <c r="A23" s="17" t="s">
        <v>122</v>
      </c>
      <c r="B23" s="18" t="n">
        <v>45542</v>
      </c>
      <c r="C23" s="19" t="n">
        <v>300000</v>
      </c>
      <c r="D23" s="19" t="n">
        <v>0</v>
      </c>
      <c r="E23" s="20" t="n">
        <v>0</v>
      </c>
      <c r="F23" s="21" t="n">
        <f aca="false">DATEDIF(B23,$P$2,"m")</f>
        <v>25</v>
      </c>
      <c r="G23" s="22" t="n">
        <f aca="false">F23*$P$4</f>
        <v>1250000</v>
      </c>
      <c r="H23" s="22" t="n">
        <f aca="false">$P$3+G23+C23</f>
        <v>1650000</v>
      </c>
      <c r="I23" s="23" t="str">
        <f aca="false">VLOOKUP(H23,Acuan!$A$2:$C$5,2,TRUE())</f>
        <v>Golongan II</v>
      </c>
      <c r="J23" s="22" t="n">
        <f aca="false">VLOOKUP(H23,Acuan!$A$2:$C$5,3,TRUE())</f>
        <v>5000000</v>
      </c>
      <c r="K23" s="23" t="str">
        <f aca="false">IF(D23=0,"Tidak Ada",IF(D23&lt;=J23,"Disetujui","Ditolak"))</f>
        <v>Tidak Ada</v>
      </c>
      <c r="L23" s="22" t="n">
        <f aca="false">IF(K23="Disetujui",D23*$P$5*E23,0)</f>
        <v>0</v>
      </c>
      <c r="M23" s="22" t="n">
        <f aca="false">IF(K23="Disetujui",ROUND((D23+L23)/E23,0),0)</f>
        <v>0</v>
      </c>
    </row>
    <row r="24" customFormat="false" ht="15" hidden="false" customHeight="false" outlineLevel="0" collapsed="false">
      <c r="A24" s="17" t="s">
        <v>123</v>
      </c>
      <c r="B24" s="18" t="n">
        <v>45595</v>
      </c>
      <c r="C24" s="19" t="n">
        <v>300000</v>
      </c>
      <c r="D24" s="19" t="n">
        <v>0</v>
      </c>
      <c r="E24" s="20" t="n">
        <v>0</v>
      </c>
      <c r="F24" s="21" t="n">
        <f aca="false">DATEDIF(B24,$P$2,"m")</f>
        <v>24</v>
      </c>
      <c r="G24" s="22" t="n">
        <f aca="false">F24*$P$4</f>
        <v>1200000</v>
      </c>
      <c r="H24" s="22" t="n">
        <f aca="false">$P$3+G24+C24</f>
        <v>1600000</v>
      </c>
      <c r="I24" s="23" t="str">
        <f aca="false">VLOOKUP(H24,Acuan!$A$2:$C$5,2,TRUE())</f>
        <v>Golongan II</v>
      </c>
      <c r="J24" s="22" t="n">
        <f aca="false">VLOOKUP(H24,Acuan!$A$2:$C$5,3,TRUE())</f>
        <v>5000000</v>
      </c>
      <c r="K24" s="23" t="str">
        <f aca="false">IF(D24=0,"Tidak Ada",IF(D24&lt;=J24,"Disetujui","Ditolak"))</f>
        <v>Tidak Ada</v>
      </c>
      <c r="L24" s="22" t="n">
        <f aca="false">IF(K24="Disetujui",D24*$P$5*E24,0)</f>
        <v>0</v>
      </c>
      <c r="M24" s="22" t="n">
        <f aca="false">IF(K24="Disetujui",ROUND((D24+L24)/E24,0),0)</f>
        <v>0</v>
      </c>
    </row>
    <row r="25" customFormat="false" ht="15" hidden="false" customHeight="false" outlineLevel="0" collapsed="false">
      <c r="A25" s="17" t="s">
        <v>124</v>
      </c>
      <c r="B25" s="18" t="n">
        <v>45618</v>
      </c>
      <c r="C25" s="19" t="n">
        <v>0</v>
      </c>
      <c r="D25" s="19" t="n">
        <v>10000000</v>
      </c>
      <c r="E25" s="20" t="n">
        <v>6</v>
      </c>
      <c r="F25" s="21" t="n">
        <f aca="false">DATEDIF(B25,$P$2,"m")</f>
        <v>23</v>
      </c>
      <c r="G25" s="22" t="n">
        <f aca="false">F25*$P$4</f>
        <v>1150000</v>
      </c>
      <c r="H25" s="22" t="n">
        <f aca="false">$P$3+G25+C25</f>
        <v>1250000</v>
      </c>
      <c r="I25" s="23" t="str">
        <f aca="false">VLOOKUP(H25,Acuan!$A$2:$C$5,2,TRUE())</f>
        <v>Golongan I</v>
      </c>
      <c r="J25" s="22" t="n">
        <f aca="false">VLOOKUP(H25,Acuan!$A$2:$C$5,3,TRUE())</f>
        <v>2000000</v>
      </c>
      <c r="K25" s="23" t="str">
        <f aca="false">IF(D25=0,"Tidak Ada",IF(D25&lt;=J25,"Disetujui","Ditolak"))</f>
        <v>Ditolak</v>
      </c>
      <c r="L25" s="22" t="n">
        <f aca="false">IF(K25="Disetujui",D25*$P$5*E25,0)</f>
        <v>0</v>
      </c>
      <c r="M25" s="22" t="n">
        <f aca="false">IF(K25="Disetujui",ROUND((D25+L25)/E25,0),0)</f>
        <v>0</v>
      </c>
    </row>
    <row r="26" customFormat="false" ht="15" hidden="false" customHeight="false" outlineLevel="0" collapsed="false">
      <c r="A26" s="17" t="s">
        <v>125</v>
      </c>
      <c r="B26" s="18" t="n">
        <v>45701</v>
      </c>
      <c r="C26" s="19" t="n">
        <v>0</v>
      </c>
      <c r="D26" s="19" t="n">
        <v>0</v>
      </c>
      <c r="E26" s="20" t="n">
        <v>0</v>
      </c>
      <c r="F26" s="21" t="n">
        <f aca="false">DATEDIF(B26,$P$2,"m")</f>
        <v>20</v>
      </c>
      <c r="G26" s="22" t="n">
        <f aca="false">F26*$P$4</f>
        <v>1000000</v>
      </c>
      <c r="H26" s="22" t="n">
        <f aca="false">$P$3+G26+C26</f>
        <v>1100000</v>
      </c>
      <c r="I26" s="23" t="str">
        <f aca="false">VLOOKUP(H26,Acuan!$A$2:$C$5,2,TRUE())</f>
        <v>Golongan I</v>
      </c>
      <c r="J26" s="22" t="n">
        <f aca="false">VLOOKUP(H26,Acuan!$A$2:$C$5,3,TRUE())</f>
        <v>2000000</v>
      </c>
      <c r="K26" s="23" t="str">
        <f aca="false">IF(D26=0,"Tidak Ada",IF(D26&lt;=J26,"Disetujui","Ditolak"))</f>
        <v>Tidak Ada</v>
      </c>
      <c r="L26" s="22" t="n">
        <f aca="false">IF(K26="Disetujui",D26*$P$5*E26,0)</f>
        <v>0</v>
      </c>
      <c r="M26" s="22" t="n">
        <f aca="false">IF(K26="Disetujui",ROUND((D26+L26)/E26,0),0)</f>
        <v>0</v>
      </c>
    </row>
    <row r="27" customFormat="false" ht="15" hidden="false" customHeight="false" outlineLevel="0" collapsed="false">
      <c r="A27" s="17" t="s">
        <v>126</v>
      </c>
      <c r="B27" s="18" t="n">
        <v>45735</v>
      </c>
      <c r="C27" s="19" t="n">
        <v>0</v>
      </c>
      <c r="D27" s="19" t="n">
        <v>10000000</v>
      </c>
      <c r="E27" s="20" t="n">
        <v>12</v>
      </c>
      <c r="F27" s="21" t="n">
        <f aca="false">DATEDIF(B27,$P$2,"m")</f>
        <v>19</v>
      </c>
      <c r="G27" s="22" t="n">
        <f aca="false">F27*$P$4</f>
        <v>950000</v>
      </c>
      <c r="H27" s="22" t="n">
        <f aca="false">$P$3+G27+C27</f>
        <v>1050000</v>
      </c>
      <c r="I27" s="23" t="str">
        <f aca="false">VLOOKUP(H27,Acuan!$A$2:$C$5,2,TRUE())</f>
        <v>Golongan I</v>
      </c>
      <c r="J27" s="22" t="n">
        <f aca="false">VLOOKUP(H27,Acuan!$A$2:$C$5,3,TRUE())</f>
        <v>2000000</v>
      </c>
      <c r="K27" s="23" t="str">
        <f aca="false">IF(D27=0,"Tidak Ada",IF(D27&lt;=J27,"Disetujui","Ditolak"))</f>
        <v>Ditolak</v>
      </c>
      <c r="L27" s="22" t="n">
        <f aca="false">IF(K27="Disetujui",D27*$P$5*E27,0)</f>
        <v>0</v>
      </c>
      <c r="M27" s="22" t="n">
        <f aca="false">IF(K27="Disetujui",ROUND((D27+L27)/E27,0),0)</f>
        <v>0</v>
      </c>
    </row>
    <row r="28" customFormat="false" ht="15" hidden="false" customHeight="false" outlineLevel="0" collapsed="false">
      <c r="A28" s="17" t="s">
        <v>127</v>
      </c>
      <c r="B28" s="18" t="n">
        <v>45783</v>
      </c>
      <c r="C28" s="19" t="n">
        <v>500000</v>
      </c>
      <c r="D28" s="19" t="n">
        <v>0</v>
      </c>
      <c r="E28" s="20" t="n">
        <v>0</v>
      </c>
      <c r="F28" s="21" t="n">
        <f aca="false">DATEDIF(B28,$P$2,"m")</f>
        <v>17</v>
      </c>
      <c r="G28" s="22" t="n">
        <f aca="false">F28*$P$4</f>
        <v>850000</v>
      </c>
      <c r="H28" s="22" t="n">
        <f aca="false">$P$3+G28+C28</f>
        <v>1450000</v>
      </c>
      <c r="I28" s="23" t="str">
        <f aca="false">VLOOKUP(H28,Acuan!$A$2:$C$5,2,TRUE())</f>
        <v>Golongan I</v>
      </c>
      <c r="J28" s="22" t="n">
        <f aca="false">VLOOKUP(H28,Acuan!$A$2:$C$5,3,TRUE())</f>
        <v>2000000</v>
      </c>
      <c r="K28" s="23" t="str">
        <f aca="false">IF(D28=0,"Tidak Ada",IF(D28&lt;=J28,"Disetujui","Ditolak"))</f>
        <v>Tidak Ada</v>
      </c>
      <c r="L28" s="22" t="n">
        <f aca="false">IF(K28="Disetujui",D28*$P$5*E28,0)</f>
        <v>0</v>
      </c>
      <c r="M28" s="22" t="n">
        <f aca="false">IF(K28="Disetujui",ROUND((D28+L28)/E28,0),0)</f>
        <v>0</v>
      </c>
    </row>
    <row r="29" customFormat="false" ht="15" hidden="false" customHeight="false" outlineLevel="0" collapsed="false">
      <c r="A29" s="17" t="s">
        <v>128</v>
      </c>
      <c r="B29" s="18" t="n">
        <v>45798</v>
      </c>
      <c r="C29" s="19" t="n">
        <v>200000</v>
      </c>
      <c r="D29" s="19" t="n">
        <v>15000000</v>
      </c>
      <c r="E29" s="20" t="n">
        <v>24</v>
      </c>
      <c r="F29" s="21" t="n">
        <f aca="false">DATEDIF(B29,$P$2,"m")</f>
        <v>17</v>
      </c>
      <c r="G29" s="22" t="n">
        <f aca="false">F29*$P$4</f>
        <v>850000</v>
      </c>
      <c r="H29" s="22" t="n">
        <f aca="false">$P$3+G29+C29</f>
        <v>1150000</v>
      </c>
      <c r="I29" s="23" t="str">
        <f aca="false">VLOOKUP(H29,Acuan!$A$2:$C$5,2,TRUE())</f>
        <v>Golongan I</v>
      </c>
      <c r="J29" s="22" t="n">
        <f aca="false">VLOOKUP(H29,Acuan!$A$2:$C$5,3,TRUE())</f>
        <v>2000000</v>
      </c>
      <c r="K29" s="23" t="str">
        <f aca="false">IF(D29=0,"Tidak Ada",IF(D29&lt;=J29,"Disetujui","Ditolak"))</f>
        <v>Ditolak</v>
      </c>
      <c r="L29" s="22" t="n">
        <f aca="false">IF(K29="Disetujui",D29*$P$5*E29,0)</f>
        <v>0</v>
      </c>
      <c r="M29" s="22" t="n">
        <f aca="false">IF(K29="Disetujui",ROUND((D29+L29)/E29,0),0)</f>
        <v>0</v>
      </c>
    </row>
    <row r="30" customFormat="false" ht="15" hidden="false" customHeight="false" outlineLevel="0" collapsed="false">
      <c r="A30" s="17" t="s">
        <v>129</v>
      </c>
      <c r="B30" s="18" t="n">
        <v>45799</v>
      </c>
      <c r="C30" s="19" t="n">
        <v>100000</v>
      </c>
      <c r="D30" s="19" t="n">
        <v>5000000</v>
      </c>
      <c r="E30" s="20" t="n">
        <v>6</v>
      </c>
      <c r="F30" s="21" t="n">
        <f aca="false">DATEDIF(B30,$P$2,"m")</f>
        <v>17</v>
      </c>
      <c r="G30" s="22" t="n">
        <f aca="false">F30*$P$4</f>
        <v>850000</v>
      </c>
      <c r="H30" s="22" t="n">
        <f aca="false">$P$3+G30+C30</f>
        <v>1050000</v>
      </c>
      <c r="I30" s="23" t="str">
        <f aca="false">VLOOKUP(H30,Acuan!$A$2:$C$5,2,TRUE())</f>
        <v>Golongan I</v>
      </c>
      <c r="J30" s="22" t="n">
        <f aca="false">VLOOKUP(H30,Acuan!$A$2:$C$5,3,TRUE())</f>
        <v>2000000</v>
      </c>
      <c r="K30" s="23" t="str">
        <f aca="false">IF(D30=0,"Tidak Ada",IF(D30&lt;=J30,"Disetujui","Ditolak"))</f>
        <v>Ditolak</v>
      </c>
      <c r="L30" s="22" t="n">
        <f aca="false">IF(K30="Disetujui",D30*$P$5*E30,0)</f>
        <v>0</v>
      </c>
      <c r="M30" s="22" t="n">
        <f aca="false">IF(K30="Disetujui",ROUND((D30+L30)/E30,0),0)</f>
        <v>0</v>
      </c>
    </row>
    <row r="31" customFormat="false" ht="15" hidden="false" customHeight="false" outlineLevel="0" collapsed="false">
      <c r="A31" s="17" t="s">
        <v>130</v>
      </c>
      <c r="B31" s="18" t="n">
        <v>45840</v>
      </c>
      <c r="C31" s="19" t="n">
        <v>0</v>
      </c>
      <c r="D31" s="19" t="n">
        <v>10000000</v>
      </c>
      <c r="E31" s="20" t="n">
        <v>6</v>
      </c>
      <c r="F31" s="21" t="n">
        <f aca="false">DATEDIF(B31,$P$2,"m")</f>
        <v>15</v>
      </c>
      <c r="G31" s="22" t="n">
        <f aca="false">F31*$P$4</f>
        <v>750000</v>
      </c>
      <c r="H31" s="22" t="n">
        <f aca="false">$P$3+G31+C31</f>
        <v>850000</v>
      </c>
      <c r="I31" s="23" t="str">
        <f aca="false">VLOOKUP(H31,Acuan!$A$2:$C$5,2,TRUE())</f>
        <v>Golongan I</v>
      </c>
      <c r="J31" s="22" t="n">
        <f aca="false">VLOOKUP(H31,Acuan!$A$2:$C$5,3,TRUE())</f>
        <v>2000000</v>
      </c>
      <c r="K31" s="23" t="str">
        <f aca="false">IF(D31=0,"Tidak Ada",IF(D31&lt;=J31,"Disetujui","Ditolak"))</f>
        <v>Ditolak</v>
      </c>
      <c r="L31" s="22" t="n">
        <f aca="false">IF(K31="Disetujui",D31*$P$5*E31,0)</f>
        <v>0</v>
      </c>
      <c r="M31" s="22" t="n">
        <f aca="false">IF(K31="Disetujui",ROUND((D31+L31)/E31,0),0)</f>
        <v>0</v>
      </c>
    </row>
    <row r="32" customFormat="false" ht="15" hidden="false" customHeight="false" outlineLevel="0" collapsed="false">
      <c r="A32" s="17" t="s">
        <v>131</v>
      </c>
      <c r="B32" s="18" t="n">
        <v>45845</v>
      </c>
      <c r="C32" s="19" t="n">
        <v>100000</v>
      </c>
      <c r="D32" s="19" t="n">
        <v>0</v>
      </c>
      <c r="E32" s="20" t="n">
        <v>0</v>
      </c>
      <c r="F32" s="21" t="n">
        <f aca="false">DATEDIF(B32,$P$2,"m")</f>
        <v>15</v>
      </c>
      <c r="G32" s="22" t="n">
        <f aca="false">F32*$P$4</f>
        <v>750000</v>
      </c>
      <c r="H32" s="22" t="n">
        <f aca="false">$P$3+G32+C32</f>
        <v>950000</v>
      </c>
      <c r="I32" s="23" t="str">
        <f aca="false">VLOOKUP(H32,Acuan!$A$2:$C$5,2,TRUE())</f>
        <v>Golongan I</v>
      </c>
      <c r="J32" s="22" t="n">
        <f aca="false">VLOOKUP(H32,Acuan!$A$2:$C$5,3,TRUE())</f>
        <v>2000000</v>
      </c>
      <c r="K32" s="23" t="str">
        <f aca="false">IF(D32=0,"Tidak Ada",IF(D32&lt;=J32,"Disetujui","Ditolak"))</f>
        <v>Tidak Ada</v>
      </c>
      <c r="L32" s="22" t="n">
        <f aca="false">IF(K32="Disetujui",D32*$P$5*E32,0)</f>
        <v>0</v>
      </c>
      <c r="M32" s="22" t="n">
        <f aca="false">IF(K32="Disetujui",ROUND((D32+L32)/E32,0),0)</f>
        <v>0</v>
      </c>
    </row>
    <row r="33" customFormat="false" ht="15" hidden="false" customHeight="false" outlineLevel="0" collapsed="false">
      <c r="A33" s="17" t="s">
        <v>132</v>
      </c>
      <c r="B33" s="18" t="n">
        <v>45897</v>
      </c>
      <c r="C33" s="19" t="n">
        <v>300000</v>
      </c>
      <c r="D33" s="19" t="n">
        <v>2000000</v>
      </c>
      <c r="E33" s="20" t="n">
        <v>12</v>
      </c>
      <c r="F33" s="21" t="n">
        <f aca="false">DATEDIF(B33,$P$2,"m")</f>
        <v>14</v>
      </c>
      <c r="G33" s="22" t="n">
        <f aca="false">F33*$P$4</f>
        <v>700000</v>
      </c>
      <c r="H33" s="22" t="n">
        <f aca="false">$P$3+G33+C33</f>
        <v>1100000</v>
      </c>
      <c r="I33" s="23" t="str">
        <f aca="false">VLOOKUP(H33,Acuan!$A$2:$C$5,2,TRUE())</f>
        <v>Golongan I</v>
      </c>
      <c r="J33" s="22" t="n">
        <f aca="false">VLOOKUP(H33,Acuan!$A$2:$C$5,3,TRUE())</f>
        <v>2000000</v>
      </c>
      <c r="K33" s="23" t="str">
        <f aca="false">IF(D33=0,"Tidak Ada",IF(D33&lt;=J33,"Disetujui","Ditolak"))</f>
        <v>Disetujui</v>
      </c>
      <c r="L33" s="22" t="n">
        <f aca="false">IF(K33="Disetujui",D33*$P$5*E33,0)</f>
        <v>240000</v>
      </c>
      <c r="M33" s="22" t="n">
        <f aca="false">IF(K33="Disetujui",ROUND((D33+L33)/E33,0),0)</f>
        <v>186667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3" min="3" style="0" width="16"/>
    <col collapsed="false" customWidth="true" hidden="false" outlineLevel="0" max="4" min="4" style="0" width="15"/>
    <col collapsed="false" customWidth="true" hidden="false" outlineLevel="0" max="5" min="5" style="0" width="19"/>
  </cols>
  <sheetData>
    <row r="1" customFormat="false" ht="33.75" hidden="false" customHeight="true" outlineLevel="0" collapsed="false">
      <c r="A1" s="11" t="s">
        <v>133</v>
      </c>
      <c r="B1" s="11" t="s">
        <v>87</v>
      </c>
      <c r="C1" s="11" t="s">
        <v>88</v>
      </c>
      <c r="D1" s="15" t="s">
        <v>134</v>
      </c>
      <c r="E1" s="15" t="s">
        <v>135</v>
      </c>
    </row>
    <row r="2" customFormat="false" ht="15" hidden="false" customHeight="false" outlineLevel="0" collapsed="false">
      <c r="A2" s="19" t="n">
        <v>0</v>
      </c>
      <c r="B2" s="17" t="s">
        <v>136</v>
      </c>
      <c r="C2" s="19" t="n">
        <v>2000000</v>
      </c>
      <c r="D2" s="21" t="n">
        <f aca="false">COUNTIF(Data!$I$2:$I$33,B2)</f>
        <v>9</v>
      </c>
      <c r="E2" s="22" t="n">
        <f aca="false">SUMIFS(Data!$D$2:$D$33,Data!$I$2:$I$33,B2,Data!$K$2:$K$33,"Disetujui")</f>
        <v>2000000</v>
      </c>
    </row>
    <row r="3" customFormat="false" ht="15" hidden="false" customHeight="false" outlineLevel="0" collapsed="false">
      <c r="A3" s="19" t="n">
        <v>1500000</v>
      </c>
      <c r="B3" s="17" t="s">
        <v>137</v>
      </c>
      <c r="C3" s="19" t="n">
        <v>5000000</v>
      </c>
      <c r="D3" s="21" t="n">
        <f aca="false">COUNTIF(Data!$I$2:$I$33,B3)</f>
        <v>9</v>
      </c>
      <c r="E3" s="22" t="n">
        <f aca="false">SUMIFS(Data!$D$2:$D$33,Data!$I$2:$I$33,B3,Data!$K$2:$K$33,"Disetujui")</f>
        <v>3000000</v>
      </c>
    </row>
    <row r="4" customFormat="false" ht="15" hidden="false" customHeight="false" outlineLevel="0" collapsed="false">
      <c r="A4" s="19" t="n">
        <v>3000000</v>
      </c>
      <c r="B4" s="17" t="s">
        <v>138</v>
      </c>
      <c r="C4" s="19" t="n">
        <v>10000000</v>
      </c>
      <c r="D4" s="21" t="n">
        <f aca="false">COUNTIF(Data!$I$2:$I$33,B4)</f>
        <v>11</v>
      </c>
      <c r="E4" s="22" t="n">
        <f aca="false">SUMIFS(Data!$D$2:$D$33,Data!$I$2:$I$33,B4,Data!$K$2:$K$33,"Disetujui")</f>
        <v>21000000</v>
      </c>
    </row>
    <row r="5" customFormat="false" ht="15" hidden="false" customHeight="false" outlineLevel="0" collapsed="false">
      <c r="A5" s="19" t="n">
        <v>4000000</v>
      </c>
      <c r="B5" s="17" t="s">
        <v>139</v>
      </c>
      <c r="C5" s="19" t="n">
        <v>20000000</v>
      </c>
      <c r="D5" s="21" t="n">
        <f aca="false">COUNTIF(Data!$I$2:$I$33,B5)</f>
        <v>3</v>
      </c>
      <c r="E5" s="22" t="n">
        <f aca="false">SUMIFS(Data!$D$2:$D$33,Data!$I$2:$I$33,B5,Data!$K$2:$K$33,"Disetujui")</f>
        <v>20000000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140</v>
      </c>
      <c r="B1" s="28"/>
      <c r="C1" s="28"/>
      <c r="D1" s="28"/>
    </row>
    <row r="2" customFormat="false" ht="15" hidden="false" customHeight="false" outlineLevel="0" collapsed="false">
      <c r="A2" s="29" t="s">
        <v>141</v>
      </c>
      <c r="B2" s="29"/>
      <c r="C2" s="29"/>
      <c r="D2" s="29"/>
    </row>
    <row r="3" customFormat="false" ht="15" hidden="false" customHeight="false" outlineLevel="0" collapsed="false">
      <c r="A3" s="11" t="s">
        <v>19</v>
      </c>
      <c r="B3" s="11" t="s">
        <v>142</v>
      </c>
      <c r="C3" s="11" t="s">
        <v>143</v>
      </c>
      <c r="D3" s="11" t="s">
        <v>144</v>
      </c>
    </row>
    <row r="4" customFormat="false" ht="15" hidden="false" customHeight="false" outlineLevel="0" collapsed="false">
      <c r="A4" s="30" t="s">
        <v>145</v>
      </c>
      <c r="B4" s="31" t="s">
        <v>146</v>
      </c>
      <c r="C4" s="22" t="n">
        <f aca="false">SUM(Data!$H$2:$H$33)</f>
        <v>79750000</v>
      </c>
      <c r="D4" s="32" t="s">
        <v>147</v>
      </c>
    </row>
    <row r="5" customFormat="false" ht="15" hidden="false" customHeight="false" outlineLevel="0" collapsed="false">
      <c r="A5" s="30" t="s">
        <v>148</v>
      </c>
      <c r="B5" s="31" t="s">
        <v>149</v>
      </c>
      <c r="C5" s="33" t="n">
        <f aca="false">AVERAGE(Data!$F$2:$F$33)</f>
        <v>44.03125</v>
      </c>
      <c r="D5" s="32" t="s">
        <v>150</v>
      </c>
    </row>
    <row r="6" customFormat="false" ht="15" hidden="false" customHeight="false" outlineLevel="0" collapsed="false">
      <c r="A6" s="30" t="s">
        <v>151</v>
      </c>
      <c r="B6" s="31" t="s">
        <v>152</v>
      </c>
      <c r="C6" s="21" t="n">
        <f aca="false">COUNTIF(Data!$K$2:$K$33,"Disetujui")</f>
        <v>10</v>
      </c>
      <c r="D6" s="32" t="s">
        <v>153</v>
      </c>
    </row>
    <row r="7" customFormat="false" ht="15" hidden="false" customHeight="false" outlineLevel="0" collapsed="false">
      <c r="A7" s="30" t="s">
        <v>154</v>
      </c>
      <c r="B7" s="31" t="s">
        <v>155</v>
      </c>
      <c r="C7" s="21" t="n">
        <f aca="false">COUNTIF(Data!$K$2:$K$33,"Ditolak")</f>
        <v>10</v>
      </c>
      <c r="D7" s="32" t="s">
        <v>156</v>
      </c>
    </row>
    <row r="8" customFormat="false" ht="15" hidden="false" customHeight="false" outlineLevel="0" collapsed="false">
      <c r="A8" s="30" t="s">
        <v>157</v>
      </c>
      <c r="B8" s="31" t="s">
        <v>158</v>
      </c>
      <c r="C8" s="22" t="n">
        <f aca="false">SUMIF(Data!$K$2:$K$33,"Disetujui",Data!$D$2:$D$33)</f>
        <v>46000000</v>
      </c>
      <c r="D8" s="32" t="s">
        <v>159</v>
      </c>
    </row>
    <row r="9" customFormat="false" ht="15" hidden="false" customHeight="false" outlineLevel="0" collapsed="false">
      <c r="A9" s="30" t="s">
        <v>160</v>
      </c>
      <c r="B9" s="31" t="s">
        <v>161</v>
      </c>
      <c r="C9" s="23" t="str">
        <f aca="false">INDEX(Data!$A$2:$A$33,MATCH(MAX(Data!$M$2:$M$33),Data!$M$2:$M$33,0))</f>
        <v>Bambang Kurniawan</v>
      </c>
      <c r="D9" s="32" t="s">
        <v>162</v>
      </c>
    </row>
    <row r="10" customFormat="false" ht="15" hidden="false" customHeight="false" outlineLevel="0" collapsed="false">
      <c r="A10" s="30" t="s">
        <v>163</v>
      </c>
      <c r="B10" s="31" t="s">
        <v>164</v>
      </c>
      <c r="C10" s="23" t="str">
        <f aca="false">INDEX(Acuan!$B$2:$B$5,MATCH(MAX(Acuan!$D$2:$D$5),Acuan!$D$2:$D$5,0))</f>
        <v>Golongan III</v>
      </c>
      <c r="D10" s="32" t="s">
        <v>165</v>
      </c>
    </row>
    <row r="11" customFormat="false" ht="15" hidden="false" customHeight="false" outlineLevel="0" collapsed="false">
      <c r="A11" s="30" t="s">
        <v>166</v>
      </c>
      <c r="B11" s="31" t="s">
        <v>167</v>
      </c>
      <c r="C11" s="22" t="n">
        <f aca="false">SUM(Data!$L$2:$L$33)</f>
        <v>5560000</v>
      </c>
      <c r="D11" s="32" t="s">
        <v>168</v>
      </c>
    </row>
    <row r="12" customFormat="false" ht="15" hidden="false" customHeight="false" outlineLevel="0" collapsed="false">
      <c r="A12" s="30" t="s">
        <v>169</v>
      </c>
      <c r="B12" s="31" t="s">
        <v>170</v>
      </c>
      <c r="C12" s="22" t="n">
        <f aca="false">SUM(Data!$M$2:$M$33)</f>
        <v>4485001</v>
      </c>
      <c r="D12" s="32" t="s">
        <v>171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2026-10-16T05:23:17Z</dcterms:created>
  <dc:creator>PushExcel</dc:creator>
  <dc:description/>
  <dc:language>en-US</dc:language>
  <cp:lastModifiedBy/>
  <dcterms:modified xsi:type="dcterms:W3CDTF">2026-10-16T05:23:17Z</dcterms:modified>
  <cp:revision>0</cp:revision>
  <dc:subject/>
  <dc:title>Simpan Pinjam Koperasi: Simpanan, Plafon, dan Angsuran - Kunci</dc:title>
</cp:coreProperties>
</file>

<file path=docProps/custom.xml><?xml version="1.0" encoding="utf-8"?>
<Properties xmlns="http://schemas.openxmlformats.org/officeDocument/2006/custom-properties" xmlns:vt="http://schemas.openxmlformats.org/officeDocument/2006/docPropsVTypes"/>
</file>