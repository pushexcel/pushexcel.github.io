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officedocument/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Compatibility="false"/>
  <workbookProtection/>
  <bookViews>
    <workbookView showHorizontalScroll="true" showVerticalScroll="true" showSheetTabs="true" xWindow="0" yWindow="0" windowWidth="16384" windowHeight="8192" tabRatio="600" firstSheet="0" activeTab="0"/>
  </bookViews>
  <sheets>
    <sheet name="Petunjuk" sheetId="1" state="visible" r:id="rId3"/>
    <sheet name="Data" sheetId="2" state="visible" r:id="rId4"/>
    <sheet name="Acuan" sheetId="3" state="visible" r:id="rId5"/>
    <sheet name="Ringkasan" sheetId="4" state="visible" r:id="rId6"/>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<sst xmlns="http://schemas.openxmlformats.org/spreadsheetml/2006/main" count="206" uniqueCount="171">
  <si>
    <t xml:space="preserve">Kunci Jawaban: Seleksi Penerima Beasiswa dan Peringkat Skor</t>
  </si>
  <si>
    <t xml:space="preserve">Latihan 78 dari 40  |  Tingkat: Menengah  |  Perkiraan waktu: 50 menit  |  pushexcel.github.io/Pushexcel</t>
  </si>
  <si>
    <t xml:space="preserve">Skenario</t>
  </si>
  <si>
    <t xml:space="preserve">Kamu panitia seleksi Beasiswa Cendekia Nusantara yang menilai 32 pendaftar. Skor dasar dihitung dari tiga nilai dengan bobot: tes 50 persen, wawancara 30 persen, dan rapor 20 persen. Setiap jalur pendaftaran mendapat bonus nilai yang tercantum di sheet Acuan. Skor akhir adalah skor dasar ditambah bonus jalur. Pendaftar diurutkan dengan RANK dari skor akhir tertinggi. Status Lolos bila skor akhir mencapai nilai minimum dan peringkatnya masuk kuota, Cadangan bila skor mencapai minimum tetapi peringkat di luar kuota, dan Tidak Lolos bila skor di bawah minimum (kuota, nilai minimum, dan bobot ada di blok Parameter).</t>
  </si>
  <si>
    <t xml:space="preserve">Cara memakai kunci</t>
  </si>
  <si>
    <t xml:space="preserve">1.</t>
  </si>
  <si>
    <t xml:space="preserve">Sel hijau berisi rumus kunci yang sudah dihitung. Klik sel untuk melihat rumusnya.</t>
  </si>
  <si>
    <t xml:space="preserve">2.</t>
  </si>
  <si>
    <t xml:space="preserve">Kolom Rumus kunci di bawah menampilkan rumus untuk baris pertama atau tiap sel jawaban.</t>
  </si>
  <si>
    <t xml:space="preserve">3.</t>
  </si>
  <si>
    <t xml:space="preserve">Rumus ditulis dengan titik koma (;). Ganti dengan koma (,) bila Excel kamu berbahasa Inggris.</t>
  </si>
  <si>
    <t xml:space="preserve">4.</t>
  </si>
  <si>
    <t xml:space="preserve">Jawaban lain yang benar secara logika juga boleh, selama hasilnya sama.</t>
  </si>
  <si>
    <t xml:space="preserve">Arti warna</t>
  </si>
  <si>
    <t xml:space="preserve">Judul kolom data yang sudah diberikan</t>
  </si>
  <si>
    <t xml:space="preserve">Judul kolom hasil hitung</t>
  </si>
  <si>
    <t xml:space="preserve">Sel berisi rumus kunci</t>
  </si>
  <si>
    <t xml:space="preserve">Angka berwarna biru pada blok Parameter = nilai tetap yang boleh dirujuk</t>
  </si>
  <si>
    <t xml:space="preserve">Daftar soal</t>
  </si>
  <si>
    <t xml:space="preserve">No</t>
  </si>
  <si>
    <t xml:space="preserve">Soal</t>
  </si>
  <si>
    <t xml:space="preserve">Jawab di</t>
  </si>
  <si>
    <t xml:space="preserve">Rumus kunci</t>
  </si>
  <si>
    <t xml:space="preserve">1</t>
  </si>
  <si>
    <t xml:space="preserve">Hitung skor dasar: tiap nilai dikali bobotnya, lalu dijumlahkan. Bulatkan 2 desimal.</t>
  </si>
  <si>
    <t xml:space="preserve">Sheet Data, kolom F (Skor Dasar), baris 2 sampai 33</t>
  </si>
  <si>
    <t xml:space="preserve">=ROUND(C2*$M$2+D2*$M$3+E2*$M$4;2)</t>
  </si>
  <si>
    <t xml:space="preserve">2</t>
  </si>
  <si>
    <t xml:space="preserve">Ambil bonus nilai tiap pendaftar dari tabel jalur di sheet Acuan.</t>
  </si>
  <si>
    <t xml:space="preserve">Sheet Data, kolom G (Bonus Jalur), baris 2 sampai 33</t>
  </si>
  <si>
    <t xml:space="preserve">=VLOOKUP(B2;Acuan!$A$2:$B$4;2;FALSE)</t>
  </si>
  <si>
    <t xml:space="preserve">3</t>
  </si>
  <si>
    <t xml:space="preserve">Hitung skor akhir: skor dasar ditambah bonus jalur.</t>
  </si>
  <si>
    <t xml:space="preserve">Sheet Data, kolom H (Skor Akhir), baris 2 sampai 33</t>
  </si>
  <si>
    <t xml:space="preserve">=F2+G2</t>
  </si>
  <si>
    <t xml:space="preserve">4</t>
  </si>
  <si>
    <t xml:space="preserve">Tentukan peringkat tiap pendaftar berdasarkan skor akhir, dari yang tertinggi (peringkat 1).</t>
  </si>
  <si>
    <t xml:space="preserve">Sheet Data, kolom I (Peringkat), baris 2 sampai 33</t>
  </si>
  <si>
    <t xml:space="preserve">=RANK(H2;$H$2:$H$33;0)</t>
  </si>
  <si>
    <t xml:space="preserve">5</t>
  </si>
  <si>
    <t xml:space="preserve">Beri status Tidak Lolos bila skor akhir di bawah nilai minimum, Lolos bila peringkat sampai kuota, selain itu Cadangan.</t>
  </si>
  <si>
    <t xml:space="preserve">Sheet Data, kolom J (Status Seleksi), baris 2 sampai 33</t>
  </si>
  <si>
    <t xml:space="preserve">=IF(H2&lt;$M$5;"Tidak Lolos";IF(I2&lt;=$M$6;"Lolos";"Cadangan"))</t>
  </si>
  <si>
    <t xml:space="preserve">6</t>
  </si>
  <si>
    <t xml:space="preserve">Pada sheet Acuan, hitung jumlah pendaftar tiap jalur.</t>
  </si>
  <si>
    <t xml:space="preserve">Sheet Acuan, kolom C (Jumlah Pendaftar), baris 2 sampai 4</t>
  </si>
  <si>
    <t xml:space="preserve">=COUNTIF(Data!$B$2:$B$33;A2)</t>
  </si>
  <si>
    <t xml:space="preserve">7</t>
  </si>
  <si>
    <t xml:space="preserve">Pada sheet Acuan, hitung jumlah pendaftar berstatus Lolos tiap jalur.</t>
  </si>
  <si>
    <t xml:space="preserve">Sheet Acuan, kolom D (Jumlah Lolos), baris 2 sampai 4</t>
  </si>
  <si>
    <t xml:space="preserve">=COUNTIFS(Data!$B$2:$B$33;A2;Data!$J$2:$J$33;"Lolos")</t>
  </si>
  <si>
    <t xml:space="preserve">8</t>
  </si>
  <si>
    <t xml:space="preserve">Pada sheet Acuan, hitung rata-rata skor akhir tiap jalur.</t>
  </si>
  <si>
    <t xml:space="preserve">Sheet Acuan, kolom E (Rata-rata Skor Akhir), baris 2 sampai 4</t>
  </si>
  <si>
    <t xml:space="preserve">=AVERAGEIF(Data!$B$2:$B$33;A2;Data!$H$2:$H$33)</t>
  </si>
  <si>
    <t xml:space="preserve">9</t>
  </si>
  <si>
    <t xml:space="preserve">Berapa pendaftar yang Lolos, Cadangan, dan Tidak Lolos?</t>
  </si>
  <si>
    <t xml:space="preserve">Sheet Ringkasan, sel C4 sampai C6</t>
  </si>
  <si>
    <t xml:space="preserve">=COUNTIF(Data!$J$2:$J$33;"Lolos")
=COUNTIF(Data!$J$2:$J$33;"Cadangan")
=COUNTIF(Data!$J$2:$J$33;"Tidak Lolos")</t>
  </si>
  <si>
    <t xml:space="preserve">10</t>
  </si>
  <si>
    <t xml:space="preserve">Siapa pendaftar dengan skor akhir tertinggi, dan jalur mana yang rata-rata skor akhirnya tertinggi?</t>
  </si>
  <si>
    <t xml:space="preserve">Sheet Ringkasan, sel C7 sampai C8</t>
  </si>
  <si>
    <t xml:space="preserve">=INDEX(Data!$A$2:$A$33;MATCH(MAX(Data!$H$2:$H$33);Data!$H$2:$H$33;0))
=INDEX(Acuan!$A$2:$A$4;MATCH(MAX(Acuan!$E$2:$E$4);Acuan!$E$2:$E$4;0))</t>
  </si>
  <si>
    <t xml:space="preserve">11</t>
  </si>
  <si>
    <t xml:space="preserve">Siapa pendaftar yang berada di peringkat 10 (peringkat terakhir yang Lolos), dan berapa skor akhir peringkat itu?</t>
  </si>
  <si>
    <t xml:space="preserve">Sheet Ringkasan, sel C9 sampai C10</t>
  </si>
  <si>
    <t xml:space="preserve">=INDEX(Data!$A$2:$A$33;MATCH(10;Data!$I$2:$I$33;0))
=INDEX(Data!$H$2:$H$33;MATCH(10;Data!$I$2:$I$33;0))</t>
  </si>
  <si>
    <t xml:space="preserve">12</t>
  </si>
  <si>
    <t xml:space="preserve">Berapa rata-rata nilai tes seluruh pendaftar, dan berapa rata-rata nilai wawancara jalur Prestasi?</t>
  </si>
  <si>
    <t xml:space="preserve">Sheet Ringkasan, sel C11 sampai C12</t>
  </si>
  <si>
    <t xml:space="preserve">=AVERAGE(Data!$C$2:$C$33)
=AVERAGEIF(Data!$B$2:$B$33;"Prestasi";Data!$D$2:$D$33)</t>
  </si>
  <si>
    <t xml:space="preserve">13</t>
  </si>
  <si>
    <t xml:space="preserve">Berapa nilai tes tertinggi, dan berapa pendaftar jalur Daerah Terpencil yang berstatus Lolos atau Cadangan?</t>
  </si>
  <si>
    <t xml:space="preserve">Sheet Ringkasan, sel C13 sampai C14</t>
  </si>
  <si>
    <t xml:space="preserve">=MAX(Data!$C$2:$C$33)
=COUNTIFS(Data!$B$2:$B$33;"Daerah Terpencil";Data!$J$2:$J$33;"Lolos")+COUNTIFS(Data!$B$2:$B$33;"Daerah Terpencil";Data!$J$2:$J$33;"Cadangan")</t>
  </si>
  <si>
    <t xml:space="preserve">Nama Pendaftar</t>
  </si>
  <si>
    <t xml:space="preserve">Jalur</t>
  </si>
  <si>
    <t xml:space="preserve">Nilai Tes</t>
  </si>
  <si>
    <t xml:space="preserve">Nilai Wawancara</t>
  </si>
  <si>
    <t xml:space="preserve">Nilai Rapor</t>
  </si>
  <si>
    <t xml:space="preserve">Skor Dasar</t>
  </si>
  <si>
    <t xml:space="preserve">Bonus Jalur</t>
  </si>
  <si>
    <t xml:space="preserve">Skor Akhir</t>
  </si>
  <si>
    <t xml:space="preserve">Peringkat</t>
  </si>
  <si>
    <t xml:space="preserve">Status Seleksi</t>
  </si>
  <si>
    <t xml:space="preserve">Parameter</t>
  </si>
  <si>
    <t xml:space="preserve">Nilai</t>
  </si>
  <si>
    <t xml:space="preserve">Keterangan</t>
  </si>
  <si>
    <t xml:space="preserve">Indah Purnomo</t>
  </si>
  <si>
    <t xml:space="preserve">Daerah Terpencil</t>
  </si>
  <si>
    <t xml:space="preserve">Bobot tes</t>
  </si>
  <si>
    <t xml:space="preserve">Lina Yulianto</t>
  </si>
  <si>
    <t xml:space="preserve">Bobot wawancara</t>
  </si>
  <si>
    <t xml:space="preserve">Jihan Setiawan</t>
  </si>
  <si>
    <t xml:space="preserve">Prestasi</t>
  </si>
  <si>
    <t xml:space="preserve">Bobot rapor</t>
  </si>
  <si>
    <t xml:space="preserve">Vivi Lestari</t>
  </si>
  <si>
    <t xml:space="preserve">Nilai minimum</t>
  </si>
  <si>
    <t xml:space="preserve">Skor akhir di bawah nilai ini = Tidak Lolos</t>
  </si>
  <si>
    <t xml:space="preserve">Yuni Ramadhan</t>
  </si>
  <si>
    <t xml:space="preserve">Reguler</t>
  </si>
  <si>
    <t xml:space="preserve">Kuota penerima</t>
  </si>
  <si>
    <t xml:space="preserve">Jumlah penerima beasiswa</t>
  </si>
  <si>
    <t xml:space="preserve">Vina Pratama</t>
  </si>
  <si>
    <t xml:space="preserve">Zainal Wijaya</t>
  </si>
  <si>
    <t xml:space="preserve">Hadi Nugroho</t>
  </si>
  <si>
    <t xml:space="preserve">Kartika Kurniawan</t>
  </si>
  <si>
    <t xml:space="preserve">Budi Maharani</t>
  </si>
  <si>
    <t xml:space="preserve">Dimas Pratama</t>
  </si>
  <si>
    <t xml:space="preserve">Vivi Saputra</t>
  </si>
  <si>
    <t xml:space="preserve">Agus Handayani</t>
  </si>
  <si>
    <t xml:space="preserve">Fajar Purnomo</t>
  </si>
  <si>
    <t xml:space="preserve">Tono Saputra</t>
  </si>
  <si>
    <t xml:space="preserve">Lestari Wibowo</t>
  </si>
  <si>
    <t xml:space="preserve">Zainal Fauzi</t>
  </si>
  <si>
    <t xml:space="preserve">Rahmat Suryani</t>
  </si>
  <si>
    <t xml:space="preserve">Hesti Nugroho</t>
  </si>
  <si>
    <t xml:space="preserve">Lestari Pratama</t>
  </si>
  <si>
    <t xml:space="preserve">Dian Pangestu</t>
  </si>
  <si>
    <t xml:space="preserve">Rizki Saputra</t>
  </si>
  <si>
    <t xml:space="preserve">Utami Permana</t>
  </si>
  <si>
    <t xml:space="preserve">Jihan Firmansyah</t>
  </si>
  <si>
    <t xml:space="preserve">Sari Suryani</t>
  </si>
  <si>
    <t xml:space="preserve">Hesti Firmansyah</t>
  </si>
  <si>
    <t xml:space="preserve">Vivi Syahputra</t>
  </si>
  <si>
    <t xml:space="preserve">Yoga Maharani</t>
  </si>
  <si>
    <t xml:space="preserve">Nurul Amalia</t>
  </si>
  <si>
    <t xml:space="preserve">Zainal Firmansyah</t>
  </si>
  <si>
    <t xml:space="preserve">Utami Hidayat</t>
  </si>
  <si>
    <t xml:space="preserve">Fajar Hidayat</t>
  </si>
  <si>
    <t xml:space="preserve">Bonus Nilai</t>
  </si>
  <si>
    <t xml:space="preserve">Jumlah Pendaftar</t>
  </si>
  <si>
    <t xml:space="preserve">Jumlah Lolos</t>
  </si>
  <si>
    <t xml:space="preserve">Rata-rata Skor Akhir</t>
  </si>
  <si>
    <t xml:space="preserve">Ringkasan: lembar jawaban soal berjenis ringkasan</t>
  </si>
  <si>
    <t xml:space="preserve">Sel hijau berisi rumus kunci.</t>
  </si>
  <si>
    <t xml:space="preserve">Pertanyaan</t>
  </si>
  <si>
    <t xml:space="preserve">Jawaban</t>
  </si>
  <si>
    <t xml:space="preserve">Contoh format hasil</t>
  </si>
  <si>
    <t xml:space="preserve">9a</t>
  </si>
  <si>
    <t xml:space="preserve">Pendaftar Lolos</t>
  </si>
  <si>
    <t xml:space="preserve">Angka bulat, mis. 8</t>
  </si>
  <si>
    <t xml:space="preserve">9b</t>
  </si>
  <si>
    <t xml:space="preserve">Pendaftar Cadangan</t>
  </si>
  <si>
    <t xml:space="preserve">Angka bulat, mis. 7</t>
  </si>
  <si>
    <t xml:space="preserve">9c</t>
  </si>
  <si>
    <t xml:space="preserve">Pendaftar Tidak Lolos</t>
  </si>
  <si>
    <t xml:space="preserve">Angka bulat, mis. 12</t>
  </si>
  <si>
    <t xml:space="preserve">10a</t>
  </si>
  <si>
    <t xml:space="preserve">Pendaftar dengan skor akhir tertinggi</t>
  </si>
  <si>
    <t xml:space="preserve">Teks: nama pendaftar</t>
  </si>
  <si>
    <t xml:space="preserve">10b</t>
  </si>
  <si>
    <t xml:space="preserve">Jalur dengan rata-rata skor tertinggi</t>
  </si>
  <si>
    <t xml:space="preserve">Teks: nama jalur</t>
  </si>
  <si>
    <t xml:space="preserve">11a</t>
  </si>
  <si>
    <t xml:space="preserve">Pendaftar di peringkat 10</t>
  </si>
  <si>
    <t xml:space="preserve">11b</t>
  </si>
  <si>
    <t xml:space="preserve">Skor akhir peringkat 10</t>
  </si>
  <si>
    <t xml:space="preserve">Angka desimal, mis. 82,45</t>
  </si>
  <si>
    <t xml:space="preserve">12a</t>
  </si>
  <si>
    <t xml:space="preserve">Rata-rata nilai tes</t>
  </si>
  <si>
    <t xml:space="preserve">Angka desimal, mis. 74,50</t>
  </si>
  <si>
    <t xml:space="preserve">12b</t>
  </si>
  <si>
    <t xml:space="preserve">Rata-rata nilai wawancara jalur Prestasi</t>
  </si>
  <si>
    <t xml:space="preserve">Angka desimal, mis. 77,25</t>
  </si>
  <si>
    <t xml:space="preserve">13a</t>
  </si>
  <si>
    <t xml:space="preserve">Nilai tes tertinggi</t>
  </si>
  <si>
    <t xml:space="preserve">Angka bulat, mis. 95</t>
  </si>
  <si>
    <t xml:space="preserve">13b</t>
  </si>
  <si>
    <t xml:space="preserve">Jalur Daerah Terpencil Lolos atau Cadangan</t>
  </si>
  <si>
    <t xml:space="preserve">Angka bulat, mis. 6</t>
  </si>
</sst>
</file>

<file path=xl/styles.xml><?xml version="1.0" encoding="utf-8"?>
<styleSheet xmlns="http://schemas.openxmlformats.org/spreadsheetml/2006/main">
  <numFmts count="4">
    <numFmt numFmtId="164" formatCode="General"/>
    <numFmt numFmtId="165" formatCode="0"/>
    <numFmt numFmtId="166" formatCode="0.00"/>
    <numFmt numFmtId="167" formatCode="0%"/>
  </numFmts>
  <fonts count="13">
    <font>
      <sz val="11"/>
      <color theme="1"/>
      <name val="Calibri"/>
      <family val="2"/>
      <charset val="1"/>
    </font>
    <font>
      <sz val="10"/>
      <name val="Arial"/>
      <family val="0"/>
    </font>
    <font>
      <sz val="10"/>
      <name val="Arial"/>
      <family val="0"/>
    </font>
    <font>
      <sz val="10"/>
      <name val="Arial"/>
      <family val="0"/>
    </font>
    <font>
      <b val="true"/>
      <sz val="16"/>
      <color rgb="FF1F4E3D"/>
      <name val="Arial"/>
      <family val="0"/>
      <charset val="1"/>
    </font>
    <font>
      <sz val="9"/>
      <color rgb="FF595959"/>
      <name val="Arial"/>
      <family val="0"/>
      <charset val="1"/>
    </font>
    <font>
      <b val="true"/>
      <sz val="11"/>
      <name val="Arial"/>
      <family val="0"/>
      <charset val="1"/>
    </font>
    <font>
      <sz val="10"/>
      <name val="Arial"/>
      <family val="0"/>
      <charset val="1"/>
    </font>
    <font>
      <b val="true"/>
      <sz val="10"/>
      <color rgb="FFFFFFFF"/>
      <name val="Arial"/>
      <family val="0"/>
      <charset val="1"/>
    </font>
    <font>
      <sz val="9"/>
      <name val="Consolas"/>
      <family val="0"/>
      <charset val="1"/>
    </font>
    <font>
      <sz val="10"/>
      <color rgb="FF0000FF"/>
      <name val="Arial"/>
      <family val="0"/>
      <charset val="1"/>
    </font>
    <font>
      <b val="true"/>
      <sz val="13"/>
      <color rgb="FF1F4E3D"/>
      <name val="Arial"/>
      <family val="0"/>
      <charset val="1"/>
    </font>
    <font>
      <i val="true"/>
      <sz val="9"/>
      <color rgb="FF595959"/>
      <name val="Arial"/>
      <family val="0"/>
      <charset val="1"/>
    </font>
  </fonts>
  <fills count="7">
    <fill>
      <patternFill patternType="none"/>
    </fill>
    <fill>
      <patternFill patternType="gray125"/>
    </fill>
    <fill>
      <patternFill patternType="solid">
        <fgColor rgb="FF1F4E3D"/>
        <bgColor rgb="FF44546A"/>
      </patternFill>
    </fill>
    <fill>
      <patternFill patternType="solid">
        <fgColor rgb="FFB45F06"/>
        <bgColor rgb="FF808000"/>
      </patternFill>
    </fill>
    <fill>
      <patternFill patternType="solid">
        <fgColor rgb="FFE2EFDA"/>
        <bgColor rgb="FFFFFFCC"/>
      </patternFill>
    </fill>
    <fill>
      <patternFill patternType="solid">
        <fgColor rgb="FFFFFFFF"/>
        <bgColor rgb="FFFFFFCC"/>
      </patternFill>
    </fill>
    <fill>
      <patternFill patternType="solid">
        <fgColor rgb="FF44546A"/>
        <bgColor rgb="FF595959"/>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0">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false" applyProtection="false">
      <alignment horizontal="general" vertical="bottom" textRotation="0" wrapText="false" indent="0" shrinkToFit="false"/>
      <protection locked="true" hidden="false"/>
    </xf>
    <xf numFmtId="164" fontId="5" fillId="0" borderId="0" xfId="0" applyFont="true" applyBorder="tru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true" applyAlignment="true" applyProtection="false">
      <alignment horizontal="general" vertical="top" textRotation="0" wrapText="true" indent="0" shrinkToFit="false"/>
      <protection locked="true" hidden="false"/>
    </xf>
    <xf numFmtId="164" fontId="7" fillId="0" borderId="0" xfId="0" applyFont="true" applyBorder="false" applyAlignment="true" applyProtection="false">
      <alignment horizontal="right" vertical="top" textRotation="0" wrapText="false" indent="0" shrinkToFit="false"/>
      <protection locked="true" hidden="false"/>
    </xf>
    <xf numFmtId="164" fontId="0" fillId="2" borderId="1" xfId="0" applyFont="false" applyBorder="tru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0" fillId="3" borderId="1" xfId="0" applyFont="false" applyBorder="true" applyAlignment="false" applyProtection="false">
      <alignment horizontal="general" vertical="bottom" textRotation="0" wrapText="false" indent="0" shrinkToFit="false"/>
      <protection locked="true" hidden="false"/>
    </xf>
    <xf numFmtId="164" fontId="0" fillId="4" borderId="1" xfId="0" applyFont="false" applyBorder="true" applyAlignment="false" applyProtection="false">
      <alignment horizontal="general" vertical="bottom" textRotation="0" wrapText="false" indent="0" shrinkToFit="false"/>
      <protection locked="true" hidden="false"/>
    </xf>
    <xf numFmtId="164" fontId="0" fillId="5" borderId="1" xfId="0" applyFont="false" applyBorder="true" applyAlignment="false" applyProtection="false">
      <alignment horizontal="general" vertical="bottom" textRotation="0" wrapText="false" indent="0" shrinkToFit="false"/>
      <protection locked="true" hidden="false"/>
    </xf>
    <xf numFmtId="164" fontId="8" fillId="2"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true" applyProtection="false">
      <alignment horizontal="center" vertical="top" textRotation="0" wrapText="fals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9" fillId="0" borderId="1" xfId="0" applyFont="true" applyBorder="true" applyAlignment="true" applyProtection="false">
      <alignment horizontal="general" vertical="top" textRotation="0" wrapText="true" indent="0" shrinkToFit="false"/>
      <protection locked="true" hidden="false"/>
    </xf>
    <xf numFmtId="164" fontId="8" fillId="3" borderId="1" xfId="0" applyFont="true" applyBorder="true" applyAlignment="true" applyProtection="false">
      <alignment horizontal="center" vertical="center" textRotation="0" wrapText="true" indent="0" shrinkToFit="false"/>
      <protection locked="true" hidden="false"/>
    </xf>
    <xf numFmtId="164" fontId="8" fillId="6"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true" applyProtection="false">
      <alignment horizontal="left" vertical="center" textRotation="0" wrapText="false" indent="0" shrinkToFit="false"/>
      <protection locked="true" hidden="false"/>
    </xf>
    <xf numFmtId="165" fontId="7" fillId="0" borderId="1" xfId="0" applyFont="true" applyBorder="true" applyAlignment="true" applyProtection="false">
      <alignment horizontal="right" vertical="center" textRotation="0" wrapText="false" indent="0" shrinkToFit="false"/>
      <protection locked="true" hidden="false"/>
    </xf>
    <xf numFmtId="166" fontId="7" fillId="4" borderId="1" xfId="0" applyFont="true" applyBorder="true" applyAlignment="true" applyProtection="false">
      <alignment horizontal="right" vertical="center" textRotation="0" wrapText="false" indent="0" shrinkToFit="false"/>
      <protection locked="true" hidden="false"/>
    </xf>
    <xf numFmtId="165" fontId="7" fillId="4" borderId="1" xfId="0" applyFont="true" applyBorder="true" applyAlignment="true" applyProtection="false">
      <alignment horizontal="right" vertical="center" textRotation="0" wrapText="false" indent="0" shrinkToFit="false"/>
      <protection locked="true" hidden="false"/>
    </xf>
    <xf numFmtId="164" fontId="7" fillId="4" borderId="1" xfId="0" applyFont="true" applyBorder="true" applyAlignment="true" applyProtection="false">
      <alignment horizontal="left" vertical="center" textRotation="0" wrapText="false" indent="0" shrinkToFit="false"/>
      <protection locked="true" hidden="false"/>
    </xf>
    <xf numFmtId="164" fontId="7" fillId="0" borderId="1" xfId="0" applyFont="true" applyBorder="true" applyAlignment="false" applyProtection="false">
      <alignment horizontal="general" vertical="bottom" textRotation="0" wrapText="false" indent="0" shrinkToFit="false"/>
      <protection locked="true" hidden="false"/>
    </xf>
    <xf numFmtId="167" fontId="10" fillId="0" borderId="1" xfId="0" applyFont="true" applyBorder="true" applyAlignment="true" applyProtection="false">
      <alignment horizontal="right" vertical="center" textRotation="0" wrapText="false" indent="0" shrinkToFit="false"/>
      <protection locked="true" hidden="false"/>
    </xf>
    <xf numFmtId="165" fontId="10" fillId="0" borderId="1" xfId="0" applyFont="true" applyBorder="true" applyAlignment="true" applyProtection="false">
      <alignment horizontal="right" vertical="center" textRotation="0" wrapText="false" indent="0" shrinkToFit="false"/>
      <protection locked="true" hidden="false"/>
    </xf>
    <xf numFmtId="164" fontId="11" fillId="0" borderId="0" xfId="0" applyFont="true" applyBorder="true" applyAlignment="false" applyProtection="false">
      <alignment horizontal="general" vertical="bottom" textRotation="0" wrapText="false" indent="0" shrinkToFit="false"/>
      <protection locked="true" hidden="false"/>
    </xf>
    <xf numFmtId="164" fontId="12" fillId="0" borderId="0" xfId="0" applyFont="true" applyBorder="true" applyAlignment="false" applyProtection="false">
      <alignment horizontal="general" vertical="bottom" textRotation="0" wrapText="false" indent="0" shrinkToFit="false"/>
      <protection locked="true" hidden="false"/>
    </xf>
    <xf numFmtId="164" fontId="7" fillId="0" borderId="1" xfId="0" applyFont="true" applyBorder="true" applyAlignment="true" applyProtection="false">
      <alignment horizontal="center" vertical="center" textRotation="0" wrapText="false" indent="0" shrinkToFit="false"/>
      <protection locked="true" hidden="false"/>
    </xf>
    <xf numFmtId="164" fontId="7" fillId="0" borderId="1" xfId="0" applyFont="true" applyBorder="true" applyAlignment="true" applyProtection="false">
      <alignment horizontal="general" vertical="center" textRotation="0" wrapText="true" indent="0" shrinkToFit="false"/>
      <protection locked="true" hidden="false"/>
    </xf>
    <xf numFmtId="164" fontId="12" fillId="0" borderId="1" xfId="0" applyFont="true" applyBorder="true" applyAlignment="true" applyProtection="false">
      <alignment horizontal="general"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FCC99"/>
      <rgbColor rgb="FF3366FF"/>
      <rgbColor rgb="FF33CCCC"/>
      <rgbColor rgb="FF99CC00"/>
      <rgbColor rgb="FFFFCC00"/>
      <rgbColor rgb="FFFF9900"/>
      <rgbColor rgb="FFFF6600"/>
      <rgbColor rgb="FF595959"/>
      <rgbColor rgb="FF969696"/>
      <rgbColor rgb="FF003366"/>
      <rgbColor rgb="FF339966"/>
      <rgbColor rgb="FF003300"/>
      <rgbColor rgb="FF333300"/>
      <rgbColor rgb="FFB45F06"/>
      <rgbColor rgb="FF993366"/>
      <rgbColor rgb="FF44546A"/>
      <rgbColor rgb="FF1F4E3D"/>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E33"/>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62"/>
    <col collapsed="false" customWidth="true" hidden="false" outlineLevel="0" max="3" min="3" style="0" width="40"/>
    <col collapsed="false" customWidth="true" hidden="false" outlineLevel="0" max="4" min="4" style="0" width="70"/>
    <col collapsed="false" customWidth="true" hidden="false" outlineLevel="0" max="5" min="5" style="0" width="30"/>
  </cols>
  <sheetData>
    <row r="1" customFormat="false" ht="19.7" hidden="false" customHeight="false" outlineLevel="0" collapsed="false">
      <c r="A1" s="1" t="s">
        <v>0</v>
      </c>
      <c r="B1" s="1"/>
      <c r="C1" s="1"/>
      <c r="D1" s="1"/>
      <c r="E1" s="1"/>
    </row>
    <row r="2" customFormat="false" ht="15" hidden="false" customHeight="false" outlineLevel="0" collapsed="false">
      <c r="A2" s="2" t="s">
        <v>1</v>
      </c>
      <c r="B2" s="2"/>
      <c r="C2" s="2"/>
      <c r="D2" s="2"/>
      <c r="E2" s="2"/>
    </row>
    <row r="4" customFormat="false" ht="15" hidden="false" customHeight="false" outlineLevel="0" collapsed="false">
      <c r="A4" s="3" t="s">
        <v>2</v>
      </c>
    </row>
    <row r="5" customFormat="false" ht="81" hidden="false" customHeight="true" outlineLevel="0" collapsed="false">
      <c r="A5" s="4" t="s">
        <v>3</v>
      </c>
      <c r="B5" s="4"/>
      <c r="C5" s="4"/>
      <c r="D5" s="4"/>
      <c r="E5" s="4"/>
    </row>
    <row r="7" customFormat="false" ht="15" hidden="false" customHeight="false" outlineLevel="0" collapsed="false">
      <c r="A7" s="3" t="s">
        <v>4</v>
      </c>
    </row>
    <row r="8" customFormat="false" ht="15" hidden="false" customHeight="true" outlineLevel="0" collapsed="false">
      <c r="A8" s="5" t="s">
        <v>5</v>
      </c>
      <c r="B8" s="4" t="s">
        <v>6</v>
      </c>
      <c r="C8" s="4"/>
      <c r="D8" s="4"/>
      <c r="E8" s="4"/>
    </row>
    <row r="9" customFormat="false" ht="15" hidden="false" customHeight="true" outlineLevel="0" collapsed="false">
      <c r="A9" s="5" t="s">
        <v>7</v>
      </c>
      <c r="B9" s="4" t="s">
        <v>8</v>
      </c>
      <c r="C9" s="4"/>
      <c r="D9" s="4"/>
      <c r="E9" s="4"/>
    </row>
    <row r="10" customFormat="false" ht="15" hidden="false" customHeight="true" outlineLevel="0" collapsed="false">
      <c r="A10" s="5" t="s">
        <v>9</v>
      </c>
      <c r="B10" s="4" t="s">
        <v>10</v>
      </c>
      <c r="C10" s="4"/>
      <c r="D10" s="4"/>
      <c r="E10" s="4"/>
    </row>
    <row r="11" customFormat="false" ht="15" hidden="false" customHeight="true" outlineLevel="0" collapsed="false">
      <c r="A11" s="5" t="s">
        <v>11</v>
      </c>
      <c r="B11" s="4" t="s">
        <v>12</v>
      </c>
      <c r="C11" s="4"/>
      <c r="D11" s="4"/>
      <c r="E11" s="4"/>
    </row>
    <row r="13" customFormat="false" ht="15" hidden="false" customHeight="false" outlineLevel="0" collapsed="false">
      <c r="A13" s="3" t="s">
        <v>13</v>
      </c>
    </row>
    <row r="14" customFormat="false" ht="15" hidden="false" customHeight="false" outlineLevel="0" collapsed="false">
      <c r="A14" s="6"/>
      <c r="B14" s="7" t="s">
        <v>14</v>
      </c>
    </row>
    <row r="15" customFormat="false" ht="15" hidden="false" customHeight="false" outlineLevel="0" collapsed="false">
      <c r="A15" s="8"/>
      <c r="B15" s="7" t="s">
        <v>15</v>
      </c>
    </row>
    <row r="16" customFormat="false" ht="15" hidden="false" customHeight="false" outlineLevel="0" collapsed="false">
      <c r="A16" s="9"/>
      <c r="B16" s="7" t="s">
        <v>16</v>
      </c>
    </row>
    <row r="17" customFormat="false" ht="15" hidden="false" customHeight="false" outlineLevel="0" collapsed="false">
      <c r="A17" s="10"/>
      <c r="B17" s="7" t="s">
        <v>17</v>
      </c>
    </row>
    <row r="19" customFormat="false" ht="15" hidden="false" customHeight="false" outlineLevel="0" collapsed="false">
      <c r="A19" s="3" t="s">
        <v>18</v>
      </c>
    </row>
    <row r="20" customFormat="false" ht="15" hidden="false" customHeight="false" outlineLevel="0" collapsed="false">
      <c r="A20" s="11" t="s">
        <v>19</v>
      </c>
      <c r="B20" s="11" t="s">
        <v>20</v>
      </c>
      <c r="C20" s="11" t="s">
        <v>21</v>
      </c>
      <c r="D20" s="11" t="s">
        <v>22</v>
      </c>
    </row>
    <row r="21" customFormat="false" ht="30" hidden="false" customHeight="true" outlineLevel="0" collapsed="false">
      <c r="A21" s="12" t="s">
        <v>23</v>
      </c>
      <c r="B21" s="13" t="s">
        <v>24</v>
      </c>
      <c r="C21" s="13" t="s">
        <v>25</v>
      </c>
      <c r="D21" s="14" t="s">
        <v>26</v>
      </c>
    </row>
    <row r="22" customFormat="false" ht="30" hidden="false" customHeight="true" outlineLevel="0" collapsed="false">
      <c r="A22" s="12" t="s">
        <v>27</v>
      </c>
      <c r="B22" s="13" t="s">
        <v>28</v>
      </c>
      <c r="C22" s="13" t="s">
        <v>29</v>
      </c>
      <c r="D22" s="14" t="s">
        <v>30</v>
      </c>
    </row>
    <row r="23" customFormat="false" ht="30" hidden="false" customHeight="true" outlineLevel="0" collapsed="false">
      <c r="A23" s="12" t="s">
        <v>31</v>
      </c>
      <c r="B23" s="13" t="s">
        <v>32</v>
      </c>
      <c r="C23" s="13" t="s">
        <v>33</v>
      </c>
      <c r="D23" s="14" t="s">
        <v>34</v>
      </c>
    </row>
    <row r="24" customFormat="false" ht="30" hidden="false" customHeight="true" outlineLevel="0" collapsed="false">
      <c r="A24" s="12" t="s">
        <v>35</v>
      </c>
      <c r="B24" s="13" t="s">
        <v>36</v>
      </c>
      <c r="C24" s="13" t="s">
        <v>37</v>
      </c>
      <c r="D24" s="14" t="s">
        <v>38</v>
      </c>
    </row>
    <row r="25" customFormat="false" ht="30" hidden="false" customHeight="true" outlineLevel="0" collapsed="false">
      <c r="A25" s="12" t="s">
        <v>39</v>
      </c>
      <c r="B25" s="13" t="s">
        <v>40</v>
      </c>
      <c r="C25" s="13" t="s">
        <v>41</v>
      </c>
      <c r="D25" s="14" t="s">
        <v>42</v>
      </c>
    </row>
    <row r="26" customFormat="false" ht="30" hidden="false" customHeight="true" outlineLevel="0" collapsed="false">
      <c r="A26" s="12" t="s">
        <v>43</v>
      </c>
      <c r="B26" s="13" t="s">
        <v>44</v>
      </c>
      <c r="C26" s="13" t="s">
        <v>45</v>
      </c>
      <c r="D26" s="14" t="s">
        <v>46</v>
      </c>
    </row>
    <row r="27" customFormat="false" ht="30" hidden="false" customHeight="true" outlineLevel="0" collapsed="false">
      <c r="A27" s="12" t="s">
        <v>47</v>
      </c>
      <c r="B27" s="13" t="s">
        <v>48</v>
      </c>
      <c r="C27" s="13" t="s">
        <v>49</v>
      </c>
      <c r="D27" s="14" t="s">
        <v>50</v>
      </c>
    </row>
    <row r="28" customFormat="false" ht="30" hidden="false" customHeight="true" outlineLevel="0" collapsed="false">
      <c r="A28" s="12" t="s">
        <v>51</v>
      </c>
      <c r="B28" s="13" t="s">
        <v>52</v>
      </c>
      <c r="C28" s="13" t="s">
        <v>53</v>
      </c>
      <c r="D28" s="14" t="s">
        <v>54</v>
      </c>
    </row>
    <row r="29" customFormat="false" ht="57.75" hidden="false" customHeight="true" outlineLevel="0" collapsed="false">
      <c r="A29" s="12" t="s">
        <v>55</v>
      </c>
      <c r="B29" s="13" t="s">
        <v>56</v>
      </c>
      <c r="C29" s="13" t="s">
        <v>57</v>
      </c>
      <c r="D29" s="14" t="s">
        <v>58</v>
      </c>
    </row>
    <row r="30" customFormat="false" ht="55.5" hidden="false" customHeight="true" outlineLevel="0" collapsed="false">
      <c r="A30" s="12" t="s">
        <v>59</v>
      </c>
      <c r="B30" s="13" t="s">
        <v>60</v>
      </c>
      <c r="C30" s="13" t="s">
        <v>61</v>
      </c>
      <c r="D30" s="14" t="s">
        <v>62</v>
      </c>
    </row>
    <row r="31" customFormat="false" ht="43.5" hidden="false" customHeight="true" outlineLevel="0" collapsed="false">
      <c r="A31" s="12" t="s">
        <v>63</v>
      </c>
      <c r="B31" s="13" t="s">
        <v>64</v>
      </c>
      <c r="C31" s="13" t="s">
        <v>65</v>
      </c>
      <c r="D31" s="14" t="s">
        <v>66</v>
      </c>
    </row>
    <row r="32" customFormat="false" ht="43.5" hidden="false" customHeight="true" outlineLevel="0" collapsed="false">
      <c r="A32" s="12" t="s">
        <v>67</v>
      </c>
      <c r="B32" s="13" t="s">
        <v>68</v>
      </c>
      <c r="C32" s="13" t="s">
        <v>69</v>
      </c>
      <c r="D32" s="14" t="s">
        <v>70</v>
      </c>
    </row>
    <row r="33" customFormat="false" ht="55.5" hidden="false" customHeight="true" outlineLevel="0" collapsed="false">
      <c r="A33" s="12" t="s">
        <v>71</v>
      </c>
      <c r="B33" s="13" t="s">
        <v>72</v>
      </c>
      <c r="C33" s="13" t="s">
        <v>73</v>
      </c>
      <c r="D33" s="14" t="s">
        <v>74</v>
      </c>
    </row>
  </sheetData>
  <mergeCells count="7">
    <mergeCell ref="A1:E1"/>
    <mergeCell ref="A2:E2"/>
    <mergeCell ref="A5:E5"/>
    <mergeCell ref="B8:E8"/>
    <mergeCell ref="B9:E9"/>
    <mergeCell ref="B10:E10"/>
    <mergeCell ref="B11:E11"/>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N3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2"/>
    <col collapsed="false" customWidth="true" hidden="false" outlineLevel="0" max="2" min="2" style="0" width="18"/>
    <col collapsed="false" customWidth="true" hidden="false" outlineLevel="0" max="3" min="3" style="0" width="11"/>
    <col collapsed="false" customWidth="true" hidden="false" outlineLevel="0" max="4" min="4" style="0" width="16"/>
    <col collapsed="false" customWidth="true" hidden="false" outlineLevel="0" max="8" min="5" style="0" width="12"/>
    <col collapsed="false" customWidth="true" hidden="false" outlineLevel="0" max="9" min="9" style="0" width="11"/>
    <col collapsed="false" customWidth="true" hidden="false" outlineLevel="0" max="10" min="10" style="0" width="15"/>
    <col collapsed="false" customWidth="true" hidden="false" outlineLevel="0" max="11" min="11" style="0" width="3"/>
    <col collapsed="false" customWidth="true" hidden="false" outlineLevel="0" max="12" min="12" style="0" width="30"/>
    <col collapsed="false" customWidth="true" hidden="false" outlineLevel="0" max="13" min="13" style="0" width="16"/>
    <col collapsed="false" customWidth="true" hidden="false" outlineLevel="0" max="14" min="14" style="0" width="42"/>
  </cols>
  <sheetData>
    <row r="1" customFormat="false" ht="33.75" hidden="false" customHeight="true" outlineLevel="0" collapsed="false">
      <c r="A1" s="11" t="s">
        <v>75</v>
      </c>
      <c r="B1" s="11" t="s">
        <v>76</v>
      </c>
      <c r="C1" s="11" t="s">
        <v>77</v>
      </c>
      <c r="D1" s="11" t="s">
        <v>78</v>
      </c>
      <c r="E1" s="11" t="s">
        <v>79</v>
      </c>
      <c r="F1" s="15" t="s">
        <v>80</v>
      </c>
      <c r="G1" s="15" t="s">
        <v>81</v>
      </c>
      <c r="H1" s="15" t="s">
        <v>82</v>
      </c>
      <c r="I1" s="15" t="s">
        <v>83</v>
      </c>
      <c r="J1" s="15" t="s">
        <v>84</v>
      </c>
      <c r="L1" s="16" t="s">
        <v>85</v>
      </c>
      <c r="M1" s="16" t="s">
        <v>86</v>
      </c>
      <c r="N1" s="16" t="s">
        <v>87</v>
      </c>
    </row>
    <row r="2" customFormat="false" ht="15" hidden="false" customHeight="false" outlineLevel="0" collapsed="false">
      <c r="A2" s="17" t="s">
        <v>88</v>
      </c>
      <c r="B2" s="17" t="s">
        <v>89</v>
      </c>
      <c r="C2" s="18" t="n">
        <v>85</v>
      </c>
      <c r="D2" s="18" t="n">
        <v>72</v>
      </c>
      <c r="E2" s="18" t="n">
        <v>66</v>
      </c>
      <c r="F2" s="19" t="n">
        <f aca="false">ROUND(C2*$M$2+D2*$M$3+E2*$M$4,2)</f>
        <v>77.3</v>
      </c>
      <c r="G2" s="20" t="n">
        <f aca="false">VLOOKUP(B2,Acuan!$A$2:$B$4,2,FALSE())</f>
        <v>3</v>
      </c>
      <c r="H2" s="19" t="n">
        <f aca="false">F2+G2</f>
        <v>80.3</v>
      </c>
      <c r="I2" s="20" t="n">
        <f aca="false">RANK(H2,$H$2:$H$33,0)</f>
        <v>11</v>
      </c>
      <c r="J2" s="21" t="str">
        <f aca="false">IF(H2&lt;$M$5,"Tidak Lolos",IF(I2&lt;=$M$6,"Lolos","Cadangan"))</f>
        <v>Cadangan</v>
      </c>
      <c r="L2" s="22" t="s">
        <v>90</v>
      </c>
      <c r="M2" s="23" t="n">
        <v>0.5</v>
      </c>
      <c r="N2" s="22"/>
    </row>
    <row r="3" customFormat="false" ht="15" hidden="false" customHeight="false" outlineLevel="0" collapsed="false">
      <c r="A3" s="17" t="s">
        <v>91</v>
      </c>
      <c r="B3" s="17" t="s">
        <v>89</v>
      </c>
      <c r="C3" s="18" t="n">
        <v>76</v>
      </c>
      <c r="D3" s="18" t="n">
        <v>79</v>
      </c>
      <c r="E3" s="18" t="n">
        <v>71</v>
      </c>
      <c r="F3" s="19" t="n">
        <f aca="false">ROUND(C3*$M$2+D3*$M$3+E3*$M$4,2)</f>
        <v>75.9</v>
      </c>
      <c r="G3" s="20" t="n">
        <f aca="false">VLOOKUP(B3,Acuan!$A$2:$B$4,2,FALSE())</f>
        <v>3</v>
      </c>
      <c r="H3" s="19" t="n">
        <f aca="false">F3+G3</f>
        <v>78.9</v>
      </c>
      <c r="I3" s="20" t="n">
        <f aca="false">RANK(H3,$H$2:$H$33,0)</f>
        <v>13</v>
      </c>
      <c r="J3" s="21" t="str">
        <f aca="false">IF(H3&lt;$M$5,"Tidak Lolos",IF(I3&lt;=$M$6,"Lolos","Cadangan"))</f>
        <v>Cadangan</v>
      </c>
      <c r="L3" s="22" t="s">
        <v>92</v>
      </c>
      <c r="M3" s="23" t="n">
        <v>0.3</v>
      </c>
      <c r="N3" s="22"/>
    </row>
    <row r="4" customFormat="false" ht="15" hidden="false" customHeight="false" outlineLevel="0" collapsed="false">
      <c r="A4" s="17" t="s">
        <v>93</v>
      </c>
      <c r="B4" s="17" t="s">
        <v>94</v>
      </c>
      <c r="C4" s="18" t="n">
        <v>52</v>
      </c>
      <c r="D4" s="18" t="n">
        <v>65</v>
      </c>
      <c r="E4" s="18" t="n">
        <v>65</v>
      </c>
      <c r="F4" s="19" t="n">
        <f aca="false">ROUND(C4*$M$2+D4*$M$3+E4*$M$4,2)</f>
        <v>58.5</v>
      </c>
      <c r="G4" s="20" t="n">
        <f aca="false">VLOOKUP(B4,Acuan!$A$2:$B$4,2,FALSE())</f>
        <v>2</v>
      </c>
      <c r="H4" s="19" t="n">
        <f aca="false">F4+G4</f>
        <v>60.5</v>
      </c>
      <c r="I4" s="20" t="n">
        <f aca="false">RANK(H4,$H$2:$H$33,0)</f>
        <v>31</v>
      </c>
      <c r="J4" s="21" t="str">
        <f aca="false">IF(H4&lt;$M$5,"Tidak Lolos",IF(I4&lt;=$M$6,"Lolos","Cadangan"))</f>
        <v>Tidak Lolos</v>
      </c>
      <c r="L4" s="22" t="s">
        <v>95</v>
      </c>
      <c r="M4" s="23" t="n">
        <v>0.2</v>
      </c>
      <c r="N4" s="22"/>
    </row>
    <row r="5" customFormat="false" ht="15" hidden="false" customHeight="false" outlineLevel="0" collapsed="false">
      <c r="A5" s="17" t="s">
        <v>96</v>
      </c>
      <c r="B5" s="17" t="s">
        <v>94</v>
      </c>
      <c r="C5" s="18" t="n">
        <v>65</v>
      </c>
      <c r="D5" s="18" t="n">
        <v>77</v>
      </c>
      <c r="E5" s="18" t="n">
        <v>68</v>
      </c>
      <c r="F5" s="19" t="n">
        <f aca="false">ROUND(C5*$M$2+D5*$M$3+E5*$M$4,2)</f>
        <v>69.2</v>
      </c>
      <c r="G5" s="20" t="n">
        <f aca="false">VLOOKUP(B5,Acuan!$A$2:$B$4,2,FALSE())</f>
        <v>2</v>
      </c>
      <c r="H5" s="19" t="n">
        <f aca="false">F5+G5</f>
        <v>71.2</v>
      </c>
      <c r="I5" s="20" t="n">
        <f aca="false">RANK(H5,$H$2:$H$33,0)</f>
        <v>24</v>
      </c>
      <c r="J5" s="21" t="str">
        <f aca="false">IF(H5&lt;$M$5,"Tidak Lolos",IF(I5&lt;=$M$6,"Lolos","Cadangan"))</f>
        <v>Tidak Lolos</v>
      </c>
      <c r="L5" s="22" t="s">
        <v>97</v>
      </c>
      <c r="M5" s="24" t="n">
        <v>75</v>
      </c>
      <c r="N5" s="22" t="s">
        <v>98</v>
      </c>
    </row>
    <row r="6" customFormat="false" ht="15" hidden="false" customHeight="false" outlineLevel="0" collapsed="false">
      <c r="A6" s="17" t="s">
        <v>99</v>
      </c>
      <c r="B6" s="17" t="s">
        <v>100</v>
      </c>
      <c r="C6" s="18" t="n">
        <v>85</v>
      </c>
      <c r="D6" s="18" t="n">
        <v>87</v>
      </c>
      <c r="E6" s="18" t="n">
        <v>89</v>
      </c>
      <c r="F6" s="19" t="n">
        <f aca="false">ROUND(C6*$M$2+D6*$M$3+E6*$M$4,2)</f>
        <v>86.4</v>
      </c>
      <c r="G6" s="20" t="n">
        <f aca="false">VLOOKUP(B6,Acuan!$A$2:$B$4,2,FALSE())</f>
        <v>0</v>
      </c>
      <c r="H6" s="19" t="n">
        <f aca="false">F6+G6</f>
        <v>86.4</v>
      </c>
      <c r="I6" s="20" t="n">
        <f aca="false">RANK(H6,$H$2:$H$33,0)</f>
        <v>3</v>
      </c>
      <c r="J6" s="21" t="str">
        <f aca="false">IF(H6&lt;$M$5,"Tidak Lolos",IF(I6&lt;=$M$6,"Lolos","Cadangan"))</f>
        <v>Lolos</v>
      </c>
      <c r="L6" s="22" t="s">
        <v>101</v>
      </c>
      <c r="M6" s="24" t="n">
        <v>10</v>
      </c>
      <c r="N6" s="22" t="s">
        <v>102</v>
      </c>
    </row>
    <row r="7" customFormat="false" ht="15" hidden="false" customHeight="false" outlineLevel="0" collapsed="false">
      <c r="A7" s="17" t="s">
        <v>103</v>
      </c>
      <c r="B7" s="17" t="s">
        <v>89</v>
      </c>
      <c r="C7" s="18" t="n">
        <v>66</v>
      </c>
      <c r="D7" s="18" t="n">
        <v>64</v>
      </c>
      <c r="E7" s="18" t="n">
        <v>76</v>
      </c>
      <c r="F7" s="19" t="n">
        <f aca="false">ROUND(C7*$M$2+D7*$M$3+E7*$M$4,2)</f>
        <v>67.4</v>
      </c>
      <c r="G7" s="20" t="n">
        <f aca="false">VLOOKUP(B7,Acuan!$A$2:$B$4,2,FALSE())</f>
        <v>3</v>
      </c>
      <c r="H7" s="19" t="n">
        <f aca="false">F7+G7</f>
        <v>70.4</v>
      </c>
      <c r="I7" s="20" t="n">
        <f aca="false">RANK(H7,$H$2:$H$33,0)</f>
        <v>25</v>
      </c>
      <c r="J7" s="21" t="str">
        <f aca="false">IF(H7&lt;$M$5,"Tidak Lolos",IF(I7&lt;=$M$6,"Lolos","Cadangan"))</f>
        <v>Tidak Lolos</v>
      </c>
    </row>
    <row r="8" customFormat="false" ht="15" hidden="false" customHeight="false" outlineLevel="0" collapsed="false">
      <c r="A8" s="17" t="s">
        <v>104</v>
      </c>
      <c r="B8" s="17" t="s">
        <v>89</v>
      </c>
      <c r="C8" s="18" t="n">
        <v>74</v>
      </c>
      <c r="D8" s="18" t="n">
        <v>67</v>
      </c>
      <c r="E8" s="18" t="n">
        <v>78</v>
      </c>
      <c r="F8" s="19" t="n">
        <f aca="false">ROUND(C8*$M$2+D8*$M$3+E8*$M$4,2)</f>
        <v>72.7</v>
      </c>
      <c r="G8" s="20" t="n">
        <f aca="false">VLOOKUP(B8,Acuan!$A$2:$B$4,2,FALSE())</f>
        <v>3</v>
      </c>
      <c r="H8" s="19" t="n">
        <f aca="false">F8+G8</f>
        <v>75.7</v>
      </c>
      <c r="I8" s="20" t="n">
        <f aca="false">RANK(H8,$H$2:$H$33,0)</f>
        <v>18</v>
      </c>
      <c r="J8" s="21" t="str">
        <f aca="false">IF(H8&lt;$M$5,"Tidak Lolos",IF(I8&lt;=$M$6,"Lolos","Cadangan"))</f>
        <v>Cadangan</v>
      </c>
    </row>
    <row r="9" customFormat="false" ht="15" hidden="false" customHeight="false" outlineLevel="0" collapsed="false">
      <c r="A9" s="17" t="s">
        <v>105</v>
      </c>
      <c r="B9" s="17" t="s">
        <v>94</v>
      </c>
      <c r="C9" s="18" t="n">
        <v>84</v>
      </c>
      <c r="D9" s="18" t="n">
        <v>78</v>
      </c>
      <c r="E9" s="18" t="n">
        <v>84</v>
      </c>
      <c r="F9" s="19" t="n">
        <f aca="false">ROUND(C9*$M$2+D9*$M$3+E9*$M$4,2)</f>
        <v>82.2</v>
      </c>
      <c r="G9" s="20" t="n">
        <f aca="false">VLOOKUP(B9,Acuan!$A$2:$B$4,2,FALSE())</f>
        <v>2</v>
      </c>
      <c r="H9" s="19" t="n">
        <f aca="false">F9+G9</f>
        <v>84.2</v>
      </c>
      <c r="I9" s="20" t="n">
        <f aca="false">RANK(H9,$H$2:$H$33,0)</f>
        <v>7</v>
      </c>
      <c r="J9" s="21" t="str">
        <f aca="false">IF(H9&lt;$M$5,"Tidak Lolos",IF(I9&lt;=$M$6,"Lolos","Cadangan"))</f>
        <v>Lolos</v>
      </c>
    </row>
    <row r="10" customFormat="false" ht="15" hidden="false" customHeight="false" outlineLevel="0" collapsed="false">
      <c r="A10" s="17" t="s">
        <v>106</v>
      </c>
      <c r="B10" s="17" t="s">
        <v>100</v>
      </c>
      <c r="C10" s="18" t="n">
        <v>70</v>
      </c>
      <c r="D10" s="18" t="n">
        <v>75</v>
      </c>
      <c r="E10" s="18" t="n">
        <v>56</v>
      </c>
      <c r="F10" s="19" t="n">
        <f aca="false">ROUND(C10*$M$2+D10*$M$3+E10*$M$4,2)</f>
        <v>68.7</v>
      </c>
      <c r="G10" s="20" t="n">
        <f aca="false">VLOOKUP(B10,Acuan!$A$2:$B$4,2,FALSE())</f>
        <v>0</v>
      </c>
      <c r="H10" s="19" t="n">
        <f aca="false">F10+G10</f>
        <v>68.7</v>
      </c>
      <c r="I10" s="20" t="n">
        <f aca="false">RANK(H10,$H$2:$H$33,0)</f>
        <v>26</v>
      </c>
      <c r="J10" s="21" t="str">
        <f aca="false">IF(H10&lt;$M$5,"Tidak Lolos",IF(I10&lt;=$M$6,"Lolos","Cadangan"))</f>
        <v>Tidak Lolos</v>
      </c>
    </row>
    <row r="11" customFormat="false" ht="15" hidden="false" customHeight="false" outlineLevel="0" collapsed="false">
      <c r="A11" s="17" t="s">
        <v>107</v>
      </c>
      <c r="B11" s="17" t="s">
        <v>94</v>
      </c>
      <c r="C11" s="18" t="n">
        <v>91</v>
      </c>
      <c r="D11" s="18" t="n">
        <v>92</v>
      </c>
      <c r="E11" s="18" t="n">
        <v>83</v>
      </c>
      <c r="F11" s="19" t="n">
        <f aca="false">ROUND(C11*$M$2+D11*$M$3+E11*$M$4,2)</f>
        <v>89.7</v>
      </c>
      <c r="G11" s="20" t="n">
        <f aca="false">VLOOKUP(B11,Acuan!$A$2:$B$4,2,FALSE())</f>
        <v>2</v>
      </c>
      <c r="H11" s="19" t="n">
        <f aca="false">F11+G11</f>
        <v>91.7</v>
      </c>
      <c r="I11" s="20" t="n">
        <f aca="false">RANK(H11,$H$2:$H$33,0)</f>
        <v>2</v>
      </c>
      <c r="J11" s="21" t="str">
        <f aca="false">IF(H11&lt;$M$5,"Tidak Lolos",IF(I11&lt;=$M$6,"Lolos","Cadangan"))</f>
        <v>Lolos</v>
      </c>
    </row>
    <row r="12" customFormat="false" ht="15" hidden="false" customHeight="false" outlineLevel="0" collapsed="false">
      <c r="A12" s="17" t="s">
        <v>108</v>
      </c>
      <c r="B12" s="17" t="s">
        <v>89</v>
      </c>
      <c r="C12" s="18" t="n">
        <v>70</v>
      </c>
      <c r="D12" s="18" t="n">
        <v>51</v>
      </c>
      <c r="E12" s="18" t="n">
        <v>59</v>
      </c>
      <c r="F12" s="19" t="n">
        <f aca="false">ROUND(C12*$M$2+D12*$M$3+E12*$M$4,2)</f>
        <v>62.1</v>
      </c>
      <c r="G12" s="20" t="n">
        <f aca="false">VLOOKUP(B12,Acuan!$A$2:$B$4,2,FALSE())</f>
        <v>3</v>
      </c>
      <c r="H12" s="19" t="n">
        <f aca="false">F12+G12</f>
        <v>65.1</v>
      </c>
      <c r="I12" s="20" t="n">
        <f aca="false">RANK(H12,$H$2:$H$33,0)</f>
        <v>29</v>
      </c>
      <c r="J12" s="21" t="str">
        <f aca="false">IF(H12&lt;$M$5,"Tidak Lolos",IF(I12&lt;=$M$6,"Lolos","Cadangan"))</f>
        <v>Tidak Lolos</v>
      </c>
    </row>
    <row r="13" customFormat="false" ht="15" hidden="false" customHeight="false" outlineLevel="0" collapsed="false">
      <c r="A13" s="17" t="s">
        <v>109</v>
      </c>
      <c r="B13" s="17" t="s">
        <v>100</v>
      </c>
      <c r="C13" s="18" t="n">
        <v>76</v>
      </c>
      <c r="D13" s="18" t="n">
        <v>89</v>
      </c>
      <c r="E13" s="18" t="n">
        <v>88</v>
      </c>
      <c r="F13" s="19" t="n">
        <f aca="false">ROUND(C13*$M$2+D13*$M$3+E13*$M$4,2)</f>
        <v>82.3</v>
      </c>
      <c r="G13" s="20" t="n">
        <f aca="false">VLOOKUP(B13,Acuan!$A$2:$B$4,2,FALSE())</f>
        <v>0</v>
      </c>
      <c r="H13" s="19" t="n">
        <f aca="false">F13+G13</f>
        <v>82.3</v>
      </c>
      <c r="I13" s="20" t="n">
        <f aca="false">RANK(H13,$H$2:$H$33,0)</f>
        <v>9</v>
      </c>
      <c r="J13" s="21" t="str">
        <f aca="false">IF(H13&lt;$M$5,"Tidak Lolos",IF(I13&lt;=$M$6,"Lolos","Cadangan"))</f>
        <v>Lolos</v>
      </c>
    </row>
    <row r="14" customFormat="false" ht="15" hidden="false" customHeight="false" outlineLevel="0" collapsed="false">
      <c r="A14" s="17" t="s">
        <v>110</v>
      </c>
      <c r="B14" s="17" t="s">
        <v>100</v>
      </c>
      <c r="C14" s="18" t="n">
        <v>79</v>
      </c>
      <c r="D14" s="18" t="n">
        <v>75</v>
      </c>
      <c r="E14" s="18" t="n">
        <v>93</v>
      </c>
      <c r="F14" s="19" t="n">
        <f aca="false">ROUND(C14*$M$2+D14*$M$3+E14*$M$4,2)</f>
        <v>80.6</v>
      </c>
      <c r="G14" s="20" t="n">
        <f aca="false">VLOOKUP(B14,Acuan!$A$2:$B$4,2,FALSE())</f>
        <v>0</v>
      </c>
      <c r="H14" s="19" t="n">
        <f aca="false">F14+G14</f>
        <v>80.6</v>
      </c>
      <c r="I14" s="20" t="n">
        <f aca="false">RANK(H14,$H$2:$H$33,0)</f>
        <v>10</v>
      </c>
      <c r="J14" s="21" t="str">
        <f aca="false">IF(H14&lt;$M$5,"Tidak Lolos",IF(I14&lt;=$M$6,"Lolos","Cadangan"))</f>
        <v>Lolos</v>
      </c>
    </row>
    <row r="15" customFormat="false" ht="15" hidden="false" customHeight="false" outlineLevel="0" collapsed="false">
      <c r="A15" s="17" t="s">
        <v>111</v>
      </c>
      <c r="B15" s="17" t="s">
        <v>94</v>
      </c>
      <c r="C15" s="18" t="n">
        <v>60</v>
      </c>
      <c r="D15" s="18" t="n">
        <v>81</v>
      </c>
      <c r="E15" s="18" t="n">
        <v>83</v>
      </c>
      <c r="F15" s="19" t="n">
        <f aca="false">ROUND(C15*$M$2+D15*$M$3+E15*$M$4,2)</f>
        <v>70.9</v>
      </c>
      <c r="G15" s="20" t="n">
        <f aca="false">VLOOKUP(B15,Acuan!$A$2:$B$4,2,FALSE())</f>
        <v>2</v>
      </c>
      <c r="H15" s="19" t="n">
        <f aca="false">F15+G15</f>
        <v>72.9</v>
      </c>
      <c r="I15" s="20" t="n">
        <f aca="false">RANK(H15,$H$2:$H$33,0)</f>
        <v>21</v>
      </c>
      <c r="J15" s="21" t="str">
        <f aca="false">IF(H15&lt;$M$5,"Tidak Lolos",IF(I15&lt;=$M$6,"Lolos","Cadangan"))</f>
        <v>Tidak Lolos</v>
      </c>
    </row>
    <row r="16" customFormat="false" ht="15" hidden="false" customHeight="false" outlineLevel="0" collapsed="false">
      <c r="A16" s="17" t="s">
        <v>112</v>
      </c>
      <c r="B16" s="17" t="s">
        <v>94</v>
      </c>
      <c r="C16" s="18" t="n">
        <v>78</v>
      </c>
      <c r="D16" s="18" t="n">
        <v>59</v>
      </c>
      <c r="E16" s="18" t="n">
        <v>63</v>
      </c>
      <c r="F16" s="19" t="n">
        <f aca="false">ROUND(C16*$M$2+D16*$M$3+E16*$M$4,2)</f>
        <v>69.3</v>
      </c>
      <c r="G16" s="20" t="n">
        <f aca="false">VLOOKUP(B16,Acuan!$A$2:$B$4,2,FALSE())</f>
        <v>2</v>
      </c>
      <c r="H16" s="19" t="n">
        <f aca="false">F16+G16</f>
        <v>71.3</v>
      </c>
      <c r="I16" s="20" t="n">
        <f aca="false">RANK(H16,$H$2:$H$33,0)</f>
        <v>23</v>
      </c>
      <c r="J16" s="21" t="str">
        <f aca="false">IF(H16&lt;$M$5,"Tidak Lolos",IF(I16&lt;=$M$6,"Lolos","Cadangan"))</f>
        <v>Tidak Lolos</v>
      </c>
    </row>
    <row r="17" customFormat="false" ht="15" hidden="false" customHeight="false" outlineLevel="0" collapsed="false">
      <c r="A17" s="17" t="s">
        <v>113</v>
      </c>
      <c r="B17" s="17" t="s">
        <v>89</v>
      </c>
      <c r="C17" s="18" t="n">
        <v>64</v>
      </c>
      <c r="D17" s="18" t="n">
        <v>56</v>
      </c>
      <c r="E17" s="18" t="n">
        <v>55</v>
      </c>
      <c r="F17" s="19" t="n">
        <f aca="false">ROUND(C17*$M$2+D17*$M$3+E17*$M$4,2)</f>
        <v>59.8</v>
      </c>
      <c r="G17" s="20" t="n">
        <f aca="false">VLOOKUP(B17,Acuan!$A$2:$B$4,2,FALSE())</f>
        <v>3</v>
      </c>
      <c r="H17" s="19" t="n">
        <f aca="false">F17+G17</f>
        <v>62.8</v>
      </c>
      <c r="I17" s="20" t="n">
        <f aca="false">RANK(H17,$H$2:$H$33,0)</f>
        <v>30</v>
      </c>
      <c r="J17" s="21" t="str">
        <f aca="false">IF(H17&lt;$M$5,"Tidak Lolos",IF(I17&lt;=$M$6,"Lolos","Cadangan"))</f>
        <v>Tidak Lolos</v>
      </c>
    </row>
    <row r="18" customFormat="false" ht="15" hidden="false" customHeight="false" outlineLevel="0" collapsed="false">
      <c r="A18" s="17" t="s">
        <v>114</v>
      </c>
      <c r="B18" s="17" t="s">
        <v>94</v>
      </c>
      <c r="C18" s="18" t="n">
        <v>74</v>
      </c>
      <c r="D18" s="18" t="n">
        <v>64</v>
      </c>
      <c r="E18" s="18" t="n">
        <v>72</v>
      </c>
      <c r="F18" s="19" t="n">
        <f aca="false">ROUND(C18*$M$2+D18*$M$3+E18*$M$4,2)</f>
        <v>70.6</v>
      </c>
      <c r="G18" s="20" t="n">
        <f aca="false">VLOOKUP(B18,Acuan!$A$2:$B$4,2,FALSE())</f>
        <v>2</v>
      </c>
      <c r="H18" s="19" t="n">
        <f aca="false">F18+G18</f>
        <v>72.6</v>
      </c>
      <c r="I18" s="20" t="n">
        <f aca="false">RANK(H18,$H$2:$H$33,0)</f>
        <v>22</v>
      </c>
      <c r="J18" s="21" t="str">
        <f aca="false">IF(H18&lt;$M$5,"Tidak Lolos",IF(I18&lt;=$M$6,"Lolos","Cadangan"))</f>
        <v>Tidak Lolos</v>
      </c>
    </row>
    <row r="19" customFormat="false" ht="15" hidden="false" customHeight="false" outlineLevel="0" collapsed="false">
      <c r="A19" s="17" t="s">
        <v>115</v>
      </c>
      <c r="B19" s="17" t="s">
        <v>89</v>
      </c>
      <c r="C19" s="18" t="n">
        <v>84</v>
      </c>
      <c r="D19" s="18" t="n">
        <v>81</v>
      </c>
      <c r="E19" s="18" t="n">
        <v>84</v>
      </c>
      <c r="F19" s="19" t="n">
        <f aca="false">ROUND(C19*$M$2+D19*$M$3+E19*$M$4,2)</f>
        <v>83.1</v>
      </c>
      <c r="G19" s="20" t="n">
        <f aca="false">VLOOKUP(B19,Acuan!$A$2:$B$4,2,FALSE())</f>
        <v>3</v>
      </c>
      <c r="H19" s="19" t="n">
        <f aca="false">F19+G19</f>
        <v>86.1</v>
      </c>
      <c r="I19" s="20" t="n">
        <f aca="false">RANK(H19,$H$2:$H$33,0)</f>
        <v>4</v>
      </c>
      <c r="J19" s="21" t="str">
        <f aca="false">IF(H19&lt;$M$5,"Tidak Lolos",IF(I19&lt;=$M$6,"Lolos","Cadangan"))</f>
        <v>Lolos</v>
      </c>
    </row>
    <row r="20" customFormat="false" ht="15" hidden="false" customHeight="false" outlineLevel="0" collapsed="false">
      <c r="A20" s="17" t="s">
        <v>116</v>
      </c>
      <c r="B20" s="17" t="s">
        <v>89</v>
      </c>
      <c r="C20" s="18" t="n">
        <v>77</v>
      </c>
      <c r="D20" s="18" t="n">
        <v>70</v>
      </c>
      <c r="E20" s="18" t="n">
        <v>71</v>
      </c>
      <c r="F20" s="19" t="n">
        <f aca="false">ROUND(C20*$M$2+D20*$M$3+E20*$M$4,2)</f>
        <v>73.7</v>
      </c>
      <c r="G20" s="20" t="n">
        <f aca="false">VLOOKUP(B20,Acuan!$A$2:$B$4,2,FALSE())</f>
        <v>3</v>
      </c>
      <c r="H20" s="19" t="n">
        <f aca="false">F20+G20</f>
        <v>76.7</v>
      </c>
      <c r="I20" s="20" t="n">
        <f aca="false">RANK(H20,$H$2:$H$33,0)</f>
        <v>17</v>
      </c>
      <c r="J20" s="21" t="str">
        <f aca="false">IF(H20&lt;$M$5,"Tidak Lolos",IF(I20&lt;=$M$6,"Lolos","Cadangan"))</f>
        <v>Cadangan</v>
      </c>
    </row>
    <row r="21" customFormat="false" ht="15" hidden="false" customHeight="false" outlineLevel="0" collapsed="false">
      <c r="A21" s="17" t="s">
        <v>117</v>
      </c>
      <c r="B21" s="17" t="s">
        <v>100</v>
      </c>
      <c r="C21" s="18" t="n">
        <v>92</v>
      </c>
      <c r="D21" s="18" t="n">
        <v>85</v>
      </c>
      <c r="E21" s="18" t="n">
        <v>71</v>
      </c>
      <c r="F21" s="19" t="n">
        <f aca="false">ROUND(C21*$M$2+D21*$M$3+E21*$M$4,2)</f>
        <v>85.7</v>
      </c>
      <c r="G21" s="20" t="n">
        <f aca="false">VLOOKUP(B21,Acuan!$A$2:$B$4,2,FALSE())</f>
        <v>0</v>
      </c>
      <c r="H21" s="19" t="n">
        <f aca="false">F21+G21</f>
        <v>85.7</v>
      </c>
      <c r="I21" s="20" t="n">
        <f aca="false">RANK(H21,$H$2:$H$33,0)</f>
        <v>5</v>
      </c>
      <c r="J21" s="21" t="str">
        <f aca="false">IF(H21&lt;$M$5,"Tidak Lolos",IF(I21&lt;=$M$6,"Lolos","Cadangan"))</f>
        <v>Lolos</v>
      </c>
    </row>
    <row r="22" customFormat="false" ht="15" hidden="false" customHeight="false" outlineLevel="0" collapsed="false">
      <c r="A22" s="17" t="s">
        <v>118</v>
      </c>
      <c r="B22" s="17" t="s">
        <v>94</v>
      </c>
      <c r="C22" s="18" t="n">
        <v>82</v>
      </c>
      <c r="D22" s="18" t="n">
        <v>64</v>
      </c>
      <c r="E22" s="18" t="n">
        <v>85</v>
      </c>
      <c r="F22" s="19" t="n">
        <f aca="false">ROUND(C22*$M$2+D22*$M$3+E22*$M$4,2)</f>
        <v>77.2</v>
      </c>
      <c r="G22" s="20" t="n">
        <f aca="false">VLOOKUP(B22,Acuan!$A$2:$B$4,2,FALSE())</f>
        <v>2</v>
      </c>
      <c r="H22" s="19" t="n">
        <f aca="false">F22+G22</f>
        <v>79.2</v>
      </c>
      <c r="I22" s="20" t="n">
        <f aca="false">RANK(H22,$H$2:$H$33,0)</f>
        <v>12</v>
      </c>
      <c r="J22" s="21" t="str">
        <f aca="false">IF(H22&lt;$M$5,"Tidak Lolos",IF(I22&lt;=$M$6,"Lolos","Cadangan"))</f>
        <v>Cadangan</v>
      </c>
    </row>
    <row r="23" customFormat="false" ht="15" hidden="false" customHeight="false" outlineLevel="0" collapsed="false">
      <c r="A23" s="17" t="s">
        <v>119</v>
      </c>
      <c r="B23" s="17" t="s">
        <v>100</v>
      </c>
      <c r="C23" s="18" t="n">
        <v>67</v>
      </c>
      <c r="D23" s="18" t="n">
        <v>58</v>
      </c>
      <c r="E23" s="18" t="n">
        <v>75</v>
      </c>
      <c r="F23" s="19" t="n">
        <f aca="false">ROUND(C23*$M$2+D23*$M$3+E23*$M$4,2)</f>
        <v>65.9</v>
      </c>
      <c r="G23" s="20" t="n">
        <f aca="false">VLOOKUP(B23,Acuan!$A$2:$B$4,2,FALSE())</f>
        <v>0</v>
      </c>
      <c r="H23" s="19" t="n">
        <f aca="false">F23+G23</f>
        <v>65.9</v>
      </c>
      <c r="I23" s="20" t="n">
        <f aca="false">RANK(H23,$H$2:$H$33,0)</f>
        <v>28</v>
      </c>
      <c r="J23" s="21" t="str">
        <f aca="false">IF(H23&lt;$M$5,"Tidak Lolos",IF(I23&lt;=$M$6,"Lolos","Cadangan"))</f>
        <v>Tidak Lolos</v>
      </c>
    </row>
    <row r="24" customFormat="false" ht="15" hidden="false" customHeight="false" outlineLevel="0" collapsed="false">
      <c r="A24" s="17" t="s">
        <v>120</v>
      </c>
      <c r="B24" s="17" t="s">
        <v>89</v>
      </c>
      <c r="C24" s="18" t="n">
        <v>76</v>
      </c>
      <c r="D24" s="18" t="n">
        <v>85</v>
      </c>
      <c r="E24" s="18" t="n">
        <v>80</v>
      </c>
      <c r="F24" s="19" t="n">
        <f aca="false">ROUND(C24*$M$2+D24*$M$3+E24*$M$4,2)</f>
        <v>79.5</v>
      </c>
      <c r="G24" s="20" t="n">
        <f aca="false">VLOOKUP(B24,Acuan!$A$2:$B$4,2,FALSE())</f>
        <v>3</v>
      </c>
      <c r="H24" s="19" t="n">
        <f aca="false">F24+G24</f>
        <v>82.5</v>
      </c>
      <c r="I24" s="20" t="n">
        <f aca="false">RANK(H24,$H$2:$H$33,0)</f>
        <v>8</v>
      </c>
      <c r="J24" s="21" t="str">
        <f aca="false">IF(H24&lt;$M$5,"Tidak Lolos",IF(I24&lt;=$M$6,"Lolos","Cadangan"))</f>
        <v>Lolos</v>
      </c>
    </row>
    <row r="25" customFormat="false" ht="15" hidden="false" customHeight="false" outlineLevel="0" collapsed="false">
      <c r="A25" s="17" t="s">
        <v>121</v>
      </c>
      <c r="B25" s="17" t="s">
        <v>89</v>
      </c>
      <c r="C25" s="18" t="n">
        <v>100</v>
      </c>
      <c r="D25" s="18" t="n">
        <v>100</v>
      </c>
      <c r="E25" s="18" t="n">
        <v>78</v>
      </c>
      <c r="F25" s="19" t="n">
        <f aca="false">ROUND(C25*$M$2+D25*$M$3+E25*$M$4,2)</f>
        <v>95.6</v>
      </c>
      <c r="G25" s="20" t="n">
        <f aca="false">VLOOKUP(B25,Acuan!$A$2:$B$4,2,FALSE())</f>
        <v>3</v>
      </c>
      <c r="H25" s="19" t="n">
        <f aca="false">F25+G25</f>
        <v>98.6</v>
      </c>
      <c r="I25" s="20" t="n">
        <f aca="false">RANK(H25,$H$2:$H$33,0)</f>
        <v>1</v>
      </c>
      <c r="J25" s="21" t="str">
        <f aca="false">IF(H25&lt;$M$5,"Tidak Lolos",IF(I25&lt;=$M$6,"Lolos","Cadangan"))</f>
        <v>Lolos</v>
      </c>
    </row>
    <row r="26" customFormat="false" ht="15" hidden="false" customHeight="false" outlineLevel="0" collapsed="false">
      <c r="A26" s="17" t="s">
        <v>122</v>
      </c>
      <c r="B26" s="17" t="s">
        <v>94</v>
      </c>
      <c r="C26" s="18" t="n">
        <v>80</v>
      </c>
      <c r="D26" s="18" t="n">
        <v>84</v>
      </c>
      <c r="E26" s="18" t="n">
        <v>56</v>
      </c>
      <c r="F26" s="19" t="n">
        <f aca="false">ROUND(C26*$M$2+D26*$M$3+E26*$M$4,2)</f>
        <v>76.4</v>
      </c>
      <c r="G26" s="20" t="n">
        <f aca="false">VLOOKUP(B26,Acuan!$A$2:$B$4,2,FALSE())</f>
        <v>2</v>
      </c>
      <c r="H26" s="19" t="n">
        <f aca="false">F26+G26</f>
        <v>78.4</v>
      </c>
      <c r="I26" s="20" t="n">
        <f aca="false">RANK(H26,$H$2:$H$33,0)</f>
        <v>15</v>
      </c>
      <c r="J26" s="21" t="str">
        <f aca="false">IF(H26&lt;$M$5,"Tidak Lolos",IF(I26&lt;=$M$6,"Lolos","Cadangan"))</f>
        <v>Cadangan</v>
      </c>
    </row>
    <row r="27" customFormat="false" ht="15" hidden="false" customHeight="false" outlineLevel="0" collapsed="false">
      <c r="A27" s="17" t="s">
        <v>123</v>
      </c>
      <c r="B27" s="17" t="s">
        <v>100</v>
      </c>
      <c r="C27" s="18" t="n">
        <v>74</v>
      </c>
      <c r="D27" s="18" t="n">
        <v>71</v>
      </c>
      <c r="E27" s="18" t="n">
        <v>81</v>
      </c>
      <c r="F27" s="19" t="n">
        <f aca="false">ROUND(C27*$M$2+D27*$M$3+E27*$M$4,2)</f>
        <v>74.5</v>
      </c>
      <c r="G27" s="20" t="n">
        <f aca="false">VLOOKUP(B27,Acuan!$A$2:$B$4,2,FALSE())</f>
        <v>0</v>
      </c>
      <c r="H27" s="19" t="n">
        <f aca="false">F27+G27</f>
        <v>74.5</v>
      </c>
      <c r="I27" s="20" t="n">
        <f aca="false">RANK(H27,$H$2:$H$33,0)</f>
        <v>20</v>
      </c>
      <c r="J27" s="21" t="str">
        <f aca="false">IF(H27&lt;$M$5,"Tidak Lolos",IF(I27&lt;=$M$6,"Lolos","Cadangan"))</f>
        <v>Tidak Lolos</v>
      </c>
    </row>
    <row r="28" customFormat="false" ht="15" hidden="false" customHeight="false" outlineLevel="0" collapsed="false">
      <c r="A28" s="17" t="s">
        <v>124</v>
      </c>
      <c r="B28" s="17" t="s">
        <v>94</v>
      </c>
      <c r="C28" s="18" t="n">
        <v>75</v>
      </c>
      <c r="D28" s="18" t="n">
        <v>74</v>
      </c>
      <c r="E28" s="18" t="n">
        <v>83</v>
      </c>
      <c r="F28" s="19" t="n">
        <f aca="false">ROUND(C28*$M$2+D28*$M$3+E28*$M$4,2)</f>
        <v>76.3</v>
      </c>
      <c r="G28" s="20" t="n">
        <f aca="false">VLOOKUP(B28,Acuan!$A$2:$B$4,2,FALSE())</f>
        <v>2</v>
      </c>
      <c r="H28" s="19" t="n">
        <f aca="false">F28+G28</f>
        <v>78.3</v>
      </c>
      <c r="I28" s="20" t="n">
        <f aca="false">RANK(H28,$H$2:$H$33,0)</f>
        <v>16</v>
      </c>
      <c r="J28" s="21" t="str">
        <f aca="false">IF(H28&lt;$M$5,"Tidak Lolos",IF(I28&lt;=$M$6,"Lolos","Cadangan"))</f>
        <v>Cadangan</v>
      </c>
    </row>
    <row r="29" customFormat="false" ht="15" hidden="false" customHeight="false" outlineLevel="0" collapsed="false">
      <c r="A29" s="17" t="s">
        <v>125</v>
      </c>
      <c r="B29" s="17" t="s">
        <v>100</v>
      </c>
      <c r="C29" s="18" t="n">
        <v>63</v>
      </c>
      <c r="D29" s="18" t="n">
        <v>52</v>
      </c>
      <c r="E29" s="18" t="n">
        <v>66</v>
      </c>
      <c r="F29" s="19" t="n">
        <f aca="false">ROUND(C29*$M$2+D29*$M$3+E29*$M$4,2)</f>
        <v>60.3</v>
      </c>
      <c r="G29" s="20" t="n">
        <f aca="false">VLOOKUP(B29,Acuan!$A$2:$B$4,2,FALSE())</f>
        <v>0</v>
      </c>
      <c r="H29" s="19" t="n">
        <f aca="false">F29+G29</f>
        <v>60.3</v>
      </c>
      <c r="I29" s="20" t="n">
        <f aca="false">RANK(H29,$H$2:$H$33,0)</f>
        <v>32</v>
      </c>
      <c r="J29" s="21" t="str">
        <f aca="false">IF(H29&lt;$M$5,"Tidak Lolos",IF(I29&lt;=$M$6,"Lolos","Cadangan"))</f>
        <v>Tidak Lolos</v>
      </c>
    </row>
    <row r="30" customFormat="false" ht="15" hidden="false" customHeight="false" outlineLevel="0" collapsed="false">
      <c r="A30" s="17" t="s">
        <v>126</v>
      </c>
      <c r="B30" s="17" t="s">
        <v>100</v>
      </c>
      <c r="C30" s="18" t="n">
        <v>83</v>
      </c>
      <c r="D30" s="18" t="n">
        <v>71</v>
      </c>
      <c r="E30" s="18" t="n">
        <v>79</v>
      </c>
      <c r="F30" s="19" t="n">
        <f aca="false">ROUND(C30*$M$2+D30*$M$3+E30*$M$4,2)</f>
        <v>78.6</v>
      </c>
      <c r="G30" s="20" t="n">
        <f aca="false">VLOOKUP(B30,Acuan!$A$2:$B$4,2,FALSE())</f>
        <v>0</v>
      </c>
      <c r="H30" s="19" t="n">
        <f aca="false">F30+G30</f>
        <v>78.6</v>
      </c>
      <c r="I30" s="20" t="n">
        <f aca="false">RANK(H30,$H$2:$H$33,0)</f>
        <v>14</v>
      </c>
      <c r="J30" s="21" t="str">
        <f aca="false">IF(H30&lt;$M$5,"Tidak Lolos",IF(I30&lt;=$M$6,"Lolos","Cadangan"))</f>
        <v>Cadangan</v>
      </c>
    </row>
    <row r="31" customFormat="false" ht="15" hidden="false" customHeight="false" outlineLevel="0" collapsed="false">
      <c r="A31" s="17" t="s">
        <v>127</v>
      </c>
      <c r="B31" s="17" t="s">
        <v>100</v>
      </c>
      <c r="C31" s="18" t="n">
        <v>59</v>
      </c>
      <c r="D31" s="18" t="n">
        <v>77</v>
      </c>
      <c r="E31" s="18" t="n">
        <v>72</v>
      </c>
      <c r="F31" s="19" t="n">
        <f aca="false">ROUND(C31*$M$2+D31*$M$3+E31*$M$4,2)</f>
        <v>67</v>
      </c>
      <c r="G31" s="20" t="n">
        <f aca="false">VLOOKUP(B31,Acuan!$A$2:$B$4,2,FALSE())</f>
        <v>0</v>
      </c>
      <c r="H31" s="19" t="n">
        <f aca="false">F31+G31</f>
        <v>67</v>
      </c>
      <c r="I31" s="20" t="n">
        <f aca="false">RANK(H31,$H$2:$H$33,0)</f>
        <v>27</v>
      </c>
      <c r="J31" s="21" t="str">
        <f aca="false">IF(H31&lt;$M$5,"Tidak Lolos",IF(I31&lt;=$M$6,"Lolos","Cadangan"))</f>
        <v>Tidak Lolos</v>
      </c>
    </row>
    <row r="32" customFormat="false" ht="15" hidden="false" customHeight="false" outlineLevel="0" collapsed="false">
      <c r="A32" s="17" t="s">
        <v>128</v>
      </c>
      <c r="B32" s="17" t="s">
        <v>89</v>
      </c>
      <c r="C32" s="18" t="n">
        <v>70</v>
      </c>
      <c r="D32" s="18" t="n">
        <v>76</v>
      </c>
      <c r="E32" s="18" t="n">
        <v>73</v>
      </c>
      <c r="F32" s="19" t="n">
        <f aca="false">ROUND(C32*$M$2+D32*$M$3+E32*$M$4,2)</f>
        <v>72.4</v>
      </c>
      <c r="G32" s="20" t="n">
        <f aca="false">VLOOKUP(B32,Acuan!$A$2:$B$4,2,FALSE())</f>
        <v>3</v>
      </c>
      <c r="H32" s="19" t="n">
        <f aca="false">F32+G32</f>
        <v>75.4</v>
      </c>
      <c r="I32" s="20" t="n">
        <f aca="false">RANK(H32,$H$2:$H$33,0)</f>
        <v>19</v>
      </c>
      <c r="J32" s="21" t="str">
        <f aca="false">IF(H32&lt;$M$5,"Tidak Lolos",IF(I32&lt;=$M$6,"Lolos","Cadangan"))</f>
        <v>Cadangan</v>
      </c>
    </row>
    <row r="33" customFormat="false" ht="15" hidden="false" customHeight="false" outlineLevel="0" collapsed="false">
      <c r="A33" s="17" t="s">
        <v>129</v>
      </c>
      <c r="B33" s="17" t="s">
        <v>100</v>
      </c>
      <c r="C33" s="18" t="n">
        <v>89</v>
      </c>
      <c r="D33" s="18" t="n">
        <v>77</v>
      </c>
      <c r="E33" s="18" t="n">
        <v>86</v>
      </c>
      <c r="F33" s="19" t="n">
        <f aca="false">ROUND(C33*$M$2+D33*$M$3+E33*$M$4,2)</f>
        <v>84.8</v>
      </c>
      <c r="G33" s="20" t="n">
        <f aca="false">VLOOKUP(B33,Acuan!$A$2:$B$4,2,FALSE())</f>
        <v>0</v>
      </c>
      <c r="H33" s="19" t="n">
        <f aca="false">F33+G33</f>
        <v>84.8</v>
      </c>
      <c r="I33" s="20" t="n">
        <f aca="false">RANK(H33,$H$2:$H$33,0)</f>
        <v>6</v>
      </c>
      <c r="J33" s="21" t="str">
        <f aca="false">IF(H33&lt;$M$5,"Tidak Lolos",IF(I33&lt;=$M$6,"Lolos","Cadangan"))</f>
        <v>Lolos</v>
      </c>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E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8"/>
    <col collapsed="false" customWidth="true" hidden="false" outlineLevel="0" max="2" min="2" style="0" width="13"/>
    <col collapsed="false" customWidth="true" hidden="false" outlineLevel="0" max="3" min="3" style="0" width="17"/>
    <col collapsed="false" customWidth="true" hidden="false" outlineLevel="0" max="4" min="4" style="0" width="14"/>
    <col collapsed="false" customWidth="true" hidden="false" outlineLevel="0" max="5" min="5" style="0" width="19"/>
  </cols>
  <sheetData>
    <row r="1" customFormat="false" ht="33.75" hidden="false" customHeight="true" outlineLevel="0" collapsed="false">
      <c r="A1" s="11" t="s">
        <v>76</v>
      </c>
      <c r="B1" s="11" t="s">
        <v>130</v>
      </c>
      <c r="C1" s="15" t="s">
        <v>131</v>
      </c>
      <c r="D1" s="15" t="s">
        <v>132</v>
      </c>
      <c r="E1" s="15" t="s">
        <v>133</v>
      </c>
    </row>
    <row r="2" customFormat="false" ht="15" hidden="false" customHeight="false" outlineLevel="0" collapsed="false">
      <c r="A2" s="17" t="s">
        <v>100</v>
      </c>
      <c r="B2" s="18" t="n">
        <v>0</v>
      </c>
      <c r="C2" s="20" t="n">
        <f aca="false">COUNTIF(Data!$B$2:$B$33,A2)</f>
        <v>11</v>
      </c>
      <c r="D2" s="20" t="n">
        <f aca="false">COUNTIFS(Data!$B$2:$B$33,A2,Data!$J$2:$J$33,"Lolos")</f>
        <v>5</v>
      </c>
      <c r="E2" s="19" t="n">
        <f aca="false">AVERAGEIF(Data!$B$2:$B$33,A2,Data!$H$2:$H$33)</f>
        <v>75.8909090909091</v>
      </c>
    </row>
    <row r="3" customFormat="false" ht="15" hidden="false" customHeight="false" outlineLevel="0" collapsed="false">
      <c r="A3" s="17" t="s">
        <v>94</v>
      </c>
      <c r="B3" s="18" t="n">
        <v>2</v>
      </c>
      <c r="C3" s="20" t="n">
        <f aca="false">COUNTIF(Data!$B$2:$B$33,A3)</f>
        <v>10</v>
      </c>
      <c r="D3" s="20" t="n">
        <f aca="false">COUNTIFS(Data!$B$2:$B$33,A3,Data!$J$2:$J$33,"Lolos")</f>
        <v>2</v>
      </c>
      <c r="E3" s="19" t="n">
        <f aca="false">AVERAGEIF(Data!$B$2:$B$33,A3,Data!$H$2:$H$33)</f>
        <v>76.03</v>
      </c>
    </row>
    <row r="4" customFormat="false" ht="15" hidden="false" customHeight="false" outlineLevel="0" collapsed="false">
      <c r="A4" s="17" t="s">
        <v>89</v>
      </c>
      <c r="B4" s="18" t="n">
        <v>3</v>
      </c>
      <c r="C4" s="20" t="n">
        <f aca="false">COUNTIF(Data!$B$2:$B$33,A4)</f>
        <v>11</v>
      </c>
      <c r="D4" s="20" t="n">
        <f aca="false">COUNTIFS(Data!$B$2:$B$33,A4,Data!$J$2:$J$33,"Lolos")</f>
        <v>3</v>
      </c>
      <c r="E4" s="19" t="n">
        <f aca="false">AVERAGEIF(Data!$B$2:$B$33,A4,Data!$H$2:$H$33)</f>
        <v>77.5</v>
      </c>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D1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78"/>
    <col collapsed="false" customWidth="true" hidden="false" outlineLevel="0" max="3" min="3" style="0" width="26"/>
    <col collapsed="false" customWidth="true" hidden="false" outlineLevel="0" max="4" min="4" style="0" width="32"/>
  </cols>
  <sheetData>
    <row r="1" customFormat="false" ht="16.15" hidden="false" customHeight="false" outlineLevel="0" collapsed="false">
      <c r="A1" s="25" t="s">
        <v>134</v>
      </c>
      <c r="B1" s="25"/>
      <c r="C1" s="25"/>
      <c r="D1" s="25"/>
    </row>
    <row r="2" customFormat="false" ht="15" hidden="false" customHeight="false" outlineLevel="0" collapsed="false">
      <c r="A2" s="26" t="s">
        <v>135</v>
      </c>
      <c r="B2" s="26"/>
      <c r="C2" s="26"/>
      <c r="D2" s="26"/>
    </row>
    <row r="3" customFormat="false" ht="15" hidden="false" customHeight="false" outlineLevel="0" collapsed="false">
      <c r="A3" s="11" t="s">
        <v>19</v>
      </c>
      <c r="B3" s="11" t="s">
        <v>136</v>
      </c>
      <c r="C3" s="11" t="s">
        <v>137</v>
      </c>
      <c r="D3" s="11" t="s">
        <v>138</v>
      </c>
    </row>
    <row r="4" customFormat="false" ht="15" hidden="false" customHeight="false" outlineLevel="0" collapsed="false">
      <c r="A4" s="27" t="s">
        <v>139</v>
      </c>
      <c r="B4" s="28" t="s">
        <v>140</v>
      </c>
      <c r="C4" s="20" t="n">
        <f aca="false">COUNTIF(Data!$J$2:$J$33,"Lolos")</f>
        <v>10</v>
      </c>
      <c r="D4" s="29" t="s">
        <v>141</v>
      </c>
    </row>
    <row r="5" customFormat="false" ht="15" hidden="false" customHeight="false" outlineLevel="0" collapsed="false">
      <c r="A5" s="27" t="s">
        <v>142</v>
      </c>
      <c r="B5" s="28" t="s">
        <v>143</v>
      </c>
      <c r="C5" s="20" t="n">
        <f aca="false">COUNTIF(Data!$J$2:$J$33,"Cadangan")</f>
        <v>9</v>
      </c>
      <c r="D5" s="29" t="s">
        <v>144</v>
      </c>
    </row>
    <row r="6" customFormat="false" ht="15" hidden="false" customHeight="false" outlineLevel="0" collapsed="false">
      <c r="A6" s="27" t="s">
        <v>145</v>
      </c>
      <c r="B6" s="28" t="s">
        <v>146</v>
      </c>
      <c r="C6" s="20" t="n">
        <f aca="false">COUNTIF(Data!$J$2:$J$33,"Tidak Lolos")</f>
        <v>13</v>
      </c>
      <c r="D6" s="29" t="s">
        <v>147</v>
      </c>
    </row>
    <row r="7" customFormat="false" ht="15" hidden="false" customHeight="false" outlineLevel="0" collapsed="false">
      <c r="A7" s="27" t="s">
        <v>148</v>
      </c>
      <c r="B7" s="28" t="s">
        <v>149</v>
      </c>
      <c r="C7" s="21" t="str">
        <f aca="false">INDEX(Data!$A$2:$A$33,MATCH(MAX(Data!$H$2:$H$33),Data!$H$2:$H$33,0))</f>
        <v>Jihan Firmansyah</v>
      </c>
      <c r="D7" s="29" t="s">
        <v>150</v>
      </c>
    </row>
    <row r="8" customFormat="false" ht="15" hidden="false" customHeight="false" outlineLevel="0" collapsed="false">
      <c r="A8" s="27" t="s">
        <v>151</v>
      </c>
      <c r="B8" s="28" t="s">
        <v>152</v>
      </c>
      <c r="C8" s="21" t="str">
        <f aca="false">INDEX(Acuan!$A$2:$A$4,MATCH(MAX(Acuan!$E$2:$E$4),Acuan!$E$2:$E$4,0))</f>
        <v>Daerah Terpencil</v>
      </c>
      <c r="D8" s="29" t="s">
        <v>153</v>
      </c>
    </row>
    <row r="9" customFormat="false" ht="15" hidden="false" customHeight="false" outlineLevel="0" collapsed="false">
      <c r="A9" s="27" t="s">
        <v>154</v>
      </c>
      <c r="B9" s="28" t="s">
        <v>155</v>
      </c>
      <c r="C9" s="21" t="str">
        <f aca="false">INDEX(Data!$A$2:$A$33,MATCH(10,Data!$I$2:$I$33,0))</f>
        <v>Agus Handayani</v>
      </c>
      <c r="D9" s="29" t="s">
        <v>150</v>
      </c>
    </row>
    <row r="10" customFormat="false" ht="15" hidden="false" customHeight="false" outlineLevel="0" collapsed="false">
      <c r="A10" s="27" t="s">
        <v>156</v>
      </c>
      <c r="B10" s="28" t="s">
        <v>157</v>
      </c>
      <c r="C10" s="19" t="n">
        <f aca="false">INDEX(Data!$H$2:$H$33,MATCH(10,Data!$I$2:$I$33,0))</f>
        <v>80.6</v>
      </c>
      <c r="D10" s="29" t="s">
        <v>158</v>
      </c>
    </row>
    <row r="11" customFormat="false" ht="15" hidden="false" customHeight="false" outlineLevel="0" collapsed="false">
      <c r="A11" s="27" t="s">
        <v>159</v>
      </c>
      <c r="B11" s="28" t="s">
        <v>160</v>
      </c>
      <c r="C11" s="19" t="n">
        <f aca="false">AVERAGE(Data!$C$2:$C$33)</f>
        <v>75.625</v>
      </c>
      <c r="D11" s="29" t="s">
        <v>161</v>
      </c>
    </row>
    <row r="12" customFormat="false" ht="15" hidden="false" customHeight="false" outlineLevel="0" collapsed="false">
      <c r="A12" s="27" t="s">
        <v>162</v>
      </c>
      <c r="B12" s="28" t="s">
        <v>163</v>
      </c>
      <c r="C12" s="19" t="n">
        <f aca="false">AVERAGEIF(Data!$B$2:$B$33,"Prestasi",Data!$D$2:$D$33)</f>
        <v>73.8</v>
      </c>
      <c r="D12" s="29" t="s">
        <v>164</v>
      </c>
    </row>
    <row r="13" customFormat="false" ht="15" hidden="false" customHeight="false" outlineLevel="0" collapsed="false">
      <c r="A13" s="27" t="s">
        <v>165</v>
      </c>
      <c r="B13" s="28" t="s">
        <v>166</v>
      </c>
      <c r="C13" s="20" t="n">
        <f aca="false">MAX(Data!$C$2:$C$33)</f>
        <v>100</v>
      </c>
      <c r="D13" s="29" t="s">
        <v>167</v>
      </c>
    </row>
    <row r="14" customFormat="false" ht="15" hidden="false" customHeight="false" outlineLevel="0" collapsed="false">
      <c r="A14" s="27" t="s">
        <v>168</v>
      </c>
      <c r="B14" s="28" t="s">
        <v>169</v>
      </c>
      <c r="C14" s="20" t="n">
        <f aca="false">COUNTIFS(Data!$B$2:$B$33,"Daerah Terpencil",Data!$J$2:$J$33,"Lolos")+COUNTIFS(Data!$B$2:$B$33,"Daerah Terpencil",Data!$J$2:$J$33,"Cadangan")</f>
        <v>8</v>
      </c>
      <c r="D14" s="29" t="s">
        <v>170</v>
      </c>
    </row>
  </sheetData>
  <mergeCells count="2">
    <mergeCell ref="A1:D1"/>
    <mergeCell ref="A2:D2"/>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2026-10-16T10:35:52Z</dcterms:created>
  <dc:creator>PushExcel</dc:creator>
  <dc:description/>
  <dc:language>en-US</dc:language>
  <cp:lastModifiedBy/>
  <dcterms:modified xsi:type="dcterms:W3CDTF">2026-10-16T10:35:52Z</dcterms:modified>
  <cp:revision>0</cp:revision>
  <dc:subject/>
  <dc:title>Seleksi Penerima Beasiswa dan Peringkat Skor - Kunci</dc:title>
</cp:coreProperties>
</file>

<file path=docProps/custom.xml><?xml version="1.0" encoding="utf-8"?>
<Properties xmlns="http://schemas.openxmlformats.org/officeDocument/2006/custom-properties" xmlns:vt="http://schemas.openxmlformats.org/officeDocument/2006/docPropsVTypes"/>
</file>