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<sst xmlns="http://schemas.openxmlformats.org/spreadsheetml/2006/main" count="222" uniqueCount="192">
  <si>
    <t xml:space="preserve">Kunci Jawaban: Pendaftaran Tim Turnamen Olahraga: DP dan Pelunasan</t>
  </si>
  <si>
    <t xml:space="preserve">Latihan 86 dari 40  |  Tingkat: Menengah  |  Perkiraan waktu: 50 menit  |  pushexcel.github.io/Pushexcel</t>
  </si>
  <si>
    <t xml:space="preserve">Skenario</t>
  </si>
  <si>
    <t xml:space="preserve">Kamu bendahara panitia Turnamen Antar Desa Pelita Cup yang menerima pendaftaran 28 tim dari empat cabang. Biaya pendaftaran tiap cabang ada di tabel sheet Acuan. Setiap pemain juga dikenai biaya asuransi Rp 15.000. Tim membayar DP lebih dulu, lalu pelunasan (boleh belum atau dicicil). Status Lunas bila sisa pembayaran 0. Bila belum lunas, statusnya Belum Lunas jika DP minimal 30 persen dari total biaya, selain itu DP Kurang (angka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</si>
  <si>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</si>
  <si>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</si>
  <si>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</si>
  <si>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</si>
  <si>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</si>
  <si>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</si>
  <si>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</si>
  <si>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</si>
  <si>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</si>
  <si>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</si>
  <si>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</si>
  <si>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</si>
  <si>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</si>
  <si>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</si>
  <si>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</si>
  <si>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</si>
  <si>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</si>
  <si>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</si>
  <si>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</si>
  <si>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</si>
  <si>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biaya pendaftaran cabang tiap tim dari tabel di sheet Acuan (pencocokan persis).</t>
  </si>
  <si>
    <t xml:space="preserve">Sheet Data, kolom G (Biaya Cabang), baris 2 sampai 29</t>
  </si>
  <si>
    <t xml:space="preserve">=VLOOKUP(C2;Acuan!$A$2:$B$5;2;FALSE)</t>
  </si>
  <si>
    <t xml:space="preserve">2</t>
  </si>
  <si>
    <t xml:space="preserve">Hitung biaya asuransi: jumlah pemain dikali asuransi per pemain.</t>
  </si>
  <si>
    <t xml:space="preserve">Sheet Data, kolom H (Biaya Asuransi), baris 2 sampai 29</t>
  </si>
  <si>
    <t xml:space="preserve">=D2*$O$2</t>
  </si>
  <si>
    <t xml:space="preserve">3</t>
  </si>
  <si>
    <t xml:space="preserve">Hitung total biaya: biaya cabang ditambah biaya asuransi.</t>
  </si>
  <si>
    <t xml:space="preserve">Sheet Data, kolom I (Total Biaya), baris 2 sampai 29</t>
  </si>
  <si>
    <t xml:space="preserve">=G2+H2</t>
  </si>
  <si>
    <t xml:space="preserve">4</t>
  </si>
  <si>
    <t xml:space="preserve">Hitung total yang sudah dibayar: DP ditambah pelunasan.</t>
  </si>
  <si>
    <t xml:space="preserve">Sheet Data, kolom J (Total Dibayar), baris 2 sampai 29</t>
  </si>
  <si>
    <t xml:space="preserve">=E2+F2</t>
  </si>
  <si>
    <t xml:space="preserve">5</t>
  </si>
  <si>
    <t xml:space="preserve">Hitung sisa pembayaran: total biaya dikurangi total dibayar.</t>
  </si>
  <si>
    <t xml:space="preserve">Sheet Data, kolom K (Sisa Pembayaran), baris 2 sampai 29</t>
  </si>
  <si>
    <t xml:space="preserve">=I2-J2</t>
  </si>
  <si>
    <t xml:space="preserve">6</t>
  </si>
  <si>
    <t xml:space="preserve">Beri status: Lunas bila sisa 0. Bila belum lunas, Belum Lunas jika DP minimal sama dengan DP minimal dikali total biaya, selain itu DP Kurang.</t>
  </si>
  <si>
    <t xml:space="preserve">Sheet Data, kolom L (Status), baris 2 sampai 29</t>
  </si>
  <si>
    <t xml:space="preserve">=IF(K2=0;"Lunas";IF(E2&gt;=I2*$O$3;"Belum Lunas";"DP Kurang"))</t>
  </si>
  <si>
    <t xml:space="preserve">7</t>
  </si>
  <si>
    <t xml:space="preserve">Pada sheet Acuan, hitung jumlah tim tiap cabang.</t>
  </si>
  <si>
    <t xml:space="preserve">Sheet Acuan, kolom C (Jumlah Tim), baris 2 sampai 5</t>
  </si>
  <si>
    <t xml:space="preserve">=COUNTIF(Data!$C$2:$C$29;A2)</t>
  </si>
  <si>
    <t xml:space="preserve">8</t>
  </si>
  <si>
    <t xml:space="preserve">Pada sheet Acuan, hitung total uang yang sudah masuk dari tiap cabang.</t>
  </si>
  <si>
    <t xml:space="preserve">Sheet Acuan, kolom D (Total Dibayar Cabang), baris 2 sampai 5</t>
  </si>
  <si>
    <t xml:space="preserve">=SUMIF(Data!$C$2:$C$29;A2;Data!$J$2:$J$29)</t>
  </si>
  <si>
    <t xml:space="preserve">9</t>
  </si>
  <si>
    <t xml:space="preserve">Pada sheet Acuan, hitung total sisa pembayaran dari tiap cabang.</t>
  </si>
  <si>
    <t xml:space="preserve">Sheet Acuan, kolom E (Total Sisa Cabang), baris 2 sampai 5</t>
  </si>
  <si>
    <t xml:space="preserve">=SUMIF(Data!$C$2:$C$29;A2;Data!$K$2:$K$29)</t>
  </si>
  <si>
    <t xml:space="preserve">10</t>
  </si>
  <si>
    <t xml:space="preserve">Berapa total biaya seluruh tim, total yang sudah dibayar, dan total sisa yang belum masuk?</t>
  </si>
  <si>
    <t xml:space="preserve">Sheet Ringkasan, sel C4 sampai C6</t>
  </si>
  <si>
    <t xml:space="preserve">=SUM(Data!$I$2:$I$29)
=SUM(Data!$J$2:$J$29)
=SUM(Data!$K$2:$K$29)</t>
  </si>
  <si>
    <t xml:space="preserve">11</t>
  </si>
  <si>
    <t xml:space="preserve">Berapa tim yang Lunas, yang Belum Lunas, dan yang DP Kurang?</t>
  </si>
  <si>
    <t xml:space="preserve">Sheet Ringkasan, sel C7 sampai C9</t>
  </si>
  <si>
    <t xml:space="preserve">=COUNTIF(Data!$L$2:$L$29;"Lunas")
=COUNTIF(Data!$L$2:$L$29;"Belum Lunas")
=COUNTIF(Data!$L$2:$L$29;"DP Kurang")</t>
  </si>
  <si>
    <t xml:space="preserve">12</t>
  </si>
  <si>
    <t xml:space="preserve">Tim apa yang sisa pembayarannya terbesar, dan cabang apa yang total sisanya terbesar?</t>
  </si>
  <si>
    <t xml:space="preserve">Sheet Ringkasan, sel C10 sampai C11</t>
  </si>
  <si>
    <t xml:space="preserve">=INDEX(Data!$B$2:$B$29;MATCH(MAX(Data!$K$2:$K$29);Data!$K$2:$K$29;0))
=INDEX(Acuan!$A$2:$A$5;MATCH(MAX(Acuan!$E$2:$E$5);Acuan!$E$2:$E$5;0))</t>
  </si>
  <si>
    <t xml:space="preserve">13</t>
  </si>
  <si>
    <t xml:space="preserve">Berapa tim Futsal yang Lunas, dan berapa rata-rata jumlah pemain tim Bola Voli?</t>
  </si>
  <si>
    <t xml:space="preserve">Sheet Ringkasan, sel C12 sampai C13</t>
  </si>
  <si>
    <t xml:space="preserve">=COUNTIFS(Data!$C$2:$C$29;"Futsal";Data!$L$2:$L$29;"Lunas")
=AVERAGEIF(Data!$C$2:$C$29;"Bola Voli";Data!$D$2:$D$29)</t>
  </si>
  <si>
    <t xml:space="preserve">ID Tim</t>
  </si>
  <si>
    <t xml:space="preserve">Nama Tim</t>
  </si>
  <si>
    <t xml:space="preserve">Cabang</t>
  </si>
  <si>
    <t xml:space="preserve">Jumlah Pemain</t>
  </si>
  <si>
    <t xml:space="preserve">DP</t>
  </si>
  <si>
    <t xml:space="preserve">Pelunasan</t>
  </si>
  <si>
    <t xml:space="preserve">Biaya Cabang</t>
  </si>
  <si>
    <t xml:space="preserve">Biaya Asuransi</t>
  </si>
  <si>
    <t xml:space="preserve">Total Biaya</t>
  </si>
  <si>
    <t xml:space="preserve">Total Dibayar</t>
  </si>
  <si>
    <t xml:space="preserve">Sisa Pembayaran</t>
  </si>
  <si>
    <t xml:space="preserve">Status</t>
  </si>
  <si>
    <t xml:space="preserve">Parameter</t>
  </si>
  <si>
    <t xml:space="preserve">Nilai</t>
  </si>
  <si>
    <t xml:space="preserve">Keterangan</t>
  </si>
  <si>
    <t xml:space="preserve">T-001</t>
  </si>
  <si>
    <t xml:space="preserve">Harimau Putih</t>
  </si>
  <si>
    <t xml:space="preserve">Futsal</t>
  </si>
  <si>
    <t xml:space="preserve">Asuransi per pemain</t>
  </si>
  <si>
    <t xml:space="preserve">T-002</t>
  </si>
  <si>
    <t xml:space="preserve">Pelita Jaya</t>
  </si>
  <si>
    <t xml:space="preserve">Bola Voli</t>
  </si>
  <si>
    <t xml:space="preserve">DP minimal</t>
  </si>
  <si>
    <t xml:space="preserve">Persen minimal DP terhadap total biaya</t>
  </si>
  <si>
    <t xml:space="preserve">T-003</t>
  </si>
  <si>
    <t xml:space="preserve">Elang Timur</t>
  </si>
  <si>
    <t xml:space="preserve">Basket 3x3</t>
  </si>
  <si>
    <t xml:space="preserve">T-004</t>
  </si>
  <si>
    <t xml:space="preserve">Macan Utara</t>
  </si>
  <si>
    <t xml:space="preserve">Bulu Tangkis Ganda</t>
  </si>
  <si>
    <t xml:space="preserve">T-005</t>
  </si>
  <si>
    <t xml:space="preserve">Topan Perkasa</t>
  </si>
  <si>
    <t xml:space="preserve">T-006</t>
  </si>
  <si>
    <t xml:space="preserve">Bintang Utara</t>
  </si>
  <si>
    <t xml:space="preserve">T-007</t>
  </si>
  <si>
    <t xml:space="preserve">Fajar Jaya</t>
  </si>
  <si>
    <t xml:space="preserve">T-008</t>
  </si>
  <si>
    <t xml:space="preserve">Garuda Utara</t>
  </si>
  <si>
    <t xml:space="preserve">T-009</t>
  </si>
  <si>
    <t xml:space="preserve">Kijang Muda</t>
  </si>
  <si>
    <t xml:space="preserve">T-010</t>
  </si>
  <si>
    <t xml:space="preserve">Samudra Jaya</t>
  </si>
  <si>
    <t xml:space="preserve">T-011</t>
  </si>
  <si>
    <t xml:space="preserve">Bima Biru</t>
  </si>
  <si>
    <t xml:space="preserve">T-012</t>
  </si>
  <si>
    <t xml:space="preserve">Bima Utara</t>
  </si>
  <si>
    <t xml:space="preserve">T-013</t>
  </si>
  <si>
    <t xml:space="preserve">Petir Muda</t>
  </si>
  <si>
    <t xml:space="preserve">T-014</t>
  </si>
  <si>
    <t xml:space="preserve">Harimau Timur</t>
  </si>
  <si>
    <t xml:space="preserve">T-015</t>
  </si>
  <si>
    <t xml:space="preserve">Topan Putih</t>
  </si>
  <si>
    <t xml:space="preserve">T-016</t>
  </si>
  <si>
    <t xml:space="preserve">Macan Muda</t>
  </si>
  <si>
    <t xml:space="preserve">T-017</t>
  </si>
  <si>
    <t xml:space="preserve">Petir Sakti</t>
  </si>
  <si>
    <t xml:space="preserve">T-018</t>
  </si>
  <si>
    <t xml:space="preserve">Pelita Perkasa</t>
  </si>
  <si>
    <t xml:space="preserve">T-019</t>
  </si>
  <si>
    <t xml:space="preserve">Kijang Jaya</t>
  </si>
  <si>
    <t xml:space="preserve">T-020</t>
  </si>
  <si>
    <t xml:space="preserve">Garuda Sakti</t>
  </si>
  <si>
    <t xml:space="preserve">T-021</t>
  </si>
  <si>
    <t xml:space="preserve">Komet Muda</t>
  </si>
  <si>
    <t xml:space="preserve">T-022</t>
  </si>
  <si>
    <t xml:space="preserve">Macan Perkasa</t>
  </si>
  <si>
    <t xml:space="preserve">T-023</t>
  </si>
  <si>
    <t xml:space="preserve">Badai Jaya</t>
  </si>
  <si>
    <t xml:space="preserve">T-024</t>
  </si>
  <si>
    <t xml:space="preserve">Pelita Selatan</t>
  </si>
  <si>
    <t xml:space="preserve">T-025</t>
  </si>
  <si>
    <t xml:space="preserve">Rajawali Muda</t>
  </si>
  <si>
    <t xml:space="preserve">T-026</t>
  </si>
  <si>
    <t xml:space="preserve">Petir Putih</t>
  </si>
  <si>
    <t xml:space="preserve">T-027</t>
  </si>
  <si>
    <t xml:space="preserve">Fajar Muda</t>
  </si>
  <si>
    <t xml:space="preserve">T-028</t>
  </si>
  <si>
    <t xml:space="preserve">Macan Putih</t>
  </si>
  <si>
    <t xml:space="preserve">Biaya Pendaftaran</t>
  </si>
  <si>
    <t xml:space="preserve">Jumlah Tim</t>
  </si>
  <si>
    <t xml:space="preserve">Total Dibayar Cabang</t>
  </si>
  <si>
    <t xml:space="preserve">Total Sisa Cabang</t>
  </si>
  <si>
    <t xml:space="preserve">Ringkasan: lembar jawaban soal berjenis ringkasan</t>
  </si>
  <si>
    <t xml:space="preserve">Sel hijau berisi rumus kunci.</t>
  </si>
  <si>
    <t xml:space="preserve">Pertanyaan</t>
  </si>
  <si>
    <t xml:space="preserve">Jawaban</t>
  </si>
  <si>
    <t xml:space="preserve">Contoh format hasil</t>
  </si>
  <si>
    <t xml:space="preserve">10a</t>
  </si>
  <si>
    <t xml:space="preserve">Total biaya seluruh tim</t>
  </si>
  <si>
    <t xml:space="preserve">Rupiah, mis. Rp 15.000.000</t>
  </si>
  <si>
    <t xml:space="preserve">10b</t>
  </si>
  <si>
    <t xml:space="preserve">Total sudah dibayar</t>
  </si>
  <si>
    <t xml:space="preserve">Rupiah, mis. Rp 10.000.000</t>
  </si>
  <si>
    <t xml:space="preserve">10c</t>
  </si>
  <si>
    <t xml:space="preserve">Total sisa belum masuk</t>
  </si>
  <si>
    <t xml:space="preserve">Rupiah, mis. Rp 5.000.000</t>
  </si>
  <si>
    <t xml:space="preserve">11a</t>
  </si>
  <si>
    <t xml:space="preserve">Tim Lunas</t>
  </si>
  <si>
    <t xml:space="preserve">Angka bulat, mis. 10</t>
  </si>
  <si>
    <t xml:space="preserve">11b</t>
  </si>
  <si>
    <t xml:space="preserve">Tim Belum Lunas</t>
  </si>
  <si>
    <t xml:space="preserve">Angka bulat, mis. 8</t>
  </si>
  <si>
    <t xml:space="preserve">11c</t>
  </si>
  <si>
    <t xml:space="preserve">Tim DP Kurang</t>
  </si>
  <si>
    <t xml:space="preserve">Angka bulat, mis. 7</t>
  </si>
  <si>
    <t xml:space="preserve">12a</t>
  </si>
  <si>
    <t xml:space="preserve">Tim dengan sisa terbesar</t>
  </si>
  <si>
    <t xml:space="preserve">Teks: nama tim</t>
  </si>
  <si>
    <t xml:space="preserve">12b</t>
  </si>
  <si>
    <t xml:space="preserve">Cabang dengan total sisa terbesar</t>
  </si>
  <si>
    <t xml:space="preserve">Teks: nama cabang</t>
  </si>
  <si>
    <t xml:space="preserve">13a</t>
  </si>
  <si>
    <t xml:space="preserve">Tim Futsal yang Lunas</t>
  </si>
  <si>
    <t xml:space="preserve">Angka bulat, mis. 4</t>
  </si>
  <si>
    <t xml:space="preserve">13b</t>
  </si>
  <si>
    <t xml:space="preserve">Rata-rata pemain tim Bola Voli</t>
  </si>
  <si>
    <t xml:space="preserve">Angka desimal, mis. 10,5</t>
  </si>
</sst>
</file>

<file path=xl/styles.xml><?xml version="1.0" encoding="utf-8"?>
<styleSheet xmlns="http://schemas.openxmlformats.org/spreadsheetml/2006/main">
  <numFmts count="5">
    <numFmt numFmtId="164" formatCode="General"/>
    <numFmt numFmtId="165" formatCode="0"/>
    <numFmt numFmtId="166" formatCode="&quot;Rp &quot;#,##0"/>
    <numFmt numFmtId="167" formatCode="0%"/>
    <numFmt numFmtId="168"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42"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57.75" hidden="false" customHeight="true" outlineLevel="0" collapsed="false">
      <c r="A30" s="12" t="s">
        <v>59</v>
      </c>
      <c r="B30" s="13" t="s">
        <v>60</v>
      </c>
      <c r="C30" s="13" t="s">
        <v>61</v>
      </c>
      <c r="D30" s="14" t="s">
        <v>62</v>
      </c>
    </row>
    <row r="31" customFormat="false" ht="57.75" hidden="false" customHeight="true" outlineLevel="0" collapsed="false">
      <c r="A31" s="12" t="s">
        <v>63</v>
      </c>
      <c r="B31" s="13" t="s">
        <v>64</v>
      </c>
      <c r="C31" s="13" t="s">
        <v>65</v>
      </c>
      <c r="D31" s="14" t="s">
        <v>66</v>
      </c>
    </row>
    <row r="32" customFormat="false" ht="55.5" hidden="false" customHeight="true" outlineLevel="0" collapsed="false">
      <c r="A32" s="12" t="s">
        <v>67</v>
      </c>
      <c r="B32" s="13" t="s">
        <v>68</v>
      </c>
      <c r="C32" s="13" t="s">
        <v>69</v>
      </c>
      <c r="D32" s="14" t="s">
        <v>70</v>
      </c>
    </row>
    <row r="33" customFormat="false" ht="43.5" hidden="false" customHeight="true" outlineLevel="0" collapsed="false">
      <c r="A33" s="12" t="s">
        <v>71</v>
      </c>
      <c r="B33" s="13" t="s">
        <v>72</v>
      </c>
      <c r="C33" s="13" t="s">
        <v>73</v>
      </c>
      <c r="D33" s="14"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9"/>
    <col collapsed="false" customWidth="true" hidden="false" outlineLevel="0" max="4" min="4" style="0" width="14"/>
    <col collapsed="false" customWidth="true" hidden="false" outlineLevel="0" max="6" min="5" style="0" width="12"/>
    <col collapsed="false" customWidth="true" hidden="false" outlineLevel="0" max="7" min="7" style="0" width="14"/>
    <col collapsed="false" customWidth="true" hidden="false" outlineLevel="0" max="8" min="8" style="0" width="15"/>
    <col collapsed="false" customWidth="true" hidden="false" outlineLevel="0" max="9" min="9" style="0" width="13"/>
    <col collapsed="false" customWidth="true" hidden="false" outlineLevel="0" max="10" min="10" style="0" width="14"/>
    <col collapsed="false" customWidth="true" hidden="false" outlineLevel="0" max="11" min="11" style="0" width="16"/>
    <col collapsed="false" customWidth="true" hidden="false" outlineLevel="0" max="12" min="12" style="0" width="13"/>
    <col collapsed="false" customWidth="true" hidden="false" outlineLevel="0" max="13" min="13" style="0" width="3"/>
    <col collapsed="false" customWidth="true" hidden="false" outlineLevel="0" max="14" min="14" style="0" width="30"/>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1" t="s">
        <v>75</v>
      </c>
      <c r="B1" s="11" t="s">
        <v>76</v>
      </c>
      <c r="C1" s="11" t="s">
        <v>77</v>
      </c>
      <c r="D1" s="11" t="s">
        <v>78</v>
      </c>
      <c r="E1" s="11" t="s">
        <v>79</v>
      </c>
      <c r="F1" s="11" t="s">
        <v>80</v>
      </c>
      <c r="G1" s="15" t="s">
        <v>81</v>
      </c>
      <c r="H1" s="15" t="s">
        <v>82</v>
      </c>
      <c r="I1" s="15" t="s">
        <v>83</v>
      </c>
      <c r="J1" s="15" t="s">
        <v>84</v>
      </c>
      <c r="K1" s="15" t="s">
        <v>85</v>
      </c>
      <c r="L1" s="15" t="s">
        <v>86</v>
      </c>
      <c r="N1" s="16" t="s">
        <v>87</v>
      </c>
      <c r="O1" s="16" t="s">
        <v>88</v>
      </c>
      <c r="P1" s="16" t="s">
        <v>89</v>
      </c>
    </row>
    <row r="2" customFormat="false" ht="15" hidden="false" customHeight="false" outlineLevel="0" collapsed="false">
      <c r="A2" s="17" t="s">
        <v>90</v>
      </c>
      <c r="B2" s="17" t="s">
        <v>91</v>
      </c>
      <c r="C2" s="17" t="s">
        <v>92</v>
      </c>
      <c r="D2" s="18" t="n">
        <v>12</v>
      </c>
      <c r="E2" s="19" t="n">
        <v>250000</v>
      </c>
      <c r="F2" s="19" t="n">
        <v>0</v>
      </c>
      <c r="G2" s="20" t="n">
        <f aca="false">VLOOKUP(C2,Acuan!$A$2:$B$5,2,FALSE())</f>
        <v>600000</v>
      </c>
      <c r="H2" s="20" t="n">
        <f aca="false">D2*$O$2</f>
        <v>180000</v>
      </c>
      <c r="I2" s="20" t="n">
        <f aca="false">G2+H2</f>
        <v>780000</v>
      </c>
      <c r="J2" s="20" t="n">
        <f aca="false">E2+F2</f>
        <v>250000</v>
      </c>
      <c r="K2" s="20" t="n">
        <f aca="false">I2-J2</f>
        <v>530000</v>
      </c>
      <c r="L2" s="21" t="str">
        <f aca="false">IF(K2=0,"Lunas",IF(E2&gt;=I2*$O$3,"Belum Lunas","DP Kurang"))</f>
        <v>Belum Lunas</v>
      </c>
      <c r="N2" s="22" t="s">
        <v>93</v>
      </c>
      <c r="O2" s="23" t="n">
        <v>15000</v>
      </c>
      <c r="P2" s="22"/>
    </row>
    <row r="3" customFormat="false" ht="15" hidden="false" customHeight="false" outlineLevel="0" collapsed="false">
      <c r="A3" s="17" t="s">
        <v>94</v>
      </c>
      <c r="B3" s="17" t="s">
        <v>95</v>
      </c>
      <c r="C3" s="17" t="s">
        <v>96</v>
      </c>
      <c r="D3" s="18" t="n">
        <v>12</v>
      </c>
      <c r="E3" s="19" t="n">
        <v>200000</v>
      </c>
      <c r="F3" s="19" t="n">
        <v>430000</v>
      </c>
      <c r="G3" s="20" t="n">
        <f aca="false">VLOOKUP(C3,Acuan!$A$2:$B$5,2,FALSE())</f>
        <v>450000</v>
      </c>
      <c r="H3" s="20" t="n">
        <f aca="false">D3*$O$2</f>
        <v>180000</v>
      </c>
      <c r="I3" s="20" t="n">
        <f aca="false">G3+H3</f>
        <v>630000</v>
      </c>
      <c r="J3" s="20" t="n">
        <f aca="false">E3+F3</f>
        <v>630000</v>
      </c>
      <c r="K3" s="20" t="n">
        <f aca="false">I3-J3</f>
        <v>0</v>
      </c>
      <c r="L3" s="21" t="str">
        <f aca="false">IF(K3=0,"Lunas",IF(E3&gt;=I3*$O$3,"Belum Lunas","DP Kurang"))</f>
        <v>Lunas</v>
      </c>
      <c r="N3" s="22" t="s">
        <v>97</v>
      </c>
      <c r="O3" s="24" t="n">
        <v>0.3</v>
      </c>
      <c r="P3" s="22" t="s">
        <v>98</v>
      </c>
    </row>
    <row r="4" customFormat="false" ht="15" hidden="false" customHeight="false" outlineLevel="0" collapsed="false">
      <c r="A4" s="17" t="s">
        <v>99</v>
      </c>
      <c r="B4" s="17" t="s">
        <v>100</v>
      </c>
      <c r="C4" s="17" t="s">
        <v>101</v>
      </c>
      <c r="D4" s="18" t="n">
        <v>4</v>
      </c>
      <c r="E4" s="19" t="n">
        <v>100000</v>
      </c>
      <c r="F4" s="19" t="n">
        <v>150000</v>
      </c>
      <c r="G4" s="20" t="n">
        <f aca="false">VLOOKUP(C4,Acuan!$A$2:$B$5,2,FALSE())</f>
        <v>350000</v>
      </c>
      <c r="H4" s="20" t="n">
        <f aca="false">D4*$O$2</f>
        <v>60000</v>
      </c>
      <c r="I4" s="20" t="n">
        <f aca="false">G4+H4</f>
        <v>410000</v>
      </c>
      <c r="J4" s="20" t="n">
        <f aca="false">E4+F4</f>
        <v>250000</v>
      </c>
      <c r="K4" s="20" t="n">
        <f aca="false">I4-J4</f>
        <v>160000</v>
      </c>
      <c r="L4" s="21" t="str">
        <f aca="false">IF(K4=0,"Lunas",IF(E4&gt;=I4*$O$3,"Belum Lunas","DP Kurang"))</f>
        <v>DP Kurang</v>
      </c>
    </row>
    <row r="5" customFormat="false" ht="15" hidden="false" customHeight="false" outlineLevel="0" collapsed="false">
      <c r="A5" s="17" t="s">
        <v>102</v>
      </c>
      <c r="B5" s="17" t="s">
        <v>103</v>
      </c>
      <c r="C5" s="17" t="s">
        <v>104</v>
      </c>
      <c r="D5" s="18" t="n">
        <v>4</v>
      </c>
      <c r="E5" s="19" t="n">
        <v>150000</v>
      </c>
      <c r="F5" s="19" t="n">
        <v>160000</v>
      </c>
      <c r="G5" s="20" t="n">
        <f aca="false">VLOOKUP(C5,Acuan!$A$2:$B$5,2,FALSE())</f>
        <v>250000</v>
      </c>
      <c r="H5" s="20" t="n">
        <f aca="false">D5*$O$2</f>
        <v>60000</v>
      </c>
      <c r="I5" s="20" t="n">
        <f aca="false">G5+H5</f>
        <v>310000</v>
      </c>
      <c r="J5" s="20" t="n">
        <f aca="false">E5+F5</f>
        <v>310000</v>
      </c>
      <c r="K5" s="20" t="n">
        <f aca="false">I5-J5</f>
        <v>0</v>
      </c>
      <c r="L5" s="21" t="str">
        <f aca="false">IF(K5=0,"Lunas",IF(E5&gt;=I5*$O$3,"Belum Lunas","DP Kurang"))</f>
        <v>Lunas</v>
      </c>
    </row>
    <row r="6" customFormat="false" ht="15" hidden="false" customHeight="false" outlineLevel="0" collapsed="false">
      <c r="A6" s="17" t="s">
        <v>105</v>
      </c>
      <c r="B6" s="17" t="s">
        <v>106</v>
      </c>
      <c r="C6" s="17" t="s">
        <v>92</v>
      </c>
      <c r="D6" s="18" t="n">
        <v>9</v>
      </c>
      <c r="E6" s="19" t="n">
        <v>450000</v>
      </c>
      <c r="F6" s="19" t="n">
        <v>100000</v>
      </c>
      <c r="G6" s="20" t="n">
        <f aca="false">VLOOKUP(C6,Acuan!$A$2:$B$5,2,FALSE())</f>
        <v>600000</v>
      </c>
      <c r="H6" s="20" t="n">
        <f aca="false">D6*$O$2</f>
        <v>135000</v>
      </c>
      <c r="I6" s="20" t="n">
        <f aca="false">G6+H6</f>
        <v>735000</v>
      </c>
      <c r="J6" s="20" t="n">
        <f aca="false">E6+F6</f>
        <v>550000</v>
      </c>
      <c r="K6" s="20" t="n">
        <f aca="false">I6-J6</f>
        <v>185000</v>
      </c>
      <c r="L6" s="21" t="str">
        <f aca="false">IF(K6=0,"Lunas",IF(E6&gt;=I6*$O$3,"Belum Lunas","DP Kurang"))</f>
        <v>Belum Lunas</v>
      </c>
    </row>
    <row r="7" customFormat="false" ht="15" hidden="false" customHeight="false" outlineLevel="0" collapsed="false">
      <c r="A7" s="17" t="s">
        <v>107</v>
      </c>
      <c r="B7" s="17" t="s">
        <v>108</v>
      </c>
      <c r="C7" s="17" t="s">
        <v>96</v>
      </c>
      <c r="D7" s="18" t="n">
        <v>9</v>
      </c>
      <c r="E7" s="19" t="n">
        <v>50000</v>
      </c>
      <c r="F7" s="19" t="n">
        <v>250000</v>
      </c>
      <c r="G7" s="20" t="n">
        <f aca="false">VLOOKUP(C7,Acuan!$A$2:$B$5,2,FALSE())</f>
        <v>450000</v>
      </c>
      <c r="H7" s="20" t="n">
        <f aca="false">D7*$O$2</f>
        <v>135000</v>
      </c>
      <c r="I7" s="20" t="n">
        <f aca="false">G7+H7</f>
        <v>585000</v>
      </c>
      <c r="J7" s="20" t="n">
        <f aca="false">E7+F7</f>
        <v>300000</v>
      </c>
      <c r="K7" s="20" t="n">
        <f aca="false">I7-J7</f>
        <v>285000</v>
      </c>
      <c r="L7" s="21" t="str">
        <f aca="false">IF(K7=0,"Lunas",IF(E7&gt;=I7*$O$3,"Belum Lunas","DP Kurang"))</f>
        <v>DP Kurang</v>
      </c>
    </row>
    <row r="8" customFormat="false" ht="15" hidden="false" customHeight="false" outlineLevel="0" collapsed="false">
      <c r="A8" s="17" t="s">
        <v>109</v>
      </c>
      <c r="B8" s="17" t="s">
        <v>110</v>
      </c>
      <c r="C8" s="17" t="s">
        <v>101</v>
      </c>
      <c r="D8" s="18" t="n">
        <v>4</v>
      </c>
      <c r="E8" s="19" t="n">
        <v>150000</v>
      </c>
      <c r="F8" s="19" t="n">
        <v>100000</v>
      </c>
      <c r="G8" s="20" t="n">
        <f aca="false">VLOOKUP(C8,Acuan!$A$2:$B$5,2,FALSE())</f>
        <v>350000</v>
      </c>
      <c r="H8" s="20" t="n">
        <f aca="false">D8*$O$2</f>
        <v>60000</v>
      </c>
      <c r="I8" s="20" t="n">
        <f aca="false">G8+H8</f>
        <v>410000</v>
      </c>
      <c r="J8" s="20" t="n">
        <f aca="false">E8+F8</f>
        <v>250000</v>
      </c>
      <c r="K8" s="20" t="n">
        <f aca="false">I8-J8</f>
        <v>160000</v>
      </c>
      <c r="L8" s="21" t="str">
        <f aca="false">IF(K8=0,"Lunas",IF(E8&gt;=I8*$O$3,"Belum Lunas","DP Kurang"))</f>
        <v>Belum Lunas</v>
      </c>
    </row>
    <row r="9" customFormat="false" ht="15" hidden="false" customHeight="false" outlineLevel="0" collapsed="false">
      <c r="A9" s="17" t="s">
        <v>111</v>
      </c>
      <c r="B9" s="17" t="s">
        <v>112</v>
      </c>
      <c r="C9" s="17" t="s">
        <v>104</v>
      </c>
      <c r="D9" s="18" t="n">
        <v>3</v>
      </c>
      <c r="E9" s="19" t="n">
        <v>100000</v>
      </c>
      <c r="F9" s="19" t="n">
        <v>0</v>
      </c>
      <c r="G9" s="20" t="n">
        <f aca="false">VLOOKUP(C9,Acuan!$A$2:$B$5,2,FALSE())</f>
        <v>250000</v>
      </c>
      <c r="H9" s="20" t="n">
        <f aca="false">D9*$O$2</f>
        <v>45000</v>
      </c>
      <c r="I9" s="20" t="n">
        <f aca="false">G9+H9</f>
        <v>295000</v>
      </c>
      <c r="J9" s="20" t="n">
        <f aca="false">E9+F9</f>
        <v>100000</v>
      </c>
      <c r="K9" s="20" t="n">
        <f aca="false">I9-J9</f>
        <v>195000</v>
      </c>
      <c r="L9" s="21" t="str">
        <f aca="false">IF(K9=0,"Lunas",IF(E9&gt;=I9*$O$3,"Belum Lunas","DP Kurang"))</f>
        <v>Belum Lunas</v>
      </c>
    </row>
    <row r="10" customFormat="false" ht="15" hidden="false" customHeight="false" outlineLevel="0" collapsed="false">
      <c r="A10" s="17" t="s">
        <v>113</v>
      </c>
      <c r="B10" s="17" t="s">
        <v>114</v>
      </c>
      <c r="C10" s="17" t="s">
        <v>92</v>
      </c>
      <c r="D10" s="18" t="n">
        <v>9</v>
      </c>
      <c r="E10" s="19" t="n">
        <v>350000</v>
      </c>
      <c r="F10" s="19" t="n">
        <v>385000</v>
      </c>
      <c r="G10" s="20" t="n">
        <f aca="false">VLOOKUP(C10,Acuan!$A$2:$B$5,2,FALSE())</f>
        <v>600000</v>
      </c>
      <c r="H10" s="20" t="n">
        <f aca="false">D10*$O$2</f>
        <v>135000</v>
      </c>
      <c r="I10" s="20" t="n">
        <f aca="false">G10+H10</f>
        <v>735000</v>
      </c>
      <c r="J10" s="20" t="n">
        <f aca="false">E10+F10</f>
        <v>735000</v>
      </c>
      <c r="K10" s="20" t="n">
        <f aca="false">I10-J10</f>
        <v>0</v>
      </c>
      <c r="L10" s="21" t="str">
        <f aca="false">IF(K10=0,"Lunas",IF(E10&gt;=I10*$O$3,"Belum Lunas","DP Kurang"))</f>
        <v>Lunas</v>
      </c>
    </row>
    <row r="11" customFormat="false" ht="15" hidden="false" customHeight="false" outlineLevel="0" collapsed="false">
      <c r="A11" s="17" t="s">
        <v>115</v>
      </c>
      <c r="B11" s="17" t="s">
        <v>116</v>
      </c>
      <c r="C11" s="17" t="s">
        <v>96</v>
      </c>
      <c r="D11" s="18" t="n">
        <v>10</v>
      </c>
      <c r="E11" s="19" t="n">
        <v>50000</v>
      </c>
      <c r="F11" s="19" t="n">
        <v>150000</v>
      </c>
      <c r="G11" s="20" t="n">
        <f aca="false">VLOOKUP(C11,Acuan!$A$2:$B$5,2,FALSE())</f>
        <v>450000</v>
      </c>
      <c r="H11" s="20" t="n">
        <f aca="false">D11*$O$2</f>
        <v>150000</v>
      </c>
      <c r="I11" s="20" t="n">
        <f aca="false">G11+H11</f>
        <v>600000</v>
      </c>
      <c r="J11" s="20" t="n">
        <f aca="false">E11+F11</f>
        <v>200000</v>
      </c>
      <c r="K11" s="20" t="n">
        <f aca="false">I11-J11</f>
        <v>400000</v>
      </c>
      <c r="L11" s="21" t="str">
        <f aca="false">IF(K11=0,"Lunas",IF(E11&gt;=I11*$O$3,"Belum Lunas","DP Kurang"))</f>
        <v>DP Kurang</v>
      </c>
    </row>
    <row r="12" customFormat="false" ht="15" hidden="false" customHeight="false" outlineLevel="0" collapsed="false">
      <c r="A12" s="17" t="s">
        <v>117</v>
      </c>
      <c r="B12" s="17" t="s">
        <v>118</v>
      </c>
      <c r="C12" s="17" t="s">
        <v>101</v>
      </c>
      <c r="D12" s="18" t="n">
        <v>6</v>
      </c>
      <c r="E12" s="19" t="n">
        <v>50000</v>
      </c>
      <c r="F12" s="19" t="n">
        <v>250000</v>
      </c>
      <c r="G12" s="20" t="n">
        <f aca="false">VLOOKUP(C12,Acuan!$A$2:$B$5,2,FALSE())</f>
        <v>350000</v>
      </c>
      <c r="H12" s="20" t="n">
        <f aca="false">D12*$O$2</f>
        <v>90000</v>
      </c>
      <c r="I12" s="20" t="n">
        <f aca="false">G12+H12</f>
        <v>440000</v>
      </c>
      <c r="J12" s="20" t="n">
        <f aca="false">E12+F12</f>
        <v>300000</v>
      </c>
      <c r="K12" s="20" t="n">
        <f aca="false">I12-J12</f>
        <v>140000</v>
      </c>
      <c r="L12" s="21" t="str">
        <f aca="false">IF(K12=0,"Lunas",IF(E12&gt;=I12*$O$3,"Belum Lunas","DP Kurang"))</f>
        <v>DP Kurang</v>
      </c>
    </row>
    <row r="13" customFormat="false" ht="15" hidden="false" customHeight="false" outlineLevel="0" collapsed="false">
      <c r="A13" s="17" t="s">
        <v>119</v>
      </c>
      <c r="B13" s="17" t="s">
        <v>120</v>
      </c>
      <c r="C13" s="17" t="s">
        <v>104</v>
      </c>
      <c r="D13" s="18" t="n">
        <v>3</v>
      </c>
      <c r="E13" s="19" t="n">
        <v>50000</v>
      </c>
      <c r="F13" s="19" t="n">
        <v>245000</v>
      </c>
      <c r="G13" s="20" t="n">
        <f aca="false">VLOOKUP(C13,Acuan!$A$2:$B$5,2,FALSE())</f>
        <v>250000</v>
      </c>
      <c r="H13" s="20" t="n">
        <f aca="false">D13*$O$2</f>
        <v>45000</v>
      </c>
      <c r="I13" s="20" t="n">
        <f aca="false">G13+H13</f>
        <v>295000</v>
      </c>
      <c r="J13" s="20" t="n">
        <f aca="false">E13+F13</f>
        <v>295000</v>
      </c>
      <c r="K13" s="20" t="n">
        <f aca="false">I13-J13</f>
        <v>0</v>
      </c>
      <c r="L13" s="21" t="str">
        <f aca="false">IF(K13=0,"Lunas",IF(E13&gt;=I13*$O$3,"Belum Lunas","DP Kurang"))</f>
        <v>Lunas</v>
      </c>
    </row>
    <row r="14" customFormat="false" ht="15" hidden="false" customHeight="false" outlineLevel="0" collapsed="false">
      <c r="A14" s="17" t="s">
        <v>121</v>
      </c>
      <c r="B14" s="17" t="s">
        <v>122</v>
      </c>
      <c r="C14" s="17" t="s">
        <v>92</v>
      </c>
      <c r="D14" s="18" t="n">
        <v>9</v>
      </c>
      <c r="E14" s="19" t="n">
        <v>50000</v>
      </c>
      <c r="F14" s="19" t="n">
        <v>200000</v>
      </c>
      <c r="G14" s="20" t="n">
        <f aca="false">VLOOKUP(C14,Acuan!$A$2:$B$5,2,FALSE())</f>
        <v>600000</v>
      </c>
      <c r="H14" s="20" t="n">
        <f aca="false">D14*$O$2</f>
        <v>135000</v>
      </c>
      <c r="I14" s="20" t="n">
        <f aca="false">G14+H14</f>
        <v>735000</v>
      </c>
      <c r="J14" s="20" t="n">
        <f aca="false">E14+F14</f>
        <v>250000</v>
      </c>
      <c r="K14" s="20" t="n">
        <f aca="false">I14-J14</f>
        <v>485000</v>
      </c>
      <c r="L14" s="21" t="str">
        <f aca="false">IF(K14=0,"Lunas",IF(E14&gt;=I14*$O$3,"Belum Lunas","DP Kurang"))</f>
        <v>DP Kurang</v>
      </c>
    </row>
    <row r="15" customFormat="false" ht="15" hidden="false" customHeight="false" outlineLevel="0" collapsed="false">
      <c r="A15" s="17" t="s">
        <v>123</v>
      </c>
      <c r="B15" s="17" t="s">
        <v>124</v>
      </c>
      <c r="C15" s="17" t="s">
        <v>96</v>
      </c>
      <c r="D15" s="18" t="n">
        <v>10</v>
      </c>
      <c r="E15" s="19" t="n">
        <v>350000</v>
      </c>
      <c r="F15" s="19" t="n">
        <v>0</v>
      </c>
      <c r="G15" s="20" t="n">
        <f aca="false">VLOOKUP(C15,Acuan!$A$2:$B$5,2,FALSE())</f>
        <v>450000</v>
      </c>
      <c r="H15" s="20" t="n">
        <f aca="false">D15*$O$2</f>
        <v>150000</v>
      </c>
      <c r="I15" s="20" t="n">
        <f aca="false">G15+H15</f>
        <v>600000</v>
      </c>
      <c r="J15" s="20" t="n">
        <f aca="false">E15+F15</f>
        <v>350000</v>
      </c>
      <c r="K15" s="20" t="n">
        <f aca="false">I15-J15</f>
        <v>250000</v>
      </c>
      <c r="L15" s="21" t="str">
        <f aca="false">IF(K15=0,"Lunas",IF(E15&gt;=I15*$O$3,"Belum Lunas","DP Kurang"))</f>
        <v>Belum Lunas</v>
      </c>
    </row>
    <row r="16" customFormat="false" ht="15" hidden="false" customHeight="false" outlineLevel="0" collapsed="false">
      <c r="A16" s="17" t="s">
        <v>125</v>
      </c>
      <c r="B16" s="17" t="s">
        <v>126</v>
      </c>
      <c r="C16" s="17" t="s">
        <v>101</v>
      </c>
      <c r="D16" s="18" t="n">
        <v>5</v>
      </c>
      <c r="E16" s="19" t="n">
        <v>50000</v>
      </c>
      <c r="F16" s="19" t="n">
        <v>375000</v>
      </c>
      <c r="G16" s="20" t="n">
        <f aca="false">VLOOKUP(C16,Acuan!$A$2:$B$5,2,FALSE())</f>
        <v>350000</v>
      </c>
      <c r="H16" s="20" t="n">
        <f aca="false">D16*$O$2</f>
        <v>75000</v>
      </c>
      <c r="I16" s="20" t="n">
        <f aca="false">G16+H16</f>
        <v>425000</v>
      </c>
      <c r="J16" s="20" t="n">
        <f aca="false">E16+F16</f>
        <v>425000</v>
      </c>
      <c r="K16" s="20" t="n">
        <f aca="false">I16-J16</f>
        <v>0</v>
      </c>
      <c r="L16" s="21" t="str">
        <f aca="false">IF(K16=0,"Lunas",IF(E16&gt;=I16*$O$3,"Belum Lunas","DP Kurang"))</f>
        <v>Lunas</v>
      </c>
    </row>
    <row r="17" customFormat="false" ht="15" hidden="false" customHeight="false" outlineLevel="0" collapsed="false">
      <c r="A17" s="17" t="s">
        <v>127</v>
      </c>
      <c r="B17" s="17" t="s">
        <v>128</v>
      </c>
      <c r="C17" s="17" t="s">
        <v>104</v>
      </c>
      <c r="D17" s="18" t="n">
        <v>4</v>
      </c>
      <c r="E17" s="19" t="n">
        <v>100000</v>
      </c>
      <c r="F17" s="19" t="n">
        <v>100000</v>
      </c>
      <c r="G17" s="20" t="n">
        <f aca="false">VLOOKUP(C17,Acuan!$A$2:$B$5,2,FALSE())</f>
        <v>250000</v>
      </c>
      <c r="H17" s="20" t="n">
        <f aca="false">D17*$O$2</f>
        <v>60000</v>
      </c>
      <c r="I17" s="20" t="n">
        <f aca="false">G17+H17</f>
        <v>310000</v>
      </c>
      <c r="J17" s="20" t="n">
        <f aca="false">E17+F17</f>
        <v>200000</v>
      </c>
      <c r="K17" s="20" t="n">
        <f aca="false">I17-J17</f>
        <v>110000</v>
      </c>
      <c r="L17" s="21" t="str">
        <f aca="false">IF(K17=0,"Lunas",IF(E17&gt;=I17*$O$3,"Belum Lunas","DP Kurang"))</f>
        <v>Belum Lunas</v>
      </c>
    </row>
    <row r="18" customFormat="false" ht="15" hidden="false" customHeight="false" outlineLevel="0" collapsed="false">
      <c r="A18" s="17" t="s">
        <v>129</v>
      </c>
      <c r="B18" s="17" t="s">
        <v>130</v>
      </c>
      <c r="C18" s="17" t="s">
        <v>92</v>
      </c>
      <c r="D18" s="18" t="n">
        <v>8</v>
      </c>
      <c r="E18" s="19" t="n">
        <v>200000</v>
      </c>
      <c r="F18" s="19" t="n">
        <v>0</v>
      </c>
      <c r="G18" s="20" t="n">
        <f aca="false">VLOOKUP(C18,Acuan!$A$2:$B$5,2,FALSE())</f>
        <v>600000</v>
      </c>
      <c r="H18" s="20" t="n">
        <f aca="false">D18*$O$2</f>
        <v>120000</v>
      </c>
      <c r="I18" s="20" t="n">
        <f aca="false">G18+H18</f>
        <v>720000</v>
      </c>
      <c r="J18" s="20" t="n">
        <f aca="false">E18+F18</f>
        <v>200000</v>
      </c>
      <c r="K18" s="20" t="n">
        <f aca="false">I18-J18</f>
        <v>520000</v>
      </c>
      <c r="L18" s="21" t="str">
        <f aca="false">IF(K18=0,"Lunas",IF(E18&gt;=I18*$O$3,"Belum Lunas","DP Kurang"))</f>
        <v>DP Kurang</v>
      </c>
    </row>
    <row r="19" customFormat="false" ht="15" hidden="false" customHeight="false" outlineLevel="0" collapsed="false">
      <c r="A19" s="17" t="s">
        <v>131</v>
      </c>
      <c r="B19" s="17" t="s">
        <v>132</v>
      </c>
      <c r="C19" s="17" t="s">
        <v>96</v>
      </c>
      <c r="D19" s="18" t="n">
        <v>9</v>
      </c>
      <c r="E19" s="19" t="n">
        <v>200000</v>
      </c>
      <c r="F19" s="19" t="n">
        <v>0</v>
      </c>
      <c r="G19" s="20" t="n">
        <f aca="false">VLOOKUP(C19,Acuan!$A$2:$B$5,2,FALSE())</f>
        <v>450000</v>
      </c>
      <c r="H19" s="20" t="n">
        <f aca="false">D19*$O$2</f>
        <v>135000</v>
      </c>
      <c r="I19" s="20" t="n">
        <f aca="false">G19+H19</f>
        <v>585000</v>
      </c>
      <c r="J19" s="20" t="n">
        <f aca="false">E19+F19</f>
        <v>200000</v>
      </c>
      <c r="K19" s="20" t="n">
        <f aca="false">I19-J19</f>
        <v>385000</v>
      </c>
      <c r="L19" s="21" t="str">
        <f aca="false">IF(K19=0,"Lunas",IF(E19&gt;=I19*$O$3,"Belum Lunas","DP Kurang"))</f>
        <v>Belum Lunas</v>
      </c>
    </row>
    <row r="20" customFormat="false" ht="15" hidden="false" customHeight="false" outlineLevel="0" collapsed="false">
      <c r="A20" s="17" t="s">
        <v>133</v>
      </c>
      <c r="B20" s="17" t="s">
        <v>134</v>
      </c>
      <c r="C20" s="17" t="s">
        <v>101</v>
      </c>
      <c r="D20" s="18" t="n">
        <v>6</v>
      </c>
      <c r="E20" s="19" t="n">
        <v>200000</v>
      </c>
      <c r="F20" s="19" t="n">
        <v>240000</v>
      </c>
      <c r="G20" s="20" t="n">
        <f aca="false">VLOOKUP(C20,Acuan!$A$2:$B$5,2,FALSE())</f>
        <v>350000</v>
      </c>
      <c r="H20" s="20" t="n">
        <f aca="false">D20*$O$2</f>
        <v>90000</v>
      </c>
      <c r="I20" s="20" t="n">
        <f aca="false">G20+H20</f>
        <v>440000</v>
      </c>
      <c r="J20" s="20" t="n">
        <f aca="false">E20+F20</f>
        <v>440000</v>
      </c>
      <c r="K20" s="20" t="n">
        <f aca="false">I20-J20</f>
        <v>0</v>
      </c>
      <c r="L20" s="21" t="str">
        <f aca="false">IF(K20=0,"Lunas",IF(E20&gt;=I20*$O$3,"Belum Lunas","DP Kurang"))</f>
        <v>Lunas</v>
      </c>
    </row>
    <row r="21" customFormat="false" ht="15" hidden="false" customHeight="false" outlineLevel="0" collapsed="false">
      <c r="A21" s="17" t="s">
        <v>135</v>
      </c>
      <c r="B21" s="17" t="s">
        <v>136</v>
      </c>
      <c r="C21" s="17" t="s">
        <v>104</v>
      </c>
      <c r="D21" s="18" t="n">
        <v>2</v>
      </c>
      <c r="E21" s="19" t="n">
        <v>150000</v>
      </c>
      <c r="F21" s="19" t="n">
        <v>0</v>
      </c>
      <c r="G21" s="20" t="n">
        <f aca="false">VLOOKUP(C21,Acuan!$A$2:$B$5,2,FALSE())</f>
        <v>250000</v>
      </c>
      <c r="H21" s="20" t="n">
        <f aca="false">D21*$O$2</f>
        <v>30000</v>
      </c>
      <c r="I21" s="20" t="n">
        <f aca="false">G21+H21</f>
        <v>280000</v>
      </c>
      <c r="J21" s="20" t="n">
        <f aca="false">E21+F21</f>
        <v>150000</v>
      </c>
      <c r="K21" s="20" t="n">
        <f aca="false">I21-J21</f>
        <v>130000</v>
      </c>
      <c r="L21" s="21" t="str">
        <f aca="false">IF(K21=0,"Lunas",IF(E21&gt;=I21*$O$3,"Belum Lunas","DP Kurang"))</f>
        <v>Belum Lunas</v>
      </c>
    </row>
    <row r="22" customFormat="false" ht="15" hidden="false" customHeight="false" outlineLevel="0" collapsed="false">
      <c r="A22" s="17" t="s">
        <v>137</v>
      </c>
      <c r="B22" s="17" t="s">
        <v>138</v>
      </c>
      <c r="C22" s="17" t="s">
        <v>92</v>
      </c>
      <c r="D22" s="18" t="n">
        <v>9</v>
      </c>
      <c r="E22" s="19" t="n">
        <v>300000</v>
      </c>
      <c r="F22" s="19" t="n">
        <v>435000</v>
      </c>
      <c r="G22" s="20" t="n">
        <f aca="false">VLOOKUP(C22,Acuan!$A$2:$B$5,2,FALSE())</f>
        <v>600000</v>
      </c>
      <c r="H22" s="20" t="n">
        <f aca="false">D22*$O$2</f>
        <v>135000</v>
      </c>
      <c r="I22" s="20" t="n">
        <f aca="false">G22+H22</f>
        <v>735000</v>
      </c>
      <c r="J22" s="20" t="n">
        <f aca="false">E22+F22</f>
        <v>735000</v>
      </c>
      <c r="K22" s="20" t="n">
        <f aca="false">I22-J22</f>
        <v>0</v>
      </c>
      <c r="L22" s="21" t="str">
        <f aca="false">IF(K22=0,"Lunas",IF(E22&gt;=I22*$O$3,"Belum Lunas","DP Kurang"))</f>
        <v>Lunas</v>
      </c>
    </row>
    <row r="23" customFormat="false" ht="15" hidden="false" customHeight="false" outlineLevel="0" collapsed="false">
      <c r="A23" s="17" t="s">
        <v>139</v>
      </c>
      <c r="B23" s="17" t="s">
        <v>140</v>
      </c>
      <c r="C23" s="17" t="s">
        <v>96</v>
      </c>
      <c r="D23" s="18" t="n">
        <v>10</v>
      </c>
      <c r="E23" s="19" t="n">
        <v>150000</v>
      </c>
      <c r="F23" s="19" t="n">
        <v>300000</v>
      </c>
      <c r="G23" s="20" t="n">
        <f aca="false">VLOOKUP(C23,Acuan!$A$2:$B$5,2,FALSE())</f>
        <v>450000</v>
      </c>
      <c r="H23" s="20" t="n">
        <f aca="false">D23*$O$2</f>
        <v>150000</v>
      </c>
      <c r="I23" s="20" t="n">
        <f aca="false">G23+H23</f>
        <v>600000</v>
      </c>
      <c r="J23" s="20" t="n">
        <f aca="false">E23+F23</f>
        <v>450000</v>
      </c>
      <c r="K23" s="20" t="n">
        <f aca="false">I23-J23</f>
        <v>150000</v>
      </c>
      <c r="L23" s="21" t="str">
        <f aca="false">IF(K23=0,"Lunas",IF(E23&gt;=I23*$O$3,"Belum Lunas","DP Kurang"))</f>
        <v>DP Kurang</v>
      </c>
    </row>
    <row r="24" customFormat="false" ht="15" hidden="false" customHeight="false" outlineLevel="0" collapsed="false">
      <c r="A24" s="17" t="s">
        <v>141</v>
      </c>
      <c r="B24" s="17" t="s">
        <v>142</v>
      </c>
      <c r="C24" s="17" t="s">
        <v>101</v>
      </c>
      <c r="D24" s="18" t="n">
        <v>6</v>
      </c>
      <c r="E24" s="19" t="n">
        <v>200000</v>
      </c>
      <c r="F24" s="19" t="n">
        <v>240000</v>
      </c>
      <c r="G24" s="20" t="n">
        <f aca="false">VLOOKUP(C24,Acuan!$A$2:$B$5,2,FALSE())</f>
        <v>350000</v>
      </c>
      <c r="H24" s="20" t="n">
        <f aca="false">D24*$O$2</f>
        <v>90000</v>
      </c>
      <c r="I24" s="20" t="n">
        <f aca="false">G24+H24</f>
        <v>440000</v>
      </c>
      <c r="J24" s="20" t="n">
        <f aca="false">E24+F24</f>
        <v>440000</v>
      </c>
      <c r="K24" s="20" t="n">
        <f aca="false">I24-J24</f>
        <v>0</v>
      </c>
      <c r="L24" s="21" t="str">
        <f aca="false">IF(K24=0,"Lunas",IF(E24&gt;=I24*$O$3,"Belum Lunas","DP Kurang"))</f>
        <v>Lunas</v>
      </c>
    </row>
    <row r="25" customFormat="false" ht="15" hidden="false" customHeight="false" outlineLevel="0" collapsed="false">
      <c r="A25" s="17" t="s">
        <v>143</v>
      </c>
      <c r="B25" s="17" t="s">
        <v>144</v>
      </c>
      <c r="C25" s="17" t="s">
        <v>104</v>
      </c>
      <c r="D25" s="18" t="n">
        <v>2</v>
      </c>
      <c r="E25" s="19" t="n">
        <v>50000</v>
      </c>
      <c r="F25" s="19" t="n">
        <v>50000</v>
      </c>
      <c r="G25" s="20" t="n">
        <f aca="false">VLOOKUP(C25,Acuan!$A$2:$B$5,2,FALSE())</f>
        <v>250000</v>
      </c>
      <c r="H25" s="20" t="n">
        <f aca="false">D25*$O$2</f>
        <v>30000</v>
      </c>
      <c r="I25" s="20" t="n">
        <f aca="false">G25+H25</f>
        <v>280000</v>
      </c>
      <c r="J25" s="20" t="n">
        <f aca="false">E25+F25</f>
        <v>100000</v>
      </c>
      <c r="K25" s="20" t="n">
        <f aca="false">I25-J25</f>
        <v>180000</v>
      </c>
      <c r="L25" s="21" t="str">
        <f aca="false">IF(K25=0,"Lunas",IF(E25&gt;=I25*$O$3,"Belum Lunas","DP Kurang"))</f>
        <v>DP Kurang</v>
      </c>
    </row>
    <row r="26" customFormat="false" ht="15" hidden="false" customHeight="false" outlineLevel="0" collapsed="false">
      <c r="A26" s="17" t="s">
        <v>145</v>
      </c>
      <c r="B26" s="17" t="s">
        <v>146</v>
      </c>
      <c r="C26" s="17" t="s">
        <v>92</v>
      </c>
      <c r="D26" s="18" t="n">
        <v>9</v>
      </c>
      <c r="E26" s="19" t="n">
        <v>250000</v>
      </c>
      <c r="F26" s="19" t="n">
        <v>0</v>
      </c>
      <c r="G26" s="20" t="n">
        <f aca="false">VLOOKUP(C26,Acuan!$A$2:$B$5,2,FALSE())</f>
        <v>600000</v>
      </c>
      <c r="H26" s="20" t="n">
        <f aca="false">D26*$O$2</f>
        <v>135000</v>
      </c>
      <c r="I26" s="20" t="n">
        <f aca="false">G26+H26</f>
        <v>735000</v>
      </c>
      <c r="J26" s="20" t="n">
        <f aca="false">E26+F26</f>
        <v>250000</v>
      </c>
      <c r="K26" s="20" t="n">
        <f aca="false">I26-J26</f>
        <v>485000</v>
      </c>
      <c r="L26" s="21" t="str">
        <f aca="false">IF(K26=0,"Lunas",IF(E26&gt;=I26*$O$3,"Belum Lunas","DP Kurang"))</f>
        <v>Belum Lunas</v>
      </c>
    </row>
    <row r="27" customFormat="false" ht="15" hidden="false" customHeight="false" outlineLevel="0" collapsed="false">
      <c r="A27" s="17" t="s">
        <v>147</v>
      </c>
      <c r="B27" s="17" t="s">
        <v>148</v>
      </c>
      <c r="C27" s="17" t="s">
        <v>96</v>
      </c>
      <c r="D27" s="18" t="n">
        <v>10</v>
      </c>
      <c r="E27" s="19" t="n">
        <v>350000</v>
      </c>
      <c r="F27" s="19" t="n">
        <v>250000</v>
      </c>
      <c r="G27" s="20" t="n">
        <f aca="false">VLOOKUP(C27,Acuan!$A$2:$B$5,2,FALSE())</f>
        <v>450000</v>
      </c>
      <c r="H27" s="20" t="n">
        <f aca="false">D27*$O$2</f>
        <v>150000</v>
      </c>
      <c r="I27" s="20" t="n">
        <f aca="false">G27+H27</f>
        <v>600000</v>
      </c>
      <c r="J27" s="20" t="n">
        <f aca="false">E27+F27</f>
        <v>600000</v>
      </c>
      <c r="K27" s="20" t="n">
        <f aca="false">I27-J27</f>
        <v>0</v>
      </c>
      <c r="L27" s="21" t="str">
        <f aca="false">IF(K27=0,"Lunas",IF(E27&gt;=I27*$O$3,"Belum Lunas","DP Kurang"))</f>
        <v>Lunas</v>
      </c>
    </row>
    <row r="28" customFormat="false" ht="15" hidden="false" customHeight="false" outlineLevel="0" collapsed="false">
      <c r="A28" s="17" t="s">
        <v>149</v>
      </c>
      <c r="B28" s="17" t="s">
        <v>150</v>
      </c>
      <c r="C28" s="17" t="s">
        <v>101</v>
      </c>
      <c r="D28" s="18" t="n">
        <v>6</v>
      </c>
      <c r="E28" s="19" t="n">
        <v>100000</v>
      </c>
      <c r="F28" s="19" t="n">
        <v>250000</v>
      </c>
      <c r="G28" s="20" t="n">
        <f aca="false">VLOOKUP(C28,Acuan!$A$2:$B$5,2,FALSE())</f>
        <v>350000</v>
      </c>
      <c r="H28" s="20" t="n">
        <f aca="false">D28*$O$2</f>
        <v>90000</v>
      </c>
      <c r="I28" s="20" t="n">
        <f aca="false">G28+H28</f>
        <v>440000</v>
      </c>
      <c r="J28" s="20" t="n">
        <f aca="false">E28+F28</f>
        <v>350000</v>
      </c>
      <c r="K28" s="20" t="n">
        <f aca="false">I28-J28</f>
        <v>90000</v>
      </c>
      <c r="L28" s="21" t="str">
        <f aca="false">IF(K28=0,"Lunas",IF(E28&gt;=I28*$O$3,"Belum Lunas","DP Kurang"))</f>
        <v>DP Kurang</v>
      </c>
    </row>
    <row r="29" customFormat="false" ht="15" hidden="false" customHeight="false" outlineLevel="0" collapsed="false">
      <c r="A29" s="17" t="s">
        <v>151</v>
      </c>
      <c r="B29" s="17" t="s">
        <v>152</v>
      </c>
      <c r="C29" s="17" t="s">
        <v>104</v>
      </c>
      <c r="D29" s="18" t="n">
        <v>3</v>
      </c>
      <c r="E29" s="19" t="n">
        <v>50000</v>
      </c>
      <c r="F29" s="19" t="n">
        <v>150000</v>
      </c>
      <c r="G29" s="20" t="n">
        <f aca="false">VLOOKUP(C29,Acuan!$A$2:$B$5,2,FALSE())</f>
        <v>250000</v>
      </c>
      <c r="H29" s="20" t="n">
        <f aca="false">D29*$O$2</f>
        <v>45000</v>
      </c>
      <c r="I29" s="20" t="n">
        <f aca="false">G29+H29</f>
        <v>295000</v>
      </c>
      <c r="J29" s="20" t="n">
        <f aca="false">E29+F29</f>
        <v>200000</v>
      </c>
      <c r="K29" s="20" t="n">
        <f aca="false">I29-J29</f>
        <v>95000</v>
      </c>
      <c r="L29" s="21" t="str">
        <f aca="false">IF(K29=0,"Lunas",IF(E29&gt;=I29*$O$3,"Belum Lunas","DP Kurang"))</f>
        <v>DP Kurang</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9"/>
    <col collapsed="false" customWidth="true" hidden="false" outlineLevel="0" max="2" min="2" style="0" width="18"/>
    <col collapsed="false" customWidth="true" hidden="false" outlineLevel="0" max="3" min="3" style="0" width="12"/>
    <col collapsed="false" customWidth="true" hidden="false" outlineLevel="0" max="4" min="4" style="0" width="21"/>
    <col collapsed="false" customWidth="true" hidden="false" outlineLevel="0" max="5" min="5" style="0" width="18"/>
  </cols>
  <sheetData>
    <row r="1" customFormat="false" ht="33.75" hidden="false" customHeight="true" outlineLevel="0" collapsed="false">
      <c r="A1" s="11" t="s">
        <v>77</v>
      </c>
      <c r="B1" s="11" t="s">
        <v>153</v>
      </c>
      <c r="C1" s="15" t="s">
        <v>154</v>
      </c>
      <c r="D1" s="15" t="s">
        <v>155</v>
      </c>
      <c r="E1" s="15" t="s">
        <v>156</v>
      </c>
    </row>
    <row r="2" customFormat="false" ht="15" hidden="false" customHeight="false" outlineLevel="0" collapsed="false">
      <c r="A2" s="17" t="s">
        <v>92</v>
      </c>
      <c r="B2" s="19" t="n">
        <v>600000</v>
      </c>
      <c r="C2" s="25" t="n">
        <f aca="false">COUNTIF(Data!$C$2:$C$29,A2)</f>
        <v>7</v>
      </c>
      <c r="D2" s="20" t="n">
        <f aca="false">SUMIF(Data!$C$2:$C$29,A2,Data!$J$2:$J$29)</f>
        <v>2970000</v>
      </c>
      <c r="E2" s="20" t="n">
        <f aca="false">SUMIF(Data!$C$2:$C$29,A2,Data!$K$2:$K$29)</f>
        <v>2205000</v>
      </c>
    </row>
    <row r="3" customFormat="false" ht="15" hidden="false" customHeight="false" outlineLevel="0" collapsed="false">
      <c r="A3" s="17" t="s">
        <v>96</v>
      </c>
      <c r="B3" s="19" t="n">
        <v>450000</v>
      </c>
      <c r="C3" s="25" t="n">
        <f aca="false">COUNTIF(Data!$C$2:$C$29,A3)</f>
        <v>7</v>
      </c>
      <c r="D3" s="20" t="n">
        <f aca="false">SUMIF(Data!$C$2:$C$29,A3,Data!$J$2:$J$29)</f>
        <v>2730000</v>
      </c>
      <c r="E3" s="20" t="n">
        <f aca="false">SUMIF(Data!$C$2:$C$29,A3,Data!$K$2:$K$29)</f>
        <v>1470000</v>
      </c>
    </row>
    <row r="4" customFormat="false" ht="15" hidden="false" customHeight="false" outlineLevel="0" collapsed="false">
      <c r="A4" s="17" t="s">
        <v>101</v>
      </c>
      <c r="B4" s="19" t="n">
        <v>350000</v>
      </c>
      <c r="C4" s="25" t="n">
        <f aca="false">COUNTIF(Data!$C$2:$C$29,A4)</f>
        <v>7</v>
      </c>
      <c r="D4" s="20" t="n">
        <f aca="false">SUMIF(Data!$C$2:$C$29,A4,Data!$J$2:$J$29)</f>
        <v>2455000</v>
      </c>
      <c r="E4" s="20" t="n">
        <f aca="false">SUMIF(Data!$C$2:$C$29,A4,Data!$K$2:$K$29)</f>
        <v>550000</v>
      </c>
    </row>
    <row r="5" customFormat="false" ht="15" hidden="false" customHeight="false" outlineLevel="0" collapsed="false">
      <c r="A5" s="17" t="s">
        <v>104</v>
      </c>
      <c r="B5" s="19" t="n">
        <v>250000</v>
      </c>
      <c r="C5" s="25" t="n">
        <f aca="false">COUNTIF(Data!$C$2:$C$29,A5)</f>
        <v>7</v>
      </c>
      <c r="D5" s="20" t="n">
        <f aca="false">SUMIF(Data!$C$2:$C$29,A5,Data!$J$2:$J$29)</f>
        <v>1355000</v>
      </c>
      <c r="E5" s="20" t="n">
        <f aca="false">SUMIF(Data!$C$2:$C$29,A5,Data!$K$2:$K$29)</f>
        <v>710000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157</v>
      </c>
      <c r="B1" s="26"/>
      <c r="C1" s="26"/>
      <c r="D1" s="26"/>
    </row>
    <row r="2" customFormat="false" ht="15" hidden="false" customHeight="false" outlineLevel="0" collapsed="false">
      <c r="A2" s="27" t="s">
        <v>158</v>
      </c>
      <c r="B2" s="27"/>
      <c r="C2" s="27"/>
      <c r="D2" s="27"/>
    </row>
    <row r="3" customFormat="false" ht="15" hidden="false" customHeight="false" outlineLevel="0" collapsed="false">
      <c r="A3" s="11" t="s">
        <v>19</v>
      </c>
      <c r="B3" s="11" t="s">
        <v>159</v>
      </c>
      <c r="C3" s="11" t="s">
        <v>160</v>
      </c>
      <c r="D3" s="11" t="s">
        <v>161</v>
      </c>
    </row>
    <row r="4" customFormat="false" ht="15" hidden="false" customHeight="false" outlineLevel="0" collapsed="false">
      <c r="A4" s="28" t="s">
        <v>162</v>
      </c>
      <c r="B4" s="29" t="s">
        <v>163</v>
      </c>
      <c r="C4" s="20" t="n">
        <f aca="false">SUM(Data!$I$2:$I$29)</f>
        <v>14445000</v>
      </c>
      <c r="D4" s="30" t="s">
        <v>164</v>
      </c>
    </row>
    <row r="5" customFormat="false" ht="15" hidden="false" customHeight="false" outlineLevel="0" collapsed="false">
      <c r="A5" s="28" t="s">
        <v>165</v>
      </c>
      <c r="B5" s="29" t="s">
        <v>166</v>
      </c>
      <c r="C5" s="20" t="n">
        <f aca="false">SUM(Data!$J$2:$J$29)</f>
        <v>9510000</v>
      </c>
      <c r="D5" s="30" t="s">
        <v>167</v>
      </c>
    </row>
    <row r="6" customFormat="false" ht="15" hidden="false" customHeight="false" outlineLevel="0" collapsed="false">
      <c r="A6" s="28" t="s">
        <v>168</v>
      </c>
      <c r="B6" s="29" t="s">
        <v>169</v>
      </c>
      <c r="C6" s="20" t="n">
        <f aca="false">SUM(Data!$K$2:$K$29)</f>
        <v>4935000</v>
      </c>
      <c r="D6" s="30" t="s">
        <v>170</v>
      </c>
    </row>
    <row r="7" customFormat="false" ht="15" hidden="false" customHeight="false" outlineLevel="0" collapsed="false">
      <c r="A7" s="28" t="s">
        <v>171</v>
      </c>
      <c r="B7" s="29" t="s">
        <v>172</v>
      </c>
      <c r="C7" s="25" t="n">
        <f aca="false">COUNTIF(Data!$L$2:$L$29,"Lunas")</f>
        <v>9</v>
      </c>
      <c r="D7" s="30" t="s">
        <v>173</v>
      </c>
    </row>
    <row r="8" customFormat="false" ht="15" hidden="false" customHeight="false" outlineLevel="0" collapsed="false">
      <c r="A8" s="28" t="s">
        <v>174</v>
      </c>
      <c r="B8" s="29" t="s">
        <v>175</v>
      </c>
      <c r="C8" s="25" t="n">
        <f aca="false">COUNTIF(Data!$L$2:$L$29,"Belum Lunas")</f>
        <v>9</v>
      </c>
      <c r="D8" s="30" t="s">
        <v>176</v>
      </c>
    </row>
    <row r="9" customFormat="false" ht="15" hidden="false" customHeight="false" outlineLevel="0" collapsed="false">
      <c r="A9" s="28" t="s">
        <v>177</v>
      </c>
      <c r="B9" s="29" t="s">
        <v>178</v>
      </c>
      <c r="C9" s="25" t="n">
        <f aca="false">COUNTIF(Data!$L$2:$L$29,"DP Kurang")</f>
        <v>10</v>
      </c>
      <c r="D9" s="30" t="s">
        <v>179</v>
      </c>
    </row>
    <row r="10" customFormat="false" ht="15" hidden="false" customHeight="false" outlineLevel="0" collapsed="false">
      <c r="A10" s="28" t="s">
        <v>180</v>
      </c>
      <c r="B10" s="29" t="s">
        <v>181</v>
      </c>
      <c r="C10" s="21" t="str">
        <f aca="false">INDEX(Data!$B$2:$B$29,MATCH(MAX(Data!$K$2:$K$29),Data!$K$2:$K$29,0))</f>
        <v>Harimau Putih</v>
      </c>
      <c r="D10" s="30" t="s">
        <v>182</v>
      </c>
    </row>
    <row r="11" customFormat="false" ht="15" hidden="false" customHeight="false" outlineLevel="0" collapsed="false">
      <c r="A11" s="28" t="s">
        <v>183</v>
      </c>
      <c r="B11" s="29" t="s">
        <v>184</v>
      </c>
      <c r="C11" s="21" t="str">
        <f aca="false">INDEX(Acuan!$A$2:$A$5,MATCH(MAX(Acuan!$E$2:$E$5),Acuan!$E$2:$E$5,0))</f>
        <v>Futsal</v>
      </c>
      <c r="D11" s="30" t="s">
        <v>185</v>
      </c>
    </row>
    <row r="12" customFormat="false" ht="15" hidden="false" customHeight="false" outlineLevel="0" collapsed="false">
      <c r="A12" s="28" t="s">
        <v>186</v>
      </c>
      <c r="B12" s="29" t="s">
        <v>187</v>
      </c>
      <c r="C12" s="25" t="n">
        <f aca="false">COUNTIFS(Data!$C$2:$C$29,"Futsal",Data!$L$2:$L$29,"Lunas")</f>
        <v>2</v>
      </c>
      <c r="D12" s="30" t="s">
        <v>188</v>
      </c>
    </row>
    <row r="13" customFormat="false" ht="15" hidden="false" customHeight="false" outlineLevel="0" collapsed="false">
      <c r="A13" s="28" t="s">
        <v>189</v>
      </c>
      <c r="B13" s="29" t="s">
        <v>190</v>
      </c>
      <c r="C13" s="31" t="n">
        <f aca="false">AVERAGEIF(Data!$C$2:$C$29,"Bola Voli",Data!$D$2:$D$29)</f>
        <v>10</v>
      </c>
      <c r="D13" s="30" t="s">
        <v>191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2026-10-16T23:46:34Z</dcterms:created>
  <dc:creator>PushExcel</dc:creator>
  <dc:description/>
  <dc:language>en-US</dc:language>
  <cp:lastModifiedBy/>
  <dcterms:modified xsi:type="dcterms:W3CDTF">2026-10-16T23:46:34Z</dcterms:modified>
  <cp:revision>0</cp:revision>
  <dc:subject/>
  <dc:title>Pendaftaran Tim Turnamen Olahraga: DP dan Pelunasan - Kunci</dc:title>
</cp:coreProperties>
</file>

<file path=docProps/custom.xml><?xml version="1.0" encoding="utf-8"?>
<Properties xmlns="http://schemas.openxmlformats.org/officeDocument/2006/custom-properties" xmlns:vt="http://schemas.openxmlformats.org/officeDocument/2006/docPropsVTypes"/>
</file>