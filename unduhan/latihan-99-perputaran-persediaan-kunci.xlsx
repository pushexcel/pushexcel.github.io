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<sst xmlns="http://schemas.openxmlformats.org/spreadsheetml/2006/main" count="255" uniqueCount="218">
  <si>
    <t xml:space="preserve">Kunci Jawaban: Perputaran dan Hari Persediaan Barang</t>
  </si>
  <si>
    <t xml:space="preserve">Latihan 99 dari 40  |  Tingkat: Lanjutan  |  Perkiraan waktu: 65 menit  |  pushexcel.github.io/Pushexcel</t>
  </si>
  <si>
    <t xml:space="preserve">Skenario</t>
  </si>
  <si>
    <t xml:space="preserve">Kamu staf keuangan UD Sumber Pangan Lestari yang menilai perputaran persediaan 30 barang dagang selama setahun (365 hari). Data berisi persediaan awal, pembelian, dan persediaan akhir dalam rupiah. Rata-rata persediaan adalah rata-rata persediaan awal dan akhir. HPP adalah persediaan awal ditambah pembelian dikurangi persediaan akhir. Perputaran adalah HPP dibagi rata-rata persediaan, dibulatkan dua desimal, dan hari persediaan adalah jumlah hari periode dibagi perputaran, dibulatkan ke bilangan bulat. Status Lambat bila perputaran kurang dari 6 kali, Cepat bila lebih dari 12 kali, selain itu Normal (batas dan jumlah hari ada di blok Parameter).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</si>
  <si>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</si>
  <si>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</si>
  <si>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</si>
  <si>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</si>
  <si>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</si>
  <si>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</si>
  <si>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</si>
  <si>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</si>
  <si>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</si>
  <si>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</si>
  <si>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</si>
  <si>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</si>
  <si>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</si>
  <si>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</si>
  <si>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</si>
  <si>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</si>
  <si>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</si>
  <si>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</si>
  <si>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</si>
  <si>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</si>
  <si>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rata-rata persediaan tiap barang: persediaan awal ditambah persediaan akhir, dibagi 2.</t>
  </si>
  <si>
    <t xml:space="preserve">Sheet Data, kolom G (Rata-rata Persediaan), baris 2 sampai 31</t>
  </si>
  <si>
    <t xml:space="preserve">=(D2+F2)/2</t>
  </si>
  <si>
    <t xml:space="preserve">2</t>
  </si>
  <si>
    <t xml:space="preserve">Hitung harga pokok penjualan: persediaan awal ditambah pembelian, dikurangi persediaan akhir.</t>
  </si>
  <si>
    <t xml:space="preserve">Sheet Data, kolom H (HPP), baris 2 sampai 31</t>
  </si>
  <si>
    <t xml:space="preserve">=D2+E2-F2</t>
  </si>
  <si>
    <t xml:space="preserve">3</t>
  </si>
  <si>
    <t xml:space="preserve">Hitung perputaran persediaan: HPP dibagi rata-rata persediaan, dibulatkan dua desimal.</t>
  </si>
  <si>
    <t xml:space="preserve">Sheet Data, kolom I (Perputaran), baris 2 sampai 31</t>
  </si>
  <si>
    <t xml:space="preserve">=ROUND(H2/G2;2)</t>
  </si>
  <si>
    <t xml:space="preserve">4</t>
  </si>
  <si>
    <t xml:space="preserve">Hitung hari persediaan: jumlah hari periode dibagi perputaran, dibulatkan ke bilangan bulat.</t>
  </si>
  <si>
    <t xml:space="preserve">Sheet Data, kolom J (Hari Persediaan), baris 2 sampai 31</t>
  </si>
  <si>
    <t xml:space="preserve">=ROUND($N$2/I2;0)</t>
  </si>
  <si>
    <t xml:space="preserve">5</t>
  </si>
  <si>
    <t xml:space="preserve">Beri status: Lambat bila perputaran kurang dari batas lambat, Cepat bila lebih dari batas cepat, selain itu Normal.</t>
  </si>
  <si>
    <t xml:space="preserve">Sheet Data, kolom K (Status Perputaran), baris 2 sampai 31</t>
  </si>
  <si>
    <t xml:space="preserve">=IF(I2&lt;$N$3;"Lambat";IF(I2&gt;$N$4;"Cepat";"Normal"))</t>
  </si>
  <si>
    <t xml:space="preserve">6</t>
  </si>
  <si>
    <t xml:space="preserve">Pada sheet Acuan, hitung total HPP tiap kategori.</t>
  </si>
  <si>
    <t xml:space="preserve">Sheet Acuan, kolom B (Total HPP), baris 2 sampai 5</t>
  </si>
  <si>
    <t xml:space="preserve">=SUMIF(Data!$C$2:$C$31;A2;Data!$H$2:$H$31)</t>
  </si>
  <si>
    <t xml:space="preserve">7</t>
  </si>
  <si>
    <t xml:space="preserve">Pada sheet Acuan, hitung total rata-rata persediaan tiap kategori.</t>
  </si>
  <si>
    <t xml:space="preserve">Sheet Acuan, kolom C (Total Rata-rata Persediaan), baris 2 sampai 5</t>
  </si>
  <si>
    <t xml:space="preserve">=SUMIF(Data!$C$2:$C$31;A2;Data!$G$2:$G$31)</t>
  </si>
  <si>
    <t xml:space="preserve">8</t>
  </si>
  <si>
    <t xml:space="preserve">Pada sheet Acuan, hitung perputaran tiap kategori: total HPP dibagi total rata-rata persediaan, dibulatkan dua desimal.</t>
  </si>
  <si>
    <t xml:space="preserve">Sheet Acuan, kolom D (Perputaran Kategori), baris 2 sampai 5</t>
  </si>
  <si>
    <t xml:space="preserve">=ROUND(B2/C2;2)</t>
  </si>
  <si>
    <t xml:space="preserve">9</t>
  </si>
  <si>
    <t xml:space="preserve">Pada sheet Acuan, hitung jumlah barang berstatus Lambat tiap kategori.</t>
  </si>
  <si>
    <t xml:space="preserve">Sheet Acuan, kolom E (Barang Lambat), baris 2 sampai 5</t>
  </si>
  <si>
    <t xml:space="preserve">=COUNTIFS(Data!$C$2:$C$31;A2;Data!$K$2:$K$31;"Lambat")</t>
  </si>
  <si>
    <t xml:space="preserve">10</t>
  </si>
  <si>
    <t xml:space="preserve">Berapa total persediaan awal, total persediaan akhir, dan total HPP seluruh barang?</t>
  </si>
  <si>
    <t xml:space="preserve">Sheet Ringkasan, sel C4 sampai C6</t>
  </si>
  <si>
    <t xml:space="preserve">=SUM(Data!$D$2:$D$31)
=SUM(Data!$F$2:$F$31)
=SUM(Data!$H$2:$H$31)</t>
  </si>
  <si>
    <t xml:space="preserve">11</t>
  </si>
  <si>
    <t xml:space="preserve">Barang apa yang HPP-nya terbesar, dan barang apa yang perputarannya paling tinggi?</t>
  </si>
  <si>
    <t xml:space="preserve">Sheet Ringkasan, sel C7 sampai C8</t>
  </si>
  <si>
    <t xml:space="preserve">=INDEX(Data!$B$2:$B$31;MATCH(MAX(Data!$H$2:$H$31);Data!$H$2:$H$31;0))
=INDEX(Data!$B$2:$B$31;MATCH(MAX(Data!$I$2:$I$31);Data!$I$2:$I$31;0))</t>
  </si>
  <si>
    <t xml:space="preserve">12</t>
  </si>
  <si>
    <t xml:space="preserve">Berapa hari persediaan terlama, dan barang apa pemiliknya? Berapa perputaran terendah?</t>
  </si>
  <si>
    <t xml:space="preserve">Sheet Ringkasan, sel C9 sampai C11</t>
  </si>
  <si>
    <t xml:space="preserve">=MAX(Data!$J$2:$J$31)
=INDEX(Data!$B$2:$B$31;MATCH(C9;Data!$J$2:$J$31;0))
=MIN(Data!$I$2:$I$31)</t>
  </si>
  <si>
    <t xml:space="preserve">13</t>
  </si>
  <si>
    <t xml:space="preserve">Berapa barang yang berstatus Lambat, Normal, dan Cepat?</t>
  </si>
  <si>
    <t xml:space="preserve">Sheet Ringkasan, sel C12 sampai C14</t>
  </si>
  <si>
    <t xml:space="preserve">=COUNTIF(Data!$K$2:$K$31;"Lambat")
=COUNTIF(Data!$K$2:$K$31;"Normal")
=COUNTIF(Data!$K$2:$K$31;"Cepat")</t>
  </si>
  <si>
    <t xml:space="preserve">14</t>
  </si>
  <si>
    <t xml:space="preserve">Kategori apa yang perputarannya tertinggi dan kategori apa yang terendah? Berapa total perputaran seluruh barang (total HPP dibagi total rata-rata persediaan, dua desimal)?</t>
  </si>
  <si>
    <t xml:space="preserve">Sheet Ringkasan, sel C15 sampai C17</t>
  </si>
  <si>
    <t xml:space="preserve">=INDEX(Acuan!$A$2:$A$5;MATCH(MAX(Acuan!$D$2:$D$5);Acuan!$D$2:$D$5;0))
=INDEX(Acuan!$A$2:$A$5;MATCH(MIN(Acuan!$D$2:$D$5);Acuan!$D$2:$D$5;0))
=ROUND(SUM(Data!$H$2:$H$31)/SUM(Data!$G$2:$G$31);2)</t>
  </si>
  <si>
    <t xml:space="preserve">15</t>
  </si>
  <si>
    <t xml:space="preserve">Berapa rata-rata hari persediaan barang kategori Minuman (satu desimal), dan berapa total HPP barang berstatus Lambat pada kategori Makanan Ringan?</t>
  </si>
  <si>
    <t xml:space="preserve">Sheet Ringkasan, sel C18 sampai C19</t>
  </si>
  <si>
    <t xml:space="preserve">=ROUND(AVERAGEIF(Data!$C$2:$C$31;"Minuman";Data!$J$2:$J$31);1)
=SUMIFS(Data!$H$2:$H$31;Data!$C$2:$C$31;"Makanan Ringan";Data!$K$2:$K$31;"Lambat")</t>
  </si>
  <si>
    <t xml:space="preserve">Kode</t>
  </si>
  <si>
    <t xml:space="preserve">Nama Barang</t>
  </si>
  <si>
    <t xml:space="preserve">Kategori</t>
  </si>
  <si>
    <t xml:space="preserve">Persediaan Awal</t>
  </si>
  <si>
    <t xml:space="preserve">Pembelian</t>
  </si>
  <si>
    <t xml:space="preserve">Persediaan Akhir</t>
  </si>
  <si>
    <t xml:space="preserve">Rata-rata Persediaan</t>
  </si>
  <si>
    <t xml:space="preserve">HPP</t>
  </si>
  <si>
    <t xml:space="preserve">Perputaran</t>
  </si>
  <si>
    <t xml:space="preserve">Hari Persediaan</t>
  </si>
  <si>
    <t xml:space="preserve">Status Perputaran</t>
  </si>
  <si>
    <t xml:space="preserve">Parameter</t>
  </si>
  <si>
    <t xml:space="preserve">Nilai</t>
  </si>
  <si>
    <t xml:space="preserve">Keterangan</t>
  </si>
  <si>
    <t xml:space="preserve">BRG-01</t>
  </si>
  <si>
    <t xml:space="preserve">Beras Premium 5 kg</t>
  </si>
  <si>
    <t xml:space="preserve">Beras dan Tepung</t>
  </si>
  <si>
    <t xml:space="preserve">Jumlah hari periode</t>
  </si>
  <si>
    <t xml:space="preserve">BRG-02</t>
  </si>
  <si>
    <t xml:space="preserve">Beras Medium 25 kg</t>
  </si>
  <si>
    <t xml:space="preserve">Batas lambat</t>
  </si>
  <si>
    <t xml:space="preserve">Perputaran di bawah batas ini berstatus Lambat</t>
  </si>
  <si>
    <t xml:space="preserve">BRG-03</t>
  </si>
  <si>
    <t xml:space="preserve">Tepung Terigu 1 kg</t>
  </si>
  <si>
    <t xml:space="preserve">Batas cepat</t>
  </si>
  <si>
    <t xml:space="preserve">Perputaran di atas batas ini berstatus Cepat</t>
  </si>
  <si>
    <t xml:space="preserve">BRG-04</t>
  </si>
  <si>
    <t xml:space="preserve">Tepung Tapioka 500 g</t>
  </si>
  <si>
    <t xml:space="preserve">BRG-05</t>
  </si>
  <si>
    <t xml:space="preserve">Gula Pasir 1 kg</t>
  </si>
  <si>
    <t xml:space="preserve">BRG-06</t>
  </si>
  <si>
    <t xml:space="preserve">Gula Merah 500 g</t>
  </si>
  <si>
    <t xml:space="preserve">BRG-07</t>
  </si>
  <si>
    <t xml:space="preserve">Tepung Beras 500 g</t>
  </si>
  <si>
    <t xml:space="preserve">BRG-08</t>
  </si>
  <si>
    <t xml:space="preserve">Minyak Goreng 2 L</t>
  </si>
  <si>
    <t xml:space="preserve">Minyak dan Bumbu</t>
  </si>
  <si>
    <t xml:space="preserve">BRG-09</t>
  </si>
  <si>
    <t xml:space="preserve">Minyak Goreng 5 L</t>
  </si>
  <si>
    <t xml:space="preserve">BRG-10</t>
  </si>
  <si>
    <t xml:space="preserve">Garam Halus 250 g</t>
  </si>
  <si>
    <t xml:space="preserve">BRG-11</t>
  </si>
  <si>
    <t xml:space="preserve">Kecap Manis 600 ml</t>
  </si>
  <si>
    <t xml:space="preserve">BRG-12</t>
  </si>
  <si>
    <t xml:space="preserve">Saus Sambal 340 ml</t>
  </si>
  <si>
    <t xml:space="preserve">BRG-13</t>
  </si>
  <si>
    <t xml:space="preserve">Kaldu Bubuk 100 g</t>
  </si>
  <si>
    <t xml:space="preserve">BRG-14</t>
  </si>
  <si>
    <t xml:space="preserve">Merica Bubuk 50 g</t>
  </si>
  <si>
    <t xml:space="preserve">BRG-15</t>
  </si>
  <si>
    <t xml:space="preserve">Santan Instan 200 ml</t>
  </si>
  <si>
    <t xml:space="preserve">BRG-16</t>
  </si>
  <si>
    <t xml:space="preserve">Air Mineral 600 ml</t>
  </si>
  <si>
    <t xml:space="preserve">Minuman</t>
  </si>
  <si>
    <t xml:space="preserve">BRG-17</t>
  </si>
  <si>
    <t xml:space="preserve">Air Mineral Galon</t>
  </si>
  <si>
    <t xml:space="preserve">BRG-18</t>
  </si>
  <si>
    <t xml:space="preserve">Teh Celup 25 pcs</t>
  </si>
  <si>
    <t xml:space="preserve">BRG-19</t>
  </si>
  <si>
    <t xml:space="preserve">Kopi Sachet 10 pcs</t>
  </si>
  <si>
    <t xml:space="preserve">BRG-20</t>
  </si>
  <si>
    <t xml:space="preserve">Susu UHT 1 L</t>
  </si>
  <si>
    <t xml:space="preserve">BRG-21</t>
  </si>
  <si>
    <t xml:space="preserve">Sirup Jeruk 500 ml</t>
  </si>
  <si>
    <t xml:space="preserve">BRG-22</t>
  </si>
  <si>
    <t xml:space="preserve">Minuman Isotonik 500 ml</t>
  </si>
  <si>
    <t xml:space="preserve">BRG-23</t>
  </si>
  <si>
    <t xml:space="preserve">Keripik Singkong 200 g</t>
  </si>
  <si>
    <t xml:space="preserve">Makanan Ringan</t>
  </si>
  <si>
    <t xml:space="preserve">BRG-24</t>
  </si>
  <si>
    <t xml:space="preserve">Biskuit Kelapa 300 g</t>
  </si>
  <si>
    <t xml:space="preserve">BRG-25</t>
  </si>
  <si>
    <t xml:space="preserve">Wafer Cokelat 150 g</t>
  </si>
  <si>
    <t xml:space="preserve">BRG-26</t>
  </si>
  <si>
    <t xml:space="preserve">Mi Instan Goreng Dus</t>
  </si>
  <si>
    <t xml:space="preserve">BRG-27</t>
  </si>
  <si>
    <t xml:space="preserve">Kacang Atom 250 g</t>
  </si>
  <si>
    <t xml:space="preserve">BRG-28</t>
  </si>
  <si>
    <t xml:space="preserve">Kerupuk Udang 250 g</t>
  </si>
  <si>
    <t xml:space="preserve">BRG-29</t>
  </si>
  <si>
    <t xml:space="preserve">Permen Mint 100 g</t>
  </si>
  <si>
    <t xml:space="preserve">BRG-30</t>
  </si>
  <si>
    <t xml:space="preserve">Cokelat Batang 80 g</t>
  </si>
  <si>
    <t xml:space="preserve">Total HPP</t>
  </si>
  <si>
    <t xml:space="preserve">Total Rata-rata Persediaan</t>
  </si>
  <si>
    <t xml:space="preserve">Perputaran Kategori</t>
  </si>
  <si>
    <t xml:space="preserve">Barang Lambat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</si>
  <si>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</si>
  <si>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</si>
  <si>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</si>
  <si>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</si>
  <si>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</si>
  <si>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10a</t>
  </si>
  <si>
    <t xml:space="preserve">Total persediaan awal</t>
  </si>
  <si>
    <t xml:space="preserve">Rupiah, mis. Rp 800.000.000</t>
  </si>
  <si>
    <t xml:space="preserve">10b</t>
  </si>
  <si>
    <t xml:space="preserve">Total persediaan akhir</t>
  </si>
  <si>
    <t xml:space="preserve">Rupiah, mis. Rp 850.000.000</t>
  </si>
  <si>
    <t xml:space="preserve">10c</t>
  </si>
  <si>
    <t xml:space="preserve">Rupiah, mis. Rp 4.500.000.000</t>
  </si>
  <si>
    <t xml:space="preserve">11a</t>
  </si>
  <si>
    <t xml:space="preserve">Barang dengan HPP terbesar</t>
  </si>
  <si>
    <t xml:space="preserve">Teks: nama barang</t>
  </si>
  <si>
    <t xml:space="preserve">11b</t>
  </si>
  <si>
    <t xml:space="preserve">Barang dengan perputaran tertinggi</t>
  </si>
  <si>
    <t xml:space="preserve">12a</t>
  </si>
  <si>
    <t xml:space="preserve">Hari persediaan terlama</t>
  </si>
  <si>
    <t xml:space="preserve">Angka bulat, mis. 120</t>
  </si>
  <si>
    <t xml:space="preserve">12b</t>
  </si>
  <si>
    <t xml:space="preserve">Barang dengan hari persediaan terlama</t>
  </si>
  <si>
    <t xml:space="preserve">12c</t>
  </si>
  <si>
    <t xml:space="preserve">Perputaran terendah</t>
  </si>
  <si>
    <t xml:space="preserve">Angka desimal, mis. 1,50</t>
  </si>
  <si>
    <t xml:space="preserve">13a</t>
  </si>
  <si>
    <t xml:space="preserve">Angka bulat, mis. 7</t>
  </si>
  <si>
    <t xml:space="preserve">13b</t>
  </si>
  <si>
    <t xml:space="preserve">Barang Normal</t>
  </si>
  <si>
    <t xml:space="preserve">Angka bulat, mis. 12</t>
  </si>
  <si>
    <t xml:space="preserve">13c</t>
  </si>
  <si>
    <t xml:space="preserve">Barang Cepat</t>
  </si>
  <si>
    <t xml:space="preserve">Angka bulat, mis. 10</t>
  </si>
  <si>
    <t xml:space="preserve">14a</t>
  </si>
  <si>
    <t xml:space="preserve">Kategori perputaran tertinggi</t>
  </si>
  <si>
    <t xml:space="preserve">Teks: nama kategori</t>
  </si>
  <si>
    <t xml:space="preserve">14b</t>
  </si>
  <si>
    <t xml:space="preserve">Kategori perputaran terendah</t>
  </si>
  <si>
    <t xml:space="preserve">14c</t>
  </si>
  <si>
    <t xml:space="preserve">Perputaran seluruh barang</t>
  </si>
  <si>
    <t xml:space="preserve">Angka desimal, mis. 8,10</t>
  </si>
  <si>
    <t xml:space="preserve">15a</t>
  </si>
  <si>
    <t xml:space="preserve">Rata-rata hari persediaan Minuman</t>
  </si>
  <si>
    <t xml:space="preserve">Angka desimal, mis. 45,5</t>
  </si>
  <si>
    <t xml:space="preserve">15b</t>
  </si>
  <si>
    <t xml:space="preserve">Total HPP Makanan Ringan berstatus Lambat</t>
  </si>
  <si>
    <t xml:space="preserve">Rupiah, mis. Rp 120.000.000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</si>
</sst>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p &quot;#,##0"/>
    <numFmt numFmtId="166" formatCode="0.00"/>
    <numFmt numFmtId="167" formatCode="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81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30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7.7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5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57.7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  <row r="33" customFormat="false" ht="57.75" hidden="false" customHeight="true" outlineLevel="0" collapsed="false">
      <c r="A33" s="12" t="s">
        <v>71</v>
      </c>
      <c r="B33" s="13" t="s">
        <v>72</v>
      </c>
      <c r="C33" s="13" t="s">
        <v>73</v>
      </c>
      <c r="D33" s="14" t="s">
        <v>74</v>
      </c>
    </row>
    <row r="34" customFormat="false" ht="69.75" hidden="false" customHeight="true" outlineLevel="0" collapsed="false">
      <c r="A34" s="12" t="s">
        <v>75</v>
      </c>
      <c r="B34" s="13" t="s">
        <v>76</v>
      </c>
      <c r="C34" s="13" t="s">
        <v>77</v>
      </c>
      <c r="D34" s="14" t="s">
        <v>78</v>
      </c>
    </row>
    <row r="35" customFormat="false" ht="55.5" hidden="false" customHeight="true" outlineLevel="0" collapsed="false">
      <c r="A35" s="12" t="s">
        <v>79</v>
      </c>
      <c r="B35" s="13" t="s">
        <v>80</v>
      </c>
      <c r="C35" s="13" t="s">
        <v>81</v>
      </c>
      <c r="D35" s="14" t="s">
        <v>82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1" t="s">
        <v>83</v>
      </c>
      <c r="B1" s="11" t="s">
        <v>84</v>
      </c>
      <c r="C1" s="11" t="s">
        <v>85</v>
      </c>
      <c r="D1" s="11" t="s">
        <v>86</v>
      </c>
      <c r="E1" s="11" t="s">
        <v>87</v>
      </c>
      <c r="F1" s="11" t="s">
        <v>88</v>
      </c>
      <c r="G1" s="15" t="s">
        <v>89</v>
      </c>
      <c r="H1" s="15" t="s">
        <v>90</v>
      </c>
      <c r="I1" s="15" t="s">
        <v>91</v>
      </c>
      <c r="J1" s="15" t="s">
        <v>92</v>
      </c>
      <c r="K1" s="15" t="s">
        <v>93</v>
      </c>
      <c r="M1" s="16" t="s">
        <v>94</v>
      </c>
      <c r="N1" s="16" t="s">
        <v>95</v>
      </c>
      <c r="O1" s="16" t="s">
        <v>96</v>
      </c>
    </row>
    <row r="2" customFormat="false" ht="15" hidden="false" customHeight="false" outlineLevel="0" collapsed="false">
      <c r="A2" s="17" t="s">
        <v>97</v>
      </c>
      <c r="B2" s="17" t="s">
        <v>98</v>
      </c>
      <c r="C2" s="17" t="s">
        <v>99</v>
      </c>
      <c r="D2" s="18" t="n">
        <v>2100000</v>
      </c>
      <c r="E2" s="18" t="n">
        <v>24400000</v>
      </c>
      <c r="F2" s="18" t="n">
        <v>2200000</v>
      </c>
      <c r="G2" s="19" t="n">
        <f aca="false">(D2+F2)/2</f>
        <v>2150000</v>
      </c>
      <c r="H2" s="19" t="n">
        <f aca="false">D2+E2-F2</f>
        <v>24300000</v>
      </c>
      <c r="I2" s="20" t="n">
        <f aca="false">ROUND(H2/G2,2)</f>
        <v>11.3</v>
      </c>
      <c r="J2" s="21" t="n">
        <f aca="false">ROUND($N$2/I2,0)</f>
        <v>32</v>
      </c>
      <c r="K2" s="22" t="str">
        <f aca="false">IF(I2&lt;$N$3,"Lambat",IF(I2&gt;$N$4,"Cepat","Normal"))</f>
        <v>Normal</v>
      </c>
      <c r="M2" s="23" t="s">
        <v>100</v>
      </c>
      <c r="N2" s="24" t="n">
        <v>365</v>
      </c>
      <c r="O2" s="23"/>
    </row>
    <row r="3" customFormat="false" ht="15" hidden="false" customHeight="false" outlineLevel="0" collapsed="false">
      <c r="A3" s="17" t="s">
        <v>101</v>
      </c>
      <c r="B3" s="17" t="s">
        <v>102</v>
      </c>
      <c r="C3" s="17" t="s">
        <v>99</v>
      </c>
      <c r="D3" s="18" t="n">
        <v>5400000</v>
      </c>
      <c r="E3" s="18" t="n">
        <v>51400000</v>
      </c>
      <c r="F3" s="18" t="n">
        <v>5500000</v>
      </c>
      <c r="G3" s="19" t="n">
        <f aca="false">(D3+F3)/2</f>
        <v>5450000</v>
      </c>
      <c r="H3" s="19" t="n">
        <f aca="false">D3+E3-F3</f>
        <v>51300000</v>
      </c>
      <c r="I3" s="20" t="n">
        <f aca="false">ROUND(H3/G3,2)</f>
        <v>9.41</v>
      </c>
      <c r="J3" s="21" t="n">
        <f aca="false">ROUND($N$2/I3,0)</f>
        <v>39</v>
      </c>
      <c r="K3" s="22" t="str">
        <f aca="false">IF(I3&lt;$N$3,"Lambat",IF(I3&gt;$N$4,"Cepat","Normal"))</f>
        <v>Normal</v>
      </c>
      <c r="M3" s="23" t="s">
        <v>103</v>
      </c>
      <c r="N3" s="24" t="n">
        <v>6</v>
      </c>
      <c r="O3" s="23" t="s">
        <v>104</v>
      </c>
    </row>
    <row r="4" customFormat="false" ht="15" hidden="false" customHeight="false" outlineLevel="0" collapsed="false">
      <c r="A4" s="17" t="s">
        <v>105</v>
      </c>
      <c r="B4" s="17" t="s">
        <v>106</v>
      </c>
      <c r="C4" s="17" t="s">
        <v>99</v>
      </c>
      <c r="D4" s="18" t="n">
        <v>5200000</v>
      </c>
      <c r="E4" s="18" t="n">
        <v>45400000</v>
      </c>
      <c r="F4" s="18" t="n">
        <v>5100000</v>
      </c>
      <c r="G4" s="19" t="n">
        <f aca="false">(D4+F4)/2</f>
        <v>5150000</v>
      </c>
      <c r="H4" s="19" t="n">
        <f aca="false">D4+E4-F4</f>
        <v>45500000</v>
      </c>
      <c r="I4" s="20" t="n">
        <f aca="false">ROUND(H4/G4,2)</f>
        <v>8.83</v>
      </c>
      <c r="J4" s="21" t="n">
        <f aca="false">ROUND($N$2/I4,0)</f>
        <v>41</v>
      </c>
      <c r="K4" s="22" t="str">
        <f aca="false">IF(I4&lt;$N$3,"Lambat",IF(I4&gt;$N$4,"Cepat","Normal"))</f>
        <v>Normal</v>
      </c>
      <c r="M4" s="23" t="s">
        <v>107</v>
      </c>
      <c r="N4" s="24" t="n">
        <v>12</v>
      </c>
      <c r="O4" s="23" t="s">
        <v>108</v>
      </c>
    </row>
    <row r="5" customFormat="false" ht="15" hidden="false" customHeight="false" outlineLevel="0" collapsed="false">
      <c r="A5" s="17" t="s">
        <v>109</v>
      </c>
      <c r="B5" s="17" t="s">
        <v>110</v>
      </c>
      <c r="C5" s="17" t="s">
        <v>99</v>
      </c>
      <c r="D5" s="18" t="n">
        <v>4400000</v>
      </c>
      <c r="E5" s="18" t="n">
        <v>71200000</v>
      </c>
      <c r="F5" s="18" t="n">
        <v>4100000</v>
      </c>
      <c r="G5" s="19" t="n">
        <f aca="false">(D5+F5)/2</f>
        <v>4250000</v>
      </c>
      <c r="H5" s="19" t="n">
        <f aca="false">D5+E5-F5</f>
        <v>71500000</v>
      </c>
      <c r="I5" s="20" t="n">
        <f aca="false">ROUND(H5/G5,2)</f>
        <v>16.82</v>
      </c>
      <c r="J5" s="21" t="n">
        <f aca="false">ROUND($N$2/I5,0)</f>
        <v>22</v>
      </c>
      <c r="K5" s="22" t="str">
        <f aca="false">IF(I5&lt;$N$3,"Lambat",IF(I5&gt;$N$4,"Cepat","Normal"))</f>
        <v>Cepat</v>
      </c>
    </row>
    <row r="6" customFormat="false" ht="15" hidden="false" customHeight="false" outlineLevel="0" collapsed="false">
      <c r="A6" s="17" t="s">
        <v>111</v>
      </c>
      <c r="B6" s="17" t="s">
        <v>112</v>
      </c>
      <c r="C6" s="17" t="s">
        <v>99</v>
      </c>
      <c r="D6" s="18" t="n">
        <v>1200000</v>
      </c>
      <c r="E6" s="18" t="n">
        <v>3000000</v>
      </c>
      <c r="F6" s="18" t="n">
        <v>900000</v>
      </c>
      <c r="G6" s="19" t="n">
        <f aca="false">(D6+F6)/2</f>
        <v>1050000</v>
      </c>
      <c r="H6" s="19" t="n">
        <f aca="false">D6+E6-F6</f>
        <v>3300000</v>
      </c>
      <c r="I6" s="20" t="n">
        <f aca="false">ROUND(H6/G6,2)</f>
        <v>3.14</v>
      </c>
      <c r="J6" s="21" t="n">
        <f aca="false">ROUND($N$2/I6,0)</f>
        <v>116</v>
      </c>
      <c r="K6" s="22" t="str">
        <f aca="false">IF(I6&lt;$N$3,"Lambat",IF(I6&gt;$N$4,"Cepat","Normal"))</f>
        <v>Lambat</v>
      </c>
    </row>
    <row r="7" customFormat="false" ht="15" hidden="false" customHeight="false" outlineLevel="0" collapsed="false">
      <c r="A7" s="17" t="s">
        <v>113</v>
      </c>
      <c r="B7" s="17" t="s">
        <v>114</v>
      </c>
      <c r="C7" s="17" t="s">
        <v>99</v>
      </c>
      <c r="D7" s="18" t="n">
        <v>6700000</v>
      </c>
      <c r="E7" s="18" t="n">
        <v>83000000</v>
      </c>
      <c r="F7" s="18" t="n">
        <v>6400000</v>
      </c>
      <c r="G7" s="19" t="n">
        <f aca="false">(D7+F7)/2</f>
        <v>6550000</v>
      </c>
      <c r="H7" s="19" t="n">
        <f aca="false">D7+E7-F7</f>
        <v>83300000</v>
      </c>
      <c r="I7" s="20" t="n">
        <f aca="false">ROUND(H7/G7,2)</f>
        <v>12.72</v>
      </c>
      <c r="J7" s="21" t="n">
        <f aca="false">ROUND($N$2/I7,0)</f>
        <v>29</v>
      </c>
      <c r="K7" s="22" t="str">
        <f aca="false">IF(I7&lt;$N$3,"Lambat",IF(I7&gt;$N$4,"Cepat","Normal"))</f>
        <v>Cepat</v>
      </c>
    </row>
    <row r="8" customFormat="false" ht="15" hidden="false" customHeight="false" outlineLevel="0" collapsed="false">
      <c r="A8" s="17" t="s">
        <v>115</v>
      </c>
      <c r="B8" s="17" t="s">
        <v>116</v>
      </c>
      <c r="C8" s="17" t="s">
        <v>99</v>
      </c>
      <c r="D8" s="18" t="n">
        <v>900000</v>
      </c>
      <c r="E8" s="18" t="n">
        <v>5300000</v>
      </c>
      <c r="F8" s="18" t="n">
        <v>1100000</v>
      </c>
      <c r="G8" s="19" t="n">
        <f aca="false">(D8+F8)/2</f>
        <v>1000000</v>
      </c>
      <c r="H8" s="19" t="n">
        <f aca="false">D8+E8-F8</f>
        <v>5100000</v>
      </c>
      <c r="I8" s="20" t="n">
        <f aca="false">ROUND(H8/G8,2)</f>
        <v>5.1</v>
      </c>
      <c r="J8" s="21" t="n">
        <f aca="false">ROUND($N$2/I8,0)</f>
        <v>72</v>
      </c>
      <c r="K8" s="22" t="str">
        <f aca="false">IF(I8&lt;$N$3,"Lambat",IF(I8&gt;$N$4,"Cepat","Normal"))</f>
        <v>Lambat</v>
      </c>
    </row>
    <row r="9" customFormat="false" ht="15" hidden="false" customHeight="false" outlineLevel="0" collapsed="false">
      <c r="A9" s="17" t="s">
        <v>117</v>
      </c>
      <c r="B9" s="17" t="s">
        <v>118</v>
      </c>
      <c r="C9" s="17" t="s">
        <v>119</v>
      </c>
      <c r="D9" s="18" t="n">
        <v>1800000</v>
      </c>
      <c r="E9" s="18" t="n">
        <v>16300000</v>
      </c>
      <c r="F9" s="18" t="n">
        <v>1400000</v>
      </c>
      <c r="G9" s="19" t="n">
        <f aca="false">(D9+F9)/2</f>
        <v>1600000</v>
      </c>
      <c r="H9" s="19" t="n">
        <f aca="false">D9+E9-F9</f>
        <v>16700000</v>
      </c>
      <c r="I9" s="20" t="n">
        <f aca="false">ROUND(H9/G9,2)</f>
        <v>10.44</v>
      </c>
      <c r="J9" s="21" t="n">
        <f aca="false">ROUND($N$2/I9,0)</f>
        <v>35</v>
      </c>
      <c r="K9" s="22" t="str">
        <f aca="false">IF(I9&lt;$N$3,"Lambat",IF(I9&gt;$N$4,"Cepat","Normal"))</f>
        <v>Normal</v>
      </c>
    </row>
    <row r="10" customFormat="false" ht="15" hidden="false" customHeight="false" outlineLevel="0" collapsed="false">
      <c r="A10" s="17" t="s">
        <v>120</v>
      </c>
      <c r="B10" s="17" t="s">
        <v>121</v>
      </c>
      <c r="C10" s="17" t="s">
        <v>119</v>
      </c>
      <c r="D10" s="18" t="n">
        <v>5700000</v>
      </c>
      <c r="E10" s="18" t="n">
        <v>9600000</v>
      </c>
      <c r="F10" s="18" t="n">
        <v>5400000</v>
      </c>
      <c r="G10" s="19" t="n">
        <f aca="false">(D10+F10)/2</f>
        <v>5550000</v>
      </c>
      <c r="H10" s="19" t="n">
        <f aca="false">D10+E10-F10</f>
        <v>9900000</v>
      </c>
      <c r="I10" s="20" t="n">
        <f aca="false">ROUND(H10/G10,2)</f>
        <v>1.78</v>
      </c>
      <c r="J10" s="21" t="n">
        <f aca="false">ROUND($N$2/I10,0)</f>
        <v>205</v>
      </c>
      <c r="K10" s="22" t="str">
        <f aca="false">IF(I10&lt;$N$3,"Lambat",IF(I10&gt;$N$4,"Cepat","Normal"))</f>
        <v>Lambat</v>
      </c>
    </row>
    <row r="11" customFormat="false" ht="15" hidden="false" customHeight="false" outlineLevel="0" collapsed="false">
      <c r="A11" s="17" t="s">
        <v>122</v>
      </c>
      <c r="B11" s="17" t="s">
        <v>123</v>
      </c>
      <c r="C11" s="17" t="s">
        <v>119</v>
      </c>
      <c r="D11" s="18" t="n">
        <v>2800000</v>
      </c>
      <c r="E11" s="18" t="n">
        <v>15700000</v>
      </c>
      <c r="F11" s="18" t="n">
        <v>2600000</v>
      </c>
      <c r="G11" s="19" t="n">
        <f aca="false">(D11+F11)/2</f>
        <v>2700000</v>
      </c>
      <c r="H11" s="19" t="n">
        <f aca="false">D11+E11-F11</f>
        <v>15900000</v>
      </c>
      <c r="I11" s="20" t="n">
        <f aca="false">ROUND(H11/G11,2)</f>
        <v>5.89</v>
      </c>
      <c r="J11" s="21" t="n">
        <f aca="false">ROUND($N$2/I11,0)</f>
        <v>62</v>
      </c>
      <c r="K11" s="22" t="str">
        <f aca="false">IF(I11&lt;$N$3,"Lambat",IF(I11&gt;$N$4,"Cepat","Normal"))</f>
        <v>Lambat</v>
      </c>
    </row>
    <row r="12" customFormat="false" ht="15" hidden="false" customHeight="false" outlineLevel="0" collapsed="false">
      <c r="A12" s="17" t="s">
        <v>124</v>
      </c>
      <c r="B12" s="17" t="s">
        <v>125</v>
      </c>
      <c r="C12" s="17" t="s">
        <v>119</v>
      </c>
      <c r="D12" s="18" t="n">
        <v>3300000</v>
      </c>
      <c r="E12" s="18" t="n">
        <v>14000000</v>
      </c>
      <c r="F12" s="18" t="n">
        <v>3700000</v>
      </c>
      <c r="G12" s="19" t="n">
        <f aca="false">(D12+F12)/2</f>
        <v>3500000</v>
      </c>
      <c r="H12" s="19" t="n">
        <f aca="false">D12+E12-F12</f>
        <v>13600000</v>
      </c>
      <c r="I12" s="20" t="n">
        <f aca="false">ROUND(H12/G12,2)</f>
        <v>3.89</v>
      </c>
      <c r="J12" s="21" t="n">
        <f aca="false">ROUND($N$2/I12,0)</f>
        <v>94</v>
      </c>
      <c r="K12" s="22" t="str">
        <f aca="false">IF(I12&lt;$N$3,"Lambat",IF(I12&gt;$N$4,"Cepat","Normal"))</f>
        <v>Lambat</v>
      </c>
    </row>
    <row r="13" customFormat="false" ht="15" hidden="false" customHeight="false" outlineLevel="0" collapsed="false">
      <c r="A13" s="17" t="s">
        <v>126</v>
      </c>
      <c r="B13" s="17" t="s">
        <v>127</v>
      </c>
      <c r="C13" s="17" t="s">
        <v>119</v>
      </c>
      <c r="D13" s="18" t="n">
        <v>4000000</v>
      </c>
      <c r="E13" s="18" t="n">
        <v>12300000</v>
      </c>
      <c r="F13" s="18" t="n">
        <v>5200000</v>
      </c>
      <c r="G13" s="19" t="n">
        <f aca="false">(D13+F13)/2</f>
        <v>4600000</v>
      </c>
      <c r="H13" s="19" t="n">
        <f aca="false">D13+E13-F13</f>
        <v>11100000</v>
      </c>
      <c r="I13" s="20" t="n">
        <f aca="false">ROUND(H13/G13,2)</f>
        <v>2.41</v>
      </c>
      <c r="J13" s="21" t="n">
        <f aca="false">ROUND($N$2/I13,0)</f>
        <v>151</v>
      </c>
      <c r="K13" s="22" t="str">
        <f aca="false">IF(I13&lt;$N$3,"Lambat",IF(I13&gt;$N$4,"Cepat","Normal"))</f>
        <v>Lambat</v>
      </c>
    </row>
    <row r="14" customFormat="false" ht="15" hidden="false" customHeight="false" outlineLevel="0" collapsed="false">
      <c r="A14" s="17" t="s">
        <v>128</v>
      </c>
      <c r="B14" s="17" t="s">
        <v>129</v>
      </c>
      <c r="C14" s="17" t="s">
        <v>119</v>
      </c>
      <c r="D14" s="18" t="n">
        <v>3500000</v>
      </c>
      <c r="E14" s="18" t="n">
        <v>64600000</v>
      </c>
      <c r="F14" s="18" t="n">
        <v>3900000</v>
      </c>
      <c r="G14" s="19" t="n">
        <f aca="false">(D14+F14)/2</f>
        <v>3700000</v>
      </c>
      <c r="H14" s="19" t="n">
        <f aca="false">D14+E14-F14</f>
        <v>64200000</v>
      </c>
      <c r="I14" s="20" t="n">
        <f aca="false">ROUND(H14/G14,2)</f>
        <v>17.35</v>
      </c>
      <c r="J14" s="21" t="n">
        <f aca="false">ROUND($N$2/I14,0)</f>
        <v>21</v>
      </c>
      <c r="K14" s="22" t="str">
        <f aca="false">IF(I14&lt;$N$3,"Lambat",IF(I14&gt;$N$4,"Cepat","Normal"))</f>
        <v>Cepat</v>
      </c>
    </row>
    <row r="15" customFormat="false" ht="15" hidden="false" customHeight="false" outlineLevel="0" collapsed="false">
      <c r="A15" s="17" t="s">
        <v>130</v>
      </c>
      <c r="B15" s="17" t="s">
        <v>131</v>
      </c>
      <c r="C15" s="17" t="s">
        <v>119</v>
      </c>
      <c r="D15" s="18" t="n">
        <v>3200000</v>
      </c>
      <c r="E15" s="18" t="n">
        <v>8900000</v>
      </c>
      <c r="F15" s="18" t="n">
        <v>3000000</v>
      </c>
      <c r="G15" s="19" t="n">
        <f aca="false">(D15+F15)/2</f>
        <v>3100000</v>
      </c>
      <c r="H15" s="19" t="n">
        <f aca="false">D15+E15-F15</f>
        <v>9100000</v>
      </c>
      <c r="I15" s="20" t="n">
        <f aca="false">ROUND(H15/G15,2)</f>
        <v>2.94</v>
      </c>
      <c r="J15" s="21" t="n">
        <f aca="false">ROUND($N$2/I15,0)</f>
        <v>124</v>
      </c>
      <c r="K15" s="22" t="str">
        <f aca="false">IF(I15&lt;$N$3,"Lambat",IF(I15&gt;$N$4,"Cepat","Normal"))</f>
        <v>Lambat</v>
      </c>
    </row>
    <row r="16" customFormat="false" ht="15" hidden="false" customHeight="false" outlineLevel="0" collapsed="false">
      <c r="A16" s="17" t="s">
        <v>132</v>
      </c>
      <c r="B16" s="17" t="s">
        <v>133</v>
      </c>
      <c r="C16" s="17" t="s">
        <v>119</v>
      </c>
      <c r="D16" s="18" t="n">
        <v>5800000</v>
      </c>
      <c r="E16" s="18" t="n">
        <v>107300000</v>
      </c>
      <c r="F16" s="18" t="n">
        <v>6100000</v>
      </c>
      <c r="G16" s="19" t="n">
        <f aca="false">(D16+F16)/2</f>
        <v>5950000</v>
      </c>
      <c r="H16" s="19" t="n">
        <f aca="false">D16+E16-F16</f>
        <v>107000000</v>
      </c>
      <c r="I16" s="20" t="n">
        <f aca="false">ROUND(H16/G16,2)</f>
        <v>17.98</v>
      </c>
      <c r="J16" s="21" t="n">
        <f aca="false">ROUND($N$2/I16,0)</f>
        <v>20</v>
      </c>
      <c r="K16" s="22" t="str">
        <f aca="false">IF(I16&lt;$N$3,"Lambat",IF(I16&gt;$N$4,"Cepat","Normal"))</f>
        <v>Cepat</v>
      </c>
    </row>
    <row r="17" customFormat="false" ht="15" hidden="false" customHeight="false" outlineLevel="0" collapsed="false">
      <c r="A17" s="17" t="s">
        <v>134</v>
      </c>
      <c r="B17" s="17" t="s">
        <v>135</v>
      </c>
      <c r="C17" s="17" t="s">
        <v>136</v>
      </c>
      <c r="D17" s="18" t="n">
        <v>2400000</v>
      </c>
      <c r="E17" s="18" t="n">
        <v>12700000</v>
      </c>
      <c r="F17" s="18" t="n">
        <v>2200000</v>
      </c>
      <c r="G17" s="19" t="n">
        <f aca="false">(D17+F17)/2</f>
        <v>2300000</v>
      </c>
      <c r="H17" s="19" t="n">
        <f aca="false">D17+E17-F17</f>
        <v>12900000</v>
      </c>
      <c r="I17" s="20" t="n">
        <f aca="false">ROUND(H17/G17,2)</f>
        <v>5.61</v>
      </c>
      <c r="J17" s="21" t="n">
        <f aca="false">ROUND($N$2/I17,0)</f>
        <v>65</v>
      </c>
      <c r="K17" s="22" t="str">
        <f aca="false">IF(I17&lt;$N$3,"Lambat",IF(I17&gt;$N$4,"Cepat","Normal"))</f>
        <v>Lambat</v>
      </c>
    </row>
    <row r="18" customFormat="false" ht="15" hidden="false" customHeight="false" outlineLevel="0" collapsed="false">
      <c r="A18" s="17" t="s">
        <v>137</v>
      </c>
      <c r="B18" s="17" t="s">
        <v>138</v>
      </c>
      <c r="C18" s="17" t="s">
        <v>136</v>
      </c>
      <c r="D18" s="18" t="n">
        <v>5000000</v>
      </c>
      <c r="E18" s="18" t="n">
        <v>76700000</v>
      </c>
      <c r="F18" s="18" t="n">
        <v>5600000</v>
      </c>
      <c r="G18" s="19" t="n">
        <f aca="false">(D18+F18)/2</f>
        <v>5300000</v>
      </c>
      <c r="H18" s="19" t="n">
        <f aca="false">D18+E18-F18</f>
        <v>76100000</v>
      </c>
      <c r="I18" s="20" t="n">
        <f aca="false">ROUND(H18/G18,2)</f>
        <v>14.36</v>
      </c>
      <c r="J18" s="21" t="n">
        <f aca="false">ROUND($N$2/I18,0)</f>
        <v>25</v>
      </c>
      <c r="K18" s="22" t="str">
        <f aca="false">IF(I18&lt;$N$3,"Lambat",IF(I18&gt;$N$4,"Cepat","Normal"))</f>
        <v>Cepat</v>
      </c>
    </row>
    <row r="19" customFormat="false" ht="15" hidden="false" customHeight="false" outlineLevel="0" collapsed="false">
      <c r="A19" s="17" t="s">
        <v>139</v>
      </c>
      <c r="B19" s="17" t="s">
        <v>140</v>
      </c>
      <c r="C19" s="17" t="s">
        <v>136</v>
      </c>
      <c r="D19" s="18" t="n">
        <v>3100000</v>
      </c>
      <c r="E19" s="18" t="n">
        <v>71500000</v>
      </c>
      <c r="F19" s="18" t="n">
        <v>4100000</v>
      </c>
      <c r="G19" s="19" t="n">
        <f aca="false">(D19+F19)/2</f>
        <v>3600000</v>
      </c>
      <c r="H19" s="19" t="n">
        <f aca="false">D19+E19-F19</f>
        <v>70500000</v>
      </c>
      <c r="I19" s="20" t="n">
        <f aca="false">ROUND(H19/G19,2)</f>
        <v>19.58</v>
      </c>
      <c r="J19" s="21" t="n">
        <f aca="false">ROUND($N$2/I19,0)</f>
        <v>19</v>
      </c>
      <c r="K19" s="22" t="str">
        <f aca="false">IF(I19&lt;$N$3,"Lambat",IF(I19&gt;$N$4,"Cepat","Normal"))</f>
        <v>Cepat</v>
      </c>
    </row>
    <row r="20" customFormat="false" ht="15" hidden="false" customHeight="false" outlineLevel="0" collapsed="false">
      <c r="A20" s="17" t="s">
        <v>141</v>
      </c>
      <c r="B20" s="17" t="s">
        <v>142</v>
      </c>
      <c r="C20" s="17" t="s">
        <v>136</v>
      </c>
      <c r="D20" s="18" t="n">
        <v>2200000</v>
      </c>
      <c r="E20" s="18" t="n">
        <v>4300000</v>
      </c>
      <c r="F20" s="18" t="n">
        <v>1900000</v>
      </c>
      <c r="G20" s="19" t="n">
        <f aca="false">(D20+F20)/2</f>
        <v>2050000</v>
      </c>
      <c r="H20" s="19" t="n">
        <f aca="false">D20+E20-F20</f>
        <v>4600000</v>
      </c>
      <c r="I20" s="20" t="n">
        <f aca="false">ROUND(H20/G20,2)</f>
        <v>2.24</v>
      </c>
      <c r="J20" s="21" t="n">
        <f aca="false">ROUND($N$2/I20,0)</f>
        <v>163</v>
      </c>
      <c r="K20" s="22" t="str">
        <f aca="false">IF(I20&lt;$N$3,"Lambat",IF(I20&gt;$N$4,"Cepat","Normal"))</f>
        <v>Lambat</v>
      </c>
    </row>
    <row r="21" customFormat="false" ht="15" hidden="false" customHeight="false" outlineLevel="0" collapsed="false">
      <c r="A21" s="17" t="s">
        <v>143</v>
      </c>
      <c r="B21" s="17" t="s">
        <v>144</v>
      </c>
      <c r="C21" s="17" t="s">
        <v>136</v>
      </c>
      <c r="D21" s="18" t="n">
        <v>2900000</v>
      </c>
      <c r="E21" s="18" t="n">
        <v>33800000</v>
      </c>
      <c r="F21" s="18" t="n">
        <v>3000000</v>
      </c>
      <c r="G21" s="19" t="n">
        <f aca="false">(D21+F21)/2</f>
        <v>2950000</v>
      </c>
      <c r="H21" s="19" t="n">
        <f aca="false">D21+E21-F21</f>
        <v>33700000</v>
      </c>
      <c r="I21" s="20" t="n">
        <f aca="false">ROUND(H21/G21,2)</f>
        <v>11.42</v>
      </c>
      <c r="J21" s="21" t="n">
        <f aca="false">ROUND($N$2/I21,0)</f>
        <v>32</v>
      </c>
      <c r="K21" s="22" t="str">
        <f aca="false">IF(I21&lt;$N$3,"Lambat",IF(I21&gt;$N$4,"Cepat","Normal"))</f>
        <v>Normal</v>
      </c>
    </row>
    <row r="22" customFormat="false" ht="15" hidden="false" customHeight="false" outlineLevel="0" collapsed="false">
      <c r="A22" s="17" t="s">
        <v>145</v>
      </c>
      <c r="B22" s="17" t="s">
        <v>146</v>
      </c>
      <c r="C22" s="17" t="s">
        <v>136</v>
      </c>
      <c r="D22" s="18" t="n">
        <v>4600000</v>
      </c>
      <c r="E22" s="18" t="n">
        <v>56300000</v>
      </c>
      <c r="F22" s="18" t="n">
        <v>4800000</v>
      </c>
      <c r="G22" s="19" t="n">
        <f aca="false">(D22+F22)/2</f>
        <v>4700000</v>
      </c>
      <c r="H22" s="19" t="n">
        <f aca="false">D22+E22-F22</f>
        <v>56100000</v>
      </c>
      <c r="I22" s="20" t="n">
        <f aca="false">ROUND(H22/G22,2)</f>
        <v>11.94</v>
      </c>
      <c r="J22" s="21" t="n">
        <f aca="false">ROUND($N$2/I22,0)</f>
        <v>31</v>
      </c>
      <c r="K22" s="22" t="str">
        <f aca="false">IF(I22&lt;$N$3,"Lambat",IF(I22&gt;$N$4,"Cepat","Normal"))</f>
        <v>Normal</v>
      </c>
    </row>
    <row r="23" customFormat="false" ht="15" hidden="false" customHeight="false" outlineLevel="0" collapsed="false">
      <c r="A23" s="17" t="s">
        <v>147</v>
      </c>
      <c r="B23" s="17" t="s">
        <v>148</v>
      </c>
      <c r="C23" s="17" t="s">
        <v>136</v>
      </c>
      <c r="D23" s="18" t="n">
        <v>2500000</v>
      </c>
      <c r="E23" s="18" t="n">
        <v>22900000</v>
      </c>
      <c r="F23" s="18" t="n">
        <v>3000000</v>
      </c>
      <c r="G23" s="19" t="n">
        <f aca="false">(D23+F23)/2</f>
        <v>2750000</v>
      </c>
      <c r="H23" s="19" t="n">
        <f aca="false">D23+E23-F23</f>
        <v>22400000</v>
      </c>
      <c r="I23" s="20" t="n">
        <f aca="false">ROUND(H23/G23,2)</f>
        <v>8.15</v>
      </c>
      <c r="J23" s="21" t="n">
        <f aca="false">ROUND($N$2/I23,0)</f>
        <v>45</v>
      </c>
      <c r="K23" s="22" t="str">
        <f aca="false">IF(I23&lt;$N$3,"Lambat",IF(I23&gt;$N$4,"Cepat","Normal"))</f>
        <v>Normal</v>
      </c>
    </row>
    <row r="24" customFormat="false" ht="15" hidden="false" customHeight="false" outlineLevel="0" collapsed="false">
      <c r="A24" s="17" t="s">
        <v>149</v>
      </c>
      <c r="B24" s="17" t="s">
        <v>150</v>
      </c>
      <c r="C24" s="17" t="s">
        <v>151</v>
      </c>
      <c r="D24" s="18" t="n">
        <v>5000000</v>
      </c>
      <c r="E24" s="18" t="n">
        <v>22000000</v>
      </c>
      <c r="F24" s="18" t="n">
        <v>4900000</v>
      </c>
      <c r="G24" s="19" t="n">
        <f aca="false">(D24+F24)/2</f>
        <v>4950000</v>
      </c>
      <c r="H24" s="19" t="n">
        <f aca="false">D24+E24-F24</f>
        <v>22100000</v>
      </c>
      <c r="I24" s="20" t="n">
        <f aca="false">ROUND(H24/G24,2)</f>
        <v>4.46</v>
      </c>
      <c r="J24" s="21" t="n">
        <f aca="false">ROUND($N$2/I24,0)</f>
        <v>82</v>
      </c>
      <c r="K24" s="22" t="str">
        <f aca="false">IF(I24&lt;$N$3,"Lambat",IF(I24&gt;$N$4,"Cepat","Normal"))</f>
        <v>Lambat</v>
      </c>
    </row>
    <row r="25" customFormat="false" ht="15" hidden="false" customHeight="false" outlineLevel="0" collapsed="false">
      <c r="A25" s="17" t="s">
        <v>152</v>
      </c>
      <c r="B25" s="17" t="s">
        <v>153</v>
      </c>
      <c r="C25" s="17" t="s">
        <v>151</v>
      </c>
      <c r="D25" s="18" t="n">
        <v>1500000</v>
      </c>
      <c r="E25" s="18" t="n">
        <v>12800000</v>
      </c>
      <c r="F25" s="18" t="n">
        <v>1500000</v>
      </c>
      <c r="G25" s="19" t="n">
        <f aca="false">(D25+F25)/2</f>
        <v>1500000</v>
      </c>
      <c r="H25" s="19" t="n">
        <f aca="false">D25+E25-F25</f>
        <v>12800000</v>
      </c>
      <c r="I25" s="20" t="n">
        <f aca="false">ROUND(H25/G25,2)</f>
        <v>8.53</v>
      </c>
      <c r="J25" s="21" t="n">
        <f aca="false">ROUND($N$2/I25,0)</f>
        <v>43</v>
      </c>
      <c r="K25" s="22" t="str">
        <f aca="false">IF(I25&lt;$N$3,"Lambat",IF(I25&gt;$N$4,"Cepat","Normal"))</f>
        <v>Normal</v>
      </c>
    </row>
    <row r="26" customFormat="false" ht="15" hidden="false" customHeight="false" outlineLevel="0" collapsed="false">
      <c r="A26" s="17" t="s">
        <v>154</v>
      </c>
      <c r="B26" s="17" t="s">
        <v>155</v>
      </c>
      <c r="C26" s="17" t="s">
        <v>151</v>
      </c>
      <c r="D26" s="18" t="n">
        <v>4000000</v>
      </c>
      <c r="E26" s="18" t="n">
        <v>27400000</v>
      </c>
      <c r="F26" s="18" t="n">
        <v>3400000</v>
      </c>
      <c r="G26" s="19" t="n">
        <f aca="false">(D26+F26)/2</f>
        <v>3700000</v>
      </c>
      <c r="H26" s="19" t="n">
        <f aca="false">D26+E26-F26</f>
        <v>28000000</v>
      </c>
      <c r="I26" s="20" t="n">
        <f aca="false">ROUND(H26/G26,2)</f>
        <v>7.57</v>
      </c>
      <c r="J26" s="21" t="n">
        <f aca="false">ROUND($N$2/I26,0)</f>
        <v>48</v>
      </c>
      <c r="K26" s="22" t="str">
        <f aca="false">IF(I26&lt;$N$3,"Lambat",IF(I26&gt;$N$4,"Cepat","Normal"))</f>
        <v>Normal</v>
      </c>
    </row>
    <row r="27" customFormat="false" ht="15" hidden="false" customHeight="false" outlineLevel="0" collapsed="false">
      <c r="A27" s="17" t="s">
        <v>156</v>
      </c>
      <c r="B27" s="17" t="s">
        <v>157</v>
      </c>
      <c r="C27" s="17" t="s">
        <v>151</v>
      </c>
      <c r="D27" s="18" t="n">
        <v>3500000</v>
      </c>
      <c r="E27" s="18" t="n">
        <v>7600000</v>
      </c>
      <c r="F27" s="18" t="n">
        <v>3500000</v>
      </c>
      <c r="G27" s="19" t="n">
        <f aca="false">(D27+F27)/2</f>
        <v>3500000</v>
      </c>
      <c r="H27" s="19" t="n">
        <f aca="false">D27+E27-F27</f>
        <v>7600000</v>
      </c>
      <c r="I27" s="20" t="n">
        <f aca="false">ROUND(H27/G27,2)</f>
        <v>2.17</v>
      </c>
      <c r="J27" s="21" t="n">
        <f aca="false">ROUND($N$2/I27,0)</f>
        <v>168</v>
      </c>
      <c r="K27" s="22" t="str">
        <f aca="false">IF(I27&lt;$N$3,"Lambat",IF(I27&gt;$N$4,"Cepat","Normal"))</f>
        <v>Lambat</v>
      </c>
    </row>
    <row r="28" customFormat="false" ht="15" hidden="false" customHeight="false" outlineLevel="0" collapsed="false">
      <c r="A28" s="17" t="s">
        <v>158</v>
      </c>
      <c r="B28" s="17" t="s">
        <v>159</v>
      </c>
      <c r="C28" s="17" t="s">
        <v>151</v>
      </c>
      <c r="D28" s="18" t="n">
        <v>2800000</v>
      </c>
      <c r="E28" s="18" t="n">
        <v>9500000</v>
      </c>
      <c r="F28" s="18" t="n">
        <v>2300000</v>
      </c>
      <c r="G28" s="19" t="n">
        <f aca="false">(D28+F28)/2</f>
        <v>2550000</v>
      </c>
      <c r="H28" s="19" t="n">
        <f aca="false">D28+E28-F28</f>
        <v>10000000</v>
      </c>
      <c r="I28" s="20" t="n">
        <f aca="false">ROUND(H28/G28,2)</f>
        <v>3.92</v>
      </c>
      <c r="J28" s="21" t="n">
        <f aca="false">ROUND($N$2/I28,0)</f>
        <v>93</v>
      </c>
      <c r="K28" s="22" t="str">
        <f aca="false">IF(I28&lt;$N$3,"Lambat",IF(I28&gt;$N$4,"Cepat","Normal"))</f>
        <v>Lambat</v>
      </c>
    </row>
    <row r="29" customFormat="false" ht="15" hidden="false" customHeight="false" outlineLevel="0" collapsed="false">
      <c r="A29" s="17" t="s">
        <v>160</v>
      </c>
      <c r="B29" s="17" t="s">
        <v>161</v>
      </c>
      <c r="C29" s="17" t="s">
        <v>151</v>
      </c>
      <c r="D29" s="18" t="n">
        <v>3600000</v>
      </c>
      <c r="E29" s="18" t="n">
        <v>40700000</v>
      </c>
      <c r="F29" s="18" t="n">
        <v>3600000</v>
      </c>
      <c r="G29" s="19" t="n">
        <f aca="false">(D29+F29)/2</f>
        <v>3600000</v>
      </c>
      <c r="H29" s="19" t="n">
        <f aca="false">D29+E29-F29</f>
        <v>40700000</v>
      </c>
      <c r="I29" s="20" t="n">
        <f aca="false">ROUND(H29/G29,2)</f>
        <v>11.31</v>
      </c>
      <c r="J29" s="21" t="n">
        <f aca="false">ROUND($N$2/I29,0)</f>
        <v>32</v>
      </c>
      <c r="K29" s="22" t="str">
        <f aca="false">IF(I29&lt;$N$3,"Lambat",IF(I29&gt;$N$4,"Cepat","Normal"))</f>
        <v>Normal</v>
      </c>
    </row>
    <row r="30" customFormat="false" ht="15" hidden="false" customHeight="false" outlineLevel="0" collapsed="false">
      <c r="A30" s="17" t="s">
        <v>162</v>
      </c>
      <c r="B30" s="17" t="s">
        <v>163</v>
      </c>
      <c r="C30" s="17" t="s">
        <v>151</v>
      </c>
      <c r="D30" s="18" t="n">
        <v>2700000</v>
      </c>
      <c r="E30" s="18" t="n">
        <v>40300000</v>
      </c>
      <c r="F30" s="18" t="n">
        <v>2500000</v>
      </c>
      <c r="G30" s="19" t="n">
        <f aca="false">(D30+F30)/2</f>
        <v>2600000</v>
      </c>
      <c r="H30" s="19" t="n">
        <f aca="false">D30+E30-F30</f>
        <v>40500000</v>
      </c>
      <c r="I30" s="20" t="n">
        <f aca="false">ROUND(H30/G30,2)</f>
        <v>15.58</v>
      </c>
      <c r="J30" s="21" t="n">
        <f aca="false">ROUND($N$2/I30,0)</f>
        <v>23</v>
      </c>
      <c r="K30" s="22" t="str">
        <f aca="false">IF(I30&lt;$N$3,"Lambat",IF(I30&gt;$N$4,"Cepat","Normal"))</f>
        <v>Cepat</v>
      </c>
    </row>
    <row r="31" customFormat="false" ht="15" hidden="false" customHeight="false" outlineLevel="0" collapsed="false">
      <c r="A31" s="17" t="s">
        <v>164</v>
      </c>
      <c r="B31" s="17" t="s">
        <v>165</v>
      </c>
      <c r="C31" s="17" t="s">
        <v>151</v>
      </c>
      <c r="D31" s="18" t="n">
        <v>3500000</v>
      </c>
      <c r="E31" s="18" t="n">
        <v>77600000</v>
      </c>
      <c r="F31" s="18" t="n">
        <v>4100000</v>
      </c>
      <c r="G31" s="19" t="n">
        <f aca="false">(D31+F31)/2</f>
        <v>3800000</v>
      </c>
      <c r="H31" s="19" t="n">
        <f aca="false">D31+E31-F31</f>
        <v>77000000</v>
      </c>
      <c r="I31" s="20" t="n">
        <f aca="false">ROUND(H31/G31,2)</f>
        <v>20.26</v>
      </c>
      <c r="J31" s="21" t="n">
        <f aca="false">ROUND($N$2/I31,0)</f>
        <v>18</v>
      </c>
      <c r="K31" s="22" t="str">
        <f aca="false">IF(I31&lt;$N$3,"Lambat",IF(I31&gt;$N$4,"Cepat","Normal"))</f>
        <v>Cepat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3.75" hidden="false" customHeight="true" outlineLevel="0" collapsed="false">
      <c r="A1" s="11" t="s">
        <v>85</v>
      </c>
      <c r="B1" s="15" t="s">
        <v>166</v>
      </c>
      <c r="C1" s="15" t="s">
        <v>167</v>
      </c>
      <c r="D1" s="15" t="s">
        <v>168</v>
      </c>
      <c r="E1" s="15" t="s">
        <v>169</v>
      </c>
    </row>
    <row r="2" customFormat="false" ht="15" hidden="false" customHeight="false" outlineLevel="0" collapsed="false">
      <c r="A2" s="17" t="s">
        <v>99</v>
      </c>
      <c r="B2" s="19" t="n">
        <f aca="false">SUMIF(Data!$C$2:$C$31,A2,Data!$H$2:$H$31)</f>
        <v>284300000</v>
      </c>
      <c r="C2" s="19" t="n">
        <f aca="false">SUMIF(Data!$C$2:$C$31,A2,Data!$G$2:$G$31)</f>
        <v>25600000</v>
      </c>
      <c r="D2" s="20" t="n">
        <f aca="false">ROUND(B2/C2,2)</f>
        <v>11.11</v>
      </c>
      <c r="E2" s="21" t="n">
        <f aca="false">COUNTIFS(Data!$C$2:$C$31,A2,Data!$K$2:$K$31,"Lambat")</f>
        <v>2</v>
      </c>
    </row>
    <row r="3" customFormat="false" ht="15" hidden="false" customHeight="false" outlineLevel="0" collapsed="false">
      <c r="A3" s="17" t="s">
        <v>119</v>
      </c>
      <c r="B3" s="19" t="n">
        <f aca="false">SUMIF(Data!$C$2:$C$31,A3,Data!$H$2:$H$31)</f>
        <v>247500000</v>
      </c>
      <c r="C3" s="19" t="n">
        <f aca="false">SUMIF(Data!$C$2:$C$31,A3,Data!$G$2:$G$31)</f>
        <v>30700000</v>
      </c>
      <c r="D3" s="20" t="n">
        <f aca="false">ROUND(B3/C3,2)</f>
        <v>8.06</v>
      </c>
      <c r="E3" s="21" t="n">
        <f aca="false">COUNTIFS(Data!$C$2:$C$31,A3,Data!$K$2:$K$31,"Lambat")</f>
        <v>5</v>
      </c>
    </row>
    <row r="4" customFormat="false" ht="15" hidden="false" customHeight="false" outlineLevel="0" collapsed="false">
      <c r="A4" s="17" t="s">
        <v>136</v>
      </c>
      <c r="B4" s="19" t="n">
        <f aca="false">SUMIF(Data!$C$2:$C$31,A4,Data!$H$2:$H$31)</f>
        <v>276300000</v>
      </c>
      <c r="C4" s="19" t="n">
        <f aca="false">SUMIF(Data!$C$2:$C$31,A4,Data!$G$2:$G$31)</f>
        <v>23650000</v>
      </c>
      <c r="D4" s="20" t="n">
        <f aca="false">ROUND(B4/C4,2)</f>
        <v>11.68</v>
      </c>
      <c r="E4" s="21" t="n">
        <f aca="false">COUNTIFS(Data!$C$2:$C$31,A4,Data!$K$2:$K$31,"Lambat")</f>
        <v>2</v>
      </c>
    </row>
    <row r="5" customFormat="false" ht="15" hidden="false" customHeight="false" outlineLevel="0" collapsed="false">
      <c r="A5" s="17" t="s">
        <v>151</v>
      </c>
      <c r="B5" s="19" t="n">
        <f aca="false">SUMIF(Data!$C$2:$C$31,A5,Data!$H$2:$H$31)</f>
        <v>238700000</v>
      </c>
      <c r="C5" s="19" t="n">
        <f aca="false">SUMIF(Data!$C$2:$C$31,A5,Data!$G$2:$G$31)</f>
        <v>26200000</v>
      </c>
      <c r="D5" s="20" t="n">
        <f aca="false">ROUND(B5/C5,2)</f>
        <v>9.11</v>
      </c>
      <c r="E5" s="21" t="n">
        <f aca="false">COUNTIFS(Data!$C$2:$C$31,A5,Data!$K$2:$K$31,"Lambat")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170</v>
      </c>
      <c r="B1" s="25"/>
      <c r="C1" s="25"/>
      <c r="D1" s="25"/>
    </row>
    <row r="2" customFormat="false" ht="15" hidden="false" customHeight="false" outlineLevel="0" collapsed="false">
      <c r="A2" s="26" t="s">
        <v>171</v>
      </c>
      <c r="B2" s="26"/>
      <c r="C2" s="26"/>
      <c r="D2" s="26"/>
    </row>
    <row r="3" customFormat="false" ht="15" hidden="false" customHeight="false" outlineLevel="0" collapsed="false">
      <c r="A3" s="11" t="s">
        <v>19</v>
      </c>
      <c r="B3" s="11" t="s">
        <v>172</v>
      </c>
      <c r="C3" s="11" t="s">
        <v>173</v>
      </c>
      <c r="D3" s="11" t="s">
        <v>174</v>
      </c>
    </row>
    <row r="4" customFormat="false" ht="15" hidden="false" customHeight="false" outlineLevel="0" collapsed="false">
      <c r="A4" s="27" t="s">
        <v>175</v>
      </c>
      <c r="B4" s="28" t="s">
        <v>176</v>
      </c>
      <c r="C4" s="19" t="n">
        <f aca="false">SUM(Data!$D$2:$D$31)</f>
        <v>105300000</v>
      </c>
      <c r="D4" s="29" t="s">
        <v>177</v>
      </c>
    </row>
    <row r="5" customFormat="false" ht="15" hidden="false" customHeight="false" outlineLevel="0" collapsed="false">
      <c r="A5" s="27" t="s">
        <v>178</v>
      </c>
      <c r="B5" s="28" t="s">
        <v>179</v>
      </c>
      <c r="C5" s="19" t="n">
        <f aca="false">SUM(Data!$F$2:$F$31)</f>
        <v>107000000</v>
      </c>
      <c r="D5" s="29" t="s">
        <v>180</v>
      </c>
    </row>
    <row r="6" customFormat="false" ht="15" hidden="false" customHeight="false" outlineLevel="0" collapsed="false">
      <c r="A6" s="27" t="s">
        <v>181</v>
      </c>
      <c r="B6" s="28" t="s">
        <v>166</v>
      </c>
      <c r="C6" s="19" t="n">
        <f aca="false">SUM(Data!$H$2:$H$31)</f>
        <v>1046800000</v>
      </c>
      <c r="D6" s="29" t="s">
        <v>182</v>
      </c>
    </row>
    <row r="7" customFormat="false" ht="15" hidden="false" customHeight="false" outlineLevel="0" collapsed="false">
      <c r="A7" s="27" t="s">
        <v>183</v>
      </c>
      <c r="B7" s="28" t="s">
        <v>184</v>
      </c>
      <c r="C7" s="22" t="str">
        <f aca="false">INDEX(Data!$B$2:$B$31,MATCH(MAX(Data!$H$2:$H$31),Data!$H$2:$H$31,0))</f>
        <v>Santan Instan 200 ml</v>
      </c>
      <c r="D7" s="29" t="s">
        <v>185</v>
      </c>
    </row>
    <row r="8" customFormat="false" ht="15" hidden="false" customHeight="false" outlineLevel="0" collapsed="false">
      <c r="A8" s="27" t="s">
        <v>186</v>
      </c>
      <c r="B8" s="28" t="s">
        <v>187</v>
      </c>
      <c r="C8" s="22" t="str">
        <f aca="false">INDEX(Data!$B$2:$B$31,MATCH(MAX(Data!$I$2:$I$31),Data!$I$2:$I$31,0))</f>
        <v>Cokelat Batang 80 g</v>
      </c>
      <c r="D8" s="29" t="s">
        <v>185</v>
      </c>
    </row>
    <row r="9" customFormat="false" ht="15" hidden="false" customHeight="false" outlineLevel="0" collapsed="false">
      <c r="A9" s="27" t="s">
        <v>188</v>
      </c>
      <c r="B9" s="28" t="s">
        <v>189</v>
      </c>
      <c r="C9" s="21" t="n">
        <f aca="false">MAX(Data!$J$2:$J$31)</f>
        <v>205</v>
      </c>
      <c r="D9" s="29" t="s">
        <v>190</v>
      </c>
    </row>
    <row r="10" customFormat="false" ht="15" hidden="false" customHeight="false" outlineLevel="0" collapsed="false">
      <c r="A10" s="27" t="s">
        <v>191</v>
      </c>
      <c r="B10" s="28" t="s">
        <v>192</v>
      </c>
      <c r="C10" s="22" t="str">
        <f aca="false">INDEX(Data!$B$2:$B$31,MATCH(C9,Data!$J$2:$J$31,0))</f>
        <v>Minyak Goreng 5 L</v>
      </c>
      <c r="D10" s="29" t="s">
        <v>185</v>
      </c>
    </row>
    <row r="11" customFormat="false" ht="15" hidden="false" customHeight="false" outlineLevel="0" collapsed="false">
      <c r="A11" s="27" t="s">
        <v>193</v>
      </c>
      <c r="B11" s="28" t="s">
        <v>194</v>
      </c>
      <c r="C11" s="20" t="n">
        <f aca="false">MIN(Data!$I$2:$I$31)</f>
        <v>1.78</v>
      </c>
      <c r="D11" s="29" t="s">
        <v>195</v>
      </c>
    </row>
    <row r="12" customFormat="false" ht="15" hidden="false" customHeight="false" outlineLevel="0" collapsed="false">
      <c r="A12" s="27" t="s">
        <v>196</v>
      </c>
      <c r="B12" s="28" t="s">
        <v>169</v>
      </c>
      <c r="C12" s="21" t="n">
        <f aca="false">COUNTIF(Data!$K$2:$K$31,"Lambat")</f>
        <v>12</v>
      </c>
      <c r="D12" s="29" t="s">
        <v>197</v>
      </c>
    </row>
    <row r="13" customFormat="false" ht="15" hidden="false" customHeight="false" outlineLevel="0" collapsed="false">
      <c r="A13" s="27" t="s">
        <v>198</v>
      </c>
      <c r="B13" s="28" t="s">
        <v>199</v>
      </c>
      <c r="C13" s="21" t="n">
        <f aca="false">COUNTIF(Data!$K$2:$K$31,"Normal")</f>
        <v>10</v>
      </c>
      <c r="D13" s="29" t="s">
        <v>200</v>
      </c>
    </row>
    <row r="14" customFormat="false" ht="15" hidden="false" customHeight="false" outlineLevel="0" collapsed="false">
      <c r="A14" s="27" t="s">
        <v>201</v>
      </c>
      <c r="B14" s="28" t="s">
        <v>202</v>
      </c>
      <c r="C14" s="21" t="n">
        <f aca="false">COUNTIF(Data!$K$2:$K$31,"Cepat")</f>
        <v>8</v>
      </c>
      <c r="D14" s="29" t="s">
        <v>203</v>
      </c>
    </row>
    <row r="15" customFormat="false" ht="15" hidden="false" customHeight="false" outlineLevel="0" collapsed="false">
      <c r="A15" s="27" t="s">
        <v>204</v>
      </c>
      <c r="B15" s="28" t="s">
        <v>205</v>
      </c>
      <c r="C15" s="22" t="str">
        <f aca="false">INDEX(Acuan!$A$2:$A$5,MATCH(MAX(Acuan!$D$2:$D$5),Acuan!$D$2:$D$5,0))</f>
        <v>Minuman</v>
      </c>
      <c r="D15" s="29" t="s">
        <v>206</v>
      </c>
    </row>
    <row r="16" customFormat="false" ht="15" hidden="false" customHeight="false" outlineLevel="0" collapsed="false">
      <c r="A16" s="27" t="s">
        <v>207</v>
      </c>
      <c r="B16" s="28" t="s">
        <v>208</v>
      </c>
      <c r="C16" s="22" t="str">
        <f aca="false">INDEX(Acuan!$A$2:$A$5,MATCH(MIN(Acuan!$D$2:$D$5),Acuan!$D$2:$D$5,0))</f>
        <v>Minyak dan Bumbu</v>
      </c>
      <c r="D16" s="29" t="s">
        <v>206</v>
      </c>
    </row>
    <row r="17" customFormat="false" ht="15" hidden="false" customHeight="false" outlineLevel="0" collapsed="false">
      <c r="A17" s="27" t="s">
        <v>209</v>
      </c>
      <c r="B17" s="28" t="s">
        <v>210</v>
      </c>
      <c r="C17" s="20" t="n">
        <f aca="false">ROUND(SUM(Data!$H$2:$H$31)/SUM(Data!$G$2:$G$31),2)</f>
        <v>9.86</v>
      </c>
      <c r="D17" s="29" t="s">
        <v>211</v>
      </c>
    </row>
    <row r="18" customFormat="false" ht="15" hidden="false" customHeight="false" outlineLevel="0" collapsed="false">
      <c r="A18" s="27" t="s">
        <v>212</v>
      </c>
      <c r="B18" s="28" t="s">
        <v>213</v>
      </c>
      <c r="C18" s="30" t="n">
        <f aca="false">ROUND(AVERAGEIF(Data!$C$2:$C$31,"Minuman",Data!$J$2:$J$31),1)</f>
        <v>54.3</v>
      </c>
      <c r="D18" s="29" t="s">
        <v>214</v>
      </c>
    </row>
    <row r="19" customFormat="false" ht="15" hidden="false" customHeight="false" outlineLevel="0" collapsed="false">
      <c r="A19" s="27" t="s">
        <v>215</v>
      </c>
      <c r="B19" s="28" t="s">
        <v>216</v>
      </c>
      <c r="C19" s="19" t="n">
        <f aca="false">SUMIFS(Data!$H$2:$H$31,Data!$C$2:$C$31,"Makanan Ringan",Data!$K$2:$K$31,"Lambat")</f>
        <v>39700000</v>
      </c>
      <c r="D19" s="29" t="s">
        <v>217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2026-10-18T00:01:32Z</dcterms:created>
  <dc:creator>PushExcel</dc:creator>
  <dc:description/>
  <dc:language>en-US</dc:language>
  <cp:lastModifiedBy/>
  <dcterms:modified xsi:type="dcterms:W3CDTF">2026-10-18T00:01:32Z</dcterms:modified>
  <cp:revision>0</cp:revision>
  <dc:subject/>
  <dc:title>Perputaran dan Hari Persediaan Barang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