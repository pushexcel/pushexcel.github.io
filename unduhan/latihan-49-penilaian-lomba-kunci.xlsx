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<sst xmlns="http://schemas.openxmlformats.org/spreadsheetml/2006/main" count="196" uniqueCount="168">
  <si>
    <t xml:space="preserve">Kunci Jawaban: Penilaian Lomba Kreativitas oleh Tiga Juri</t>
  </si>
  <si>
    <t xml:space="preserve">Latihan 49 dari 56  |  Tingkat: Menengah  |  Perkiraan waktu: 50 menit  |  pushexcel.github.io/Pushexcel</t>
  </si>
  <si>
    <t xml:space="preserve">Skenario</t>
  </si>
  <si>
    <t xml:space="preserve">Kamu panitia Lomba Kreativitas Pelajar tingkat kecamatan yang diikuti 24 peserta dari enam sekolah. Setiap peserta dinilai tiga juri. Skor akhir adalah rata-rata nilai tiga juri dikurangi penalti keterlambatan (0,5 poin per menit terlambat) dan dibulatkan dua desimal. Tiga peringkat teratas menjadi juara 1, 2, dan 3 dengan hadiah yang nilainya ada di blok Parameter, sedangkan peserta lain tidak mendapat hadiah.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</si>
  <si>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</si>
  <si>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</si>
  <si>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</si>
  <si>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</si>
  <si>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</si>
  <si>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</si>
  <si>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</si>
  <si>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</si>
  <si>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</si>
  <si>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</si>
  <si>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</si>
  <si>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</si>
  <si>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</si>
  <si>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</si>
  <si>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</si>
  <si>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</si>
  <si>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</si>
  <si>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</si>
  <si>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</si>
  <si>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</si>
  <si>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rata-rata nilai tiga juri untuk tiap peserta.</t>
  </si>
  <si>
    <t xml:space="preserve">Sheet Data, kolom G (Rata-rata Juri), baris 2 sampai 25</t>
  </si>
  <si>
    <t xml:space="preserve">=AVERAGE(C2;D2;E2)</t>
  </si>
  <si>
    <t xml:space="preserve">2</t>
  </si>
  <si>
    <t xml:space="preserve">Hitung penalti: menit terlambat dikali penalti per menit.</t>
  </si>
  <si>
    <t xml:space="preserve">Sheet Data, kolom H (Penalti), baris 2 sampai 25</t>
  </si>
  <si>
    <t xml:space="preserve">=F2*$P$2</t>
  </si>
  <si>
    <t xml:space="preserve">3</t>
  </si>
  <si>
    <t xml:space="preserve">Hitung skor akhir: rata-rata juri dikurangi penalti, dibulatkan dua desimal.</t>
  </si>
  <si>
    <t xml:space="preserve">Sheet Data, kolom I (Skor Akhir), baris 2 sampai 25</t>
  </si>
  <si>
    <t xml:space="preserve">=ROUND(G2-H2;2)</t>
  </si>
  <si>
    <t xml:space="preserve">4</t>
  </si>
  <si>
    <t xml:space="preserve">Beri peringkat menurut skor akhir, peringkat 1 untuk skor tertinggi.</t>
  </si>
  <si>
    <t xml:space="preserve">Sheet Data, kolom J (Peringkat), baris 2 sampai 25</t>
  </si>
  <si>
    <t xml:space="preserve">=RANK(I2;$I$2:$I$25;0)</t>
  </si>
  <si>
    <t xml:space="preserve">5</t>
  </si>
  <si>
    <t xml:space="preserve">Tulis Juara 1, Juara 2, atau Juara 3 untuk tiga peringkat teratas. Peserta lain diberi tanda minus (-).</t>
  </si>
  <si>
    <t xml:space="preserve">Sheet Data, kolom K (Juara), baris 2 sampai 25</t>
  </si>
  <si>
    <t xml:space="preserve">=IF(J2=1;"Juara 1";IF(J2=2;"Juara 2";IF(J2=3;"Juara 3";"-")))</t>
  </si>
  <si>
    <t xml:space="preserve">6</t>
  </si>
  <si>
    <t xml:space="preserve">Berikan hadiah sesuai peringkat (juara 1, 2, 3 dari sel Parameter). Peserta peringkat di bawah 3 mendapat 0.</t>
  </si>
  <si>
    <t xml:space="preserve">Sheet Data, kolom L (Hadiah), baris 2 sampai 25</t>
  </si>
  <si>
    <t xml:space="preserve">=IF(J2&lt;=3;CHOOSE(J2;$P$3;$P$4;$P$5);0)</t>
  </si>
  <si>
    <t xml:space="preserve">7</t>
  </si>
  <si>
    <t xml:space="preserve">Hitung selisih skor akhir peserta dari skor tertinggi: skor tertinggi dikurangi skor peserta.</t>
  </si>
  <si>
    <t xml:space="preserve">Sheet Data, kolom M (Selisih dari Juara 1), baris 2 sampai 25</t>
  </si>
  <si>
    <t xml:space="preserve">=MAX($I$2:$I$25)-I2</t>
  </si>
  <si>
    <t xml:space="preserve">8</t>
  </si>
  <si>
    <t xml:space="preserve">Pada sheet Acuan, hitung rata-rata skor akhir peserta tiap sekolah.</t>
  </si>
  <si>
    <t xml:space="preserve">Sheet Acuan, kolom B (Rata-rata Skor), baris 2 sampai 7</t>
  </si>
  <si>
    <t xml:space="preserve">=AVERAGEIF(Data!$B$2:$B$25;A2;Data!$I$2:$I$25)</t>
  </si>
  <si>
    <t xml:space="preserve">9</t>
  </si>
  <si>
    <t xml:space="preserve">Pada sheet Acuan, hitung total hadiah yang diraih tiap sekolah.</t>
  </si>
  <si>
    <t xml:space="preserve">Sheet Acuan, kolom C (Total Hadiah), baris 2 sampai 7</t>
  </si>
  <si>
    <t xml:space="preserve">=SUMIF(Data!$B$2:$B$25;A2;Data!$L$2:$L$25)</t>
  </si>
  <si>
    <t xml:space="preserve">10</t>
  </si>
  <si>
    <t xml:space="preserve">Pada sheet Acuan, hitung berapa peserta tiap sekolah yang masuk lima besar, yaitu berperingkat 1 sampai 5.</t>
  </si>
  <si>
    <t xml:space="preserve">Sheet Acuan, kolom D (Peserta 5 Besar), baris 2 sampai 7</t>
  </si>
  <si>
    <t xml:space="preserve">=COUNTIFS(Data!$B$2:$B$25;A2;Data!$J$2:$J$25;"&lt;=5")</t>
  </si>
  <si>
    <t xml:space="preserve">11</t>
  </si>
  <si>
    <t xml:space="preserve">Berapa skor akhir tertinggi, terendah, dan rata-rata seluruh peserta?</t>
  </si>
  <si>
    <t xml:space="preserve">Sheet Ringkasan, sel C4 sampai C6</t>
  </si>
  <si>
    <t xml:space="preserve">=MAX(Data!$I$2:$I$25)
=MIN(Data!$I$2:$I$25)
=AVERAGE(Data!$I$2:$I$25)</t>
  </si>
  <si>
    <t xml:space="preserve">12</t>
  </si>
  <si>
    <t xml:space="preserve">Siapa peserta Juara 1, dari sekolah mana, dan siapa peserta peringkat 3?</t>
  </si>
  <si>
    <t xml:space="preserve">Sheet Ringkasan, sel C7 sampai C9</t>
  </si>
  <si>
    <t xml:space="preserve">=INDEX(Data!$A$2:$A$25;MATCH(1;Data!$J$2:$J$25;0))
=INDEX(Data!$B$2:$B$25;MATCH(1;Data!$J$2:$J$25;0))
=INDEX(Data!$A$2:$A$25;MATCH(3;Data!$J$2:$J$25;0))</t>
  </si>
  <si>
    <t xml:space="preserve">13</t>
  </si>
  <si>
    <t xml:space="preserve">Berapa skor akhir tertinggi kedua dan terendah kedua, dan sekolah mana yang rata-rata skornya tertinggi?</t>
  </si>
  <si>
    <t xml:space="preserve">Sheet Ringkasan, sel C10 sampai C12</t>
  </si>
  <si>
    <t xml:space="preserve">=LARGE(Data!$I$2:$I$25;2)
=SMALL(Data!$I$2:$I$25;2)
=INDEX(Acuan!$A$2:$A$7;MATCH(MAX(Acuan!$B$2:$B$7);Acuan!$B$2:$B$7;0))</t>
  </si>
  <si>
    <t xml:space="preserve">14</t>
  </si>
  <si>
    <t xml:space="preserve">Berapa total hadiah yang dibagikan, dan berapa peserta yang terkena penalti keterlambatan?</t>
  </si>
  <si>
    <t xml:space="preserve">Sheet Ringkasan, sel C13 sampai C14</t>
  </si>
  <si>
    <t xml:space="preserve">=SUM(Data!$L$2:$L$25)
=COUNTIF(Data!$F$2:$F$25;"&gt;0")</t>
  </si>
  <si>
    <t xml:space="preserve">Peserta</t>
  </si>
  <si>
    <t xml:space="preserve">Sekolah</t>
  </si>
  <si>
    <t xml:space="preserve">Juri 1</t>
  </si>
  <si>
    <t xml:space="preserve">Juri 2</t>
  </si>
  <si>
    <t xml:space="preserve">Juri 3</t>
  </si>
  <si>
    <t xml:space="preserve">Menit Terlambat</t>
  </si>
  <si>
    <t xml:space="preserve">Rata-rata Juri</t>
  </si>
  <si>
    <t xml:space="preserve">Penalti</t>
  </si>
  <si>
    <t xml:space="preserve">Skor Akhir</t>
  </si>
  <si>
    <t xml:space="preserve">Peringkat</t>
  </si>
  <si>
    <t xml:space="preserve">Juara</t>
  </si>
  <si>
    <t xml:space="preserve">Hadiah</t>
  </si>
  <si>
    <t xml:space="preserve">Selisih dari Juara 1</t>
  </si>
  <si>
    <t xml:space="preserve">Parameter</t>
  </si>
  <si>
    <t xml:space="preserve">Nilai</t>
  </si>
  <si>
    <t xml:space="preserve">Keterangan</t>
  </si>
  <si>
    <t xml:space="preserve">Tika Purnomo</t>
  </si>
  <si>
    <t xml:space="preserve">SMP Negeri 1</t>
  </si>
  <si>
    <t xml:space="preserve">Penalti per menit</t>
  </si>
  <si>
    <t xml:space="preserve">Umar Lestari</t>
  </si>
  <si>
    <t xml:space="preserve">SMP Negeri 2</t>
  </si>
  <si>
    <t xml:space="preserve">Hadiah juara 1</t>
  </si>
  <si>
    <t xml:space="preserve">Bambang Maharani</t>
  </si>
  <si>
    <t xml:space="preserve">SMP Harapan</t>
  </si>
  <si>
    <t xml:space="preserve">Hadiah juara 2</t>
  </si>
  <si>
    <t xml:space="preserve">Edi Hidayat</t>
  </si>
  <si>
    <t xml:space="preserve">SMP Tunas Bangsa</t>
  </si>
  <si>
    <t xml:space="preserve">Hadiah juara 3</t>
  </si>
  <si>
    <t xml:space="preserve">Tono Ramadhan</t>
  </si>
  <si>
    <t xml:space="preserve">SMP Al Ikhlas</t>
  </si>
  <si>
    <t xml:space="preserve">Eko Yulianto</t>
  </si>
  <si>
    <t xml:space="preserve">SMP Mutiara</t>
  </si>
  <si>
    <t xml:space="preserve">Irfan Hidayat</t>
  </si>
  <si>
    <t xml:space="preserve">Yoga Yulianto</t>
  </si>
  <si>
    <t xml:space="preserve">Ayu Nugroho</t>
  </si>
  <si>
    <t xml:space="preserve">Wawan Wibowo</t>
  </si>
  <si>
    <t xml:space="preserve">Rizki Firmansyah</t>
  </si>
  <si>
    <t xml:space="preserve">Andi Pratama</t>
  </si>
  <si>
    <t xml:space="preserve">Joko Nugroho</t>
  </si>
  <si>
    <t xml:space="preserve">Putri Handayani</t>
  </si>
  <si>
    <t xml:space="preserve">Utami Pangestu</t>
  </si>
  <si>
    <t xml:space="preserve">Joko Suryani</t>
  </si>
  <si>
    <t xml:space="preserve">Citra Nugroho</t>
  </si>
  <si>
    <t xml:space="preserve">Vina Ramadhan</t>
  </si>
  <si>
    <t xml:space="preserve">Fitri Santoso</t>
  </si>
  <si>
    <t xml:space="preserve">Utami Firmansyah</t>
  </si>
  <si>
    <t xml:space="preserve">Rahmat Setiawan</t>
  </si>
  <si>
    <t xml:space="preserve">Wahyu Santoso</t>
  </si>
  <si>
    <t xml:space="preserve">Tono Suryani</t>
  </si>
  <si>
    <t xml:space="preserve">Citra Susanto</t>
  </si>
  <si>
    <t xml:space="preserve">Rata-rata Skor</t>
  </si>
  <si>
    <t xml:space="preserve">Total Hadiah</t>
  </si>
  <si>
    <t xml:space="preserve">Peserta 5 Besar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</si>
  <si>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</si>
  <si>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</si>
  <si>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</si>
  <si>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</si>
  <si>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</si>
  <si>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11a</t>
  </si>
  <si>
    <t xml:space="preserve">Skor akhir tertinggi</t>
  </si>
  <si>
    <t xml:space="preserve">Angka desimal, mis. 92,00</t>
  </si>
  <si>
    <t xml:space="preserve">11b</t>
  </si>
  <si>
    <t xml:space="preserve">Skor akhir terendah</t>
  </si>
  <si>
    <t xml:space="preserve">Angka desimal, mis. 65,00</t>
  </si>
  <si>
    <t xml:space="preserve">11c</t>
  </si>
  <si>
    <t xml:space="preserve">Rata-rata skor akhir</t>
  </si>
  <si>
    <t xml:space="preserve">Angka desimal, mis. 80,50</t>
  </si>
  <si>
    <t xml:space="preserve">12a</t>
  </si>
  <si>
    <t xml:space="preserve">Peserta Juara 1</t>
  </si>
  <si>
    <t xml:space="preserve">Teks: nama peserta</t>
  </si>
  <si>
    <t xml:space="preserve">12b</t>
  </si>
  <si>
    <t xml:space="preserve">Sekolah Juara 1</t>
  </si>
  <si>
    <t xml:space="preserve">Teks: nama sekolah</t>
  </si>
  <si>
    <t xml:space="preserve">12c</t>
  </si>
  <si>
    <t xml:space="preserve">Peserta peringkat 3</t>
  </si>
  <si>
    <t xml:space="preserve">13a</t>
  </si>
  <si>
    <t xml:space="preserve">Skor akhir tertinggi kedua</t>
  </si>
  <si>
    <t xml:space="preserve">Angka desimal, mis. 90,50</t>
  </si>
  <si>
    <t xml:space="preserve">13b</t>
  </si>
  <si>
    <t xml:space="preserve">Skor akhir terendah kedua</t>
  </si>
  <si>
    <t xml:space="preserve">Angka desimal, mis. 67,50</t>
  </si>
  <si>
    <t xml:space="preserve">13c</t>
  </si>
  <si>
    <t xml:space="preserve">Sekolah dengan rata-rata skor tertinggi</t>
  </si>
  <si>
    <t xml:space="preserve">14a</t>
  </si>
  <si>
    <t xml:space="preserve">Total hadiah dibagikan</t>
  </si>
  <si>
    <t xml:space="preserve">Rupiah, mis. Rp 3.000.000</t>
  </si>
  <si>
    <t xml:space="preserve">14b</t>
  </si>
  <si>
    <t xml:space="preserve">Peserta terkena penalti keterlambatan</t>
  </si>
  <si>
    <t xml:space="preserve">Angka bulat, mis. 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</si>
</sst>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&quot;Rp 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30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30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7.7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69.7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57.7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  <row r="34" customFormat="false" ht="43.5" hidden="false" customHeight="true" outlineLevel="0" collapsed="false">
      <c r="A34" s="12" t="s">
        <v>75</v>
      </c>
      <c r="B34" s="13" t="s">
        <v>76</v>
      </c>
      <c r="C34" s="13" t="s">
        <v>77</v>
      </c>
      <c r="D34" s="14" t="s">
        <v>78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5" min="3" style="0" width="8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9"/>
    <col collapsed="false" customWidth="true" hidden="false" outlineLevel="0" max="14" min="14" style="0" width="3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42"/>
  </cols>
  <sheetData>
    <row r="1" customFormat="false" ht="33.75" hidden="false" customHeight="true" outlineLevel="0" collapsed="false">
      <c r="A1" s="11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1" t="s">
        <v>84</v>
      </c>
      <c r="G1" s="15" t="s">
        <v>85</v>
      </c>
      <c r="H1" s="15" t="s">
        <v>86</v>
      </c>
      <c r="I1" s="15" t="s">
        <v>87</v>
      </c>
      <c r="J1" s="15" t="s">
        <v>88</v>
      </c>
      <c r="K1" s="15" t="s">
        <v>89</v>
      </c>
      <c r="L1" s="15" t="s">
        <v>90</v>
      </c>
      <c r="M1" s="15" t="s">
        <v>91</v>
      </c>
      <c r="O1" s="16" t="s">
        <v>92</v>
      </c>
      <c r="P1" s="16" t="s">
        <v>93</v>
      </c>
      <c r="Q1" s="16" t="s">
        <v>94</v>
      </c>
    </row>
    <row r="2" customFormat="false" ht="15" hidden="false" customHeight="false" outlineLevel="0" collapsed="false">
      <c r="A2" s="17" t="s">
        <v>95</v>
      </c>
      <c r="B2" s="17" t="s">
        <v>96</v>
      </c>
      <c r="C2" s="18" t="n">
        <v>78</v>
      </c>
      <c r="D2" s="18" t="n">
        <v>76</v>
      </c>
      <c r="E2" s="18" t="n">
        <v>86</v>
      </c>
      <c r="F2" s="18" t="n">
        <v>5</v>
      </c>
      <c r="G2" s="19" t="n">
        <f aca="false">AVERAGE(C2,D2,E2)</f>
        <v>80</v>
      </c>
      <c r="H2" s="20" t="n">
        <f aca="false">F2*$P$2</f>
        <v>2.5</v>
      </c>
      <c r="I2" s="19" t="n">
        <f aca="false">ROUND(G2-H2,2)</f>
        <v>77.5</v>
      </c>
      <c r="J2" s="21" t="n">
        <f aca="false">RANK(I2,$I$2:$I$25,0)</f>
        <v>16</v>
      </c>
      <c r="K2" s="22" t="str">
        <f aca="false">IF(J2=1,"Juara 1",IF(J2=2,"Juara 2",IF(J2=3,"Juara 3","-")))</f>
        <v>-</v>
      </c>
      <c r="L2" s="23" t="n">
        <f aca="false">IF(J2&lt;=3,CHOOSE(J2,$P$3,$P$4,$P$5),0)</f>
        <v>0</v>
      </c>
      <c r="M2" s="19" t="n">
        <f aca="false">MAX($I$2:$I$25)-I2</f>
        <v>13.5</v>
      </c>
      <c r="O2" s="24" t="s">
        <v>97</v>
      </c>
      <c r="P2" s="25" t="n">
        <v>0.5</v>
      </c>
      <c r="Q2" s="24"/>
    </row>
    <row r="3" customFormat="false" ht="15" hidden="false" customHeight="false" outlineLevel="0" collapsed="false">
      <c r="A3" s="17" t="s">
        <v>98</v>
      </c>
      <c r="B3" s="17" t="s">
        <v>99</v>
      </c>
      <c r="C3" s="18" t="n">
        <v>86</v>
      </c>
      <c r="D3" s="18" t="n">
        <v>83</v>
      </c>
      <c r="E3" s="18" t="n">
        <v>81</v>
      </c>
      <c r="F3" s="18" t="n">
        <v>2</v>
      </c>
      <c r="G3" s="19" t="n">
        <f aca="false">AVERAGE(C3,D3,E3)</f>
        <v>83.3333333333333</v>
      </c>
      <c r="H3" s="20" t="n">
        <f aca="false">F3*$P$2</f>
        <v>1</v>
      </c>
      <c r="I3" s="19" t="n">
        <f aca="false">ROUND(G3-H3,2)</f>
        <v>82.33</v>
      </c>
      <c r="J3" s="21" t="n">
        <f aca="false">RANK(I3,$I$2:$I$25,0)</f>
        <v>9</v>
      </c>
      <c r="K3" s="22" t="str">
        <f aca="false">IF(J3=1,"Juara 1",IF(J3=2,"Juara 2",IF(J3=3,"Juara 3","-")))</f>
        <v>-</v>
      </c>
      <c r="L3" s="23" t="n">
        <f aca="false">IF(J3&lt;=3,CHOOSE(J3,$P$3,$P$4,$P$5),0)</f>
        <v>0</v>
      </c>
      <c r="M3" s="19" t="n">
        <f aca="false">MAX($I$2:$I$25)-I3</f>
        <v>8.67</v>
      </c>
      <c r="O3" s="24" t="s">
        <v>100</v>
      </c>
      <c r="P3" s="26" t="n">
        <v>2000000</v>
      </c>
      <c r="Q3" s="24"/>
    </row>
    <row r="4" customFormat="false" ht="15" hidden="false" customHeight="false" outlineLevel="0" collapsed="false">
      <c r="A4" s="17" t="s">
        <v>101</v>
      </c>
      <c r="B4" s="17" t="s">
        <v>102</v>
      </c>
      <c r="C4" s="18" t="n">
        <v>86</v>
      </c>
      <c r="D4" s="18" t="n">
        <v>92</v>
      </c>
      <c r="E4" s="18" t="n">
        <v>88</v>
      </c>
      <c r="F4" s="18" t="n">
        <v>0</v>
      </c>
      <c r="G4" s="19" t="n">
        <f aca="false">AVERAGE(C4,D4,E4)</f>
        <v>88.6666666666667</v>
      </c>
      <c r="H4" s="20" t="n">
        <f aca="false">F4*$P$2</f>
        <v>0</v>
      </c>
      <c r="I4" s="19" t="n">
        <f aca="false">ROUND(G4-H4,2)</f>
        <v>88.67</v>
      </c>
      <c r="J4" s="21" t="n">
        <f aca="false">RANK(I4,$I$2:$I$25,0)</f>
        <v>3</v>
      </c>
      <c r="K4" s="22" t="str">
        <f aca="false">IF(J4=1,"Juara 1",IF(J4=2,"Juara 2",IF(J4=3,"Juara 3","-")))</f>
        <v>Juara 3</v>
      </c>
      <c r="L4" s="23" t="n">
        <f aca="false">IF(J4&lt;=3,CHOOSE(J4,$P$3,$P$4,$P$5),0)</f>
        <v>1000000</v>
      </c>
      <c r="M4" s="19" t="n">
        <f aca="false">MAX($I$2:$I$25)-I4</f>
        <v>2.33</v>
      </c>
      <c r="O4" s="24" t="s">
        <v>103</v>
      </c>
      <c r="P4" s="26" t="n">
        <v>1500000</v>
      </c>
      <c r="Q4" s="24"/>
    </row>
    <row r="5" customFormat="false" ht="15" hidden="false" customHeight="false" outlineLevel="0" collapsed="false">
      <c r="A5" s="17" t="s">
        <v>104</v>
      </c>
      <c r="B5" s="17" t="s">
        <v>105</v>
      </c>
      <c r="C5" s="18" t="n">
        <v>81</v>
      </c>
      <c r="D5" s="18" t="n">
        <v>87</v>
      </c>
      <c r="E5" s="18" t="n">
        <v>83</v>
      </c>
      <c r="F5" s="18" t="n">
        <v>0</v>
      </c>
      <c r="G5" s="19" t="n">
        <f aca="false">AVERAGE(C5,D5,E5)</f>
        <v>83.6666666666667</v>
      </c>
      <c r="H5" s="20" t="n">
        <f aca="false">F5*$P$2</f>
        <v>0</v>
      </c>
      <c r="I5" s="19" t="n">
        <f aca="false">ROUND(G5-H5,2)</f>
        <v>83.67</v>
      </c>
      <c r="J5" s="21" t="n">
        <f aca="false">RANK(I5,$I$2:$I$25,0)</f>
        <v>7</v>
      </c>
      <c r="K5" s="22" t="str">
        <f aca="false">IF(J5=1,"Juara 1",IF(J5=2,"Juara 2",IF(J5=3,"Juara 3","-")))</f>
        <v>-</v>
      </c>
      <c r="L5" s="23" t="n">
        <f aca="false">IF(J5&lt;=3,CHOOSE(J5,$P$3,$P$4,$P$5),0)</f>
        <v>0</v>
      </c>
      <c r="M5" s="19" t="n">
        <f aca="false">MAX($I$2:$I$25)-I5</f>
        <v>7.33</v>
      </c>
      <c r="O5" s="24" t="s">
        <v>106</v>
      </c>
      <c r="P5" s="26" t="n">
        <v>1000000</v>
      </c>
      <c r="Q5" s="24"/>
    </row>
    <row r="6" customFormat="false" ht="15" hidden="false" customHeight="false" outlineLevel="0" collapsed="false">
      <c r="A6" s="17" t="s">
        <v>107</v>
      </c>
      <c r="B6" s="17" t="s">
        <v>108</v>
      </c>
      <c r="C6" s="18" t="n">
        <v>78</v>
      </c>
      <c r="D6" s="18" t="n">
        <v>86</v>
      </c>
      <c r="E6" s="18" t="n">
        <v>93</v>
      </c>
      <c r="F6" s="18" t="n">
        <v>0</v>
      </c>
      <c r="G6" s="19" t="n">
        <f aca="false">AVERAGE(C6,D6,E6)</f>
        <v>85.6666666666667</v>
      </c>
      <c r="H6" s="20" t="n">
        <f aca="false">F6*$P$2</f>
        <v>0</v>
      </c>
      <c r="I6" s="19" t="n">
        <f aca="false">ROUND(G6-H6,2)</f>
        <v>85.67</v>
      </c>
      <c r="J6" s="21" t="n">
        <f aca="false">RANK(I6,$I$2:$I$25,0)</f>
        <v>4</v>
      </c>
      <c r="K6" s="22" t="str">
        <f aca="false">IF(J6=1,"Juara 1",IF(J6=2,"Juara 2",IF(J6=3,"Juara 3","-")))</f>
        <v>-</v>
      </c>
      <c r="L6" s="23" t="n">
        <f aca="false">IF(J6&lt;=3,CHOOSE(J6,$P$3,$P$4,$P$5),0)</f>
        <v>0</v>
      </c>
      <c r="M6" s="19" t="n">
        <f aca="false">MAX($I$2:$I$25)-I6</f>
        <v>5.33</v>
      </c>
    </row>
    <row r="7" customFormat="false" ht="15" hidden="false" customHeight="false" outlineLevel="0" collapsed="false">
      <c r="A7" s="17" t="s">
        <v>109</v>
      </c>
      <c r="B7" s="17" t="s">
        <v>110</v>
      </c>
      <c r="C7" s="18" t="n">
        <v>67</v>
      </c>
      <c r="D7" s="18" t="n">
        <v>74</v>
      </c>
      <c r="E7" s="18" t="n">
        <v>77</v>
      </c>
      <c r="F7" s="18" t="n">
        <v>2</v>
      </c>
      <c r="G7" s="19" t="n">
        <f aca="false">AVERAGE(C7,D7,E7)</f>
        <v>72.6666666666667</v>
      </c>
      <c r="H7" s="20" t="n">
        <f aca="false">F7*$P$2</f>
        <v>1</v>
      </c>
      <c r="I7" s="19" t="n">
        <f aca="false">ROUND(G7-H7,2)</f>
        <v>71.67</v>
      </c>
      <c r="J7" s="21" t="n">
        <f aca="false">RANK(I7,$I$2:$I$25,0)</f>
        <v>21</v>
      </c>
      <c r="K7" s="22" t="str">
        <f aca="false">IF(J7=1,"Juara 1",IF(J7=2,"Juara 2",IF(J7=3,"Juara 3","-")))</f>
        <v>-</v>
      </c>
      <c r="L7" s="23" t="n">
        <f aca="false">IF(J7&lt;=3,CHOOSE(J7,$P$3,$P$4,$P$5),0)</f>
        <v>0</v>
      </c>
      <c r="M7" s="19" t="n">
        <f aca="false">MAX($I$2:$I$25)-I7</f>
        <v>19.33</v>
      </c>
    </row>
    <row r="8" customFormat="false" ht="15" hidden="false" customHeight="false" outlineLevel="0" collapsed="false">
      <c r="A8" s="17" t="s">
        <v>111</v>
      </c>
      <c r="B8" s="17" t="s">
        <v>96</v>
      </c>
      <c r="C8" s="18" t="n">
        <v>76</v>
      </c>
      <c r="D8" s="18" t="n">
        <v>81</v>
      </c>
      <c r="E8" s="18" t="n">
        <v>84</v>
      </c>
      <c r="F8" s="18" t="n">
        <v>5</v>
      </c>
      <c r="G8" s="19" t="n">
        <f aca="false">AVERAGE(C8,D8,E8)</f>
        <v>80.3333333333333</v>
      </c>
      <c r="H8" s="20" t="n">
        <f aca="false">F8*$P$2</f>
        <v>2.5</v>
      </c>
      <c r="I8" s="19" t="n">
        <f aca="false">ROUND(G8-H8,2)</f>
        <v>77.83</v>
      </c>
      <c r="J8" s="21" t="n">
        <f aca="false">RANK(I8,$I$2:$I$25,0)</f>
        <v>15</v>
      </c>
      <c r="K8" s="22" t="str">
        <f aca="false">IF(J8=1,"Juara 1",IF(J8=2,"Juara 2",IF(J8=3,"Juara 3","-")))</f>
        <v>-</v>
      </c>
      <c r="L8" s="23" t="n">
        <f aca="false">IF(J8&lt;=3,CHOOSE(J8,$P$3,$P$4,$P$5),0)</f>
        <v>0</v>
      </c>
      <c r="M8" s="19" t="n">
        <f aca="false">MAX($I$2:$I$25)-I8</f>
        <v>13.17</v>
      </c>
    </row>
    <row r="9" customFormat="false" ht="15" hidden="false" customHeight="false" outlineLevel="0" collapsed="false">
      <c r="A9" s="17" t="s">
        <v>112</v>
      </c>
      <c r="B9" s="17" t="s">
        <v>99</v>
      </c>
      <c r="C9" s="18" t="n">
        <v>87</v>
      </c>
      <c r="D9" s="18" t="n">
        <v>84</v>
      </c>
      <c r="E9" s="18" t="n">
        <v>83</v>
      </c>
      <c r="F9" s="18" t="n">
        <v>0</v>
      </c>
      <c r="G9" s="19" t="n">
        <f aca="false">AVERAGE(C9,D9,E9)</f>
        <v>84.6666666666667</v>
      </c>
      <c r="H9" s="20" t="n">
        <f aca="false">F9*$P$2</f>
        <v>0</v>
      </c>
      <c r="I9" s="19" t="n">
        <f aca="false">ROUND(G9-H9,2)</f>
        <v>84.67</v>
      </c>
      <c r="J9" s="21" t="n">
        <f aca="false">RANK(I9,$I$2:$I$25,0)</f>
        <v>6</v>
      </c>
      <c r="K9" s="22" t="str">
        <f aca="false">IF(J9=1,"Juara 1",IF(J9=2,"Juara 2",IF(J9=3,"Juara 3","-")))</f>
        <v>-</v>
      </c>
      <c r="L9" s="23" t="n">
        <f aca="false">IF(J9&lt;=3,CHOOSE(J9,$P$3,$P$4,$P$5),0)</f>
        <v>0</v>
      </c>
      <c r="M9" s="19" t="n">
        <f aca="false">MAX($I$2:$I$25)-I9</f>
        <v>6.33</v>
      </c>
    </row>
    <row r="10" customFormat="false" ht="15" hidden="false" customHeight="false" outlineLevel="0" collapsed="false">
      <c r="A10" s="17" t="s">
        <v>113</v>
      </c>
      <c r="B10" s="17" t="s">
        <v>102</v>
      </c>
      <c r="C10" s="18" t="n">
        <v>94</v>
      </c>
      <c r="D10" s="18" t="n">
        <v>94</v>
      </c>
      <c r="E10" s="18" t="n">
        <v>84</v>
      </c>
      <c r="F10" s="18" t="n">
        <v>0</v>
      </c>
      <c r="G10" s="19" t="n">
        <f aca="false">AVERAGE(C10,D10,E10)</f>
        <v>90.6666666666667</v>
      </c>
      <c r="H10" s="20" t="n">
        <f aca="false">F10*$P$2</f>
        <v>0</v>
      </c>
      <c r="I10" s="19" t="n">
        <f aca="false">ROUND(G10-H10,2)</f>
        <v>90.67</v>
      </c>
      <c r="J10" s="21" t="n">
        <f aca="false">RANK(I10,$I$2:$I$25,0)</f>
        <v>2</v>
      </c>
      <c r="K10" s="22" t="str">
        <f aca="false">IF(J10=1,"Juara 1",IF(J10=2,"Juara 2",IF(J10=3,"Juara 3","-")))</f>
        <v>Juara 2</v>
      </c>
      <c r="L10" s="23" t="n">
        <f aca="false">IF(J10&lt;=3,CHOOSE(J10,$P$3,$P$4,$P$5),0)</f>
        <v>1500000</v>
      </c>
      <c r="M10" s="19" t="n">
        <f aca="false">MAX($I$2:$I$25)-I10</f>
        <v>0.329999999999998</v>
      </c>
    </row>
    <row r="11" customFormat="false" ht="15" hidden="false" customHeight="false" outlineLevel="0" collapsed="false">
      <c r="A11" s="17" t="s">
        <v>114</v>
      </c>
      <c r="B11" s="17" t="s">
        <v>105</v>
      </c>
      <c r="C11" s="18" t="n">
        <v>82</v>
      </c>
      <c r="D11" s="18" t="n">
        <v>82</v>
      </c>
      <c r="E11" s="18" t="n">
        <v>85</v>
      </c>
      <c r="F11" s="18" t="n">
        <v>0</v>
      </c>
      <c r="G11" s="19" t="n">
        <f aca="false">AVERAGE(C11,D11,E11)</f>
        <v>83</v>
      </c>
      <c r="H11" s="20" t="n">
        <f aca="false">F11*$P$2</f>
        <v>0</v>
      </c>
      <c r="I11" s="19" t="n">
        <f aca="false">ROUND(G11-H11,2)</f>
        <v>83</v>
      </c>
      <c r="J11" s="21" t="n">
        <f aca="false">RANK(I11,$I$2:$I$25,0)</f>
        <v>8</v>
      </c>
      <c r="K11" s="22" t="str">
        <f aca="false">IF(J11=1,"Juara 1",IF(J11=2,"Juara 2",IF(J11=3,"Juara 3","-")))</f>
        <v>-</v>
      </c>
      <c r="L11" s="23" t="n">
        <f aca="false">IF(J11&lt;=3,CHOOSE(J11,$P$3,$P$4,$P$5),0)</f>
        <v>0</v>
      </c>
      <c r="M11" s="19" t="n">
        <f aca="false">MAX($I$2:$I$25)-I11</f>
        <v>8</v>
      </c>
    </row>
    <row r="12" customFormat="false" ht="15" hidden="false" customHeight="false" outlineLevel="0" collapsed="false">
      <c r="A12" s="17" t="s">
        <v>115</v>
      </c>
      <c r="B12" s="17" t="s">
        <v>108</v>
      </c>
      <c r="C12" s="18" t="n">
        <v>84</v>
      </c>
      <c r="D12" s="18" t="n">
        <v>70</v>
      </c>
      <c r="E12" s="18" t="n">
        <v>71</v>
      </c>
      <c r="F12" s="18" t="n">
        <v>2</v>
      </c>
      <c r="G12" s="19" t="n">
        <f aca="false">AVERAGE(C12,D12,E12)</f>
        <v>75</v>
      </c>
      <c r="H12" s="20" t="n">
        <f aca="false">F12*$P$2</f>
        <v>1</v>
      </c>
      <c r="I12" s="19" t="n">
        <f aca="false">ROUND(G12-H12,2)</f>
        <v>74</v>
      </c>
      <c r="J12" s="21" t="n">
        <f aca="false">RANK(I12,$I$2:$I$25,0)</f>
        <v>20</v>
      </c>
      <c r="K12" s="22" t="str">
        <f aca="false">IF(J12=1,"Juara 1",IF(J12=2,"Juara 2",IF(J12=3,"Juara 3","-")))</f>
        <v>-</v>
      </c>
      <c r="L12" s="23" t="n">
        <f aca="false">IF(J12&lt;=3,CHOOSE(J12,$P$3,$P$4,$P$5),0)</f>
        <v>0</v>
      </c>
      <c r="M12" s="19" t="n">
        <f aca="false">MAX($I$2:$I$25)-I12</f>
        <v>17</v>
      </c>
    </row>
    <row r="13" customFormat="false" ht="15" hidden="false" customHeight="false" outlineLevel="0" collapsed="false">
      <c r="A13" s="17" t="s">
        <v>116</v>
      </c>
      <c r="B13" s="17" t="s">
        <v>110</v>
      </c>
      <c r="C13" s="18" t="n">
        <v>82</v>
      </c>
      <c r="D13" s="18" t="n">
        <v>86</v>
      </c>
      <c r="E13" s="18" t="n">
        <v>74</v>
      </c>
      <c r="F13" s="18" t="n">
        <v>0</v>
      </c>
      <c r="G13" s="19" t="n">
        <f aca="false">AVERAGE(C13,D13,E13)</f>
        <v>80.6666666666667</v>
      </c>
      <c r="H13" s="20" t="n">
        <f aca="false">F13*$P$2</f>
        <v>0</v>
      </c>
      <c r="I13" s="19" t="n">
        <f aca="false">ROUND(G13-H13,2)</f>
        <v>80.67</v>
      </c>
      <c r="J13" s="21" t="n">
        <f aca="false">RANK(I13,$I$2:$I$25,0)</f>
        <v>12</v>
      </c>
      <c r="K13" s="22" t="str">
        <f aca="false">IF(J13=1,"Juara 1",IF(J13=2,"Juara 2",IF(J13=3,"Juara 3","-")))</f>
        <v>-</v>
      </c>
      <c r="L13" s="23" t="n">
        <f aca="false">IF(J13&lt;=3,CHOOSE(J13,$P$3,$P$4,$P$5),0)</f>
        <v>0</v>
      </c>
      <c r="M13" s="19" t="n">
        <f aca="false">MAX($I$2:$I$25)-I13</f>
        <v>10.33</v>
      </c>
    </row>
    <row r="14" customFormat="false" ht="15" hidden="false" customHeight="false" outlineLevel="0" collapsed="false">
      <c r="A14" s="17" t="s">
        <v>117</v>
      </c>
      <c r="B14" s="17" t="s">
        <v>96</v>
      </c>
      <c r="C14" s="18" t="n">
        <v>87</v>
      </c>
      <c r="D14" s="18" t="n">
        <v>84</v>
      </c>
      <c r="E14" s="18" t="n">
        <v>84</v>
      </c>
      <c r="F14" s="18" t="n">
        <v>0</v>
      </c>
      <c r="G14" s="19" t="n">
        <f aca="false">AVERAGE(C14,D14,E14)</f>
        <v>85</v>
      </c>
      <c r="H14" s="20" t="n">
        <f aca="false">F14*$P$2</f>
        <v>0</v>
      </c>
      <c r="I14" s="19" t="n">
        <f aca="false">ROUND(G14-H14,2)</f>
        <v>85</v>
      </c>
      <c r="J14" s="21" t="n">
        <f aca="false">RANK(I14,$I$2:$I$25,0)</f>
        <v>5</v>
      </c>
      <c r="K14" s="22" t="str">
        <f aca="false">IF(J14=1,"Juara 1",IF(J14=2,"Juara 2",IF(J14=3,"Juara 3","-")))</f>
        <v>-</v>
      </c>
      <c r="L14" s="23" t="n">
        <f aca="false">IF(J14&lt;=3,CHOOSE(J14,$P$3,$P$4,$P$5),0)</f>
        <v>0</v>
      </c>
      <c r="M14" s="19" t="n">
        <f aca="false">MAX($I$2:$I$25)-I14</f>
        <v>6</v>
      </c>
    </row>
    <row r="15" customFormat="false" ht="15" hidden="false" customHeight="false" outlineLevel="0" collapsed="false">
      <c r="A15" s="17" t="s">
        <v>118</v>
      </c>
      <c r="B15" s="17" t="s">
        <v>99</v>
      </c>
      <c r="C15" s="18" t="n">
        <v>78</v>
      </c>
      <c r="D15" s="18" t="n">
        <v>70</v>
      </c>
      <c r="E15" s="18" t="n">
        <v>78</v>
      </c>
      <c r="F15" s="18" t="n">
        <v>0</v>
      </c>
      <c r="G15" s="19" t="n">
        <f aca="false">AVERAGE(C15,D15,E15)</f>
        <v>75.3333333333333</v>
      </c>
      <c r="H15" s="20" t="n">
        <f aca="false">F15*$P$2</f>
        <v>0</v>
      </c>
      <c r="I15" s="19" t="n">
        <f aca="false">ROUND(G15-H15,2)</f>
        <v>75.33</v>
      </c>
      <c r="J15" s="21" t="n">
        <f aca="false">RANK(I15,$I$2:$I$25,0)</f>
        <v>17</v>
      </c>
      <c r="K15" s="22" t="str">
        <f aca="false">IF(J15=1,"Juara 1",IF(J15=2,"Juara 2",IF(J15=3,"Juara 3","-")))</f>
        <v>-</v>
      </c>
      <c r="L15" s="23" t="n">
        <f aca="false">IF(J15&lt;=3,CHOOSE(J15,$P$3,$P$4,$P$5),0)</f>
        <v>0</v>
      </c>
      <c r="M15" s="19" t="n">
        <f aca="false">MAX($I$2:$I$25)-I15</f>
        <v>15.67</v>
      </c>
    </row>
    <row r="16" customFormat="false" ht="15" hidden="false" customHeight="false" outlineLevel="0" collapsed="false">
      <c r="A16" s="17" t="s">
        <v>119</v>
      </c>
      <c r="B16" s="17" t="s">
        <v>102</v>
      </c>
      <c r="C16" s="18" t="n">
        <v>75</v>
      </c>
      <c r="D16" s="18" t="n">
        <v>89</v>
      </c>
      <c r="E16" s="18" t="n">
        <v>81</v>
      </c>
      <c r="F16" s="18" t="n">
        <v>5</v>
      </c>
      <c r="G16" s="19" t="n">
        <f aca="false">AVERAGE(C16,D16,E16)</f>
        <v>81.6666666666667</v>
      </c>
      <c r="H16" s="20" t="n">
        <f aca="false">F16*$P$2</f>
        <v>2.5</v>
      </c>
      <c r="I16" s="19" t="n">
        <f aca="false">ROUND(G16-H16,2)</f>
        <v>79.17</v>
      </c>
      <c r="J16" s="21" t="n">
        <f aca="false">RANK(I16,$I$2:$I$25,0)</f>
        <v>13</v>
      </c>
      <c r="K16" s="22" t="str">
        <f aca="false">IF(J16=1,"Juara 1",IF(J16=2,"Juara 2",IF(J16=3,"Juara 3","-")))</f>
        <v>-</v>
      </c>
      <c r="L16" s="23" t="n">
        <f aca="false">IF(J16&lt;=3,CHOOSE(J16,$P$3,$P$4,$P$5),0)</f>
        <v>0</v>
      </c>
      <c r="M16" s="19" t="n">
        <f aca="false">MAX($I$2:$I$25)-I16</f>
        <v>11.83</v>
      </c>
    </row>
    <row r="17" customFormat="false" ht="15" hidden="false" customHeight="false" outlineLevel="0" collapsed="false">
      <c r="A17" s="17" t="s">
        <v>120</v>
      </c>
      <c r="B17" s="17" t="s">
        <v>105</v>
      </c>
      <c r="C17" s="18" t="n">
        <v>80</v>
      </c>
      <c r="D17" s="18" t="n">
        <v>74</v>
      </c>
      <c r="E17" s="18" t="n">
        <v>80</v>
      </c>
      <c r="F17" s="18" t="n">
        <v>0</v>
      </c>
      <c r="G17" s="19" t="n">
        <f aca="false">AVERAGE(C17,D17,E17)</f>
        <v>78</v>
      </c>
      <c r="H17" s="20" t="n">
        <f aca="false">F17*$P$2</f>
        <v>0</v>
      </c>
      <c r="I17" s="19" t="n">
        <f aca="false">ROUND(G17-H17,2)</f>
        <v>78</v>
      </c>
      <c r="J17" s="21" t="n">
        <f aca="false">RANK(I17,$I$2:$I$25,0)</f>
        <v>14</v>
      </c>
      <c r="K17" s="22" t="str">
        <f aca="false">IF(J17=1,"Juara 1",IF(J17=2,"Juara 2",IF(J17=3,"Juara 3","-")))</f>
        <v>-</v>
      </c>
      <c r="L17" s="23" t="n">
        <f aca="false">IF(J17&lt;=3,CHOOSE(J17,$P$3,$P$4,$P$5),0)</f>
        <v>0</v>
      </c>
      <c r="M17" s="19" t="n">
        <f aca="false">MAX($I$2:$I$25)-I17</f>
        <v>13</v>
      </c>
    </row>
    <row r="18" customFormat="false" ht="15" hidden="false" customHeight="false" outlineLevel="0" collapsed="false">
      <c r="A18" s="17" t="s">
        <v>121</v>
      </c>
      <c r="B18" s="17" t="s">
        <v>108</v>
      </c>
      <c r="C18" s="18" t="n">
        <v>74</v>
      </c>
      <c r="D18" s="18" t="n">
        <v>68</v>
      </c>
      <c r="E18" s="18" t="n">
        <v>69</v>
      </c>
      <c r="F18" s="18" t="n">
        <v>5</v>
      </c>
      <c r="G18" s="19" t="n">
        <f aca="false">AVERAGE(C18,D18,E18)</f>
        <v>70.3333333333333</v>
      </c>
      <c r="H18" s="20" t="n">
        <f aca="false">F18*$P$2</f>
        <v>2.5</v>
      </c>
      <c r="I18" s="19" t="n">
        <f aca="false">ROUND(G18-H18,2)</f>
        <v>67.83</v>
      </c>
      <c r="J18" s="21" t="n">
        <f aca="false">RANK(I18,$I$2:$I$25,0)</f>
        <v>23</v>
      </c>
      <c r="K18" s="22" t="str">
        <f aca="false">IF(J18=1,"Juara 1",IF(J18=2,"Juara 2",IF(J18=3,"Juara 3","-")))</f>
        <v>-</v>
      </c>
      <c r="L18" s="23" t="n">
        <f aca="false">IF(J18&lt;=3,CHOOSE(J18,$P$3,$P$4,$P$5),0)</f>
        <v>0</v>
      </c>
      <c r="M18" s="19" t="n">
        <f aca="false">MAX($I$2:$I$25)-I18</f>
        <v>23.17</v>
      </c>
    </row>
    <row r="19" customFormat="false" ht="15" hidden="false" customHeight="false" outlineLevel="0" collapsed="false">
      <c r="A19" s="17" t="s">
        <v>122</v>
      </c>
      <c r="B19" s="17" t="s">
        <v>110</v>
      </c>
      <c r="C19" s="18" t="n">
        <v>90</v>
      </c>
      <c r="D19" s="18" t="n">
        <v>92</v>
      </c>
      <c r="E19" s="18" t="n">
        <v>91</v>
      </c>
      <c r="F19" s="18" t="n">
        <v>0</v>
      </c>
      <c r="G19" s="19" t="n">
        <f aca="false">AVERAGE(C19,D19,E19)</f>
        <v>91</v>
      </c>
      <c r="H19" s="20" t="n">
        <f aca="false">F19*$P$2</f>
        <v>0</v>
      </c>
      <c r="I19" s="19" t="n">
        <f aca="false">ROUND(G19-H19,2)</f>
        <v>91</v>
      </c>
      <c r="J19" s="21" t="n">
        <f aca="false">RANK(I19,$I$2:$I$25,0)</f>
        <v>1</v>
      </c>
      <c r="K19" s="22" t="str">
        <f aca="false">IF(J19=1,"Juara 1",IF(J19=2,"Juara 2",IF(J19=3,"Juara 3","-")))</f>
        <v>Juara 1</v>
      </c>
      <c r="L19" s="23" t="n">
        <f aca="false">IF(J19&lt;=3,CHOOSE(J19,$P$3,$P$4,$P$5),0)</f>
        <v>2000000</v>
      </c>
      <c r="M19" s="19" t="n">
        <f aca="false">MAX($I$2:$I$25)-I19</f>
        <v>0</v>
      </c>
    </row>
    <row r="20" customFormat="false" ht="15" hidden="false" customHeight="false" outlineLevel="0" collapsed="false">
      <c r="A20" s="17" t="s">
        <v>123</v>
      </c>
      <c r="B20" s="17" t="s">
        <v>96</v>
      </c>
      <c r="C20" s="18" t="n">
        <v>66</v>
      </c>
      <c r="D20" s="18" t="n">
        <v>79</v>
      </c>
      <c r="E20" s="18" t="n">
        <v>80</v>
      </c>
      <c r="F20" s="18" t="n">
        <v>0</v>
      </c>
      <c r="G20" s="19" t="n">
        <f aca="false">AVERAGE(C20,D20,E20)</f>
        <v>75</v>
      </c>
      <c r="H20" s="20" t="n">
        <f aca="false">F20*$P$2</f>
        <v>0</v>
      </c>
      <c r="I20" s="19" t="n">
        <f aca="false">ROUND(G20-H20,2)</f>
        <v>75</v>
      </c>
      <c r="J20" s="21" t="n">
        <f aca="false">RANK(I20,$I$2:$I$25,0)</f>
        <v>18</v>
      </c>
      <c r="K20" s="22" t="str">
        <f aca="false">IF(J20=1,"Juara 1",IF(J20=2,"Juara 2",IF(J20=3,"Juara 3","-")))</f>
        <v>-</v>
      </c>
      <c r="L20" s="23" t="n">
        <f aca="false">IF(J20&lt;=3,CHOOSE(J20,$P$3,$P$4,$P$5),0)</f>
        <v>0</v>
      </c>
      <c r="M20" s="19" t="n">
        <f aca="false">MAX($I$2:$I$25)-I20</f>
        <v>16</v>
      </c>
    </row>
    <row r="21" customFormat="false" ht="15" hidden="false" customHeight="false" outlineLevel="0" collapsed="false">
      <c r="A21" s="17" t="s">
        <v>124</v>
      </c>
      <c r="B21" s="17" t="s">
        <v>99</v>
      </c>
      <c r="C21" s="18" t="n">
        <v>85</v>
      </c>
      <c r="D21" s="18" t="n">
        <v>77</v>
      </c>
      <c r="E21" s="18" t="n">
        <v>89</v>
      </c>
      <c r="F21" s="18" t="n">
        <v>5</v>
      </c>
      <c r="G21" s="19" t="n">
        <f aca="false">AVERAGE(C21,D21,E21)</f>
        <v>83.6666666666667</v>
      </c>
      <c r="H21" s="20" t="n">
        <f aca="false">F21*$P$2</f>
        <v>2.5</v>
      </c>
      <c r="I21" s="19" t="n">
        <f aca="false">ROUND(G21-H21,2)</f>
        <v>81.17</v>
      </c>
      <c r="J21" s="21" t="n">
        <f aca="false">RANK(I21,$I$2:$I$25,0)</f>
        <v>11</v>
      </c>
      <c r="K21" s="22" t="str">
        <f aca="false">IF(J21=1,"Juara 1",IF(J21=2,"Juara 2",IF(J21=3,"Juara 3","-")))</f>
        <v>-</v>
      </c>
      <c r="L21" s="23" t="n">
        <f aca="false">IF(J21&lt;=3,CHOOSE(J21,$P$3,$P$4,$P$5),0)</f>
        <v>0</v>
      </c>
      <c r="M21" s="19" t="n">
        <f aca="false">MAX($I$2:$I$25)-I21</f>
        <v>9.83</v>
      </c>
    </row>
    <row r="22" customFormat="false" ht="15" hidden="false" customHeight="false" outlineLevel="0" collapsed="false">
      <c r="A22" s="17" t="s">
        <v>125</v>
      </c>
      <c r="B22" s="17" t="s">
        <v>102</v>
      </c>
      <c r="C22" s="18" t="n">
        <v>82</v>
      </c>
      <c r="D22" s="18" t="n">
        <v>89</v>
      </c>
      <c r="E22" s="18" t="n">
        <v>83</v>
      </c>
      <c r="F22" s="18" t="n">
        <v>5</v>
      </c>
      <c r="G22" s="19" t="n">
        <f aca="false">AVERAGE(C22,D22,E22)</f>
        <v>84.6666666666667</v>
      </c>
      <c r="H22" s="20" t="n">
        <f aca="false">F22*$P$2</f>
        <v>2.5</v>
      </c>
      <c r="I22" s="19" t="n">
        <f aca="false">ROUND(G22-H22,2)</f>
        <v>82.17</v>
      </c>
      <c r="J22" s="21" t="n">
        <f aca="false">RANK(I22,$I$2:$I$25,0)</f>
        <v>10</v>
      </c>
      <c r="K22" s="22" t="str">
        <f aca="false">IF(J22=1,"Juara 1",IF(J22=2,"Juara 2",IF(J22=3,"Juara 3","-")))</f>
        <v>-</v>
      </c>
      <c r="L22" s="23" t="n">
        <f aca="false">IF(J22&lt;=3,CHOOSE(J22,$P$3,$P$4,$P$5),0)</f>
        <v>0</v>
      </c>
      <c r="M22" s="19" t="n">
        <f aca="false">MAX($I$2:$I$25)-I22</f>
        <v>8.83</v>
      </c>
    </row>
    <row r="23" customFormat="false" ht="15" hidden="false" customHeight="false" outlineLevel="0" collapsed="false">
      <c r="A23" s="17" t="s">
        <v>126</v>
      </c>
      <c r="B23" s="17" t="s">
        <v>105</v>
      </c>
      <c r="C23" s="18" t="n">
        <v>78</v>
      </c>
      <c r="D23" s="18" t="n">
        <v>78</v>
      </c>
      <c r="E23" s="18" t="n">
        <v>72</v>
      </c>
      <c r="F23" s="18" t="n">
        <v>3</v>
      </c>
      <c r="G23" s="19" t="n">
        <f aca="false">AVERAGE(C23,D23,E23)</f>
        <v>76</v>
      </c>
      <c r="H23" s="20" t="n">
        <f aca="false">F23*$P$2</f>
        <v>1.5</v>
      </c>
      <c r="I23" s="19" t="n">
        <f aca="false">ROUND(G23-H23,2)</f>
        <v>74.5</v>
      </c>
      <c r="J23" s="21" t="n">
        <f aca="false">RANK(I23,$I$2:$I$25,0)</f>
        <v>19</v>
      </c>
      <c r="K23" s="22" t="str">
        <f aca="false">IF(J23=1,"Juara 1",IF(J23=2,"Juara 2",IF(J23=3,"Juara 3","-")))</f>
        <v>-</v>
      </c>
      <c r="L23" s="23" t="n">
        <f aca="false">IF(J23&lt;=3,CHOOSE(J23,$P$3,$P$4,$P$5),0)</f>
        <v>0</v>
      </c>
      <c r="M23" s="19" t="n">
        <f aca="false">MAX($I$2:$I$25)-I23</f>
        <v>16.5</v>
      </c>
    </row>
    <row r="24" customFormat="false" ht="15" hidden="false" customHeight="false" outlineLevel="0" collapsed="false">
      <c r="A24" s="17" t="s">
        <v>127</v>
      </c>
      <c r="B24" s="17" t="s">
        <v>108</v>
      </c>
      <c r="C24" s="18" t="n">
        <v>66</v>
      </c>
      <c r="D24" s="18" t="n">
        <v>66</v>
      </c>
      <c r="E24" s="18" t="n">
        <v>68</v>
      </c>
      <c r="F24" s="18" t="n">
        <v>1</v>
      </c>
      <c r="G24" s="19" t="n">
        <f aca="false">AVERAGE(C24,D24,E24)</f>
        <v>66.6666666666667</v>
      </c>
      <c r="H24" s="20" t="n">
        <f aca="false">F24*$P$2</f>
        <v>0.5</v>
      </c>
      <c r="I24" s="19" t="n">
        <f aca="false">ROUND(G24-H24,2)</f>
        <v>66.17</v>
      </c>
      <c r="J24" s="21" t="n">
        <f aca="false">RANK(I24,$I$2:$I$25,0)</f>
        <v>24</v>
      </c>
      <c r="K24" s="22" t="str">
        <f aca="false">IF(J24=1,"Juara 1",IF(J24=2,"Juara 2",IF(J24=3,"Juara 3","-")))</f>
        <v>-</v>
      </c>
      <c r="L24" s="23" t="n">
        <f aca="false">IF(J24&lt;=3,CHOOSE(J24,$P$3,$P$4,$P$5),0)</f>
        <v>0</v>
      </c>
      <c r="M24" s="19" t="n">
        <f aca="false">MAX($I$2:$I$25)-I24</f>
        <v>24.83</v>
      </c>
    </row>
    <row r="25" customFormat="false" ht="15" hidden="false" customHeight="false" outlineLevel="0" collapsed="false">
      <c r="A25" s="17" t="s">
        <v>128</v>
      </c>
      <c r="B25" s="17" t="s">
        <v>110</v>
      </c>
      <c r="C25" s="18" t="n">
        <v>71</v>
      </c>
      <c r="D25" s="18" t="n">
        <v>73</v>
      </c>
      <c r="E25" s="18" t="n">
        <v>71</v>
      </c>
      <c r="F25" s="18" t="n">
        <v>1</v>
      </c>
      <c r="G25" s="19" t="n">
        <f aca="false">AVERAGE(C25,D25,E25)</f>
        <v>71.6666666666667</v>
      </c>
      <c r="H25" s="20" t="n">
        <f aca="false">F25*$P$2</f>
        <v>0.5</v>
      </c>
      <c r="I25" s="19" t="n">
        <f aca="false">ROUND(G25-H25,2)</f>
        <v>71.17</v>
      </c>
      <c r="J25" s="21" t="n">
        <f aca="false">RANK(I25,$I$2:$I$25,0)</f>
        <v>22</v>
      </c>
      <c r="K25" s="22" t="str">
        <f aca="false">IF(J25=1,"Juara 1",IF(J25=2,"Juara 2",IF(J25=3,"Juara 3","-")))</f>
        <v>-</v>
      </c>
      <c r="L25" s="23" t="n">
        <f aca="false">IF(J25&lt;=3,CHOOSE(J25,$P$3,$P$4,$P$5),0)</f>
        <v>0</v>
      </c>
      <c r="M25" s="19" t="n">
        <f aca="false">MAX($I$2:$I$25)-I25</f>
        <v>19.83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1" t="s">
        <v>80</v>
      </c>
      <c r="B1" s="15" t="s">
        <v>129</v>
      </c>
      <c r="C1" s="15" t="s">
        <v>130</v>
      </c>
      <c r="D1" s="15" t="s">
        <v>131</v>
      </c>
    </row>
    <row r="2" customFormat="false" ht="15" hidden="false" customHeight="false" outlineLevel="0" collapsed="false">
      <c r="A2" s="17" t="s">
        <v>96</v>
      </c>
      <c r="B2" s="19" t="n">
        <f aca="false">AVERAGEIF(Data!$B$2:$B$25,A2,Data!$I$2:$I$25)</f>
        <v>78.8325</v>
      </c>
      <c r="C2" s="23" t="n">
        <f aca="false">SUMIF(Data!$B$2:$B$25,A2,Data!$L$2:$L$25)</f>
        <v>0</v>
      </c>
      <c r="D2" s="21" t="n">
        <f aca="false">COUNTIFS(Data!$B$2:$B$25,A2,Data!$J$2:$J$25,"&lt;=5")</f>
        <v>1</v>
      </c>
    </row>
    <row r="3" customFormat="false" ht="15" hidden="false" customHeight="false" outlineLevel="0" collapsed="false">
      <c r="A3" s="17" t="s">
        <v>99</v>
      </c>
      <c r="B3" s="19" t="n">
        <f aca="false">AVERAGEIF(Data!$B$2:$B$25,A3,Data!$I$2:$I$25)</f>
        <v>80.875</v>
      </c>
      <c r="C3" s="23" t="n">
        <f aca="false">SUMIF(Data!$B$2:$B$25,A3,Data!$L$2:$L$25)</f>
        <v>0</v>
      </c>
      <c r="D3" s="21" t="n">
        <f aca="false">COUNTIFS(Data!$B$2:$B$25,A3,Data!$J$2:$J$25,"&lt;=5")</f>
        <v>0</v>
      </c>
    </row>
    <row r="4" customFormat="false" ht="15" hidden="false" customHeight="false" outlineLevel="0" collapsed="false">
      <c r="A4" s="17" t="s">
        <v>102</v>
      </c>
      <c r="B4" s="19" t="n">
        <f aca="false">AVERAGEIF(Data!$B$2:$B$25,A4,Data!$I$2:$I$25)</f>
        <v>85.17</v>
      </c>
      <c r="C4" s="23" t="n">
        <f aca="false">SUMIF(Data!$B$2:$B$25,A4,Data!$L$2:$L$25)</f>
        <v>2500000</v>
      </c>
      <c r="D4" s="21" t="n">
        <f aca="false">COUNTIFS(Data!$B$2:$B$25,A4,Data!$J$2:$J$25,"&lt;=5")</f>
        <v>2</v>
      </c>
    </row>
    <row r="5" customFormat="false" ht="15" hidden="false" customHeight="false" outlineLevel="0" collapsed="false">
      <c r="A5" s="17" t="s">
        <v>105</v>
      </c>
      <c r="B5" s="19" t="n">
        <f aca="false">AVERAGEIF(Data!$B$2:$B$25,A5,Data!$I$2:$I$25)</f>
        <v>79.7925</v>
      </c>
      <c r="C5" s="23" t="n">
        <f aca="false">SUMIF(Data!$B$2:$B$25,A5,Data!$L$2:$L$25)</f>
        <v>0</v>
      </c>
      <c r="D5" s="21" t="n">
        <f aca="false">COUNTIFS(Data!$B$2:$B$25,A5,Data!$J$2:$J$25,"&lt;=5")</f>
        <v>0</v>
      </c>
    </row>
    <row r="6" customFormat="false" ht="15" hidden="false" customHeight="false" outlineLevel="0" collapsed="false">
      <c r="A6" s="17" t="s">
        <v>108</v>
      </c>
      <c r="B6" s="19" t="n">
        <f aca="false">AVERAGEIF(Data!$B$2:$B$25,A6,Data!$I$2:$I$25)</f>
        <v>73.4175</v>
      </c>
      <c r="C6" s="23" t="n">
        <f aca="false">SUMIF(Data!$B$2:$B$25,A6,Data!$L$2:$L$25)</f>
        <v>0</v>
      </c>
      <c r="D6" s="21" t="n">
        <f aca="false">COUNTIFS(Data!$B$2:$B$25,A6,Data!$J$2:$J$25,"&lt;=5")</f>
        <v>1</v>
      </c>
    </row>
    <row r="7" customFormat="false" ht="15" hidden="false" customHeight="false" outlineLevel="0" collapsed="false">
      <c r="A7" s="17" t="s">
        <v>110</v>
      </c>
      <c r="B7" s="19" t="n">
        <f aca="false">AVERAGEIF(Data!$B$2:$B$25,A7,Data!$I$2:$I$25)</f>
        <v>78.6275</v>
      </c>
      <c r="C7" s="23" t="n">
        <f aca="false">SUMIF(Data!$B$2:$B$25,A7,Data!$L$2:$L$25)</f>
        <v>2000000</v>
      </c>
      <c r="D7" s="21" t="n">
        <f aca="false">COUNTIFS(Data!$B$2:$B$25,A7,Data!$J$2:$J$25,"&lt;=5")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7" t="s">
        <v>132</v>
      </c>
      <c r="B1" s="27"/>
      <c r="C1" s="27"/>
      <c r="D1" s="27"/>
    </row>
    <row r="2" customFormat="false" ht="15" hidden="false" customHeight="false" outlineLevel="0" collapsed="false">
      <c r="A2" s="28" t="s">
        <v>133</v>
      </c>
      <c r="B2" s="28"/>
      <c r="C2" s="28"/>
      <c r="D2" s="28"/>
    </row>
    <row r="3" customFormat="false" ht="15" hidden="false" customHeight="false" outlineLevel="0" collapsed="false">
      <c r="A3" s="11" t="s">
        <v>19</v>
      </c>
      <c r="B3" s="11" t="s">
        <v>134</v>
      </c>
      <c r="C3" s="11" t="s">
        <v>135</v>
      </c>
      <c r="D3" s="11" t="s">
        <v>136</v>
      </c>
    </row>
    <row r="4" customFormat="false" ht="15" hidden="false" customHeight="false" outlineLevel="0" collapsed="false">
      <c r="A4" s="29" t="s">
        <v>137</v>
      </c>
      <c r="B4" s="30" t="s">
        <v>138</v>
      </c>
      <c r="C4" s="19" t="n">
        <f aca="false">MAX(Data!$I$2:$I$25)</f>
        <v>91</v>
      </c>
      <c r="D4" s="31" t="s">
        <v>139</v>
      </c>
    </row>
    <row r="5" customFormat="false" ht="15" hidden="false" customHeight="false" outlineLevel="0" collapsed="false">
      <c r="A5" s="29" t="s">
        <v>140</v>
      </c>
      <c r="B5" s="30" t="s">
        <v>141</v>
      </c>
      <c r="C5" s="19" t="n">
        <f aca="false">MIN(Data!$I$2:$I$25)</f>
        <v>66.17</v>
      </c>
      <c r="D5" s="31" t="s">
        <v>142</v>
      </c>
    </row>
    <row r="6" customFormat="false" ht="15" hidden="false" customHeight="false" outlineLevel="0" collapsed="false">
      <c r="A6" s="29" t="s">
        <v>143</v>
      </c>
      <c r="B6" s="30" t="s">
        <v>144</v>
      </c>
      <c r="C6" s="19" t="n">
        <f aca="false">AVERAGE(Data!$I$2:$I$25)</f>
        <v>79.4525</v>
      </c>
      <c r="D6" s="31" t="s">
        <v>145</v>
      </c>
    </row>
    <row r="7" customFormat="false" ht="15" hidden="false" customHeight="false" outlineLevel="0" collapsed="false">
      <c r="A7" s="29" t="s">
        <v>146</v>
      </c>
      <c r="B7" s="30" t="s">
        <v>147</v>
      </c>
      <c r="C7" s="22" t="str">
        <f aca="false">INDEX(Data!$A$2:$A$25,MATCH(1,Data!$J$2:$J$25,0))</f>
        <v>Vina Ramadhan</v>
      </c>
      <c r="D7" s="31" t="s">
        <v>148</v>
      </c>
    </row>
    <row r="8" customFormat="false" ht="15" hidden="false" customHeight="false" outlineLevel="0" collapsed="false">
      <c r="A8" s="29" t="s">
        <v>149</v>
      </c>
      <c r="B8" s="30" t="s">
        <v>150</v>
      </c>
      <c r="C8" s="22" t="str">
        <f aca="false">INDEX(Data!$B$2:$B$25,MATCH(1,Data!$J$2:$J$25,0))</f>
        <v>SMP Mutiara</v>
      </c>
      <c r="D8" s="31" t="s">
        <v>151</v>
      </c>
    </row>
    <row r="9" customFormat="false" ht="15" hidden="false" customHeight="false" outlineLevel="0" collapsed="false">
      <c r="A9" s="29" t="s">
        <v>152</v>
      </c>
      <c r="B9" s="30" t="s">
        <v>153</v>
      </c>
      <c r="C9" s="22" t="str">
        <f aca="false">INDEX(Data!$A$2:$A$25,MATCH(3,Data!$J$2:$J$25,0))</f>
        <v>Bambang Maharani</v>
      </c>
      <c r="D9" s="31" t="s">
        <v>148</v>
      </c>
    </row>
    <row r="10" customFormat="false" ht="15" hidden="false" customHeight="false" outlineLevel="0" collapsed="false">
      <c r="A10" s="29" t="s">
        <v>154</v>
      </c>
      <c r="B10" s="30" t="s">
        <v>155</v>
      </c>
      <c r="C10" s="19" t="n">
        <f aca="false">LARGE(Data!$I$2:$I$25,2)</f>
        <v>90.67</v>
      </c>
      <c r="D10" s="31" t="s">
        <v>156</v>
      </c>
    </row>
    <row r="11" customFormat="false" ht="15" hidden="false" customHeight="false" outlineLevel="0" collapsed="false">
      <c r="A11" s="29" t="s">
        <v>157</v>
      </c>
      <c r="B11" s="30" t="s">
        <v>158</v>
      </c>
      <c r="C11" s="19" t="n">
        <f aca="false">SMALL(Data!$I$2:$I$25,2)</f>
        <v>67.83</v>
      </c>
      <c r="D11" s="31" t="s">
        <v>159</v>
      </c>
    </row>
    <row r="12" customFormat="false" ht="15" hidden="false" customHeight="false" outlineLevel="0" collapsed="false">
      <c r="A12" s="29" t="s">
        <v>160</v>
      </c>
      <c r="B12" s="30" t="s">
        <v>161</v>
      </c>
      <c r="C12" s="22" t="str">
        <f aca="false">INDEX(Acuan!$A$2:$A$7,MATCH(MAX(Acuan!$B$2:$B$7),Acuan!$B$2:$B$7,0))</f>
        <v>SMP Harapan</v>
      </c>
      <c r="D12" s="31" t="s">
        <v>151</v>
      </c>
    </row>
    <row r="13" customFormat="false" ht="15" hidden="false" customHeight="false" outlineLevel="0" collapsed="false">
      <c r="A13" s="29" t="s">
        <v>162</v>
      </c>
      <c r="B13" s="30" t="s">
        <v>163</v>
      </c>
      <c r="C13" s="23" t="n">
        <f aca="false">SUM(Data!$L$2:$L$25)</f>
        <v>4500000</v>
      </c>
      <c r="D13" s="31" t="s">
        <v>164</v>
      </c>
    </row>
    <row r="14" customFormat="false" ht="15" hidden="false" customHeight="false" outlineLevel="0" collapsed="false">
      <c r="A14" s="29" t="s">
        <v>165</v>
      </c>
      <c r="B14" s="30" t="s">
        <v>166</v>
      </c>
      <c r="C14" s="21" t="n">
        <f aca="false">COUNTIF(Data!$F$2:$F$25,"&gt;0")</f>
        <v>12</v>
      </c>
      <c r="D14" s="31" t="s">
        <v>167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2026-10-14T23:34:11Z</dcterms:created>
  <dc:creator>PushExcel</dc:creator>
  <dc:description/>
  <dc:language>en-US</dc:language>
  <cp:lastModifiedBy/>
  <dcterms:modified xsi:type="dcterms:W3CDTF">2026-10-14T23:34:11Z</dcterms:modified>
  <cp:revision>0</cp:revision>
  <dc:subject/>
  <dc:title>Penilaian Lomba Kreativitas oleh Tiga Juri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