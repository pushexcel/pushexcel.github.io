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<sst xmlns="http://schemas.openxmlformats.org/spreadsheetml/2006/main" count="233" uniqueCount="202">
  <si>
    <t xml:space="preserve">Kunci Jawaban: Penyusutan Aset Tetap Metode Garis Lurus</t>
  </si>
  <si>
    <t xml:space="preserve">Latihan 90 dari 40  |  Tingkat: Lanjutan  |  Perkiraan waktu: 65 menit  |  pushexcel.github.io/Pushexcel</t>
  </si>
  <si>
    <t xml:space="preserve">Skenario</t>
  </si>
  <si>
    <t xml:space="preserve">Kamu staf akuntansi CV Prima Garmen yang menutup pembukuan pada tanggal laporan 31 Desember 2026 (ada di blok Parameter). Setiap aset tetap punya tanggal perolehan, harga perolehan, umur ekonomis (tahun), dan nilai sisa. Penyusutan per tahun memakai metode garis lurus: harga perolehan dikurangi nilai sisa, dibagi umur. Usia pakai dihitung dalam tahun penuh dari tanggal perolehan sampai tanggal laporan. Akumulasi penyusutan adalah penyusutan per tahun dikali usia pakai, tetapi tidak boleh melebihi harga perolehan dikurangi nilai sisa. Nilai buku adalah harga perolehan dikurangi akumulasi. Aset berstatus Habis Disusutkan bila usia pakai sudah mencapai umur ekonomis.</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</si>
  <si>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</si>
  <si>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</si>
  <si>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</si>
  <si>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</si>
  <si>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</si>
  <si>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</si>
  <si>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</si>
  <si>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</si>
  <si>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</si>
  <si>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</si>
  <si>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</si>
  <si>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</si>
  <si>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</si>
  <si>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</si>
  <si>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</si>
  <si>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</si>
  <si>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</si>
  <si>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</si>
  <si>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</si>
  <si>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</si>
  <si>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Hitung penyusutan per tahun dengan metode garis lurus: harga perolehan dikurangi nilai sisa, lalu dibagi umur ekonomis.</t>
  </si>
  <si>
    <t xml:space="preserve">Sheet Data, kolom H (Penyusutan per Tahun), baris 2 sampai 29</t>
  </si>
  <si>
    <t xml:space="preserve">=(E2-G2)/F2</t>
  </si>
  <si>
    <t xml:space="preserve">2</t>
  </si>
  <si>
    <t xml:space="preserve">Hitung usia pakai dalam tahun penuh dari tanggal perolehan sampai tanggal laporan di sel Parameter.</t>
  </si>
  <si>
    <t xml:space="preserve">Sheet Data, kolom I (Usia Pakai (Tahun)), baris 2 sampai 29</t>
  </si>
  <si>
    <t xml:space="preserve">=DATEDIF(D2;$P$2;"Y")</t>
  </si>
  <si>
    <t xml:space="preserve">3</t>
  </si>
  <si>
    <t xml:space="preserve">Hitung akumulasi penyusutan: penyusutan per tahun dikali usia pakai, tetapi tidak boleh melebihi harga perolehan dikurangi nilai sisa.</t>
  </si>
  <si>
    <t xml:space="preserve">Sheet Data, kolom J (Akumulasi Penyusutan), baris 2 sampai 29</t>
  </si>
  <si>
    <t xml:space="preserve">=MIN(H2*I2;E2-G2)</t>
  </si>
  <si>
    <t xml:space="preserve">4</t>
  </si>
  <si>
    <t xml:space="preserve">Hitung nilai buku: harga perolehan dikurangi akumulasi penyusutan.</t>
  </si>
  <si>
    <t xml:space="preserve">Sheet Data, kolom K (Nilai Buku), baris 2 sampai 29</t>
  </si>
  <si>
    <t xml:space="preserve">=E2-J2</t>
  </si>
  <si>
    <t xml:space="preserve">5</t>
  </si>
  <si>
    <t xml:space="preserve">Hitung persen harga perolehan yang sudah tersusutkan: akumulasi dibagi harga perolehan.</t>
  </si>
  <si>
    <t xml:space="preserve">Sheet Data, kolom L (Persen Tersusut), baris 2 sampai 29</t>
  </si>
  <si>
    <t xml:space="preserve">=J2/E2</t>
  </si>
  <si>
    <t xml:space="preserve">6</t>
  </si>
  <si>
    <t xml:space="preserve">Beri status Habis Disusutkan bila usia pakai sama dengan atau lebih dari umur ekonomis. Selain itu Masih Disusutkan.</t>
  </si>
  <si>
    <t xml:space="preserve">Sheet Data, kolom M (Status Aset), baris 2 sampai 29</t>
  </si>
  <si>
    <t xml:space="preserve">=IF(I2&gt;=F2;"Habis Disusutkan";"Masih Disusutkan")</t>
  </si>
  <si>
    <t xml:space="preserve">7</t>
  </si>
  <si>
    <t xml:space="preserve">Pada sheet Acuan, hitung jumlah aset tiap kategori.</t>
  </si>
  <si>
    <t xml:space="preserve">Sheet Acuan, kolom B (Jumlah Aset), baris 2 sampai 5</t>
  </si>
  <si>
    <t xml:space="preserve">=COUNTIF(Data!$C$2:$C$29;A2)</t>
  </si>
  <si>
    <t xml:space="preserve">8</t>
  </si>
  <si>
    <t xml:space="preserve">Pada sheet Acuan, hitung total harga perolehan tiap kategori.</t>
  </si>
  <si>
    <t xml:space="preserve">Sheet Acuan, kolom C (Total Harga Perolehan), baris 2 sampai 5</t>
  </si>
  <si>
    <t xml:space="preserve">=SUMIF(Data!$C$2:$C$29;A2;Data!$E$2:$E$29)</t>
  </si>
  <si>
    <t xml:space="preserve">9</t>
  </si>
  <si>
    <t xml:space="preserve">Pada sheet Acuan, hitung total akumulasi penyusutan tiap kategori.</t>
  </si>
  <si>
    <t xml:space="preserve">Sheet Acuan, kolom D (Total Akumulasi), baris 2 sampai 5</t>
  </si>
  <si>
    <t xml:space="preserve">=SUMIF(Data!$C$2:$C$29;A2;Data!$J$2:$J$29)</t>
  </si>
  <si>
    <t xml:space="preserve">10</t>
  </si>
  <si>
    <t xml:space="preserve">Pada sheet Acuan, hitung total nilai buku tiap kategori.</t>
  </si>
  <si>
    <t xml:space="preserve">Sheet Acuan, kolom E (Total Nilai Buku), baris 2 sampai 5</t>
  </si>
  <si>
    <t xml:space="preserve">=SUMIF(Data!$C$2:$C$29;A2;Data!$K$2:$K$29)</t>
  </si>
  <si>
    <t xml:space="preserve">11</t>
  </si>
  <si>
    <t xml:space="preserve">Berapa total harga perolehan, total akumulasi penyusutan, dan total nilai buku seluruh aset?</t>
  </si>
  <si>
    <t xml:space="preserve">Sheet Ringkasan, sel C4 sampai C6</t>
  </si>
  <si>
    <t xml:space="preserve">=SUM(Data!$E$2:$E$29)
=SUM(Data!$J$2:$J$29)
=C4-C5</t>
  </si>
  <si>
    <t xml:space="preserve">12</t>
  </si>
  <si>
    <t xml:space="preserve">Aset apa yang nilai bukunya terbesar, dan aset apa yang penyusutan per tahunnya terbesar?</t>
  </si>
  <si>
    <t xml:space="preserve">Sheet Ringkasan, sel C7 sampai C8</t>
  </si>
  <si>
    <t xml:space="preserve">=INDEX(Data!$B$2:$B$29;MATCH(MAX(Data!$K$2:$K$29);Data!$K$2:$K$29;0))
=INDEX(Data!$B$2:$B$29;MATCH(MAX(Data!$H$2:$H$29);Data!$H$2:$H$29;0))</t>
  </si>
  <si>
    <t xml:space="preserve">13</t>
  </si>
  <si>
    <t xml:space="preserve">Berapa aset yang sudah Habis Disusutkan, dan kategori apa yang total nilai bukunya terbesar?</t>
  </si>
  <si>
    <t xml:space="preserve">Sheet Ringkasan, sel C9 sampai C10</t>
  </si>
  <si>
    <t xml:space="preserve">=COUNTIF(Data!$M$2:$M$29;"Habis Disusutkan")
=INDEX(Acuan!$A$2:$A$5;MATCH(MAX(Acuan!$E$2:$E$5);Acuan!$E$2:$E$5;0))</t>
  </si>
  <si>
    <t xml:space="preserve">14</t>
  </si>
  <si>
    <t xml:space="preserve">Berapa rata-rata usia pakai aset, dan berapa aset Kendaraan yang masih disusutkan?</t>
  </si>
  <si>
    <t xml:space="preserve">Sheet Ringkasan, sel C11 sampai C12</t>
  </si>
  <si>
    <t xml:space="preserve">=AVERAGE(Data!$I$2:$I$29)
=COUNTIFS(Data!$C$2:$C$29;"Kendaraan";Data!$M$2:$M$29;"Masih Disusutkan")</t>
  </si>
  <si>
    <t xml:space="preserve">15</t>
  </si>
  <si>
    <t xml:space="preserve">Berapa total penyusutan per tahun dari seluruh aset yang Masih Disusutkan, dan kapan tanggal perolehan aset paling awal?</t>
  </si>
  <si>
    <t xml:space="preserve">Sheet Ringkasan, sel C13 sampai C14</t>
  </si>
  <si>
    <t xml:space="preserve">=SUMIF(Data!$M$2:$M$29;"Masih Disusutkan";Data!$H$2:$H$29)
=MIN(Data!$D$2:$D$29)</t>
  </si>
  <si>
    <t xml:space="preserve">Kode</t>
  </si>
  <si>
    <t xml:space="preserve">Nama Aset</t>
  </si>
  <si>
    <t xml:space="preserve">Kategori</t>
  </si>
  <si>
    <t xml:space="preserve">Tanggal Perolehan</t>
  </si>
  <si>
    <t xml:space="preserve">Harga Perolehan</t>
  </si>
  <si>
    <t xml:space="preserve">Umur (Tahun)</t>
  </si>
  <si>
    <t xml:space="preserve">Nilai Sisa</t>
  </si>
  <si>
    <t xml:space="preserve">Penyusutan per Tahun</t>
  </si>
  <si>
    <t xml:space="preserve">Usia Pakai (Tahun)</t>
  </si>
  <si>
    <t xml:space="preserve">Akumulasi Penyusutan</t>
  </si>
  <si>
    <t xml:space="preserve">Nilai Buku</t>
  </si>
  <si>
    <t xml:space="preserve">Persen Tersusut</t>
  </si>
  <si>
    <t xml:space="preserve">Status Aset</t>
  </si>
  <si>
    <t xml:space="preserve">Parameter</t>
  </si>
  <si>
    <t xml:space="preserve">Nilai</t>
  </si>
  <si>
    <t xml:space="preserve">Keterangan</t>
  </si>
  <si>
    <t xml:space="preserve">AST-01</t>
  </si>
  <si>
    <t xml:space="preserve">Pendingin ruangan</t>
  </si>
  <si>
    <t xml:space="preserve">Peralatan Kantor</t>
  </si>
  <si>
    <t xml:space="preserve">Tanggal laporan</t>
  </si>
  <si>
    <t xml:space="preserve">Tanggal penutupan pembukuan</t>
  </si>
  <si>
    <t xml:space="preserve">AST-02</t>
  </si>
  <si>
    <t xml:space="preserve">Komputer kasir</t>
  </si>
  <si>
    <t xml:space="preserve">AST-03</t>
  </si>
  <si>
    <t xml:space="preserve">Printer warna</t>
  </si>
  <si>
    <t xml:space="preserve">AST-04</t>
  </si>
  <si>
    <t xml:space="preserve">Mesin press label</t>
  </si>
  <si>
    <t xml:space="preserve">Mesin Produksi</t>
  </si>
  <si>
    <t xml:space="preserve">AST-05</t>
  </si>
  <si>
    <t xml:space="preserve">Timbangan digital</t>
  </si>
  <si>
    <t xml:space="preserve">Peralatan Gudang</t>
  </si>
  <si>
    <t xml:space="preserve">AST-06</t>
  </si>
  <si>
    <t xml:space="preserve">Generator listrik</t>
  </si>
  <si>
    <t xml:space="preserve">AST-07</t>
  </si>
  <si>
    <t xml:space="preserve">Mesin jahit industri</t>
  </si>
  <si>
    <t xml:space="preserve">AST-08</t>
  </si>
  <si>
    <t xml:space="preserve">Pallet plastik</t>
  </si>
  <si>
    <t xml:space="preserve">AST-09</t>
  </si>
  <si>
    <t xml:space="preserve">Kompresor angin</t>
  </si>
  <si>
    <t xml:space="preserve">AST-10</t>
  </si>
  <si>
    <t xml:space="preserve">Forklift mini</t>
  </si>
  <si>
    <t xml:space="preserve">AST-11</t>
  </si>
  <si>
    <t xml:space="preserve">Troli angkut</t>
  </si>
  <si>
    <t xml:space="preserve">AST-12</t>
  </si>
  <si>
    <t xml:space="preserve">Rak besi bertingkat</t>
  </si>
  <si>
    <t xml:space="preserve">AST-13</t>
  </si>
  <si>
    <t xml:space="preserve">Proyektor rapat</t>
  </si>
  <si>
    <t xml:space="preserve">AST-14</t>
  </si>
  <si>
    <t xml:space="preserve">Pickup bak terbuka</t>
  </si>
  <si>
    <t xml:space="preserve">Kendaraan</t>
  </si>
  <si>
    <t xml:space="preserve">AST-15</t>
  </si>
  <si>
    <t xml:space="preserve">Mobil niaga kecil</t>
  </si>
  <si>
    <t xml:space="preserve">AST-16</t>
  </si>
  <si>
    <t xml:space="preserve">Mesin fotokopi</t>
  </si>
  <si>
    <t xml:space="preserve">AST-17</t>
  </si>
  <si>
    <t xml:space="preserve">Mesin obras</t>
  </si>
  <si>
    <t xml:space="preserve">AST-18</t>
  </si>
  <si>
    <t xml:space="preserve">Mobil boks pengiriman</t>
  </si>
  <si>
    <t xml:space="preserve">AST-19</t>
  </si>
  <si>
    <t xml:space="preserve">Truk ringan</t>
  </si>
  <si>
    <t xml:space="preserve">AST-20</t>
  </si>
  <si>
    <t xml:space="preserve">Meja dan kursi kerja</t>
  </si>
  <si>
    <t xml:space="preserve">AST-21</t>
  </si>
  <si>
    <t xml:space="preserve">Motor roda tiga</t>
  </si>
  <si>
    <t xml:space="preserve">AST-22</t>
  </si>
  <si>
    <t xml:space="preserve">Lemari arsip</t>
  </si>
  <si>
    <t xml:space="preserve">AST-23</t>
  </si>
  <si>
    <t xml:space="preserve">Laptop admin</t>
  </si>
  <si>
    <t xml:space="preserve">AST-24</t>
  </si>
  <si>
    <t xml:space="preserve">Mesin bordir</t>
  </si>
  <si>
    <t xml:space="preserve">AST-25</t>
  </si>
  <si>
    <t xml:space="preserve">Mesin pengikat kardus</t>
  </si>
  <si>
    <t xml:space="preserve">AST-26</t>
  </si>
  <si>
    <t xml:space="preserve">Motor operasional</t>
  </si>
  <si>
    <t xml:space="preserve">AST-27</t>
  </si>
  <si>
    <t xml:space="preserve">Mesin pengemas</t>
  </si>
  <si>
    <t xml:space="preserve">AST-28</t>
  </si>
  <si>
    <t xml:space="preserve">Mesin potong kain</t>
  </si>
  <si>
    <t xml:space="preserve">Jumlah Aset</t>
  </si>
  <si>
    <t xml:space="preserve">Total Harga Perolehan</t>
  </si>
  <si>
    <t xml:space="preserve">Total Akumulasi</t>
  </si>
  <si>
    <t xml:space="preserve">Total Nilai Buku</t>
  </si>
  <si>
    <t xml:space="preserve">Ringkasan: lembar jawaban soal berjenis ringkasan</t>
  </si>
  <si>
    <t xml:space="preserve">Sel hijau berisi rumus kunci.</t>
  </si>
  <si>
    <t xml:space="preserve">Pertanyaan</t>
  </si>
  <si>
    <t xml:space="preserve">Jawaban</t>
  </si>
  <si>
    <t xml:space="preserve">Contoh format hasil</t>
  </si>
  <si>
    <t xml:space="preserve">11a</t>
  </si>
  <si>
    <t xml:space="preserve">Total harga perolehan</t>
  </si>
  <si>
    <t xml:space="preserve">Rupiah, mis. Rp 900.000.000</t>
  </si>
  <si>
    <t xml:space="preserve">11b</t>
  </si>
  <si>
    <t xml:space="preserve">Total akumulasi penyusutan</t>
  </si>
  <si>
    <t xml:space="preserve">Rupiah, mis. Rp 500.000.000</t>
  </si>
  <si>
    <t xml:space="preserve">11c</t>
  </si>
  <si>
    <t xml:space="preserve">Total nilai buku</t>
  </si>
  <si>
    <t xml:space="preserve">Rupiah, mis. Rp 400.000.000</t>
  </si>
  <si>
    <t xml:space="preserve">12a</t>
  </si>
  <si>
    <t xml:space="preserve">Aset dengan nilai buku terbesar</t>
  </si>
  <si>
    <t xml:space="preserve">Teks: nama aset</t>
  </si>
  <si>
    <t xml:space="preserve">12b</t>
  </si>
  <si>
    <t xml:space="preserve">Aset dengan penyusutan per tahun terbesar</t>
  </si>
  <si>
    <t xml:space="preserve">13a</t>
  </si>
  <si>
    <t xml:space="preserve">Aset Habis Disusutkan</t>
  </si>
  <si>
    <t xml:space="preserve">Angka bulat, mis. 9</t>
  </si>
  <si>
    <t xml:space="preserve">13b</t>
  </si>
  <si>
    <t xml:space="preserve">Kategori nilai buku terbesar</t>
  </si>
  <si>
    <t xml:space="preserve">Teks: nama kategori</t>
  </si>
  <si>
    <t xml:space="preserve">14a</t>
  </si>
  <si>
    <t xml:space="preserve">Rata-rata usia pakai (tahun)</t>
  </si>
  <si>
    <t xml:space="preserve">Angka desimal, mis. 3,75</t>
  </si>
  <si>
    <t xml:space="preserve">14b</t>
  </si>
  <si>
    <t xml:space="preserve">Kendaraan yang masih disusutkan</t>
  </si>
  <si>
    <t xml:space="preserve">Angka bulat, mis. 3</t>
  </si>
  <si>
    <t xml:space="preserve">15a</t>
  </si>
  <si>
    <t xml:space="preserve">Total penyusutan per tahun aset yang masih disusutkan</t>
  </si>
  <si>
    <t xml:space="preserve">Rupiah, mis. Rp 120.000.000</t>
  </si>
  <si>
    <t xml:space="preserve">15b</t>
  </si>
  <si>
    <t xml:space="preserve">Tanggal perolehan paling awal</t>
  </si>
  <si>
    <t xml:space="preserve">Tanggal, mis. 14/10/2019</t>
  </si>
</sst>
</file>

<file path=xl/styles.xml><?xml version="1.0" encoding="utf-8"?>
<styleSheet xmlns="http://schemas.openxmlformats.org/spreadsheetml/2006/main">
  <numFmts count="6">
    <numFmt numFmtId="164" formatCode="General"/>
    <numFmt numFmtId="165" formatCode="dd/mm/yyyy"/>
    <numFmt numFmtId="166" formatCode="&quot;Rp &quot;#,##0"/>
    <numFmt numFmtId="167" formatCode="0"/>
    <numFmt numFmtId="168" formatCode="0.0%"/>
    <numFmt numFmtId="169" formatCode="0.0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7" fontId="7" fillId="0"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8"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9" fontId="7" fillId="4" borderId="1" xfId="0" applyFont="true" applyBorder="true" applyAlignment="true" applyProtection="false">
      <alignment horizontal="right" vertical="center" textRotation="0" wrapText="false" indent="0" shrinkToFit="false"/>
      <protection locked="true" hidden="false"/>
    </xf>
    <xf numFmtId="165" fontId="7" fillId="4"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81"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30" hidden="false" customHeight="true" outlineLevel="0" collapsed="false">
      <c r="A21" s="12" t="s">
        <v>23</v>
      </c>
      <c r="B21" s="13" t="s">
        <v>24</v>
      </c>
      <c r="C21" s="13" t="s">
        <v>25</v>
      </c>
      <c r="D21" s="14" t="s">
        <v>26</v>
      </c>
    </row>
    <row r="22" customFormat="false" ht="30" hidden="false" customHeight="true" outlineLevel="0" collapsed="false">
      <c r="A22" s="12" t="s">
        <v>27</v>
      </c>
      <c r="B22" s="13" t="s">
        <v>28</v>
      </c>
      <c r="C22" s="13" t="s">
        <v>29</v>
      </c>
      <c r="D22" s="14" t="s">
        <v>30</v>
      </c>
    </row>
    <row r="23" customFormat="false" ht="42" hidden="false" customHeight="true" outlineLevel="0" collapsed="false">
      <c r="A23" s="12" t="s">
        <v>31</v>
      </c>
      <c r="B23" s="13" t="s">
        <v>32</v>
      </c>
      <c r="C23" s="13" t="s">
        <v>33</v>
      </c>
      <c r="D23" s="14" t="s">
        <v>34</v>
      </c>
    </row>
    <row r="24" customFormat="false" ht="30" hidden="false" customHeight="true" outlineLevel="0" collapsed="false">
      <c r="A24" s="12" t="s">
        <v>35</v>
      </c>
      <c r="B24" s="13" t="s">
        <v>36</v>
      </c>
      <c r="C24" s="13" t="s">
        <v>37</v>
      </c>
      <c r="D24" s="14" t="s">
        <v>38</v>
      </c>
    </row>
    <row r="25" customFormat="false" ht="30" hidden="false" customHeight="true" outlineLevel="0" collapsed="false">
      <c r="A25" s="12" t="s">
        <v>39</v>
      </c>
      <c r="B25" s="13" t="s">
        <v>40</v>
      </c>
      <c r="C25" s="13" t="s">
        <v>41</v>
      </c>
      <c r="D25" s="14" t="s">
        <v>42</v>
      </c>
    </row>
    <row r="26" customFormat="false" ht="30" hidden="false" customHeight="true" outlineLevel="0" collapsed="false">
      <c r="A26" s="12" t="s">
        <v>43</v>
      </c>
      <c r="B26" s="13" t="s">
        <v>44</v>
      </c>
      <c r="C26" s="13" t="s">
        <v>45</v>
      </c>
      <c r="D26" s="14" t="s">
        <v>46</v>
      </c>
    </row>
    <row r="27" customFormat="false" ht="30" hidden="false" customHeight="true" outlineLevel="0" collapsed="false">
      <c r="A27" s="12" t="s">
        <v>47</v>
      </c>
      <c r="B27" s="13" t="s">
        <v>48</v>
      </c>
      <c r="C27" s="13" t="s">
        <v>49</v>
      </c>
      <c r="D27" s="14" t="s">
        <v>50</v>
      </c>
    </row>
    <row r="28" customFormat="false" ht="30" hidden="false" customHeight="true" outlineLevel="0" collapsed="false">
      <c r="A28" s="12" t="s">
        <v>51</v>
      </c>
      <c r="B28" s="13" t="s">
        <v>52</v>
      </c>
      <c r="C28" s="13" t="s">
        <v>53</v>
      </c>
      <c r="D28" s="14" t="s">
        <v>54</v>
      </c>
    </row>
    <row r="29" customFormat="false" ht="30" hidden="false" customHeight="true" outlineLevel="0" collapsed="false">
      <c r="A29" s="12" t="s">
        <v>55</v>
      </c>
      <c r="B29" s="13" t="s">
        <v>56</v>
      </c>
      <c r="C29" s="13" t="s">
        <v>57</v>
      </c>
      <c r="D29" s="14" t="s">
        <v>58</v>
      </c>
    </row>
    <row r="30" customFormat="false" ht="30" hidden="false" customHeight="true" outlineLevel="0" collapsed="false">
      <c r="A30" s="12" t="s">
        <v>59</v>
      </c>
      <c r="B30" s="13" t="s">
        <v>60</v>
      </c>
      <c r="C30" s="13" t="s">
        <v>61</v>
      </c>
      <c r="D30" s="14" t="s">
        <v>62</v>
      </c>
    </row>
    <row r="31" customFormat="false" ht="57.75" hidden="false" customHeight="true" outlineLevel="0" collapsed="false">
      <c r="A31" s="12" t="s">
        <v>63</v>
      </c>
      <c r="B31" s="13" t="s">
        <v>64</v>
      </c>
      <c r="C31" s="13" t="s">
        <v>65</v>
      </c>
      <c r="D31" s="14" t="s">
        <v>66</v>
      </c>
    </row>
    <row r="32" customFormat="false" ht="55.5" hidden="false" customHeight="true" outlineLevel="0" collapsed="false">
      <c r="A32" s="12" t="s">
        <v>67</v>
      </c>
      <c r="B32" s="13" t="s">
        <v>68</v>
      </c>
      <c r="C32" s="13" t="s">
        <v>69</v>
      </c>
      <c r="D32" s="14" t="s">
        <v>70</v>
      </c>
    </row>
    <row r="33" customFormat="false" ht="43.5" hidden="false" customHeight="true" outlineLevel="0" collapsed="false">
      <c r="A33" s="12" t="s">
        <v>71</v>
      </c>
      <c r="B33" s="13" t="s">
        <v>72</v>
      </c>
      <c r="C33" s="13" t="s">
        <v>73</v>
      </c>
      <c r="D33" s="14" t="s">
        <v>74</v>
      </c>
    </row>
    <row r="34" customFormat="false" ht="43.5" hidden="false" customHeight="true" outlineLevel="0" collapsed="false">
      <c r="A34" s="12" t="s">
        <v>75</v>
      </c>
      <c r="B34" s="13" t="s">
        <v>76</v>
      </c>
      <c r="C34" s="13" t="s">
        <v>77</v>
      </c>
      <c r="D34" s="14" t="s">
        <v>78</v>
      </c>
    </row>
    <row r="35" customFormat="false" ht="43.5" hidden="false" customHeight="true" outlineLevel="0" collapsed="false">
      <c r="A35" s="12" t="s">
        <v>79</v>
      </c>
      <c r="B35" s="13" t="s">
        <v>80</v>
      </c>
      <c r="C35" s="13" t="s">
        <v>81</v>
      </c>
      <c r="D35" s="14" t="s">
        <v>82</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18"/>
    <col collapsed="false" customWidth="true" hidden="false" outlineLevel="0" max="4" min="4" style="0" width="16"/>
    <col collapsed="false" customWidth="true" hidden="false" outlineLevel="0" max="5" min="5" style="0" width="17"/>
    <col collapsed="false" customWidth="true" hidden="false" outlineLevel="0" max="6" min="6" style="0" width="12"/>
    <col collapsed="false" customWidth="true" hidden="false" outlineLevel="0" max="7" min="7" style="0" width="14"/>
    <col collapsed="false" customWidth="true" hidden="false" outlineLevel="0" max="8" min="8" style="0" width="19"/>
    <col collapsed="false" customWidth="true" hidden="false" outlineLevel="0" max="9" min="9" style="0" width="17"/>
    <col collapsed="false" customWidth="true" hidden="false" outlineLevel="0" max="10" min="10" style="0" width="20"/>
    <col collapsed="false" customWidth="true" hidden="false" outlineLevel="0" max="11" min="11" style="0" width="16"/>
    <col collapsed="false" customWidth="true" hidden="false" outlineLevel="0" max="12" min="12" style="0" width="15"/>
    <col collapsed="false" customWidth="true" hidden="false" outlineLevel="0" max="13" min="13" style="0" width="18"/>
    <col collapsed="false" customWidth="true" hidden="false" outlineLevel="0" max="14" min="14" style="0" width="3"/>
    <col collapsed="false" customWidth="true" hidden="false" outlineLevel="0" max="15" min="15" style="0" width="30"/>
    <col collapsed="false" customWidth="true" hidden="false" outlineLevel="0" max="16" min="16" style="0" width="16"/>
    <col collapsed="false" customWidth="true" hidden="false" outlineLevel="0" max="17" min="17" style="0" width="42"/>
  </cols>
  <sheetData>
    <row r="1" customFormat="false" ht="33.75" hidden="false" customHeight="true" outlineLevel="0" collapsed="false">
      <c r="A1" s="11" t="s">
        <v>83</v>
      </c>
      <c r="B1" s="11" t="s">
        <v>84</v>
      </c>
      <c r="C1" s="11" t="s">
        <v>85</v>
      </c>
      <c r="D1" s="11" t="s">
        <v>86</v>
      </c>
      <c r="E1" s="11" t="s">
        <v>87</v>
      </c>
      <c r="F1" s="11" t="s">
        <v>88</v>
      </c>
      <c r="G1" s="11" t="s">
        <v>89</v>
      </c>
      <c r="H1" s="15" t="s">
        <v>90</v>
      </c>
      <c r="I1" s="15" t="s">
        <v>91</v>
      </c>
      <c r="J1" s="15" t="s">
        <v>92</v>
      </c>
      <c r="K1" s="15" t="s">
        <v>93</v>
      </c>
      <c r="L1" s="15" t="s">
        <v>94</v>
      </c>
      <c r="M1" s="15" t="s">
        <v>95</v>
      </c>
      <c r="O1" s="16" t="s">
        <v>96</v>
      </c>
      <c r="P1" s="16" t="s">
        <v>97</v>
      </c>
      <c r="Q1" s="16" t="s">
        <v>98</v>
      </c>
    </row>
    <row r="2" customFormat="false" ht="15" hidden="false" customHeight="false" outlineLevel="0" collapsed="false">
      <c r="A2" s="17" t="s">
        <v>99</v>
      </c>
      <c r="B2" s="17" t="s">
        <v>100</v>
      </c>
      <c r="C2" s="17" t="s">
        <v>101</v>
      </c>
      <c r="D2" s="18" t="n">
        <v>44964</v>
      </c>
      <c r="E2" s="19" t="n">
        <v>14000000</v>
      </c>
      <c r="F2" s="20" t="n">
        <v>4</v>
      </c>
      <c r="G2" s="19" t="n">
        <v>8000000</v>
      </c>
      <c r="H2" s="21" t="n">
        <f aca="false">(E2-G2)/F2</f>
        <v>1500000</v>
      </c>
      <c r="I2" s="22" t="n">
        <f aca="false">DATEDIF(D2,$P$2,"Y")</f>
        <v>3</v>
      </c>
      <c r="J2" s="21" t="n">
        <f aca="false">MIN(H2*I2,E2-G2)</f>
        <v>4500000</v>
      </c>
      <c r="K2" s="21" t="n">
        <f aca="false">E2-J2</f>
        <v>9500000</v>
      </c>
      <c r="L2" s="23" t="n">
        <f aca="false">J2/E2</f>
        <v>0.321428571428571</v>
      </c>
      <c r="M2" s="24" t="str">
        <f aca="false">IF(I2&gt;=F2,"Habis Disusutkan","Masih Disusutkan")</f>
        <v>Masih Disusutkan</v>
      </c>
      <c r="O2" s="25" t="s">
        <v>102</v>
      </c>
      <c r="P2" s="26" t="n">
        <v>46387</v>
      </c>
      <c r="Q2" s="25" t="s">
        <v>103</v>
      </c>
    </row>
    <row r="3" customFormat="false" ht="15" hidden="false" customHeight="false" outlineLevel="0" collapsed="false">
      <c r="A3" s="17" t="s">
        <v>104</v>
      </c>
      <c r="B3" s="17" t="s">
        <v>105</v>
      </c>
      <c r="C3" s="17" t="s">
        <v>101</v>
      </c>
      <c r="D3" s="18" t="n">
        <v>45445</v>
      </c>
      <c r="E3" s="19" t="n">
        <v>25000000</v>
      </c>
      <c r="F3" s="20" t="n">
        <v>5</v>
      </c>
      <c r="G3" s="19" t="n">
        <v>10000000</v>
      </c>
      <c r="H3" s="21" t="n">
        <f aca="false">(E3-G3)/F3</f>
        <v>3000000</v>
      </c>
      <c r="I3" s="22" t="n">
        <f aca="false">DATEDIF(D3,$P$2,"Y")</f>
        <v>2</v>
      </c>
      <c r="J3" s="21" t="n">
        <f aca="false">MIN(H3*I3,E3-G3)</f>
        <v>6000000</v>
      </c>
      <c r="K3" s="21" t="n">
        <f aca="false">E3-J3</f>
        <v>19000000</v>
      </c>
      <c r="L3" s="23" t="n">
        <f aca="false">J3/E3</f>
        <v>0.24</v>
      </c>
      <c r="M3" s="24" t="str">
        <f aca="false">IF(I3&gt;=F3,"Habis Disusutkan","Masih Disusutkan")</f>
        <v>Masih Disusutkan</v>
      </c>
    </row>
    <row r="4" customFormat="false" ht="15" hidden="false" customHeight="false" outlineLevel="0" collapsed="false">
      <c r="A4" s="17" t="s">
        <v>106</v>
      </c>
      <c r="B4" s="17" t="s">
        <v>107</v>
      </c>
      <c r="C4" s="17" t="s">
        <v>101</v>
      </c>
      <c r="D4" s="18" t="n">
        <v>45665</v>
      </c>
      <c r="E4" s="19" t="n">
        <v>15000000</v>
      </c>
      <c r="F4" s="20" t="n">
        <v>5</v>
      </c>
      <c r="G4" s="19" t="n">
        <v>10000000</v>
      </c>
      <c r="H4" s="21" t="n">
        <f aca="false">(E4-G4)/F4</f>
        <v>1000000</v>
      </c>
      <c r="I4" s="22" t="n">
        <f aca="false">DATEDIF(D4,$P$2,"Y")</f>
        <v>1</v>
      </c>
      <c r="J4" s="21" t="n">
        <f aca="false">MIN(H4*I4,E4-G4)</f>
        <v>1000000</v>
      </c>
      <c r="K4" s="21" t="n">
        <f aca="false">E4-J4</f>
        <v>14000000</v>
      </c>
      <c r="L4" s="23" t="n">
        <f aca="false">J4/E4</f>
        <v>0.0666666666666667</v>
      </c>
      <c r="M4" s="24" t="str">
        <f aca="false">IF(I4&gt;=F4,"Habis Disusutkan","Masih Disusutkan")</f>
        <v>Masih Disusutkan</v>
      </c>
    </row>
    <row r="5" customFormat="false" ht="15" hidden="false" customHeight="false" outlineLevel="0" collapsed="false">
      <c r="A5" s="17" t="s">
        <v>108</v>
      </c>
      <c r="B5" s="17" t="s">
        <v>109</v>
      </c>
      <c r="C5" s="17" t="s">
        <v>110</v>
      </c>
      <c r="D5" s="18" t="n">
        <v>44765</v>
      </c>
      <c r="E5" s="19" t="n">
        <v>33500000</v>
      </c>
      <c r="F5" s="20" t="n">
        <v>5</v>
      </c>
      <c r="G5" s="19" t="n">
        <v>1000000</v>
      </c>
      <c r="H5" s="21" t="n">
        <f aca="false">(E5-G5)/F5</f>
        <v>6500000</v>
      </c>
      <c r="I5" s="22" t="n">
        <f aca="false">DATEDIF(D5,$P$2,"Y")</f>
        <v>4</v>
      </c>
      <c r="J5" s="21" t="n">
        <f aca="false">MIN(H5*I5,E5-G5)</f>
        <v>26000000</v>
      </c>
      <c r="K5" s="21" t="n">
        <f aca="false">E5-J5</f>
        <v>7500000</v>
      </c>
      <c r="L5" s="23" t="n">
        <f aca="false">J5/E5</f>
        <v>0.776119402985075</v>
      </c>
      <c r="M5" s="24" t="str">
        <f aca="false">IF(I5&gt;=F5,"Habis Disusutkan","Masih Disusutkan")</f>
        <v>Masih Disusutkan</v>
      </c>
    </row>
    <row r="6" customFormat="false" ht="15" hidden="false" customHeight="false" outlineLevel="0" collapsed="false">
      <c r="A6" s="17" t="s">
        <v>111</v>
      </c>
      <c r="B6" s="17" t="s">
        <v>112</v>
      </c>
      <c r="C6" s="17" t="s">
        <v>113</v>
      </c>
      <c r="D6" s="18" t="n">
        <v>44891</v>
      </c>
      <c r="E6" s="19" t="n">
        <v>34000000</v>
      </c>
      <c r="F6" s="20" t="n">
        <v>4</v>
      </c>
      <c r="G6" s="19" t="n">
        <v>4000000</v>
      </c>
      <c r="H6" s="21" t="n">
        <f aca="false">(E6-G6)/F6</f>
        <v>7500000</v>
      </c>
      <c r="I6" s="22" t="n">
        <f aca="false">DATEDIF(D6,$P$2,"Y")</f>
        <v>4</v>
      </c>
      <c r="J6" s="21" t="n">
        <f aca="false">MIN(H6*I6,E6-G6)</f>
        <v>30000000</v>
      </c>
      <c r="K6" s="21" t="n">
        <f aca="false">E6-J6</f>
        <v>4000000</v>
      </c>
      <c r="L6" s="23" t="n">
        <f aca="false">J6/E6</f>
        <v>0.882352941176471</v>
      </c>
      <c r="M6" s="24" t="str">
        <f aca="false">IF(I6&gt;=F6,"Habis Disusutkan","Masih Disusutkan")</f>
        <v>Habis Disusutkan</v>
      </c>
    </row>
    <row r="7" customFormat="false" ht="15" hidden="false" customHeight="false" outlineLevel="0" collapsed="false">
      <c r="A7" s="17" t="s">
        <v>114</v>
      </c>
      <c r="B7" s="17" t="s">
        <v>115</v>
      </c>
      <c r="C7" s="17" t="s">
        <v>110</v>
      </c>
      <c r="D7" s="18" t="n">
        <v>43569</v>
      </c>
      <c r="E7" s="19" t="n">
        <v>78500000</v>
      </c>
      <c r="F7" s="20" t="n">
        <v>5</v>
      </c>
      <c r="G7" s="19" t="n">
        <v>6000000</v>
      </c>
      <c r="H7" s="21" t="n">
        <f aca="false">(E7-G7)/F7</f>
        <v>14500000</v>
      </c>
      <c r="I7" s="22" t="n">
        <f aca="false">DATEDIF(D7,$P$2,"Y")</f>
        <v>7</v>
      </c>
      <c r="J7" s="21" t="n">
        <f aca="false">MIN(H7*I7,E7-G7)</f>
        <v>72500000</v>
      </c>
      <c r="K7" s="21" t="n">
        <f aca="false">E7-J7</f>
        <v>6000000</v>
      </c>
      <c r="L7" s="23" t="n">
        <f aca="false">J7/E7</f>
        <v>0.923566878980892</v>
      </c>
      <c r="M7" s="24" t="str">
        <f aca="false">IF(I7&gt;=F7,"Habis Disusutkan","Masih Disusutkan")</f>
        <v>Habis Disusutkan</v>
      </c>
    </row>
    <row r="8" customFormat="false" ht="15" hidden="false" customHeight="false" outlineLevel="0" collapsed="false">
      <c r="A8" s="17" t="s">
        <v>116</v>
      </c>
      <c r="B8" s="17" t="s">
        <v>117</v>
      </c>
      <c r="C8" s="17" t="s">
        <v>110</v>
      </c>
      <c r="D8" s="18" t="n">
        <v>44728</v>
      </c>
      <c r="E8" s="19" t="n">
        <v>74000000</v>
      </c>
      <c r="F8" s="20" t="n">
        <v>10</v>
      </c>
      <c r="G8" s="19" t="n">
        <v>4000000</v>
      </c>
      <c r="H8" s="21" t="n">
        <f aca="false">(E8-G8)/F8</f>
        <v>7000000</v>
      </c>
      <c r="I8" s="22" t="n">
        <f aca="false">DATEDIF(D8,$P$2,"Y")</f>
        <v>4</v>
      </c>
      <c r="J8" s="21" t="n">
        <f aca="false">MIN(H8*I8,E8-G8)</f>
        <v>28000000</v>
      </c>
      <c r="K8" s="21" t="n">
        <f aca="false">E8-J8</f>
        <v>46000000</v>
      </c>
      <c r="L8" s="23" t="n">
        <f aca="false">J8/E8</f>
        <v>0.378378378378378</v>
      </c>
      <c r="M8" s="24" t="str">
        <f aca="false">IF(I8&gt;=F8,"Habis Disusutkan","Masih Disusutkan")</f>
        <v>Masih Disusutkan</v>
      </c>
    </row>
    <row r="9" customFormat="false" ht="15" hidden="false" customHeight="false" outlineLevel="0" collapsed="false">
      <c r="A9" s="17" t="s">
        <v>118</v>
      </c>
      <c r="B9" s="17" t="s">
        <v>119</v>
      </c>
      <c r="C9" s="17" t="s">
        <v>113</v>
      </c>
      <c r="D9" s="18" t="n">
        <v>44358</v>
      </c>
      <c r="E9" s="19" t="n">
        <v>19000000</v>
      </c>
      <c r="F9" s="20" t="n">
        <v>4</v>
      </c>
      <c r="G9" s="19" t="n">
        <v>9000000</v>
      </c>
      <c r="H9" s="21" t="n">
        <f aca="false">(E9-G9)/F9</f>
        <v>2500000</v>
      </c>
      <c r="I9" s="22" t="n">
        <f aca="false">DATEDIF(D9,$P$2,"Y")</f>
        <v>5</v>
      </c>
      <c r="J9" s="21" t="n">
        <f aca="false">MIN(H9*I9,E9-G9)</f>
        <v>10000000</v>
      </c>
      <c r="K9" s="21" t="n">
        <f aca="false">E9-J9</f>
        <v>9000000</v>
      </c>
      <c r="L9" s="23" t="n">
        <f aca="false">J9/E9</f>
        <v>0.526315789473684</v>
      </c>
      <c r="M9" s="24" t="str">
        <f aca="false">IF(I9&gt;=F9,"Habis Disusutkan","Masih Disusutkan")</f>
        <v>Habis Disusutkan</v>
      </c>
    </row>
    <row r="10" customFormat="false" ht="15" hidden="false" customHeight="false" outlineLevel="0" collapsed="false">
      <c r="A10" s="17" t="s">
        <v>120</v>
      </c>
      <c r="B10" s="17" t="s">
        <v>121</v>
      </c>
      <c r="C10" s="17" t="s">
        <v>110</v>
      </c>
      <c r="D10" s="18" t="n">
        <v>43983</v>
      </c>
      <c r="E10" s="19" t="n">
        <v>116000000</v>
      </c>
      <c r="F10" s="20" t="n">
        <v>5</v>
      </c>
      <c r="G10" s="19" t="n">
        <v>1000000</v>
      </c>
      <c r="H10" s="21" t="n">
        <f aca="false">(E10-G10)/F10</f>
        <v>23000000</v>
      </c>
      <c r="I10" s="22" t="n">
        <f aca="false">DATEDIF(D10,$P$2,"Y")</f>
        <v>6</v>
      </c>
      <c r="J10" s="21" t="n">
        <f aca="false">MIN(H10*I10,E10-G10)</f>
        <v>115000000</v>
      </c>
      <c r="K10" s="21" t="n">
        <f aca="false">E10-J10</f>
        <v>1000000</v>
      </c>
      <c r="L10" s="23" t="n">
        <f aca="false">J10/E10</f>
        <v>0.991379310344828</v>
      </c>
      <c r="M10" s="24" t="str">
        <f aca="false">IF(I10&gt;=F10,"Habis Disusutkan","Masih Disusutkan")</f>
        <v>Habis Disusutkan</v>
      </c>
    </row>
    <row r="11" customFormat="false" ht="15" hidden="false" customHeight="false" outlineLevel="0" collapsed="false">
      <c r="A11" s="17" t="s">
        <v>122</v>
      </c>
      <c r="B11" s="17" t="s">
        <v>123</v>
      </c>
      <c r="C11" s="17" t="s">
        <v>113</v>
      </c>
      <c r="D11" s="18" t="n">
        <v>44844</v>
      </c>
      <c r="E11" s="19" t="n">
        <v>57000000</v>
      </c>
      <c r="F11" s="20" t="n">
        <v>4</v>
      </c>
      <c r="G11" s="19" t="n">
        <v>5000000</v>
      </c>
      <c r="H11" s="21" t="n">
        <f aca="false">(E11-G11)/F11</f>
        <v>13000000</v>
      </c>
      <c r="I11" s="22" t="n">
        <f aca="false">DATEDIF(D11,$P$2,"Y")</f>
        <v>4</v>
      </c>
      <c r="J11" s="21" t="n">
        <f aca="false">MIN(H11*I11,E11-G11)</f>
        <v>52000000</v>
      </c>
      <c r="K11" s="21" t="n">
        <f aca="false">E11-J11</f>
        <v>5000000</v>
      </c>
      <c r="L11" s="23" t="n">
        <f aca="false">J11/E11</f>
        <v>0.912280701754386</v>
      </c>
      <c r="M11" s="24" t="str">
        <f aca="false">IF(I11&gt;=F11,"Habis Disusutkan","Masih Disusutkan")</f>
        <v>Habis Disusutkan</v>
      </c>
    </row>
    <row r="12" customFormat="false" ht="15" hidden="false" customHeight="false" outlineLevel="0" collapsed="false">
      <c r="A12" s="17" t="s">
        <v>124</v>
      </c>
      <c r="B12" s="17" t="s">
        <v>125</v>
      </c>
      <c r="C12" s="17" t="s">
        <v>113</v>
      </c>
      <c r="D12" s="18" t="n">
        <v>45580</v>
      </c>
      <c r="E12" s="19" t="n">
        <v>21000000</v>
      </c>
      <c r="F12" s="20" t="n">
        <v>5</v>
      </c>
      <c r="G12" s="19" t="n">
        <v>6000000</v>
      </c>
      <c r="H12" s="21" t="n">
        <f aca="false">(E12-G12)/F12</f>
        <v>3000000</v>
      </c>
      <c r="I12" s="22" t="n">
        <f aca="false">DATEDIF(D12,$P$2,"Y")</f>
        <v>2</v>
      </c>
      <c r="J12" s="21" t="n">
        <f aca="false">MIN(H12*I12,E12-G12)</f>
        <v>6000000</v>
      </c>
      <c r="K12" s="21" t="n">
        <f aca="false">E12-J12</f>
        <v>15000000</v>
      </c>
      <c r="L12" s="23" t="n">
        <f aca="false">J12/E12</f>
        <v>0.285714285714286</v>
      </c>
      <c r="M12" s="24" t="str">
        <f aca="false">IF(I12&gt;=F12,"Habis Disusutkan","Masih Disusutkan")</f>
        <v>Masih Disusutkan</v>
      </c>
    </row>
    <row r="13" customFormat="false" ht="15" hidden="false" customHeight="false" outlineLevel="0" collapsed="false">
      <c r="A13" s="17" t="s">
        <v>126</v>
      </c>
      <c r="B13" s="17" t="s">
        <v>127</v>
      </c>
      <c r="C13" s="17" t="s">
        <v>113</v>
      </c>
      <c r="D13" s="18" t="n">
        <v>45710</v>
      </c>
      <c r="E13" s="19" t="n">
        <v>97000000</v>
      </c>
      <c r="F13" s="20" t="n">
        <v>8</v>
      </c>
      <c r="G13" s="19" t="n">
        <v>1000000</v>
      </c>
      <c r="H13" s="21" t="n">
        <f aca="false">(E13-G13)/F13</f>
        <v>12000000</v>
      </c>
      <c r="I13" s="22" t="n">
        <f aca="false">DATEDIF(D13,$P$2,"Y")</f>
        <v>1</v>
      </c>
      <c r="J13" s="21" t="n">
        <f aca="false">MIN(H13*I13,E13-G13)</f>
        <v>12000000</v>
      </c>
      <c r="K13" s="21" t="n">
        <f aca="false">E13-J13</f>
        <v>85000000</v>
      </c>
      <c r="L13" s="23" t="n">
        <f aca="false">J13/E13</f>
        <v>0.123711340206186</v>
      </c>
      <c r="M13" s="24" t="str">
        <f aca="false">IF(I13&gt;=F13,"Habis Disusutkan","Masih Disusutkan")</f>
        <v>Masih Disusutkan</v>
      </c>
    </row>
    <row r="14" customFormat="false" ht="15" hidden="false" customHeight="false" outlineLevel="0" collapsed="false">
      <c r="A14" s="17" t="s">
        <v>128</v>
      </c>
      <c r="B14" s="17" t="s">
        <v>129</v>
      </c>
      <c r="C14" s="17" t="s">
        <v>101</v>
      </c>
      <c r="D14" s="18" t="n">
        <v>45501</v>
      </c>
      <c r="E14" s="19" t="n">
        <v>32000000</v>
      </c>
      <c r="F14" s="20" t="n">
        <v>4</v>
      </c>
      <c r="G14" s="19" t="n">
        <v>2000000</v>
      </c>
      <c r="H14" s="21" t="n">
        <f aca="false">(E14-G14)/F14</f>
        <v>7500000</v>
      </c>
      <c r="I14" s="22" t="n">
        <f aca="false">DATEDIF(D14,$P$2,"Y")</f>
        <v>2</v>
      </c>
      <c r="J14" s="21" t="n">
        <f aca="false">MIN(H14*I14,E14-G14)</f>
        <v>15000000</v>
      </c>
      <c r="K14" s="21" t="n">
        <f aca="false">E14-J14</f>
        <v>17000000</v>
      </c>
      <c r="L14" s="23" t="n">
        <f aca="false">J14/E14</f>
        <v>0.46875</v>
      </c>
      <c r="M14" s="24" t="str">
        <f aca="false">IF(I14&gt;=F14,"Habis Disusutkan","Masih Disusutkan")</f>
        <v>Masih Disusutkan</v>
      </c>
    </row>
    <row r="15" customFormat="false" ht="15" hidden="false" customHeight="false" outlineLevel="0" collapsed="false">
      <c r="A15" s="17" t="s">
        <v>130</v>
      </c>
      <c r="B15" s="17" t="s">
        <v>131</v>
      </c>
      <c r="C15" s="17" t="s">
        <v>132</v>
      </c>
      <c r="D15" s="18" t="n">
        <v>45431</v>
      </c>
      <c r="E15" s="19" t="n">
        <v>146500000</v>
      </c>
      <c r="F15" s="20" t="n">
        <v>5</v>
      </c>
      <c r="G15" s="19" t="n">
        <v>29000000</v>
      </c>
      <c r="H15" s="21" t="n">
        <f aca="false">(E15-G15)/F15</f>
        <v>23500000</v>
      </c>
      <c r="I15" s="22" t="n">
        <f aca="false">DATEDIF(D15,$P$2,"Y")</f>
        <v>2</v>
      </c>
      <c r="J15" s="21" t="n">
        <f aca="false">MIN(H15*I15,E15-G15)</f>
        <v>47000000</v>
      </c>
      <c r="K15" s="21" t="n">
        <f aca="false">E15-J15</f>
        <v>99500000</v>
      </c>
      <c r="L15" s="23" t="n">
        <f aca="false">J15/E15</f>
        <v>0.320819112627986</v>
      </c>
      <c r="M15" s="24" t="str">
        <f aca="false">IF(I15&gt;=F15,"Habis Disusutkan","Masih Disusutkan")</f>
        <v>Masih Disusutkan</v>
      </c>
    </row>
    <row r="16" customFormat="false" ht="15" hidden="false" customHeight="false" outlineLevel="0" collapsed="false">
      <c r="A16" s="17" t="s">
        <v>133</v>
      </c>
      <c r="B16" s="17" t="s">
        <v>134</v>
      </c>
      <c r="C16" s="17" t="s">
        <v>132</v>
      </c>
      <c r="D16" s="18" t="n">
        <v>44494</v>
      </c>
      <c r="E16" s="19" t="n">
        <v>81000000</v>
      </c>
      <c r="F16" s="20" t="n">
        <v>4</v>
      </c>
      <c r="G16" s="19" t="n">
        <v>25000000</v>
      </c>
      <c r="H16" s="21" t="n">
        <f aca="false">(E16-G16)/F16</f>
        <v>14000000</v>
      </c>
      <c r="I16" s="22" t="n">
        <f aca="false">DATEDIF(D16,$P$2,"Y")</f>
        <v>5</v>
      </c>
      <c r="J16" s="21" t="n">
        <f aca="false">MIN(H16*I16,E16-G16)</f>
        <v>56000000</v>
      </c>
      <c r="K16" s="21" t="n">
        <f aca="false">E16-J16</f>
        <v>25000000</v>
      </c>
      <c r="L16" s="23" t="n">
        <f aca="false">J16/E16</f>
        <v>0.691358024691358</v>
      </c>
      <c r="M16" s="24" t="str">
        <f aca="false">IF(I16&gt;=F16,"Habis Disusutkan","Masih Disusutkan")</f>
        <v>Habis Disusutkan</v>
      </c>
    </row>
    <row r="17" customFormat="false" ht="15" hidden="false" customHeight="false" outlineLevel="0" collapsed="false">
      <c r="A17" s="17" t="s">
        <v>135</v>
      </c>
      <c r="B17" s="17" t="s">
        <v>136</v>
      </c>
      <c r="C17" s="17" t="s">
        <v>101</v>
      </c>
      <c r="D17" s="18" t="n">
        <v>44931</v>
      </c>
      <c r="E17" s="19" t="n">
        <v>39000000</v>
      </c>
      <c r="F17" s="20" t="n">
        <v>5</v>
      </c>
      <c r="G17" s="19" t="n">
        <v>4000000</v>
      </c>
      <c r="H17" s="21" t="n">
        <f aca="false">(E17-G17)/F17</f>
        <v>7000000</v>
      </c>
      <c r="I17" s="22" t="n">
        <f aca="false">DATEDIF(D17,$P$2,"Y")</f>
        <v>3</v>
      </c>
      <c r="J17" s="21" t="n">
        <f aca="false">MIN(H17*I17,E17-G17)</f>
        <v>21000000</v>
      </c>
      <c r="K17" s="21" t="n">
        <f aca="false">E17-J17</f>
        <v>18000000</v>
      </c>
      <c r="L17" s="23" t="n">
        <f aca="false">J17/E17</f>
        <v>0.538461538461538</v>
      </c>
      <c r="M17" s="24" t="str">
        <f aca="false">IF(I17&gt;=F17,"Habis Disusutkan","Masih Disusutkan")</f>
        <v>Masih Disusutkan</v>
      </c>
    </row>
    <row r="18" customFormat="false" ht="15" hidden="false" customHeight="false" outlineLevel="0" collapsed="false">
      <c r="A18" s="17" t="s">
        <v>137</v>
      </c>
      <c r="B18" s="17" t="s">
        <v>138</v>
      </c>
      <c r="C18" s="17" t="s">
        <v>110</v>
      </c>
      <c r="D18" s="18" t="n">
        <v>45550</v>
      </c>
      <c r="E18" s="19" t="n">
        <v>113000000</v>
      </c>
      <c r="F18" s="20" t="n">
        <v>10</v>
      </c>
      <c r="G18" s="19" t="n">
        <v>8000000</v>
      </c>
      <c r="H18" s="21" t="n">
        <f aca="false">(E18-G18)/F18</f>
        <v>10500000</v>
      </c>
      <c r="I18" s="22" t="n">
        <f aca="false">DATEDIF(D18,$P$2,"Y")</f>
        <v>2</v>
      </c>
      <c r="J18" s="21" t="n">
        <f aca="false">MIN(H18*I18,E18-G18)</f>
        <v>21000000</v>
      </c>
      <c r="K18" s="21" t="n">
        <f aca="false">E18-J18</f>
        <v>92000000</v>
      </c>
      <c r="L18" s="23" t="n">
        <f aca="false">J18/E18</f>
        <v>0.185840707964602</v>
      </c>
      <c r="M18" s="24" t="str">
        <f aca="false">IF(I18&gt;=F18,"Habis Disusutkan","Masih Disusutkan")</f>
        <v>Masih Disusutkan</v>
      </c>
    </row>
    <row r="19" customFormat="false" ht="15" hidden="false" customHeight="false" outlineLevel="0" collapsed="false">
      <c r="A19" s="17" t="s">
        <v>139</v>
      </c>
      <c r="B19" s="17" t="s">
        <v>140</v>
      </c>
      <c r="C19" s="17" t="s">
        <v>132</v>
      </c>
      <c r="D19" s="18" t="n">
        <v>45830</v>
      </c>
      <c r="E19" s="19" t="n">
        <v>337000000</v>
      </c>
      <c r="F19" s="20" t="n">
        <v>8</v>
      </c>
      <c r="G19" s="19" t="n">
        <v>21000000</v>
      </c>
      <c r="H19" s="21" t="n">
        <f aca="false">(E19-G19)/F19</f>
        <v>39500000</v>
      </c>
      <c r="I19" s="22" t="n">
        <f aca="false">DATEDIF(D19,$P$2,"Y")</f>
        <v>1</v>
      </c>
      <c r="J19" s="21" t="n">
        <f aca="false">MIN(H19*I19,E19-G19)</f>
        <v>39500000</v>
      </c>
      <c r="K19" s="21" t="n">
        <f aca="false">E19-J19</f>
        <v>297500000</v>
      </c>
      <c r="L19" s="23" t="n">
        <f aca="false">J19/E19</f>
        <v>0.117210682492582</v>
      </c>
      <c r="M19" s="24" t="str">
        <f aca="false">IF(I19&gt;=F19,"Habis Disusutkan","Masih Disusutkan")</f>
        <v>Masih Disusutkan</v>
      </c>
    </row>
    <row r="20" customFormat="false" ht="15" hidden="false" customHeight="false" outlineLevel="0" collapsed="false">
      <c r="A20" s="17" t="s">
        <v>141</v>
      </c>
      <c r="B20" s="17" t="s">
        <v>142</v>
      </c>
      <c r="C20" s="17" t="s">
        <v>132</v>
      </c>
      <c r="D20" s="18" t="n">
        <v>43509</v>
      </c>
      <c r="E20" s="19" t="n">
        <v>340000000</v>
      </c>
      <c r="F20" s="20" t="n">
        <v>8</v>
      </c>
      <c r="G20" s="19" t="n">
        <v>8000000</v>
      </c>
      <c r="H20" s="21" t="n">
        <f aca="false">(E20-G20)/F20</f>
        <v>41500000</v>
      </c>
      <c r="I20" s="22" t="n">
        <f aca="false">DATEDIF(D20,$P$2,"Y")</f>
        <v>7</v>
      </c>
      <c r="J20" s="21" t="n">
        <f aca="false">MIN(H20*I20,E20-G20)</f>
        <v>290500000</v>
      </c>
      <c r="K20" s="21" t="n">
        <f aca="false">E20-J20</f>
        <v>49500000</v>
      </c>
      <c r="L20" s="23" t="n">
        <f aca="false">J20/E20</f>
        <v>0.854411764705882</v>
      </c>
      <c r="M20" s="24" t="str">
        <f aca="false">IF(I20&gt;=F20,"Habis Disusutkan","Masih Disusutkan")</f>
        <v>Masih Disusutkan</v>
      </c>
    </row>
    <row r="21" customFormat="false" ht="15" hidden="false" customHeight="false" outlineLevel="0" collapsed="false">
      <c r="A21" s="17" t="s">
        <v>143</v>
      </c>
      <c r="B21" s="17" t="s">
        <v>144</v>
      </c>
      <c r="C21" s="17" t="s">
        <v>101</v>
      </c>
      <c r="D21" s="18" t="n">
        <v>43784</v>
      </c>
      <c r="E21" s="19" t="n">
        <v>20500000</v>
      </c>
      <c r="F21" s="20" t="n">
        <v>5</v>
      </c>
      <c r="G21" s="19" t="n">
        <v>3000000</v>
      </c>
      <c r="H21" s="21" t="n">
        <f aca="false">(E21-G21)/F21</f>
        <v>3500000</v>
      </c>
      <c r="I21" s="22" t="n">
        <f aca="false">DATEDIF(D21,$P$2,"Y")</f>
        <v>7</v>
      </c>
      <c r="J21" s="21" t="n">
        <f aca="false">MIN(H21*I21,E21-G21)</f>
        <v>17500000</v>
      </c>
      <c r="K21" s="21" t="n">
        <f aca="false">E21-J21</f>
        <v>3000000</v>
      </c>
      <c r="L21" s="23" t="n">
        <f aca="false">J21/E21</f>
        <v>0.853658536585366</v>
      </c>
      <c r="M21" s="24" t="str">
        <f aca="false">IF(I21&gt;=F21,"Habis Disusutkan","Masih Disusutkan")</f>
        <v>Habis Disusutkan</v>
      </c>
    </row>
    <row r="22" customFormat="false" ht="15" hidden="false" customHeight="false" outlineLevel="0" collapsed="false">
      <c r="A22" s="17" t="s">
        <v>145</v>
      </c>
      <c r="B22" s="17" t="s">
        <v>146</v>
      </c>
      <c r="C22" s="17" t="s">
        <v>132</v>
      </c>
      <c r="D22" s="18" t="n">
        <v>44858</v>
      </c>
      <c r="E22" s="19" t="n">
        <v>60000000</v>
      </c>
      <c r="F22" s="20" t="n">
        <v>4</v>
      </c>
      <c r="G22" s="19" t="n">
        <v>8000000</v>
      </c>
      <c r="H22" s="21" t="n">
        <f aca="false">(E22-G22)/F22</f>
        <v>13000000</v>
      </c>
      <c r="I22" s="22" t="n">
        <f aca="false">DATEDIF(D22,$P$2,"Y")</f>
        <v>4</v>
      </c>
      <c r="J22" s="21" t="n">
        <f aca="false">MIN(H22*I22,E22-G22)</f>
        <v>52000000</v>
      </c>
      <c r="K22" s="21" t="n">
        <f aca="false">E22-J22</f>
        <v>8000000</v>
      </c>
      <c r="L22" s="23" t="n">
        <f aca="false">J22/E22</f>
        <v>0.866666666666667</v>
      </c>
      <c r="M22" s="24" t="str">
        <f aca="false">IF(I22&gt;=F22,"Habis Disusutkan","Masih Disusutkan")</f>
        <v>Habis Disusutkan</v>
      </c>
    </row>
    <row r="23" customFormat="false" ht="15" hidden="false" customHeight="false" outlineLevel="0" collapsed="false">
      <c r="A23" s="17" t="s">
        <v>147</v>
      </c>
      <c r="B23" s="17" t="s">
        <v>148</v>
      </c>
      <c r="C23" s="17" t="s">
        <v>101</v>
      </c>
      <c r="D23" s="18" t="n">
        <v>45955</v>
      </c>
      <c r="E23" s="19" t="n">
        <v>16000000</v>
      </c>
      <c r="F23" s="20" t="n">
        <v>5</v>
      </c>
      <c r="G23" s="19" t="n">
        <v>6000000</v>
      </c>
      <c r="H23" s="21" t="n">
        <f aca="false">(E23-G23)/F23</f>
        <v>2000000</v>
      </c>
      <c r="I23" s="22" t="n">
        <f aca="false">DATEDIF(D23,$P$2,"Y")</f>
        <v>1</v>
      </c>
      <c r="J23" s="21" t="n">
        <f aca="false">MIN(H23*I23,E23-G23)</f>
        <v>2000000</v>
      </c>
      <c r="K23" s="21" t="n">
        <f aca="false">E23-J23</f>
        <v>14000000</v>
      </c>
      <c r="L23" s="23" t="n">
        <f aca="false">J23/E23</f>
        <v>0.125</v>
      </c>
      <c r="M23" s="24" t="str">
        <f aca="false">IF(I23&gt;=F23,"Habis Disusutkan","Masih Disusutkan")</f>
        <v>Masih Disusutkan</v>
      </c>
    </row>
    <row r="24" customFormat="false" ht="15" hidden="false" customHeight="false" outlineLevel="0" collapsed="false">
      <c r="A24" s="17" t="s">
        <v>149</v>
      </c>
      <c r="B24" s="17" t="s">
        <v>150</v>
      </c>
      <c r="C24" s="17" t="s">
        <v>101</v>
      </c>
      <c r="D24" s="18" t="n">
        <v>44916</v>
      </c>
      <c r="E24" s="19" t="n">
        <v>40000000</v>
      </c>
      <c r="F24" s="20" t="n">
        <v>4</v>
      </c>
      <c r="G24" s="19" t="n">
        <v>10000000</v>
      </c>
      <c r="H24" s="21" t="n">
        <f aca="false">(E24-G24)/F24</f>
        <v>7500000</v>
      </c>
      <c r="I24" s="22" t="n">
        <f aca="false">DATEDIF(D24,$P$2,"Y")</f>
        <v>4</v>
      </c>
      <c r="J24" s="21" t="n">
        <f aca="false">MIN(H24*I24,E24-G24)</f>
        <v>30000000</v>
      </c>
      <c r="K24" s="21" t="n">
        <f aca="false">E24-J24</f>
        <v>10000000</v>
      </c>
      <c r="L24" s="23" t="n">
        <f aca="false">J24/E24</f>
        <v>0.75</v>
      </c>
      <c r="M24" s="24" t="str">
        <f aca="false">IF(I24&gt;=F24,"Habis Disusutkan","Masih Disusutkan")</f>
        <v>Habis Disusutkan</v>
      </c>
    </row>
    <row r="25" customFormat="false" ht="15" hidden="false" customHeight="false" outlineLevel="0" collapsed="false">
      <c r="A25" s="17" t="s">
        <v>151</v>
      </c>
      <c r="B25" s="17" t="s">
        <v>152</v>
      </c>
      <c r="C25" s="17" t="s">
        <v>110</v>
      </c>
      <c r="D25" s="18" t="n">
        <v>45783</v>
      </c>
      <c r="E25" s="19" t="n">
        <v>186000000</v>
      </c>
      <c r="F25" s="20" t="n">
        <v>8</v>
      </c>
      <c r="G25" s="19" t="n">
        <v>6000000</v>
      </c>
      <c r="H25" s="21" t="n">
        <f aca="false">(E25-G25)/F25</f>
        <v>22500000</v>
      </c>
      <c r="I25" s="22" t="n">
        <f aca="false">DATEDIF(D25,$P$2,"Y")</f>
        <v>1</v>
      </c>
      <c r="J25" s="21" t="n">
        <f aca="false">MIN(H25*I25,E25-G25)</f>
        <v>22500000</v>
      </c>
      <c r="K25" s="21" t="n">
        <f aca="false">E25-J25</f>
        <v>163500000</v>
      </c>
      <c r="L25" s="23" t="n">
        <f aca="false">J25/E25</f>
        <v>0.120967741935484</v>
      </c>
      <c r="M25" s="24" t="str">
        <f aca="false">IF(I25&gt;=F25,"Habis Disusutkan","Masih Disusutkan")</f>
        <v>Masih Disusutkan</v>
      </c>
    </row>
    <row r="26" customFormat="false" ht="15" hidden="false" customHeight="false" outlineLevel="0" collapsed="false">
      <c r="A26" s="17" t="s">
        <v>153</v>
      </c>
      <c r="B26" s="17" t="s">
        <v>154</v>
      </c>
      <c r="C26" s="17" t="s">
        <v>113</v>
      </c>
      <c r="D26" s="18" t="n">
        <v>44159</v>
      </c>
      <c r="E26" s="19" t="n">
        <v>30000000</v>
      </c>
      <c r="F26" s="20" t="n">
        <v>4</v>
      </c>
      <c r="G26" s="19" t="n">
        <v>10000000</v>
      </c>
      <c r="H26" s="21" t="n">
        <f aca="false">(E26-G26)/F26</f>
        <v>5000000</v>
      </c>
      <c r="I26" s="22" t="n">
        <f aca="false">DATEDIF(D26,$P$2,"Y")</f>
        <v>6</v>
      </c>
      <c r="J26" s="21" t="n">
        <f aca="false">MIN(H26*I26,E26-G26)</f>
        <v>20000000</v>
      </c>
      <c r="K26" s="21" t="n">
        <f aca="false">E26-J26</f>
        <v>10000000</v>
      </c>
      <c r="L26" s="23" t="n">
        <f aca="false">J26/E26</f>
        <v>0.666666666666667</v>
      </c>
      <c r="M26" s="24" t="str">
        <f aca="false">IF(I26&gt;=F26,"Habis Disusutkan","Masih Disusutkan")</f>
        <v>Habis Disusutkan</v>
      </c>
    </row>
    <row r="27" customFormat="false" ht="15" hidden="false" customHeight="false" outlineLevel="0" collapsed="false">
      <c r="A27" s="17" t="s">
        <v>155</v>
      </c>
      <c r="B27" s="17" t="s">
        <v>156</v>
      </c>
      <c r="C27" s="17" t="s">
        <v>132</v>
      </c>
      <c r="D27" s="18" t="n">
        <v>44935</v>
      </c>
      <c r="E27" s="19" t="n">
        <v>240000000</v>
      </c>
      <c r="F27" s="20" t="n">
        <v>5</v>
      </c>
      <c r="G27" s="19" t="n">
        <v>20000000</v>
      </c>
      <c r="H27" s="21" t="n">
        <f aca="false">(E27-G27)/F27</f>
        <v>44000000</v>
      </c>
      <c r="I27" s="22" t="n">
        <f aca="false">DATEDIF(D27,$P$2,"Y")</f>
        <v>3</v>
      </c>
      <c r="J27" s="21" t="n">
        <f aca="false">MIN(H27*I27,E27-G27)</f>
        <v>132000000</v>
      </c>
      <c r="K27" s="21" t="n">
        <f aca="false">E27-J27</f>
        <v>108000000</v>
      </c>
      <c r="L27" s="23" t="n">
        <f aca="false">J27/E27</f>
        <v>0.55</v>
      </c>
      <c r="M27" s="24" t="str">
        <f aca="false">IF(I27&gt;=F27,"Habis Disusutkan","Masih Disusutkan")</f>
        <v>Masih Disusutkan</v>
      </c>
    </row>
    <row r="28" customFormat="false" ht="15" hidden="false" customHeight="false" outlineLevel="0" collapsed="false">
      <c r="A28" s="17" t="s">
        <v>157</v>
      </c>
      <c r="B28" s="17" t="s">
        <v>158</v>
      </c>
      <c r="C28" s="17" t="s">
        <v>110</v>
      </c>
      <c r="D28" s="18" t="n">
        <v>45280</v>
      </c>
      <c r="E28" s="19" t="n">
        <v>54000000</v>
      </c>
      <c r="F28" s="20" t="n">
        <v>10</v>
      </c>
      <c r="G28" s="19" t="n">
        <v>4000000</v>
      </c>
      <c r="H28" s="21" t="n">
        <f aca="false">(E28-G28)/F28</f>
        <v>5000000</v>
      </c>
      <c r="I28" s="22" t="n">
        <f aca="false">DATEDIF(D28,$P$2,"Y")</f>
        <v>3</v>
      </c>
      <c r="J28" s="21" t="n">
        <f aca="false">MIN(H28*I28,E28-G28)</f>
        <v>15000000</v>
      </c>
      <c r="K28" s="21" t="n">
        <f aca="false">E28-J28</f>
        <v>39000000</v>
      </c>
      <c r="L28" s="23" t="n">
        <f aca="false">J28/E28</f>
        <v>0.277777777777778</v>
      </c>
      <c r="M28" s="24" t="str">
        <f aca="false">IF(I28&gt;=F28,"Habis Disusutkan","Masih Disusutkan")</f>
        <v>Masih Disusutkan</v>
      </c>
    </row>
    <row r="29" customFormat="false" ht="15" hidden="false" customHeight="false" outlineLevel="0" collapsed="false">
      <c r="A29" s="17" t="s">
        <v>159</v>
      </c>
      <c r="B29" s="17" t="s">
        <v>160</v>
      </c>
      <c r="C29" s="17" t="s">
        <v>110</v>
      </c>
      <c r="D29" s="18" t="n">
        <v>43123</v>
      </c>
      <c r="E29" s="19" t="n">
        <v>30500000</v>
      </c>
      <c r="F29" s="20" t="n">
        <v>5</v>
      </c>
      <c r="G29" s="19" t="n">
        <v>3000000</v>
      </c>
      <c r="H29" s="21" t="n">
        <f aca="false">(E29-G29)/F29</f>
        <v>5500000</v>
      </c>
      <c r="I29" s="22" t="n">
        <f aca="false">DATEDIF(D29,$P$2,"Y")</f>
        <v>8</v>
      </c>
      <c r="J29" s="21" t="n">
        <f aca="false">MIN(H29*I29,E29-G29)</f>
        <v>27500000</v>
      </c>
      <c r="K29" s="21" t="n">
        <f aca="false">E29-J29</f>
        <v>3000000</v>
      </c>
      <c r="L29" s="23" t="n">
        <f aca="false">J29/E29</f>
        <v>0.901639344262295</v>
      </c>
      <c r="M29" s="24" t="str">
        <f aca="false">IF(I29&gt;=F29,"Habis Disusutkan","Masih Disusutkan")</f>
        <v>Habis Disusutkan</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3"/>
    <col collapsed="false" customWidth="true" hidden="false" outlineLevel="0" max="3" min="3" style="0" width="22"/>
    <col collapsed="false" customWidth="true" hidden="false" outlineLevel="0" max="5" min="4" style="0" width="17"/>
  </cols>
  <sheetData>
    <row r="1" customFormat="false" ht="33.75" hidden="false" customHeight="true" outlineLevel="0" collapsed="false">
      <c r="A1" s="11" t="s">
        <v>85</v>
      </c>
      <c r="B1" s="15" t="s">
        <v>161</v>
      </c>
      <c r="C1" s="15" t="s">
        <v>162</v>
      </c>
      <c r="D1" s="15" t="s">
        <v>163</v>
      </c>
      <c r="E1" s="15" t="s">
        <v>164</v>
      </c>
    </row>
    <row r="2" customFormat="false" ht="15" hidden="false" customHeight="false" outlineLevel="0" collapsed="false">
      <c r="A2" s="17" t="s">
        <v>132</v>
      </c>
      <c r="B2" s="22" t="n">
        <f aca="false">COUNTIF(Data!$C$2:$C$29,A2)</f>
        <v>6</v>
      </c>
      <c r="C2" s="21" t="n">
        <f aca="false">SUMIF(Data!$C$2:$C$29,A2,Data!$E$2:$E$29)</f>
        <v>1204500000</v>
      </c>
      <c r="D2" s="21" t="n">
        <f aca="false">SUMIF(Data!$C$2:$C$29,A2,Data!$J$2:$J$29)</f>
        <v>617000000</v>
      </c>
      <c r="E2" s="21" t="n">
        <f aca="false">SUMIF(Data!$C$2:$C$29,A2,Data!$K$2:$K$29)</f>
        <v>587500000</v>
      </c>
    </row>
    <row r="3" customFormat="false" ht="15" hidden="false" customHeight="false" outlineLevel="0" collapsed="false">
      <c r="A3" s="17" t="s">
        <v>110</v>
      </c>
      <c r="B3" s="22" t="n">
        <f aca="false">COUNTIF(Data!$C$2:$C$29,A3)</f>
        <v>8</v>
      </c>
      <c r="C3" s="21" t="n">
        <f aca="false">SUMIF(Data!$C$2:$C$29,A3,Data!$E$2:$E$29)</f>
        <v>685500000</v>
      </c>
      <c r="D3" s="21" t="n">
        <f aca="false">SUMIF(Data!$C$2:$C$29,A3,Data!$J$2:$J$29)</f>
        <v>327500000</v>
      </c>
      <c r="E3" s="21" t="n">
        <f aca="false">SUMIF(Data!$C$2:$C$29,A3,Data!$K$2:$K$29)</f>
        <v>358000000</v>
      </c>
    </row>
    <row r="4" customFormat="false" ht="15" hidden="false" customHeight="false" outlineLevel="0" collapsed="false">
      <c r="A4" s="17" t="s">
        <v>101</v>
      </c>
      <c r="B4" s="22" t="n">
        <f aca="false">COUNTIF(Data!$C$2:$C$29,A4)</f>
        <v>8</v>
      </c>
      <c r="C4" s="21" t="n">
        <f aca="false">SUMIF(Data!$C$2:$C$29,A4,Data!$E$2:$E$29)</f>
        <v>201500000</v>
      </c>
      <c r="D4" s="21" t="n">
        <f aca="false">SUMIF(Data!$C$2:$C$29,A4,Data!$J$2:$J$29)</f>
        <v>97000000</v>
      </c>
      <c r="E4" s="21" t="n">
        <f aca="false">SUMIF(Data!$C$2:$C$29,A4,Data!$K$2:$K$29)</f>
        <v>104500000</v>
      </c>
    </row>
    <row r="5" customFormat="false" ht="15" hidden="false" customHeight="false" outlineLevel="0" collapsed="false">
      <c r="A5" s="17" t="s">
        <v>113</v>
      </c>
      <c r="B5" s="22" t="n">
        <f aca="false">COUNTIF(Data!$C$2:$C$29,A5)</f>
        <v>6</v>
      </c>
      <c r="C5" s="21" t="n">
        <f aca="false">SUMIF(Data!$C$2:$C$29,A5,Data!$E$2:$E$29)</f>
        <v>258000000</v>
      </c>
      <c r="D5" s="21" t="n">
        <f aca="false">SUMIF(Data!$C$2:$C$29,A5,Data!$J$2:$J$29)</f>
        <v>130000000</v>
      </c>
      <c r="E5" s="21" t="n">
        <f aca="false">SUMIF(Data!$C$2:$C$29,A5,Data!$K$2:$K$29)</f>
        <v>128000000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7" t="s">
        <v>165</v>
      </c>
      <c r="B1" s="27"/>
      <c r="C1" s="27"/>
      <c r="D1" s="27"/>
    </row>
    <row r="2" customFormat="false" ht="15" hidden="false" customHeight="false" outlineLevel="0" collapsed="false">
      <c r="A2" s="28" t="s">
        <v>166</v>
      </c>
      <c r="B2" s="28"/>
      <c r="C2" s="28"/>
      <c r="D2" s="28"/>
    </row>
    <row r="3" customFormat="false" ht="15" hidden="false" customHeight="false" outlineLevel="0" collapsed="false">
      <c r="A3" s="11" t="s">
        <v>19</v>
      </c>
      <c r="B3" s="11" t="s">
        <v>167</v>
      </c>
      <c r="C3" s="11" t="s">
        <v>168</v>
      </c>
      <c r="D3" s="11" t="s">
        <v>169</v>
      </c>
    </row>
    <row r="4" customFormat="false" ht="15" hidden="false" customHeight="false" outlineLevel="0" collapsed="false">
      <c r="A4" s="29" t="s">
        <v>170</v>
      </c>
      <c r="B4" s="30" t="s">
        <v>171</v>
      </c>
      <c r="C4" s="21" t="n">
        <f aca="false">SUM(Data!$E$2:$E$29)</f>
        <v>2349500000</v>
      </c>
      <c r="D4" s="31" t="s">
        <v>172</v>
      </c>
    </row>
    <row r="5" customFormat="false" ht="15" hidden="false" customHeight="false" outlineLevel="0" collapsed="false">
      <c r="A5" s="29" t="s">
        <v>173</v>
      </c>
      <c r="B5" s="30" t="s">
        <v>174</v>
      </c>
      <c r="C5" s="21" t="n">
        <f aca="false">SUM(Data!$J$2:$J$29)</f>
        <v>1171500000</v>
      </c>
      <c r="D5" s="31" t="s">
        <v>175</v>
      </c>
    </row>
    <row r="6" customFormat="false" ht="15" hidden="false" customHeight="false" outlineLevel="0" collapsed="false">
      <c r="A6" s="29" t="s">
        <v>176</v>
      </c>
      <c r="B6" s="30" t="s">
        <v>177</v>
      </c>
      <c r="C6" s="21" t="n">
        <f aca="false">C4-C5</f>
        <v>1178000000</v>
      </c>
      <c r="D6" s="31" t="s">
        <v>178</v>
      </c>
    </row>
    <row r="7" customFormat="false" ht="15" hidden="false" customHeight="false" outlineLevel="0" collapsed="false">
      <c r="A7" s="29" t="s">
        <v>179</v>
      </c>
      <c r="B7" s="30" t="s">
        <v>180</v>
      </c>
      <c r="C7" s="24" t="str">
        <f aca="false">INDEX(Data!$B$2:$B$29,MATCH(MAX(Data!$K$2:$K$29),Data!$K$2:$K$29,0))</f>
        <v>Mobil boks pengiriman</v>
      </c>
      <c r="D7" s="31" t="s">
        <v>181</v>
      </c>
    </row>
    <row r="8" customFormat="false" ht="15" hidden="false" customHeight="false" outlineLevel="0" collapsed="false">
      <c r="A8" s="29" t="s">
        <v>182</v>
      </c>
      <c r="B8" s="30" t="s">
        <v>183</v>
      </c>
      <c r="C8" s="24" t="str">
        <f aca="false">INDEX(Data!$B$2:$B$29,MATCH(MAX(Data!$H$2:$H$29),Data!$H$2:$H$29,0))</f>
        <v>Motor operasional</v>
      </c>
      <c r="D8" s="31" t="s">
        <v>181</v>
      </c>
    </row>
    <row r="9" customFormat="false" ht="15" hidden="false" customHeight="false" outlineLevel="0" collapsed="false">
      <c r="A9" s="29" t="s">
        <v>184</v>
      </c>
      <c r="B9" s="30" t="s">
        <v>185</v>
      </c>
      <c r="C9" s="22" t="n">
        <f aca="false">COUNTIF(Data!$M$2:$M$29,"Habis Disusutkan")</f>
        <v>11</v>
      </c>
      <c r="D9" s="31" t="s">
        <v>186</v>
      </c>
    </row>
    <row r="10" customFormat="false" ht="15" hidden="false" customHeight="false" outlineLevel="0" collapsed="false">
      <c r="A10" s="29" t="s">
        <v>187</v>
      </c>
      <c r="B10" s="30" t="s">
        <v>188</v>
      </c>
      <c r="C10" s="24" t="str">
        <f aca="false">INDEX(Acuan!$A$2:$A$5,MATCH(MAX(Acuan!$E$2:$E$5),Acuan!$E$2:$E$5,0))</f>
        <v>Kendaraan</v>
      </c>
      <c r="D10" s="31" t="s">
        <v>189</v>
      </c>
    </row>
    <row r="11" customFormat="false" ht="15" hidden="false" customHeight="false" outlineLevel="0" collapsed="false">
      <c r="A11" s="29" t="s">
        <v>190</v>
      </c>
      <c r="B11" s="30" t="s">
        <v>191</v>
      </c>
      <c r="C11" s="32" t="n">
        <f aca="false">AVERAGE(Data!$I$2:$I$29)</f>
        <v>3.64285714285714</v>
      </c>
      <c r="D11" s="31" t="s">
        <v>192</v>
      </c>
    </row>
    <row r="12" customFormat="false" ht="15" hidden="false" customHeight="false" outlineLevel="0" collapsed="false">
      <c r="A12" s="29" t="s">
        <v>193</v>
      </c>
      <c r="B12" s="30" t="s">
        <v>194</v>
      </c>
      <c r="C12" s="22" t="n">
        <f aca="false">COUNTIFS(Data!$C$2:$C$29,"Kendaraan",Data!$M$2:$M$29,"Masih Disusutkan")</f>
        <v>4</v>
      </c>
      <c r="D12" s="31" t="s">
        <v>195</v>
      </c>
    </row>
    <row r="13" customFormat="false" ht="15" hidden="false" customHeight="false" outlineLevel="0" collapsed="false">
      <c r="A13" s="29" t="s">
        <v>196</v>
      </c>
      <c r="B13" s="30" t="s">
        <v>197</v>
      </c>
      <c r="C13" s="21" t="n">
        <f aca="false">SUMIF(Data!$M$2:$M$29,"Masih Disusutkan",Data!$H$2:$H$29)</f>
        <v>237000000</v>
      </c>
      <c r="D13" s="31" t="s">
        <v>198</v>
      </c>
    </row>
    <row r="14" customFormat="false" ht="15" hidden="false" customHeight="false" outlineLevel="0" collapsed="false">
      <c r="A14" s="29" t="s">
        <v>199</v>
      </c>
      <c r="B14" s="30" t="s">
        <v>200</v>
      </c>
      <c r="C14" s="33" t="n">
        <f aca="false">MIN(Data!$D$2:$D$29)</f>
        <v>43123</v>
      </c>
      <c r="D14" s="31" t="s">
        <v>201</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2026-10-17T07:49:33Z</dcterms:created>
  <dc:creator>PushExcel</dc:creator>
  <dc:description/>
  <dc:language>en-US</dc:language>
  <cp:lastModifiedBy/>
  <dcterms:modified xsi:type="dcterms:W3CDTF">2026-10-17T07:49:33Z</dcterms:modified>
  <cp:revision>0</cp:revision>
  <dc:subject/>
  <dc:title>Penyusutan Aset Tetap Metode Garis Lurus - Kunci</dc:title>
</cp:coreProperties>
</file>

<file path=docProps/custom.xml><?xml version="1.0" encoding="utf-8"?>
<Properties xmlns="http://schemas.openxmlformats.org/officeDocument/2006/custom-properties" xmlns:vt="http://schemas.openxmlformats.org/officeDocument/2006/docPropsVTypes"/>
</file>