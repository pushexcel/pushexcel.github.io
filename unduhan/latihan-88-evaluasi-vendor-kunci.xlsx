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<sst xmlns="http://schemas.openxmlformats.org/spreadsheetml/2006/main" count="223" uniqueCount="198">
  <si>
    <t xml:space="preserve">Kunci Jawaban: Evaluasi Vendor: Skor Berbobot, Kategori, dan Peringkat</t>
  </si>
  <si>
    <t xml:space="preserve">Latihan 88 dari 40  |  Tingkat: Menengah  |  Perkiraan waktu: 50 menit  |  pushexcel.github.io/Pushexcel</t>
  </si>
  <si>
    <t xml:space="preserve">Skenario</t>
  </si>
  <si>
    <t xml:space="preserve">Kamu staf pengadaan PT Sinar Pangan Nusantara yang mengevaluasi 24 vendor pemasok. Setiap vendor dinilai 0 sampai 100 untuk harga, mutu barang, dan ketepatan waktu. Skor akhir adalah rata-rata berbobot dengan bobot harga 40 persen, mutu 35 persen, dan ketepatan waktu 25 persen (ada di blok Parameter). Kategori vendor dan masa kontrak lanjutan (bulan) ditentukan dari tabel di sheet Acuan memakai skor akhir. Terakhir, kamu memberi peringkat vendor dari skor akhir tertinggi.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</si>
  <si>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</si>
  <si>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</si>
  <si>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</si>
  <si>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</si>
  <si>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</si>
  <si>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</si>
  <si>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</si>
  <si>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</si>
  <si>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</si>
  <si>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</si>
  <si>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</si>
  <si>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</si>
  <si>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</si>
  <si>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</si>
  <si>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</si>
  <si>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</si>
  <si>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</si>
  <si>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</si>
  <si>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</si>
  <si>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</si>
  <si>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skor akhir berbobot: tiap skor dikali bobotnya, lalu dijumlahkan.</t>
  </si>
  <si>
    <t xml:space="preserve">Sheet Data, kolom G (Skor Akhir), baris 2 sampai 25</t>
  </si>
  <si>
    <t xml:space="preserve">=D2*$M$2+E2*$M$3+F2*$M$4</t>
  </si>
  <si>
    <t xml:space="preserve">2</t>
  </si>
  <si>
    <t xml:space="preserve">Tentukan kategori vendor dari skor akhir memakai tabel di sheet Acuan (pencocokan perkiraan, bukan persis).</t>
  </si>
  <si>
    <t xml:space="preserve">Sheet Data, kolom H (Kategori), baris 2 sampai 25</t>
  </si>
  <si>
    <t xml:space="preserve">=VLOOKUP(G2;Acuan!$A$2:$C$5;2;TRUE)</t>
  </si>
  <si>
    <t xml:space="preserve">3</t>
  </si>
  <si>
    <t xml:space="preserve">Ambil masa kontrak lanjutan (bulan) dari tabel Acuan berdasarkan skor akhir.</t>
  </si>
  <si>
    <t xml:space="preserve">Sheet Data, kolom I (Masa Kontrak (Bulan)), baris 2 sampai 25</t>
  </si>
  <si>
    <t xml:space="preserve">=VLOOKUP(G2;Acuan!$A$2:$C$5;3;TRUE)</t>
  </si>
  <si>
    <t xml:space="preserve">4</t>
  </si>
  <si>
    <t xml:space="preserve">Beri peringkat tiap vendor berdasarkan skor akhir, dari tertinggi (peringkat 1).</t>
  </si>
  <si>
    <t xml:space="preserve">Sheet Data, kolom J (Peringkat), baris 2 sampai 25</t>
  </si>
  <si>
    <t xml:space="preserve">=RANK(G2;$G$2:$G$25;0)</t>
  </si>
  <si>
    <t xml:space="preserve">5</t>
  </si>
  <si>
    <t xml:space="preserve">Pada sheet Acuan, hitung jumlah vendor tiap kategori.</t>
  </si>
  <si>
    <t xml:space="preserve">Sheet Acuan, kolom D (Jumlah Vendor), baris 2 sampai 5</t>
  </si>
  <si>
    <t xml:space="preserve">=COUNTIF(Data!$H$2:$H$25;B2)</t>
  </si>
  <si>
    <t xml:space="preserve">6</t>
  </si>
  <si>
    <t xml:space="preserve">Pada sheet Acuan, hitung rata-rata skor akhir tiap kategori.</t>
  </si>
  <si>
    <t xml:space="preserve">Sheet Acuan, kolom E (Rata-rata Skor), baris 2 sampai 5</t>
  </si>
  <si>
    <t xml:space="preserve">=AVERAGEIF(Data!$H$2:$H$25;B2;Data!$G$2:$G$25)</t>
  </si>
  <si>
    <t xml:space="preserve">7</t>
  </si>
  <si>
    <t xml:space="preserve">Berapa rata-rata skor harga, rata-rata skor mutu, dan rata-rata skor ketepatan seluruh vendor?</t>
  </si>
  <si>
    <t xml:space="preserve">Sheet Ringkasan, sel C4 sampai C6</t>
  </si>
  <si>
    <t xml:space="preserve">=AVERAGE(Data!$D$2:$D$25)
=AVERAGE(Data!$E$2:$E$25)
=AVERAGE(Data!$F$2:$F$25)</t>
  </si>
  <si>
    <t xml:space="preserve">8</t>
  </si>
  <si>
    <t xml:space="preserve">Siapa vendor peringkat 1, dan siapa vendor dengan skor ketepatan terendah?</t>
  </si>
  <si>
    <t xml:space="preserve">Sheet Ringkasan, sel C7 sampai C8</t>
  </si>
  <si>
    <t xml:space="preserve">=INDEX(Data!$B$2:$B$25;MATCH(1;Data!$J$2:$J$25;0))
=INDEX(Data!$B$2:$B$25;MATCH(MIN(Data!$F$2:$F$25);Data!$F$2:$F$25;0))</t>
  </si>
  <si>
    <t xml:space="preserve">9</t>
  </si>
  <si>
    <t xml:space="preserve">Berapa vendor berkategori Pilihan Utama, dan berapa vendor yang masa kontraknya 0 bulan (Dicoret)?</t>
  </si>
  <si>
    <t xml:space="preserve">Sheet Ringkasan, sel C9 sampai C10</t>
  </si>
  <si>
    <t xml:space="preserve">=COUNTIF(Data!$H$2:$H$25;"Pilihan Utama")
=COUNTIF(Data!$I$2:$I$25;0)</t>
  </si>
  <si>
    <t xml:space="preserve">10</t>
  </si>
  <si>
    <t xml:space="preserve">Kategori apa yang rata-rata skornya tertinggi, dan berapa total masa kontrak (bulan) seluruh vendor?</t>
  </si>
  <si>
    <t xml:space="preserve">Sheet Ringkasan, sel C11 sampai C12</t>
  </si>
  <si>
    <t xml:space="preserve">=INDEX(Acuan!$B$2:$B$5;MATCH(MAX(Acuan!$E$2:$E$5);Acuan!$E$2:$E$5;0))
=SUM(Data!$I$2:$I$25)</t>
  </si>
  <si>
    <t xml:space="preserve">11</t>
  </si>
  <si>
    <t xml:space="preserve">Berapa rata-rata skor akhir vendor Bahan Baku, dan berapa vendor Kemasan yang berkategori Disetujui?</t>
  </si>
  <si>
    <t xml:space="preserve">Sheet Ringkasan, sel C13 sampai C14</t>
  </si>
  <si>
    <t xml:space="preserve">=AVERAGEIF(Data!$C$2:$C$25;"Bahan Baku";Data!$G$2:$G$25)
=COUNTIFS(Data!$C$2:$C$25;"Kemasan";Data!$H$2:$H$25;"Disetujui")</t>
  </si>
  <si>
    <t xml:space="preserve">12</t>
  </si>
  <si>
    <t xml:space="preserve">Berapa skor akhir tertinggi dan skor akhir terendah di antara semua vendor?</t>
  </si>
  <si>
    <t xml:space="preserve">Sheet Ringkasan, sel C15 sampai C16</t>
  </si>
  <si>
    <t xml:space="preserve">=MAX(Data!$G$2:$G$25)
=MIN(Data!$G$2:$G$25)</t>
  </si>
  <si>
    <t xml:space="preserve">13</t>
  </si>
  <si>
    <t xml:space="preserve">Berapa vendor Angkutan yang skor mutunya 80 ke atas, dan berapa total skor ketepatan vendor Kemasan?</t>
  </si>
  <si>
    <t xml:space="preserve">Sheet Ringkasan, sel C17 sampai C18</t>
  </si>
  <si>
    <t xml:space="preserve">=COUNTIFS(Data!$C$2:$C$25;"Angkutan";Data!$E$2:$E$25;"&gt;=80")
=SUMIF(Data!$C$2:$C$25;"Kemasan";Data!$F$2:$F$25)</t>
  </si>
  <si>
    <t xml:space="preserve">Kode</t>
  </si>
  <si>
    <t xml:space="preserve">Nama Vendor</t>
  </si>
  <si>
    <t xml:space="preserve">Jenis Pasokan</t>
  </si>
  <si>
    <t xml:space="preserve">Skor Harga</t>
  </si>
  <si>
    <t xml:space="preserve">Skor Mutu</t>
  </si>
  <si>
    <t xml:space="preserve">Skor Ketepatan</t>
  </si>
  <si>
    <t xml:space="preserve">Skor Akhir</t>
  </si>
  <si>
    <t xml:space="preserve">Kategori</t>
  </si>
  <si>
    <t xml:space="preserve">Masa Kontrak (Bulan)</t>
  </si>
  <si>
    <t xml:space="preserve">Peringkat</t>
  </si>
  <si>
    <t xml:space="preserve">Parameter</t>
  </si>
  <si>
    <t xml:space="preserve">Nilai</t>
  </si>
  <si>
    <t xml:space="preserve">Keterangan</t>
  </si>
  <si>
    <t xml:space="preserve">V-01</t>
  </si>
  <si>
    <t xml:space="preserve">CV Karya Persada</t>
  </si>
  <si>
    <t xml:space="preserve">Bahan Baku</t>
  </si>
  <si>
    <t xml:space="preserve">Bobot harga</t>
  </si>
  <si>
    <t xml:space="preserve">V-02</t>
  </si>
  <si>
    <t xml:space="preserve">PT Harapan Makmur</t>
  </si>
  <si>
    <t xml:space="preserve">Kemasan</t>
  </si>
  <si>
    <t xml:space="preserve">Bobot mutu</t>
  </si>
  <si>
    <t xml:space="preserve">V-03</t>
  </si>
  <si>
    <t xml:space="preserve">PT Mitra Utama</t>
  </si>
  <si>
    <t xml:space="preserve">Angkutan</t>
  </si>
  <si>
    <t xml:space="preserve">Bobot ketepatan</t>
  </si>
  <si>
    <t xml:space="preserve">V-04</t>
  </si>
  <si>
    <t xml:space="preserve">CV Harapan Sejahtera</t>
  </si>
  <si>
    <t xml:space="preserve">V-05</t>
  </si>
  <si>
    <t xml:space="preserve">PT Mitra Makmur</t>
  </si>
  <si>
    <t xml:space="preserve">V-06</t>
  </si>
  <si>
    <t xml:space="preserve">PT Anugerah Jaya</t>
  </si>
  <si>
    <t xml:space="preserve">V-07</t>
  </si>
  <si>
    <t xml:space="preserve">CV Karya Mandiri</t>
  </si>
  <si>
    <t xml:space="preserve">V-08</t>
  </si>
  <si>
    <t xml:space="preserve">PT Cahaya Abadi</t>
  </si>
  <si>
    <t xml:space="preserve">V-09</t>
  </si>
  <si>
    <t xml:space="preserve">PT Bintang Nusa</t>
  </si>
  <si>
    <t xml:space="preserve">V-10</t>
  </si>
  <si>
    <t xml:space="preserve">CV Lestari Nusa</t>
  </si>
  <si>
    <t xml:space="preserve">V-11</t>
  </si>
  <si>
    <t xml:space="preserve">PT Cahaya Mandiri</t>
  </si>
  <si>
    <t xml:space="preserve">V-12</t>
  </si>
  <si>
    <t xml:space="preserve">PT Prima Jaya</t>
  </si>
  <si>
    <t xml:space="preserve">V-13</t>
  </si>
  <si>
    <t xml:space="preserve">CV Prima Makmur</t>
  </si>
  <si>
    <t xml:space="preserve">V-14</t>
  </si>
  <si>
    <t xml:space="preserve">PT Sumber Jaya</t>
  </si>
  <si>
    <t xml:space="preserve">V-15</t>
  </si>
  <si>
    <t xml:space="preserve">PT Lestari Abadi</t>
  </si>
  <si>
    <t xml:space="preserve">V-16</t>
  </si>
  <si>
    <t xml:space="preserve">CV Tunas Mandiri</t>
  </si>
  <si>
    <t xml:space="preserve">V-17</t>
  </si>
  <si>
    <t xml:space="preserve">PT Prima Persada</t>
  </si>
  <si>
    <t xml:space="preserve">V-18</t>
  </si>
  <si>
    <t xml:space="preserve">PT Cahaya Jaya</t>
  </si>
  <si>
    <t xml:space="preserve">V-19</t>
  </si>
  <si>
    <t xml:space="preserve">CV Sumber Abadi</t>
  </si>
  <si>
    <t xml:space="preserve">V-20</t>
  </si>
  <si>
    <t xml:space="preserve">PT Sentosa Utama</t>
  </si>
  <si>
    <t xml:space="preserve">V-21</t>
  </si>
  <si>
    <t xml:space="preserve">PT Sumber Mandiri</t>
  </si>
  <si>
    <t xml:space="preserve">V-22</t>
  </si>
  <si>
    <t xml:space="preserve">CV Bintang Makmur</t>
  </si>
  <si>
    <t xml:space="preserve">V-23</t>
  </si>
  <si>
    <t xml:space="preserve">PT Bintang Jaya</t>
  </si>
  <si>
    <t xml:space="preserve">V-24</t>
  </si>
  <si>
    <t xml:space="preserve">PT Cahaya Makmur</t>
  </si>
  <si>
    <t xml:space="preserve">Skor Minimal</t>
  </si>
  <si>
    <t xml:space="preserve">Jumlah Vendor</t>
  </si>
  <si>
    <t xml:space="preserve">Rata-rata Skor</t>
  </si>
  <si>
    <t xml:space="preserve">Dicoret</t>
  </si>
  <si>
    <t xml:space="preserve">Dipantau</t>
  </si>
  <si>
    <t xml:space="preserve">Disetujui</t>
  </si>
  <si>
    <t xml:space="preserve">Pilihan Utama</t>
  </si>
  <si>
    <t xml:space="preserve">Ringkasan: lembar jawaban soal berjenis ringkasan</t>
  </si>
  <si>
    <t xml:space="preserve">Sel hijau berisi rumus kunci.</t>
  </si>
  <si>
    <t xml:space="preserve">Pertanyaan</t>
  </si>
  <si>
    <t xml:space="preserve">Jawaban</t>
  </si>
  <si>
    <t xml:space="preserve">Contoh format hasil</t>
  </si>
  <si>
    <t xml:space="preserve">7a</t>
  </si>
  <si>
    <t xml:space="preserve">Rata-rata skor harga</t>
  </si>
  <si>
    <t xml:space="preserve">Angka desimal, mis. 75,5</t>
  </si>
  <si>
    <t xml:space="preserve">7b</t>
  </si>
  <si>
    <t xml:space="preserve">Rata-rata skor mutu</t>
  </si>
  <si>
    <t xml:space="preserve">Angka desimal, mis. 77,5</t>
  </si>
  <si>
    <t xml:space="preserve">7c</t>
  </si>
  <si>
    <t xml:space="preserve">Rata-rata skor ketepatan</t>
  </si>
  <si>
    <t xml:space="preserve">Angka desimal, mis. 74,5</t>
  </si>
  <si>
    <t xml:space="preserve">8a</t>
  </si>
  <si>
    <t xml:space="preserve">Vendor peringkat 1</t>
  </si>
  <si>
    <t xml:space="preserve">Teks: nama vendor</t>
  </si>
  <si>
    <t xml:space="preserve">8b</t>
  </si>
  <si>
    <t xml:space="preserve">Vendor dengan skor ketepatan terendah</t>
  </si>
  <si>
    <t xml:space="preserve">9a</t>
  </si>
  <si>
    <t xml:space="preserve">Vendor Pilihan Utama</t>
  </si>
  <si>
    <t xml:space="preserve">Angka bulat, mis. 5</t>
  </si>
  <si>
    <t xml:space="preserve">9b</t>
  </si>
  <si>
    <t xml:space="preserve">Vendor dengan kontrak 0 bulan</t>
  </si>
  <si>
    <t xml:space="preserve">Angka bulat, mis. 3</t>
  </si>
  <si>
    <t xml:space="preserve">10a</t>
  </si>
  <si>
    <t xml:space="preserve">Kategori dengan rata-rata skor tertinggi</t>
  </si>
  <si>
    <t xml:space="preserve">Teks: nama kategori</t>
  </si>
  <si>
    <t xml:space="preserve">10b</t>
  </si>
  <si>
    <t xml:space="preserve">Total masa kontrak seluruh vendor</t>
  </si>
  <si>
    <t xml:space="preserve">Angka bulat, mis. 250</t>
  </si>
  <si>
    <t xml:space="preserve">11a</t>
  </si>
  <si>
    <t xml:space="preserve">Rata-rata skor akhir vendor Bahan Baku</t>
  </si>
  <si>
    <t xml:space="preserve">Angka desimal, mis. 76,50</t>
  </si>
  <si>
    <t xml:space="preserve">11b</t>
  </si>
  <si>
    <t xml:space="preserve">Vendor Kemasan berkategori Disetujui</t>
  </si>
  <si>
    <t xml:space="preserve">Angka bulat, mis. 2</t>
  </si>
  <si>
    <t xml:space="preserve">12a</t>
  </si>
  <si>
    <t xml:space="preserve">Skor akhir tertinggi</t>
  </si>
  <si>
    <t xml:space="preserve">Angka desimal, mis. 92,50</t>
  </si>
  <si>
    <t xml:space="preserve">12b</t>
  </si>
  <si>
    <t xml:space="preserve">Skor akhir terendah</t>
  </si>
  <si>
    <t xml:space="preserve">Angka desimal, mis. 55,25</t>
  </si>
  <si>
    <t xml:space="preserve">13a</t>
  </si>
  <si>
    <t xml:space="preserve">Vendor Angkutan dengan skor mutu 80 ke atas</t>
  </si>
  <si>
    <t xml:space="preserve">Angka bulat, mis. 4</t>
  </si>
  <si>
    <t xml:space="preserve">13b</t>
  </si>
  <si>
    <t xml:space="preserve">Total skor ketepatan vendor Kemasan</t>
  </si>
  <si>
    <t xml:space="preserve">Angka bulat, mis. 600</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</si>
</sst>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57.75"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5"/>
    <col collapsed="false" customWidth="true" hidden="false" outlineLevel="0" max="4" min="4" style="0" width="12"/>
    <col collapsed="false" customWidth="true" hidden="false" outlineLevel="0" max="5" min="5" style="0" width="11"/>
    <col collapsed="false" customWidth="true" hidden="false" outlineLevel="0" max="6" min="6" style="0" width="15"/>
    <col collapsed="false" customWidth="true" hidden="false" outlineLevel="0" max="7" min="7" style="0" width="12"/>
    <col collapsed="false" customWidth="true" hidden="false" outlineLevel="0" max="8" min="8" style="0" width="15"/>
    <col collapsed="false" customWidth="true" hidden="false" outlineLevel="0" max="9" min="9" style="0" width="20"/>
    <col collapsed="false" customWidth="true" hidden="false" outlineLevel="0" max="10" min="10" style="0" width="11"/>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75</v>
      </c>
      <c r="B1" s="11" t="s">
        <v>76</v>
      </c>
      <c r="C1" s="11" t="s">
        <v>77</v>
      </c>
      <c r="D1" s="11" t="s">
        <v>78</v>
      </c>
      <c r="E1" s="11" t="s">
        <v>79</v>
      </c>
      <c r="F1" s="11" t="s">
        <v>80</v>
      </c>
      <c r="G1" s="15" t="s">
        <v>81</v>
      </c>
      <c r="H1" s="15" t="s">
        <v>82</v>
      </c>
      <c r="I1" s="15" t="s">
        <v>83</v>
      </c>
      <c r="J1" s="15" t="s">
        <v>84</v>
      </c>
      <c r="L1" s="16" t="s">
        <v>85</v>
      </c>
      <c r="M1" s="16" t="s">
        <v>86</v>
      </c>
      <c r="N1" s="16" t="s">
        <v>87</v>
      </c>
    </row>
    <row r="2" customFormat="false" ht="15" hidden="false" customHeight="false" outlineLevel="0" collapsed="false">
      <c r="A2" s="17" t="s">
        <v>88</v>
      </c>
      <c r="B2" s="17" t="s">
        <v>89</v>
      </c>
      <c r="C2" s="17" t="s">
        <v>90</v>
      </c>
      <c r="D2" s="18" t="n">
        <v>99</v>
      </c>
      <c r="E2" s="18" t="n">
        <v>91</v>
      </c>
      <c r="F2" s="18" t="n">
        <v>92</v>
      </c>
      <c r="G2" s="19" t="n">
        <f aca="false">D2*$M$2+E2*$M$3+F2*$M$4</f>
        <v>94.45</v>
      </c>
      <c r="H2" s="20" t="str">
        <f aca="false">VLOOKUP(G2,Acuan!$A$2:$C$5,2,TRUE())</f>
        <v>Pilihan Utama</v>
      </c>
      <c r="I2" s="21" t="n">
        <f aca="false">VLOOKUP(G2,Acuan!$A$2:$C$5,3,TRUE())</f>
        <v>24</v>
      </c>
      <c r="J2" s="21" t="n">
        <f aca="false">RANK(G2,$G$2:$G$25,0)</f>
        <v>1</v>
      </c>
      <c r="L2" s="22" t="s">
        <v>91</v>
      </c>
      <c r="M2" s="23" t="n">
        <v>0.4</v>
      </c>
      <c r="N2" s="22"/>
    </row>
    <row r="3" customFormat="false" ht="15" hidden="false" customHeight="false" outlineLevel="0" collapsed="false">
      <c r="A3" s="17" t="s">
        <v>92</v>
      </c>
      <c r="B3" s="17" t="s">
        <v>93</v>
      </c>
      <c r="C3" s="17" t="s">
        <v>94</v>
      </c>
      <c r="D3" s="18" t="n">
        <v>50</v>
      </c>
      <c r="E3" s="18" t="n">
        <v>45</v>
      </c>
      <c r="F3" s="18" t="n">
        <v>58</v>
      </c>
      <c r="G3" s="19" t="n">
        <f aca="false">D3*$M$2+E3*$M$3+F3*$M$4</f>
        <v>50.25</v>
      </c>
      <c r="H3" s="20" t="str">
        <f aca="false">VLOOKUP(G3,Acuan!$A$2:$C$5,2,TRUE())</f>
        <v>Dicoret</v>
      </c>
      <c r="I3" s="21" t="n">
        <f aca="false">VLOOKUP(G3,Acuan!$A$2:$C$5,3,TRUE())</f>
        <v>0</v>
      </c>
      <c r="J3" s="21" t="n">
        <f aca="false">RANK(G3,$G$2:$G$25,0)</f>
        <v>23</v>
      </c>
      <c r="L3" s="22" t="s">
        <v>95</v>
      </c>
      <c r="M3" s="23" t="n">
        <v>0.35</v>
      </c>
      <c r="N3" s="22"/>
    </row>
    <row r="4" customFormat="false" ht="15" hidden="false" customHeight="false" outlineLevel="0" collapsed="false">
      <c r="A4" s="17" t="s">
        <v>96</v>
      </c>
      <c r="B4" s="17" t="s">
        <v>97</v>
      </c>
      <c r="C4" s="17" t="s">
        <v>98</v>
      </c>
      <c r="D4" s="18" t="n">
        <v>72</v>
      </c>
      <c r="E4" s="18" t="n">
        <v>90</v>
      </c>
      <c r="F4" s="18" t="n">
        <v>75</v>
      </c>
      <c r="G4" s="19" t="n">
        <f aca="false">D4*$M$2+E4*$M$3+F4*$M$4</f>
        <v>79.05</v>
      </c>
      <c r="H4" s="20" t="str">
        <f aca="false">VLOOKUP(G4,Acuan!$A$2:$C$5,2,TRUE())</f>
        <v>Disetujui</v>
      </c>
      <c r="I4" s="21" t="n">
        <f aca="false">VLOOKUP(G4,Acuan!$A$2:$C$5,3,TRUE())</f>
        <v>12</v>
      </c>
      <c r="J4" s="21" t="n">
        <f aca="false">RANK(G4,$G$2:$G$25,0)</f>
        <v>10</v>
      </c>
      <c r="L4" s="22" t="s">
        <v>99</v>
      </c>
      <c r="M4" s="23" t="n">
        <v>0.25</v>
      </c>
      <c r="N4" s="22"/>
    </row>
    <row r="5" customFormat="false" ht="15" hidden="false" customHeight="false" outlineLevel="0" collapsed="false">
      <c r="A5" s="17" t="s">
        <v>100</v>
      </c>
      <c r="B5" s="17" t="s">
        <v>101</v>
      </c>
      <c r="C5" s="17" t="s">
        <v>90</v>
      </c>
      <c r="D5" s="18" t="n">
        <v>90</v>
      </c>
      <c r="E5" s="18" t="n">
        <v>81</v>
      </c>
      <c r="F5" s="18" t="n">
        <v>77</v>
      </c>
      <c r="G5" s="19" t="n">
        <f aca="false">D5*$M$2+E5*$M$3+F5*$M$4</f>
        <v>83.6</v>
      </c>
      <c r="H5" s="20" t="str">
        <f aca="false">VLOOKUP(G5,Acuan!$A$2:$C$5,2,TRUE())</f>
        <v>Disetujui</v>
      </c>
      <c r="I5" s="21" t="n">
        <f aca="false">VLOOKUP(G5,Acuan!$A$2:$C$5,3,TRUE())</f>
        <v>12</v>
      </c>
      <c r="J5" s="21" t="n">
        <f aca="false">RANK(G5,$G$2:$G$25,0)</f>
        <v>4</v>
      </c>
    </row>
    <row r="6" customFormat="false" ht="15" hidden="false" customHeight="false" outlineLevel="0" collapsed="false">
      <c r="A6" s="17" t="s">
        <v>102</v>
      </c>
      <c r="B6" s="17" t="s">
        <v>103</v>
      </c>
      <c r="C6" s="17" t="s">
        <v>94</v>
      </c>
      <c r="D6" s="18" t="n">
        <v>45</v>
      </c>
      <c r="E6" s="18" t="n">
        <v>45</v>
      </c>
      <c r="F6" s="18" t="n">
        <v>53</v>
      </c>
      <c r="G6" s="19" t="n">
        <f aca="false">D6*$M$2+E6*$M$3+F6*$M$4</f>
        <v>47</v>
      </c>
      <c r="H6" s="20" t="str">
        <f aca="false">VLOOKUP(G6,Acuan!$A$2:$C$5,2,TRUE())</f>
        <v>Dicoret</v>
      </c>
      <c r="I6" s="21" t="n">
        <f aca="false">VLOOKUP(G6,Acuan!$A$2:$C$5,3,TRUE())</f>
        <v>0</v>
      </c>
      <c r="J6" s="21" t="n">
        <f aca="false">RANK(G6,$G$2:$G$25,0)</f>
        <v>24</v>
      </c>
    </row>
    <row r="7" customFormat="false" ht="15" hidden="false" customHeight="false" outlineLevel="0" collapsed="false">
      <c r="A7" s="17" t="s">
        <v>104</v>
      </c>
      <c r="B7" s="17" t="s">
        <v>105</v>
      </c>
      <c r="C7" s="17" t="s">
        <v>98</v>
      </c>
      <c r="D7" s="18" t="n">
        <v>86</v>
      </c>
      <c r="E7" s="18" t="n">
        <v>77</v>
      </c>
      <c r="F7" s="18" t="n">
        <v>72</v>
      </c>
      <c r="G7" s="19" t="n">
        <f aca="false">D7*$M$2+E7*$M$3+F7*$M$4</f>
        <v>79.35</v>
      </c>
      <c r="H7" s="20" t="str">
        <f aca="false">VLOOKUP(G7,Acuan!$A$2:$C$5,2,TRUE())</f>
        <v>Disetujui</v>
      </c>
      <c r="I7" s="21" t="n">
        <f aca="false">VLOOKUP(G7,Acuan!$A$2:$C$5,3,TRUE())</f>
        <v>12</v>
      </c>
      <c r="J7" s="21" t="n">
        <f aca="false">RANK(G7,$G$2:$G$25,0)</f>
        <v>9</v>
      </c>
    </row>
    <row r="8" customFormat="false" ht="15" hidden="false" customHeight="false" outlineLevel="0" collapsed="false">
      <c r="A8" s="17" t="s">
        <v>106</v>
      </c>
      <c r="B8" s="17" t="s">
        <v>107</v>
      </c>
      <c r="C8" s="17" t="s">
        <v>90</v>
      </c>
      <c r="D8" s="18" t="n">
        <v>61</v>
      </c>
      <c r="E8" s="18" t="n">
        <v>45</v>
      </c>
      <c r="F8" s="18" t="n">
        <v>63</v>
      </c>
      <c r="G8" s="19" t="n">
        <f aca="false">D8*$M$2+E8*$M$3+F8*$M$4</f>
        <v>55.9</v>
      </c>
      <c r="H8" s="20" t="str">
        <f aca="false">VLOOKUP(G8,Acuan!$A$2:$C$5,2,TRUE())</f>
        <v>Dicoret</v>
      </c>
      <c r="I8" s="21" t="n">
        <f aca="false">VLOOKUP(G8,Acuan!$A$2:$C$5,3,TRUE())</f>
        <v>0</v>
      </c>
      <c r="J8" s="21" t="n">
        <f aca="false">RANK(G8,$G$2:$G$25,0)</f>
        <v>21</v>
      </c>
    </row>
    <row r="9" customFormat="false" ht="15" hidden="false" customHeight="false" outlineLevel="0" collapsed="false">
      <c r="A9" s="17" t="s">
        <v>108</v>
      </c>
      <c r="B9" s="17" t="s">
        <v>109</v>
      </c>
      <c r="C9" s="17" t="s">
        <v>94</v>
      </c>
      <c r="D9" s="18" t="n">
        <v>88</v>
      </c>
      <c r="E9" s="18" t="n">
        <v>77</v>
      </c>
      <c r="F9" s="18" t="n">
        <v>76</v>
      </c>
      <c r="G9" s="19" t="n">
        <f aca="false">D9*$M$2+E9*$M$3+F9*$M$4</f>
        <v>81.15</v>
      </c>
      <c r="H9" s="20" t="str">
        <f aca="false">VLOOKUP(G9,Acuan!$A$2:$C$5,2,TRUE())</f>
        <v>Disetujui</v>
      </c>
      <c r="I9" s="21" t="n">
        <f aca="false">VLOOKUP(G9,Acuan!$A$2:$C$5,3,TRUE())</f>
        <v>12</v>
      </c>
      <c r="J9" s="21" t="n">
        <f aca="false">RANK(G9,$G$2:$G$25,0)</f>
        <v>7</v>
      </c>
    </row>
    <row r="10" customFormat="false" ht="15" hidden="false" customHeight="false" outlineLevel="0" collapsed="false">
      <c r="A10" s="17" t="s">
        <v>110</v>
      </c>
      <c r="B10" s="17" t="s">
        <v>111</v>
      </c>
      <c r="C10" s="17" t="s">
        <v>98</v>
      </c>
      <c r="D10" s="18" t="n">
        <v>71</v>
      </c>
      <c r="E10" s="18" t="n">
        <v>55</v>
      </c>
      <c r="F10" s="18" t="n">
        <v>79</v>
      </c>
      <c r="G10" s="19" t="n">
        <f aca="false">D10*$M$2+E10*$M$3+F10*$M$4</f>
        <v>67.4</v>
      </c>
      <c r="H10" s="20" t="str">
        <f aca="false">VLOOKUP(G10,Acuan!$A$2:$C$5,2,TRUE())</f>
        <v>Dipantau</v>
      </c>
      <c r="I10" s="21" t="n">
        <f aca="false">VLOOKUP(G10,Acuan!$A$2:$C$5,3,TRUE())</f>
        <v>6</v>
      </c>
      <c r="J10" s="21" t="n">
        <f aca="false">RANK(G10,$G$2:$G$25,0)</f>
        <v>18</v>
      </c>
    </row>
    <row r="11" customFormat="false" ht="15" hidden="false" customHeight="false" outlineLevel="0" collapsed="false">
      <c r="A11" s="17" t="s">
        <v>112</v>
      </c>
      <c r="B11" s="17" t="s">
        <v>113</v>
      </c>
      <c r="C11" s="17" t="s">
        <v>90</v>
      </c>
      <c r="D11" s="18" t="n">
        <v>52</v>
      </c>
      <c r="E11" s="18" t="n">
        <v>50</v>
      </c>
      <c r="F11" s="18" t="n">
        <v>60</v>
      </c>
      <c r="G11" s="19" t="n">
        <f aca="false">D11*$M$2+E11*$M$3+F11*$M$4</f>
        <v>53.3</v>
      </c>
      <c r="H11" s="20" t="str">
        <f aca="false">VLOOKUP(G11,Acuan!$A$2:$C$5,2,TRUE())</f>
        <v>Dicoret</v>
      </c>
      <c r="I11" s="21" t="n">
        <f aca="false">VLOOKUP(G11,Acuan!$A$2:$C$5,3,TRUE())</f>
        <v>0</v>
      </c>
      <c r="J11" s="21" t="n">
        <f aca="false">RANK(G11,$G$2:$G$25,0)</f>
        <v>22</v>
      </c>
    </row>
    <row r="12" customFormat="false" ht="15" hidden="false" customHeight="false" outlineLevel="0" collapsed="false">
      <c r="A12" s="17" t="s">
        <v>114</v>
      </c>
      <c r="B12" s="17" t="s">
        <v>115</v>
      </c>
      <c r="C12" s="17" t="s">
        <v>94</v>
      </c>
      <c r="D12" s="18" t="n">
        <v>69</v>
      </c>
      <c r="E12" s="18" t="n">
        <v>70</v>
      </c>
      <c r="F12" s="18" t="n">
        <v>69</v>
      </c>
      <c r="G12" s="19" t="n">
        <f aca="false">D12*$M$2+E12*$M$3+F12*$M$4</f>
        <v>69.35</v>
      </c>
      <c r="H12" s="20" t="str">
        <f aca="false">VLOOKUP(G12,Acuan!$A$2:$C$5,2,TRUE())</f>
        <v>Dipantau</v>
      </c>
      <c r="I12" s="21" t="n">
        <f aca="false">VLOOKUP(G12,Acuan!$A$2:$C$5,3,TRUE())</f>
        <v>6</v>
      </c>
      <c r="J12" s="21" t="n">
        <f aca="false">RANK(G12,$G$2:$G$25,0)</f>
        <v>17</v>
      </c>
    </row>
    <row r="13" customFormat="false" ht="15" hidden="false" customHeight="false" outlineLevel="0" collapsed="false">
      <c r="A13" s="17" t="s">
        <v>116</v>
      </c>
      <c r="B13" s="17" t="s">
        <v>117</v>
      </c>
      <c r="C13" s="17" t="s">
        <v>98</v>
      </c>
      <c r="D13" s="18" t="n">
        <v>74</v>
      </c>
      <c r="E13" s="18" t="n">
        <v>74</v>
      </c>
      <c r="F13" s="18" t="n">
        <v>81</v>
      </c>
      <c r="G13" s="19" t="n">
        <f aca="false">D13*$M$2+E13*$M$3+F13*$M$4</f>
        <v>75.75</v>
      </c>
      <c r="H13" s="20" t="str">
        <f aca="false">VLOOKUP(G13,Acuan!$A$2:$C$5,2,TRUE())</f>
        <v>Disetujui</v>
      </c>
      <c r="I13" s="21" t="n">
        <f aca="false">VLOOKUP(G13,Acuan!$A$2:$C$5,3,TRUE())</f>
        <v>12</v>
      </c>
      <c r="J13" s="21" t="n">
        <f aca="false">RANK(G13,$G$2:$G$25,0)</f>
        <v>12</v>
      </c>
    </row>
    <row r="14" customFormat="false" ht="15" hidden="false" customHeight="false" outlineLevel="0" collapsed="false">
      <c r="A14" s="17" t="s">
        <v>118</v>
      </c>
      <c r="B14" s="17" t="s">
        <v>119</v>
      </c>
      <c r="C14" s="17" t="s">
        <v>90</v>
      </c>
      <c r="D14" s="18" t="n">
        <v>69</v>
      </c>
      <c r="E14" s="18" t="n">
        <v>68</v>
      </c>
      <c r="F14" s="18" t="n">
        <v>81</v>
      </c>
      <c r="G14" s="19" t="n">
        <f aca="false">D14*$M$2+E14*$M$3+F14*$M$4</f>
        <v>71.65</v>
      </c>
      <c r="H14" s="20" t="str">
        <f aca="false">VLOOKUP(G14,Acuan!$A$2:$C$5,2,TRUE())</f>
        <v>Dipantau</v>
      </c>
      <c r="I14" s="21" t="n">
        <f aca="false">VLOOKUP(G14,Acuan!$A$2:$C$5,3,TRUE())</f>
        <v>6</v>
      </c>
      <c r="J14" s="21" t="n">
        <f aca="false">RANK(G14,$G$2:$G$25,0)</f>
        <v>16</v>
      </c>
    </row>
    <row r="15" customFormat="false" ht="15" hidden="false" customHeight="false" outlineLevel="0" collapsed="false">
      <c r="A15" s="17" t="s">
        <v>120</v>
      </c>
      <c r="B15" s="17" t="s">
        <v>121</v>
      </c>
      <c r="C15" s="17" t="s">
        <v>94</v>
      </c>
      <c r="D15" s="18" t="n">
        <v>67</v>
      </c>
      <c r="E15" s="18" t="n">
        <v>66</v>
      </c>
      <c r="F15" s="18" t="n">
        <v>60</v>
      </c>
      <c r="G15" s="19" t="n">
        <f aca="false">D15*$M$2+E15*$M$3+F15*$M$4</f>
        <v>64.9</v>
      </c>
      <c r="H15" s="20" t="str">
        <f aca="false">VLOOKUP(G15,Acuan!$A$2:$C$5,2,TRUE())</f>
        <v>Dipantau</v>
      </c>
      <c r="I15" s="21" t="n">
        <f aca="false">VLOOKUP(G15,Acuan!$A$2:$C$5,3,TRUE())</f>
        <v>6</v>
      </c>
      <c r="J15" s="21" t="n">
        <f aca="false">RANK(G15,$G$2:$G$25,0)</f>
        <v>20</v>
      </c>
    </row>
    <row r="16" customFormat="false" ht="15" hidden="false" customHeight="false" outlineLevel="0" collapsed="false">
      <c r="A16" s="17" t="s">
        <v>122</v>
      </c>
      <c r="B16" s="17" t="s">
        <v>123</v>
      </c>
      <c r="C16" s="17" t="s">
        <v>98</v>
      </c>
      <c r="D16" s="18" t="n">
        <v>92</v>
      </c>
      <c r="E16" s="18" t="n">
        <v>88</v>
      </c>
      <c r="F16" s="18" t="n">
        <v>80</v>
      </c>
      <c r="G16" s="19" t="n">
        <f aca="false">D16*$M$2+E16*$M$3+F16*$M$4</f>
        <v>87.6</v>
      </c>
      <c r="H16" s="20" t="str">
        <f aca="false">VLOOKUP(G16,Acuan!$A$2:$C$5,2,TRUE())</f>
        <v>Pilihan Utama</v>
      </c>
      <c r="I16" s="21" t="n">
        <f aca="false">VLOOKUP(G16,Acuan!$A$2:$C$5,3,TRUE())</f>
        <v>24</v>
      </c>
      <c r="J16" s="21" t="n">
        <f aca="false">RANK(G16,$G$2:$G$25,0)</f>
        <v>3</v>
      </c>
    </row>
    <row r="17" customFormat="false" ht="15" hidden="false" customHeight="false" outlineLevel="0" collapsed="false">
      <c r="A17" s="17" t="s">
        <v>124</v>
      </c>
      <c r="B17" s="17" t="s">
        <v>125</v>
      </c>
      <c r="C17" s="17" t="s">
        <v>90</v>
      </c>
      <c r="D17" s="18" t="n">
        <v>70</v>
      </c>
      <c r="E17" s="18" t="n">
        <v>79</v>
      </c>
      <c r="F17" s="18" t="n">
        <v>69</v>
      </c>
      <c r="G17" s="19" t="n">
        <f aca="false">D17*$M$2+E17*$M$3+F17*$M$4</f>
        <v>72.9</v>
      </c>
      <c r="H17" s="20" t="str">
        <f aca="false">VLOOKUP(G17,Acuan!$A$2:$C$5,2,TRUE())</f>
        <v>Dipantau</v>
      </c>
      <c r="I17" s="21" t="n">
        <f aca="false">VLOOKUP(G17,Acuan!$A$2:$C$5,3,TRUE())</f>
        <v>6</v>
      </c>
      <c r="J17" s="21" t="n">
        <f aca="false">RANK(G17,$G$2:$G$25,0)</f>
        <v>14</v>
      </c>
    </row>
    <row r="18" customFormat="false" ht="15" hidden="false" customHeight="false" outlineLevel="0" collapsed="false">
      <c r="A18" s="17" t="s">
        <v>126</v>
      </c>
      <c r="B18" s="17" t="s">
        <v>127</v>
      </c>
      <c r="C18" s="17" t="s">
        <v>94</v>
      </c>
      <c r="D18" s="18" t="n">
        <v>75</v>
      </c>
      <c r="E18" s="18" t="n">
        <v>72</v>
      </c>
      <c r="F18" s="18" t="n">
        <v>67</v>
      </c>
      <c r="G18" s="19" t="n">
        <f aca="false">D18*$M$2+E18*$M$3+F18*$M$4</f>
        <v>71.95</v>
      </c>
      <c r="H18" s="20" t="str">
        <f aca="false">VLOOKUP(G18,Acuan!$A$2:$C$5,2,TRUE())</f>
        <v>Dipantau</v>
      </c>
      <c r="I18" s="21" t="n">
        <f aca="false">VLOOKUP(G18,Acuan!$A$2:$C$5,3,TRUE())</f>
        <v>6</v>
      </c>
      <c r="J18" s="21" t="n">
        <f aca="false">RANK(G18,$G$2:$G$25,0)</f>
        <v>15</v>
      </c>
    </row>
    <row r="19" customFormat="false" ht="15" hidden="false" customHeight="false" outlineLevel="0" collapsed="false">
      <c r="A19" s="17" t="s">
        <v>128</v>
      </c>
      <c r="B19" s="17" t="s">
        <v>129</v>
      </c>
      <c r="C19" s="17" t="s">
        <v>98</v>
      </c>
      <c r="D19" s="18" t="n">
        <v>82</v>
      </c>
      <c r="E19" s="18" t="n">
        <v>81</v>
      </c>
      <c r="F19" s="18" t="n">
        <v>73</v>
      </c>
      <c r="G19" s="19" t="n">
        <f aca="false">D19*$M$2+E19*$M$3+F19*$M$4</f>
        <v>79.4</v>
      </c>
      <c r="H19" s="20" t="str">
        <f aca="false">VLOOKUP(G19,Acuan!$A$2:$C$5,2,TRUE())</f>
        <v>Disetujui</v>
      </c>
      <c r="I19" s="21" t="n">
        <f aca="false">VLOOKUP(G19,Acuan!$A$2:$C$5,3,TRUE())</f>
        <v>12</v>
      </c>
      <c r="J19" s="21" t="n">
        <f aca="false">RANK(G19,$G$2:$G$25,0)</f>
        <v>8</v>
      </c>
    </row>
    <row r="20" customFormat="false" ht="15" hidden="false" customHeight="false" outlineLevel="0" collapsed="false">
      <c r="A20" s="17" t="s">
        <v>130</v>
      </c>
      <c r="B20" s="17" t="s">
        <v>131</v>
      </c>
      <c r="C20" s="17" t="s">
        <v>90</v>
      </c>
      <c r="D20" s="18" t="n">
        <v>87</v>
      </c>
      <c r="E20" s="18" t="n">
        <v>63</v>
      </c>
      <c r="F20" s="18" t="n">
        <v>78</v>
      </c>
      <c r="G20" s="19" t="n">
        <f aca="false">D20*$M$2+E20*$M$3+F20*$M$4</f>
        <v>76.35</v>
      </c>
      <c r="H20" s="20" t="str">
        <f aca="false">VLOOKUP(G20,Acuan!$A$2:$C$5,2,TRUE())</f>
        <v>Disetujui</v>
      </c>
      <c r="I20" s="21" t="n">
        <f aca="false">VLOOKUP(G20,Acuan!$A$2:$C$5,3,TRUE())</f>
        <v>12</v>
      </c>
      <c r="J20" s="21" t="n">
        <f aca="false">RANK(G20,$G$2:$G$25,0)</f>
        <v>11</v>
      </c>
    </row>
    <row r="21" customFormat="false" ht="15" hidden="false" customHeight="false" outlineLevel="0" collapsed="false">
      <c r="A21" s="17" t="s">
        <v>132</v>
      </c>
      <c r="B21" s="17" t="s">
        <v>133</v>
      </c>
      <c r="C21" s="17" t="s">
        <v>94</v>
      </c>
      <c r="D21" s="18" t="n">
        <v>89</v>
      </c>
      <c r="E21" s="18" t="n">
        <v>76</v>
      </c>
      <c r="F21" s="18" t="n">
        <v>84</v>
      </c>
      <c r="G21" s="19" t="n">
        <f aca="false">D21*$M$2+E21*$M$3+F21*$M$4</f>
        <v>83.2</v>
      </c>
      <c r="H21" s="20" t="str">
        <f aca="false">VLOOKUP(G21,Acuan!$A$2:$C$5,2,TRUE())</f>
        <v>Disetujui</v>
      </c>
      <c r="I21" s="21" t="n">
        <f aca="false">VLOOKUP(G21,Acuan!$A$2:$C$5,3,TRUE())</f>
        <v>12</v>
      </c>
      <c r="J21" s="21" t="n">
        <f aca="false">RANK(G21,$G$2:$G$25,0)</f>
        <v>5</v>
      </c>
    </row>
    <row r="22" customFormat="false" ht="15" hidden="false" customHeight="false" outlineLevel="0" collapsed="false">
      <c r="A22" s="17" t="s">
        <v>134</v>
      </c>
      <c r="B22" s="17" t="s">
        <v>135</v>
      </c>
      <c r="C22" s="17" t="s">
        <v>98</v>
      </c>
      <c r="D22" s="18" t="n">
        <v>62</v>
      </c>
      <c r="E22" s="18" t="n">
        <v>73</v>
      </c>
      <c r="F22" s="18" t="n">
        <v>67</v>
      </c>
      <c r="G22" s="19" t="n">
        <f aca="false">D22*$M$2+E22*$M$3+F22*$M$4</f>
        <v>67.1</v>
      </c>
      <c r="H22" s="20" t="str">
        <f aca="false">VLOOKUP(G22,Acuan!$A$2:$C$5,2,TRUE())</f>
        <v>Dipantau</v>
      </c>
      <c r="I22" s="21" t="n">
        <f aca="false">VLOOKUP(G22,Acuan!$A$2:$C$5,3,TRUE())</f>
        <v>6</v>
      </c>
      <c r="J22" s="21" t="n">
        <f aca="false">RANK(G22,$G$2:$G$25,0)</f>
        <v>19</v>
      </c>
    </row>
    <row r="23" customFormat="false" ht="15" hidden="false" customHeight="false" outlineLevel="0" collapsed="false">
      <c r="A23" s="17" t="s">
        <v>136</v>
      </c>
      <c r="B23" s="17" t="s">
        <v>137</v>
      </c>
      <c r="C23" s="17" t="s">
        <v>94</v>
      </c>
      <c r="D23" s="18" t="n">
        <v>70</v>
      </c>
      <c r="E23" s="18" t="n">
        <v>79</v>
      </c>
      <c r="F23" s="18" t="n">
        <v>70</v>
      </c>
      <c r="G23" s="19" t="n">
        <f aca="false">D23*$M$2+E23*$M$3+F23*$M$4</f>
        <v>73.15</v>
      </c>
      <c r="H23" s="20" t="str">
        <f aca="false">VLOOKUP(G23,Acuan!$A$2:$C$5,2,TRUE())</f>
        <v>Dipantau</v>
      </c>
      <c r="I23" s="21" t="n">
        <f aca="false">VLOOKUP(G23,Acuan!$A$2:$C$5,3,TRUE())</f>
        <v>6</v>
      </c>
      <c r="J23" s="21" t="n">
        <f aca="false">RANK(G23,$G$2:$G$25,0)</f>
        <v>13</v>
      </c>
    </row>
    <row r="24" customFormat="false" ht="15" hidden="false" customHeight="false" outlineLevel="0" collapsed="false">
      <c r="A24" s="17" t="s">
        <v>138</v>
      </c>
      <c r="B24" s="17" t="s">
        <v>139</v>
      </c>
      <c r="C24" s="17" t="s">
        <v>90</v>
      </c>
      <c r="D24" s="18" t="n">
        <v>97</v>
      </c>
      <c r="E24" s="18" t="n">
        <v>79</v>
      </c>
      <c r="F24" s="18" t="n">
        <v>89</v>
      </c>
      <c r="G24" s="19" t="n">
        <f aca="false">D24*$M$2+E24*$M$3+F24*$M$4</f>
        <v>88.7</v>
      </c>
      <c r="H24" s="20" t="str">
        <f aca="false">VLOOKUP(G24,Acuan!$A$2:$C$5,2,TRUE())</f>
        <v>Pilihan Utama</v>
      </c>
      <c r="I24" s="21" t="n">
        <f aca="false">VLOOKUP(G24,Acuan!$A$2:$C$5,3,TRUE())</f>
        <v>24</v>
      </c>
      <c r="J24" s="21" t="n">
        <f aca="false">RANK(G24,$G$2:$G$25,0)</f>
        <v>2</v>
      </c>
    </row>
    <row r="25" customFormat="false" ht="15" hidden="false" customHeight="false" outlineLevel="0" collapsed="false">
      <c r="A25" s="17" t="s">
        <v>140</v>
      </c>
      <c r="B25" s="17" t="s">
        <v>141</v>
      </c>
      <c r="C25" s="17" t="s">
        <v>94</v>
      </c>
      <c r="D25" s="18" t="n">
        <v>90</v>
      </c>
      <c r="E25" s="18" t="n">
        <v>79</v>
      </c>
      <c r="F25" s="18" t="n">
        <v>72</v>
      </c>
      <c r="G25" s="19" t="n">
        <f aca="false">D25*$M$2+E25*$M$3+F25*$M$4</f>
        <v>81.65</v>
      </c>
      <c r="H25" s="20" t="str">
        <f aca="false">VLOOKUP(G25,Acuan!$A$2:$C$5,2,TRUE())</f>
        <v>Disetujui</v>
      </c>
      <c r="I25" s="21" t="n">
        <f aca="false">VLOOKUP(G25,Acuan!$A$2:$C$5,3,TRUE())</f>
        <v>12</v>
      </c>
      <c r="J25" s="21" t="n">
        <f aca="false">RANK(G25,$G$2:$G$25,0)</f>
        <v>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20"/>
    <col collapsed="false" customWidth="true" hidden="false" outlineLevel="0" max="4" min="4" style="0" width="14"/>
    <col collapsed="false" customWidth="true" hidden="false" outlineLevel="0" max="5" min="5" style="0" width="15"/>
  </cols>
  <sheetData>
    <row r="1" customFormat="false" ht="33.75" hidden="false" customHeight="true" outlineLevel="0" collapsed="false">
      <c r="A1" s="11" t="s">
        <v>142</v>
      </c>
      <c r="B1" s="11" t="s">
        <v>82</v>
      </c>
      <c r="C1" s="11" t="s">
        <v>83</v>
      </c>
      <c r="D1" s="15" t="s">
        <v>143</v>
      </c>
      <c r="E1" s="15" t="s">
        <v>144</v>
      </c>
    </row>
    <row r="2" customFormat="false" ht="15" hidden="false" customHeight="false" outlineLevel="0" collapsed="false">
      <c r="A2" s="18" t="n">
        <v>0</v>
      </c>
      <c r="B2" s="17" t="s">
        <v>145</v>
      </c>
      <c r="C2" s="18" t="n">
        <v>0</v>
      </c>
      <c r="D2" s="21" t="n">
        <f aca="false">COUNTIF(Data!$H$2:$H$25,B2)</f>
        <v>4</v>
      </c>
      <c r="E2" s="19" t="n">
        <f aca="false">AVERAGEIF(Data!$H$2:$H$25,B2,Data!$G$2:$G$25)</f>
        <v>51.6125</v>
      </c>
    </row>
    <row r="3" customFormat="false" ht="15" hidden="false" customHeight="false" outlineLevel="0" collapsed="false">
      <c r="A3" s="18" t="n">
        <v>60</v>
      </c>
      <c r="B3" s="17" t="s">
        <v>146</v>
      </c>
      <c r="C3" s="18" t="n">
        <v>6</v>
      </c>
      <c r="D3" s="21" t="n">
        <f aca="false">COUNTIF(Data!$H$2:$H$25,B3)</f>
        <v>8</v>
      </c>
      <c r="E3" s="19" t="n">
        <f aca="false">AVERAGEIF(Data!$H$2:$H$25,B3,Data!$G$2:$G$25)</f>
        <v>69.8</v>
      </c>
    </row>
    <row r="4" customFormat="false" ht="15" hidden="false" customHeight="false" outlineLevel="0" collapsed="false">
      <c r="A4" s="18" t="n">
        <v>75</v>
      </c>
      <c r="B4" s="17" t="s">
        <v>147</v>
      </c>
      <c r="C4" s="18" t="n">
        <v>12</v>
      </c>
      <c r="D4" s="21" t="n">
        <f aca="false">COUNTIF(Data!$H$2:$H$25,B4)</f>
        <v>9</v>
      </c>
      <c r="E4" s="19" t="n">
        <f aca="false">AVERAGEIF(Data!$H$2:$H$25,B4,Data!$G$2:$G$25)</f>
        <v>79.9444444444444</v>
      </c>
    </row>
    <row r="5" customFormat="false" ht="15" hidden="false" customHeight="false" outlineLevel="0" collapsed="false">
      <c r="A5" s="18" t="n">
        <v>85</v>
      </c>
      <c r="B5" s="17" t="s">
        <v>148</v>
      </c>
      <c r="C5" s="18" t="n">
        <v>24</v>
      </c>
      <c r="D5" s="21" t="n">
        <f aca="false">COUNTIF(Data!$H$2:$H$25,B5)</f>
        <v>3</v>
      </c>
      <c r="E5" s="19" t="n">
        <f aca="false">AVERAGEIF(Data!$H$2:$H$25,B5,Data!$G$2:$G$25)</f>
        <v>90.25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149</v>
      </c>
      <c r="B1" s="24"/>
      <c r="C1" s="24"/>
      <c r="D1" s="24"/>
    </row>
    <row r="2" customFormat="false" ht="15" hidden="false" customHeight="false" outlineLevel="0" collapsed="false">
      <c r="A2" s="25" t="s">
        <v>150</v>
      </c>
      <c r="B2" s="25"/>
      <c r="C2" s="25"/>
      <c r="D2" s="25"/>
    </row>
    <row r="3" customFormat="false" ht="15" hidden="false" customHeight="false" outlineLevel="0" collapsed="false">
      <c r="A3" s="11" t="s">
        <v>19</v>
      </c>
      <c r="B3" s="11" t="s">
        <v>151</v>
      </c>
      <c r="C3" s="11" t="s">
        <v>152</v>
      </c>
      <c r="D3" s="11" t="s">
        <v>153</v>
      </c>
    </row>
    <row r="4" customFormat="false" ht="15" hidden="false" customHeight="false" outlineLevel="0" collapsed="false">
      <c r="A4" s="26" t="s">
        <v>154</v>
      </c>
      <c r="B4" s="27" t="s">
        <v>155</v>
      </c>
      <c r="C4" s="28" t="n">
        <f aca="false">AVERAGE(Data!$D$2:$D$25)</f>
        <v>75.2916666666667</v>
      </c>
      <c r="D4" s="29" t="s">
        <v>156</v>
      </c>
    </row>
    <row r="5" customFormat="false" ht="15" hidden="false" customHeight="false" outlineLevel="0" collapsed="false">
      <c r="A5" s="26" t="s">
        <v>157</v>
      </c>
      <c r="B5" s="27" t="s">
        <v>158</v>
      </c>
      <c r="C5" s="28" t="n">
        <f aca="false">AVERAGE(Data!$E$2:$E$25)</f>
        <v>70.9583333333333</v>
      </c>
      <c r="D5" s="29" t="s">
        <v>159</v>
      </c>
    </row>
    <row r="6" customFormat="false" ht="15" hidden="false" customHeight="false" outlineLevel="0" collapsed="false">
      <c r="A6" s="26" t="s">
        <v>160</v>
      </c>
      <c r="B6" s="27" t="s">
        <v>161</v>
      </c>
      <c r="C6" s="28" t="n">
        <f aca="false">AVERAGE(Data!$F$2:$F$25)</f>
        <v>72.7083333333333</v>
      </c>
      <c r="D6" s="29" t="s">
        <v>162</v>
      </c>
    </row>
    <row r="7" customFormat="false" ht="15" hidden="false" customHeight="false" outlineLevel="0" collapsed="false">
      <c r="A7" s="26" t="s">
        <v>163</v>
      </c>
      <c r="B7" s="27" t="s">
        <v>164</v>
      </c>
      <c r="C7" s="20" t="str">
        <f aca="false">INDEX(Data!$B$2:$B$25,MATCH(1,Data!$J$2:$J$25,0))</f>
        <v>CV Karya Persada</v>
      </c>
      <c r="D7" s="29" t="s">
        <v>165</v>
      </c>
    </row>
    <row r="8" customFormat="false" ht="15" hidden="false" customHeight="false" outlineLevel="0" collapsed="false">
      <c r="A8" s="26" t="s">
        <v>166</v>
      </c>
      <c r="B8" s="27" t="s">
        <v>167</v>
      </c>
      <c r="C8" s="20" t="str">
        <f aca="false">INDEX(Data!$B$2:$B$25,MATCH(MIN(Data!$F$2:$F$25),Data!$F$2:$F$25,0))</f>
        <v>PT Mitra Makmur</v>
      </c>
      <c r="D8" s="29" t="s">
        <v>165</v>
      </c>
    </row>
    <row r="9" customFormat="false" ht="15" hidden="false" customHeight="false" outlineLevel="0" collapsed="false">
      <c r="A9" s="26" t="s">
        <v>168</v>
      </c>
      <c r="B9" s="27" t="s">
        <v>169</v>
      </c>
      <c r="C9" s="21" t="n">
        <f aca="false">COUNTIF(Data!$H$2:$H$25,"Pilihan Utama")</f>
        <v>3</v>
      </c>
      <c r="D9" s="29" t="s">
        <v>170</v>
      </c>
    </row>
    <row r="10" customFormat="false" ht="15" hidden="false" customHeight="false" outlineLevel="0" collapsed="false">
      <c r="A10" s="26" t="s">
        <v>171</v>
      </c>
      <c r="B10" s="27" t="s">
        <v>172</v>
      </c>
      <c r="C10" s="21" t="n">
        <f aca="false">COUNTIF(Data!$I$2:$I$25,0)</f>
        <v>4</v>
      </c>
      <c r="D10" s="29" t="s">
        <v>173</v>
      </c>
    </row>
    <row r="11" customFormat="false" ht="15" hidden="false" customHeight="false" outlineLevel="0" collapsed="false">
      <c r="A11" s="26" t="s">
        <v>174</v>
      </c>
      <c r="B11" s="27" t="s">
        <v>175</v>
      </c>
      <c r="C11" s="20" t="str">
        <f aca="false">INDEX(Acuan!$B$2:$B$5,MATCH(MAX(Acuan!$E$2:$E$5),Acuan!$E$2:$E$5,0))</f>
        <v>Pilihan Utama</v>
      </c>
      <c r="D11" s="29" t="s">
        <v>176</v>
      </c>
    </row>
    <row r="12" customFormat="false" ht="15" hidden="false" customHeight="false" outlineLevel="0" collapsed="false">
      <c r="A12" s="26" t="s">
        <v>177</v>
      </c>
      <c r="B12" s="27" t="s">
        <v>178</v>
      </c>
      <c r="C12" s="21" t="n">
        <f aca="false">SUM(Data!$I$2:$I$25)</f>
        <v>228</v>
      </c>
      <c r="D12" s="29" t="s">
        <v>179</v>
      </c>
    </row>
    <row r="13" customFormat="false" ht="15" hidden="false" customHeight="false" outlineLevel="0" collapsed="false">
      <c r="A13" s="26" t="s">
        <v>180</v>
      </c>
      <c r="B13" s="27" t="s">
        <v>181</v>
      </c>
      <c r="C13" s="19" t="n">
        <f aca="false">AVERAGEIF(Data!$C$2:$C$25,"Bahan Baku",Data!$G$2:$G$25)</f>
        <v>74.60625</v>
      </c>
      <c r="D13" s="29" t="s">
        <v>182</v>
      </c>
    </row>
    <row r="14" customFormat="false" ht="15" hidden="false" customHeight="false" outlineLevel="0" collapsed="false">
      <c r="A14" s="26" t="s">
        <v>183</v>
      </c>
      <c r="B14" s="27" t="s">
        <v>184</v>
      </c>
      <c r="C14" s="21" t="n">
        <f aca="false">COUNTIFS(Data!$C$2:$C$25,"Kemasan",Data!$H$2:$H$25,"Disetujui")</f>
        <v>3</v>
      </c>
      <c r="D14" s="29" t="s">
        <v>185</v>
      </c>
    </row>
    <row r="15" customFormat="false" ht="15" hidden="false" customHeight="false" outlineLevel="0" collapsed="false">
      <c r="A15" s="26" t="s">
        <v>186</v>
      </c>
      <c r="B15" s="27" t="s">
        <v>187</v>
      </c>
      <c r="C15" s="19" t="n">
        <f aca="false">MAX(Data!$G$2:$G$25)</f>
        <v>94.45</v>
      </c>
      <c r="D15" s="29" t="s">
        <v>188</v>
      </c>
    </row>
    <row r="16" customFormat="false" ht="15" hidden="false" customHeight="false" outlineLevel="0" collapsed="false">
      <c r="A16" s="26" t="s">
        <v>189</v>
      </c>
      <c r="B16" s="27" t="s">
        <v>190</v>
      </c>
      <c r="C16" s="19" t="n">
        <f aca="false">MIN(Data!$G$2:$G$25)</f>
        <v>47</v>
      </c>
      <c r="D16" s="29" t="s">
        <v>191</v>
      </c>
    </row>
    <row r="17" customFormat="false" ht="15" hidden="false" customHeight="false" outlineLevel="0" collapsed="false">
      <c r="A17" s="26" t="s">
        <v>192</v>
      </c>
      <c r="B17" s="27" t="s">
        <v>193</v>
      </c>
      <c r="C17" s="21" t="n">
        <f aca="false">COUNTIFS(Data!$C$2:$C$25,"Angkutan",Data!$E$2:$E$25,"&gt;=80")</f>
        <v>3</v>
      </c>
      <c r="D17" s="29" t="s">
        <v>194</v>
      </c>
    </row>
    <row r="18" customFormat="false" ht="15" hidden="false" customHeight="false" outlineLevel="0" collapsed="false">
      <c r="A18" s="26" t="s">
        <v>195</v>
      </c>
      <c r="B18" s="27" t="s">
        <v>196</v>
      </c>
      <c r="C18" s="21" t="n">
        <f aca="false">SUMIF(Data!$C$2:$C$25,"Kemasan",Data!$F$2:$F$25)</f>
        <v>609</v>
      </c>
      <c r="D18" s="29" t="s">
        <v>197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2026-10-16T23:46:37Z</dcterms:created>
  <dc:creator>PushExcel</dc:creator>
  <dc:description/>
  <dc:language>en-US</dc:language>
  <cp:lastModifiedBy/>
  <dcterms:modified xsi:type="dcterms:W3CDTF">2026-10-16T23:46:37Z</dcterms:modified>
  <cp:revision>0</cp:revision>
  <dc:subject/>
  <dc:title>Evaluasi Vendor: Skor Berbobot, Kategori, dan Peringkat - Kunci</dc:title>
</cp:coreProperties>
</file>

<file path=docProps/custom.xml><?xml version="1.0" encoding="utf-8"?>
<Properties xmlns="http://schemas.openxmlformats.org/officeDocument/2006/custom-properties" xmlns:vt="http://schemas.openxmlformats.org/officeDocument/2006/docPropsVTypes"/>
</file>