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<sst xmlns="http://schemas.openxmlformats.org/spreadsheetml/2006/main" count="215" uniqueCount="183">
  <si>
    <t xml:space="preserve">Kunci Jawaban: Seleksi Penerimaan Karyawan Baru</t>
  </si>
  <si>
    <t xml:space="preserve">Latihan 34 dari 56  |  Tingkat: Menengah  |  Perkiraan waktu: 55 menit  |  pushexcel.github.io/Pushexcel</t>
  </si>
  <si>
    <t xml:space="preserve">Skenario</t>
  </si>
  <si>
    <t xml:space="preserve">Kamu staf HRD PT Cahaya Prima yang membuka lowongan empat posisi. Ada 30 pelamar yang sudah mengikuti tes tertulis, wawancara, dan tes praktik. Nilai akhir = 30 persen tertulis + 30 persen wawancara + 40 persen praktik. Pelamar dengan nilai akhir minimal 80 dan nilai praktik minimal 70 berstatus Diterima. Pelamar dengan nilai akhir minimal 70 yang belum Diterima menjadi Cadangan, selain itu Tidak Lulus.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</si>
  <si>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</si>
  <si>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</si>
  <si>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</si>
  <si>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</si>
  <si>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</si>
  <si>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</si>
  <si>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</si>
  <si>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</si>
  <si>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</si>
  <si>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</si>
  <si>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</si>
  <si>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</si>
  <si>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</si>
  <si>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</si>
  <si>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</si>
  <si>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</si>
  <si>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</si>
  <si>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</si>
  <si>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</si>
  <si>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</si>
  <si>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nilai akhir: tiap nilai dikali bobotnya, dijumlahkan, lalu dibulatkan satu desimal.</t>
  </si>
  <si>
    <t xml:space="preserve">Sheet Data, kolom G (Nilai Akhir), baris 2 sampai 31</t>
  </si>
  <si>
    <t xml:space="preserve">=ROUND(D2*$L$2+E2*$L$3+F2*$L$4;1)</t>
  </si>
  <si>
    <t xml:space="preserve">2</t>
  </si>
  <si>
    <t xml:space="preserve">Beri peringkat nilai akhir, peringkat 1 untuk nilai tertinggi.</t>
  </si>
  <si>
    <t xml:space="preserve">Sheet Data, kolom H (Peringkat), baris 2 sampai 31</t>
  </si>
  <si>
    <t xml:space="preserve">=RANK(G2;$G$2:$G$31;0)</t>
  </si>
  <si>
    <t xml:space="preserve">3</t>
  </si>
  <si>
    <t xml:space="preserve">Tentukan keputusan: Diterima bila nilai akhir dan nilai praktik sama-sama memenuhi batas minimal, Cadangan bila nilai akhir memenuhi batas cadangan, selain itu Tidak Lulus.</t>
  </si>
  <si>
    <t xml:space="preserve">Sheet Data, kolom I (Keputusan), baris 2 sampai 31</t>
  </si>
  <si>
    <t xml:space="preserve">=IF(AND(G2&gt;=$L$5;F2&gt;=$L$6);"Diterima";IF(G2&gt;=$L$7;"Cadangan";"Tidak Lulus"))</t>
  </si>
  <si>
    <t xml:space="preserve">4</t>
  </si>
  <si>
    <t xml:space="preserve">Pada sheet Acuan, hitung jumlah pelamar tiap posisi.</t>
  </si>
  <si>
    <t xml:space="preserve">Sheet Acuan, kolom B (Jumlah Pelamar), baris 2 sampai 5</t>
  </si>
  <si>
    <t xml:space="preserve">=COUNTIF(Data!$C$2:$C$31;A2)</t>
  </si>
  <si>
    <t xml:space="preserve">5</t>
  </si>
  <si>
    <t xml:space="preserve">Pada sheet Acuan, hitung rata-rata nilai akhir pelamar tiap posisi.</t>
  </si>
  <si>
    <t xml:space="preserve">Sheet Acuan, kolom C (Rata-rata Nilai Akhir), baris 2 sampai 5</t>
  </si>
  <si>
    <t xml:space="preserve">=AVERAGEIF(Data!$C$2:$C$31;A2;Data!$G$2:$G$31)</t>
  </si>
  <si>
    <t xml:space="preserve">6</t>
  </si>
  <si>
    <t xml:space="preserve">Pada sheet Acuan, hitung jumlah pelamar yang Diterima tiap posisi.</t>
  </si>
  <si>
    <t xml:space="preserve">Sheet Acuan, kolom D (Jumlah Diterima), baris 2 sampai 5</t>
  </si>
  <si>
    <t xml:space="preserve">=COUNTIFS(Data!$C$2:$C$31;A2;Data!$I$2:$I$31;"Diterima")</t>
  </si>
  <si>
    <t xml:space="preserve">7</t>
  </si>
  <si>
    <t xml:space="preserve">Berapa pelamar yang Diterima, Cadangan, dan Tidak Lulus?</t>
  </si>
  <si>
    <t xml:space="preserve">Sheet Ringkasan, sel C4 sampai C6</t>
  </si>
  <si>
    <t xml:space="preserve">=COUNTIF(Data!$I$2:$I$31;"Diterima")
=COUNTIF(Data!$I$2:$I$31;"Cadangan")
=COUNTIF(Data!$I$2:$I$31;"Tidak Lulus")</t>
  </si>
  <si>
    <t xml:space="preserve">8</t>
  </si>
  <si>
    <t xml:space="preserve">Siapa pelamar dengan nilai akhir tertinggi, dan berapa nilai akhir tertinggi ke-3?</t>
  </si>
  <si>
    <t xml:space="preserve">Sheet Ringkasan, sel C7 sampai C8</t>
  </si>
  <si>
    <t xml:space="preserve">=INDEX(Data!$B$2:$B$31;MATCH(MAX(Data!$G$2:$G$31);Data!$G$2:$G$31;0))
=LARGE(Data!$G$2:$G$31;3)</t>
  </si>
  <si>
    <t xml:space="preserve">9</t>
  </si>
  <si>
    <t xml:space="preserve">Posisi mana yang rata-rata nilai akhirnya tertinggi, dan berapa rata-rata nilai praktik seluruh pelamar?</t>
  </si>
  <si>
    <t xml:space="preserve">Sheet Ringkasan, sel C9 sampai C10</t>
  </si>
  <si>
    <t xml:space="preserve">=INDEX(Acuan!$A$2:$A$5;MATCH(MAX(Acuan!$C$2:$C$5);Acuan!$C$2:$C$5;0))
=AVERAGE(Data!$F$2:$F$31)</t>
  </si>
  <si>
    <t xml:space="preserve">10</t>
  </si>
  <si>
    <t xml:space="preserve">Berapa pelamar yang mendapat nilai 75 atau lebih pada ketiga tes, dan berapa pelamar posisi Kasir yang berstatus Diterima?</t>
  </si>
  <si>
    <t xml:space="preserve">Sheet Ringkasan, sel C11 sampai C12</t>
  </si>
  <si>
    <t xml:space="preserve">=SUMPRODUCT((Data!$D$2:$D$31&gt;=75)*(Data!$E$2:$E$31&gt;=75)*(Data!$F$2:$F$31&gt;=75))
=COUNTIFS(Data!$C$2:$C$31;"Kasir";Data!$I$2:$I$31;"Diterima")</t>
  </si>
  <si>
    <t xml:space="preserve">No Peserta</t>
  </si>
  <si>
    <t xml:space="preserve">Nama Pelamar</t>
  </si>
  <si>
    <t xml:space="preserve">Posisi</t>
  </si>
  <si>
    <t xml:space="preserve">Nilai Tertulis</t>
  </si>
  <si>
    <t xml:space="preserve">Nilai Wawancara</t>
  </si>
  <si>
    <t xml:space="preserve">Nilai Praktik</t>
  </si>
  <si>
    <t xml:space="preserve">Nilai Akhir</t>
  </si>
  <si>
    <t xml:space="preserve">Peringkat</t>
  </si>
  <si>
    <t xml:space="preserve">Keputusan</t>
  </si>
  <si>
    <t xml:space="preserve">Parameter</t>
  </si>
  <si>
    <t xml:space="preserve">Nilai</t>
  </si>
  <si>
    <t xml:space="preserve">Keterangan</t>
  </si>
  <si>
    <t xml:space="preserve">PLM-001</t>
  </si>
  <si>
    <t xml:space="preserve">Bayu Wijaya</t>
  </si>
  <si>
    <t xml:space="preserve">Customer Service</t>
  </si>
  <si>
    <t xml:space="preserve">Bobot tertulis</t>
  </si>
  <si>
    <t xml:space="preserve">PLM-002</t>
  </si>
  <si>
    <t xml:space="preserve">Yoga Sari</t>
  </si>
  <si>
    <t xml:space="preserve">Admin</t>
  </si>
  <si>
    <t xml:space="preserve">Bobot wawancara</t>
  </si>
  <si>
    <t xml:space="preserve">PLM-003</t>
  </si>
  <si>
    <t xml:space="preserve">Lina Amalia</t>
  </si>
  <si>
    <t xml:space="preserve">Kasir</t>
  </si>
  <si>
    <t xml:space="preserve">Bobot praktik</t>
  </si>
  <si>
    <t xml:space="preserve">PLM-004</t>
  </si>
  <si>
    <t xml:space="preserve">Dian Santoso</t>
  </si>
  <si>
    <t xml:space="preserve">Batas diterima</t>
  </si>
  <si>
    <t xml:space="preserve">Nilai akhir minimal untuk Diterima</t>
  </si>
  <si>
    <t xml:space="preserve">PLM-005</t>
  </si>
  <si>
    <t xml:space="preserve">Dewi Susanto</t>
  </si>
  <si>
    <t xml:space="preserve">Praktik minimal</t>
  </si>
  <si>
    <t xml:space="preserve">Nilai praktik minimal untuk Diterima</t>
  </si>
  <si>
    <t xml:space="preserve">PLM-006</t>
  </si>
  <si>
    <t xml:space="preserve">Bambang Sari</t>
  </si>
  <si>
    <t xml:space="preserve">Staf Gudang</t>
  </si>
  <si>
    <t xml:space="preserve">Batas cadangan</t>
  </si>
  <si>
    <t xml:space="preserve">Nilai akhir minimal untuk Cadangan</t>
  </si>
  <si>
    <t xml:space="preserve">PLM-007</t>
  </si>
  <si>
    <t xml:space="preserve">Farida Putra</t>
  </si>
  <si>
    <t xml:space="preserve">PLM-008</t>
  </si>
  <si>
    <t xml:space="preserve">Joko Utomo</t>
  </si>
  <si>
    <t xml:space="preserve">PLM-009</t>
  </si>
  <si>
    <t xml:space="preserve">Rina Rahayu</t>
  </si>
  <si>
    <t xml:space="preserve">PLM-010</t>
  </si>
  <si>
    <t xml:space="preserve">Fajar Maharani</t>
  </si>
  <si>
    <t xml:space="preserve">PLM-011</t>
  </si>
  <si>
    <t xml:space="preserve">Prasetyo Santoso</t>
  </si>
  <si>
    <t xml:space="preserve">PLM-012</t>
  </si>
  <si>
    <t xml:space="preserve">Farida Suryani</t>
  </si>
  <si>
    <t xml:space="preserve">PLM-013</t>
  </si>
  <si>
    <t xml:space="preserve">Ahmad Hartono</t>
  </si>
  <si>
    <t xml:space="preserve">PLM-014</t>
  </si>
  <si>
    <t xml:space="preserve">Fajar Suryani</t>
  </si>
  <si>
    <t xml:space="preserve">PLM-015</t>
  </si>
  <si>
    <t xml:space="preserve">Tono Utomo</t>
  </si>
  <si>
    <t xml:space="preserve">PLM-016</t>
  </si>
  <si>
    <t xml:space="preserve">Dian Ramadhan</t>
  </si>
  <si>
    <t xml:space="preserve">PLM-017</t>
  </si>
  <si>
    <t xml:space="preserve">Vivi Rahayu</t>
  </si>
  <si>
    <t xml:space="preserve">PLM-018</t>
  </si>
  <si>
    <t xml:space="preserve">Maman Susanto</t>
  </si>
  <si>
    <t xml:space="preserve">PLM-019</t>
  </si>
  <si>
    <t xml:space="preserve">Kartika Handayani</t>
  </si>
  <si>
    <t xml:space="preserve">PLM-020</t>
  </si>
  <si>
    <t xml:space="preserve">Dewi Santoso</t>
  </si>
  <si>
    <t xml:space="preserve">PLM-021</t>
  </si>
  <si>
    <t xml:space="preserve">Dian Rahayu</t>
  </si>
  <si>
    <t xml:space="preserve">PLM-022</t>
  </si>
  <si>
    <t xml:space="preserve">Ahmad Anggraini</t>
  </si>
  <si>
    <t xml:space="preserve">PLM-023</t>
  </si>
  <si>
    <t xml:space="preserve">Hadi Utomo</t>
  </si>
  <si>
    <t xml:space="preserve">PLM-024</t>
  </si>
  <si>
    <t xml:space="preserve">Vivi Kurniawan</t>
  </si>
  <si>
    <t xml:space="preserve">PLM-025</t>
  </si>
  <si>
    <t xml:space="preserve">Vina Maharani</t>
  </si>
  <si>
    <t xml:space="preserve">PLM-026</t>
  </si>
  <si>
    <t xml:space="preserve">Edi Sari</t>
  </si>
  <si>
    <t xml:space="preserve">PLM-027</t>
  </si>
  <si>
    <t xml:space="preserve">Tono Santoso</t>
  </si>
  <si>
    <t xml:space="preserve">PLM-028</t>
  </si>
  <si>
    <t xml:space="preserve">Ahmad Lestari</t>
  </si>
  <si>
    <t xml:space="preserve">PLM-029</t>
  </si>
  <si>
    <t xml:space="preserve">Fajar Setiawan</t>
  </si>
  <si>
    <t xml:space="preserve">PLM-030</t>
  </si>
  <si>
    <t xml:space="preserve">Sari Nugroho</t>
  </si>
  <si>
    <t xml:space="preserve">Jumlah Pelamar</t>
  </si>
  <si>
    <t xml:space="preserve">Rata-rata Nilai Akhir</t>
  </si>
  <si>
    <t xml:space="preserve">Jumlah Diterima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</si>
  <si>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</si>
  <si>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</si>
  <si>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</si>
  <si>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</si>
  <si>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</si>
  <si>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7a</t>
  </si>
  <si>
    <t xml:space="preserve">Jumlah pelamar Diterima</t>
  </si>
  <si>
    <t xml:space="preserve">Angka bulat, mis. 9</t>
  </si>
  <si>
    <t xml:space="preserve">7b</t>
  </si>
  <si>
    <t xml:space="preserve">Jumlah pelamar Cadangan</t>
  </si>
  <si>
    <t xml:space="preserve">Angka bulat, mis. 11</t>
  </si>
  <si>
    <t xml:space="preserve">7c</t>
  </si>
  <si>
    <t xml:space="preserve">Jumlah pelamar Tidak Lulus</t>
  </si>
  <si>
    <t xml:space="preserve">Angka bulat, mis. 10</t>
  </si>
  <si>
    <t xml:space="preserve">8a</t>
  </si>
  <si>
    <t xml:space="preserve">Pelamar dengan nilai akhir tertinggi</t>
  </si>
  <si>
    <t xml:space="preserve">Teks: nama pelamar</t>
  </si>
  <si>
    <t xml:space="preserve">8b</t>
  </si>
  <si>
    <t xml:space="preserve">Nilai akhir tertinggi ke-3</t>
  </si>
  <si>
    <t xml:space="preserve">Angka desimal, mis. 88,5</t>
  </si>
  <si>
    <t xml:space="preserve">9a</t>
  </si>
  <si>
    <t xml:space="preserve">Posisi dengan rata-rata nilai akhir tertinggi</t>
  </si>
  <si>
    <t xml:space="preserve">Teks: nama posisi</t>
  </si>
  <si>
    <t xml:space="preserve">9b</t>
  </si>
  <si>
    <t xml:space="preserve">Rata-rata nilai praktik seluruh pelamar</t>
  </si>
  <si>
    <t xml:space="preserve">Angka desimal, mis. 72,5</t>
  </si>
  <si>
    <t xml:space="preserve">10a</t>
  </si>
  <si>
    <t xml:space="preserve">Pelamar dengan ketiga nilai minimal 75</t>
  </si>
  <si>
    <t xml:space="preserve">Angka bulat, mis. 8</t>
  </si>
  <si>
    <t xml:space="preserve">10b</t>
  </si>
  <si>
    <t xml:space="preserve">Pelamar Kasir yang Diterima</t>
  </si>
  <si>
    <t xml:space="preserve">Angka bulat, mis.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</si>
</sst>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42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57.75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43.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5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33.75" hidden="false" customHeight="true" outlineLevel="0" collapsed="false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5" t="s">
        <v>69</v>
      </c>
      <c r="H1" s="15" t="s">
        <v>70</v>
      </c>
      <c r="I1" s="15" t="s">
        <v>71</v>
      </c>
      <c r="K1" s="16" t="s">
        <v>72</v>
      </c>
      <c r="L1" s="16" t="s">
        <v>73</v>
      </c>
      <c r="M1" s="16" t="s">
        <v>74</v>
      </c>
    </row>
    <row r="2" customFormat="false" ht="15" hidden="false" customHeight="false" outlineLevel="0" collapsed="false">
      <c r="A2" s="17" t="s">
        <v>75</v>
      </c>
      <c r="B2" s="17" t="s">
        <v>76</v>
      </c>
      <c r="C2" s="17" t="s">
        <v>77</v>
      </c>
      <c r="D2" s="18" t="n">
        <v>87</v>
      </c>
      <c r="E2" s="18" t="n">
        <v>96</v>
      </c>
      <c r="F2" s="18" t="n">
        <v>89</v>
      </c>
      <c r="G2" s="19" t="n">
        <f aca="false">ROUND(D2*$L$2+E2*$L$3+F2*$L$4,1)</f>
        <v>90.5</v>
      </c>
      <c r="H2" s="20" t="n">
        <f aca="false">RANK(G2,$G$2:$G$31,0)</f>
        <v>2</v>
      </c>
      <c r="I2" s="21" t="str">
        <f aca="false">IF(AND(G2&gt;=$L$5,F2&gt;=$L$6),"Diterima",IF(G2&gt;=$L$7,"Cadangan","Tidak Lulus"))</f>
        <v>Diterima</v>
      </c>
      <c r="K2" s="22" t="s">
        <v>78</v>
      </c>
      <c r="L2" s="23" t="n">
        <v>0.3</v>
      </c>
      <c r="M2" s="22"/>
    </row>
    <row r="3" customFormat="false" ht="15" hidden="false" customHeight="false" outlineLevel="0" collapsed="false">
      <c r="A3" s="17" t="s">
        <v>79</v>
      </c>
      <c r="B3" s="17" t="s">
        <v>80</v>
      </c>
      <c r="C3" s="17" t="s">
        <v>81</v>
      </c>
      <c r="D3" s="18" t="n">
        <v>61</v>
      </c>
      <c r="E3" s="18" t="n">
        <v>62</v>
      </c>
      <c r="F3" s="18" t="n">
        <v>70</v>
      </c>
      <c r="G3" s="19" t="n">
        <f aca="false">ROUND(D3*$L$2+E3*$L$3+F3*$L$4,1)</f>
        <v>64.9</v>
      </c>
      <c r="H3" s="20" t="n">
        <f aca="false">RANK(G3,$G$2:$G$31,0)</f>
        <v>25</v>
      </c>
      <c r="I3" s="21" t="str">
        <f aca="false">IF(AND(G3&gt;=$L$5,F3&gt;=$L$6),"Diterima",IF(G3&gt;=$L$7,"Cadangan","Tidak Lulus"))</f>
        <v>Tidak Lulus</v>
      </c>
      <c r="K3" s="22" t="s">
        <v>82</v>
      </c>
      <c r="L3" s="23" t="n">
        <v>0.3</v>
      </c>
      <c r="M3" s="22"/>
    </row>
    <row r="4" customFormat="false" ht="15" hidden="false" customHeight="false" outlineLevel="0" collapsed="false">
      <c r="A4" s="17" t="s">
        <v>83</v>
      </c>
      <c r="B4" s="17" t="s">
        <v>84</v>
      </c>
      <c r="C4" s="17" t="s">
        <v>85</v>
      </c>
      <c r="D4" s="18" t="n">
        <v>81</v>
      </c>
      <c r="E4" s="18" t="n">
        <v>83</v>
      </c>
      <c r="F4" s="18" t="n">
        <v>85</v>
      </c>
      <c r="G4" s="19" t="n">
        <f aca="false">ROUND(D4*$L$2+E4*$L$3+F4*$L$4,1)</f>
        <v>83.2</v>
      </c>
      <c r="H4" s="20" t="n">
        <f aca="false">RANK(G4,$G$2:$G$31,0)</f>
        <v>6</v>
      </c>
      <c r="I4" s="21" t="str">
        <f aca="false">IF(AND(G4&gt;=$L$5,F4&gt;=$L$6),"Diterima",IF(G4&gt;=$L$7,"Cadangan","Tidak Lulus"))</f>
        <v>Diterima</v>
      </c>
      <c r="K4" s="22" t="s">
        <v>86</v>
      </c>
      <c r="L4" s="23" t="n">
        <v>0.4</v>
      </c>
      <c r="M4" s="22"/>
    </row>
    <row r="5" customFormat="false" ht="15" hidden="false" customHeight="false" outlineLevel="0" collapsed="false">
      <c r="A5" s="17" t="s">
        <v>87</v>
      </c>
      <c r="B5" s="17" t="s">
        <v>88</v>
      </c>
      <c r="C5" s="17" t="s">
        <v>85</v>
      </c>
      <c r="D5" s="18" t="n">
        <v>73</v>
      </c>
      <c r="E5" s="18" t="n">
        <v>84</v>
      </c>
      <c r="F5" s="18" t="n">
        <v>75</v>
      </c>
      <c r="G5" s="19" t="n">
        <f aca="false">ROUND(D5*$L$2+E5*$L$3+F5*$L$4,1)</f>
        <v>77.1</v>
      </c>
      <c r="H5" s="20" t="n">
        <f aca="false">RANK(G5,$G$2:$G$31,0)</f>
        <v>13</v>
      </c>
      <c r="I5" s="21" t="str">
        <f aca="false">IF(AND(G5&gt;=$L$5,F5&gt;=$L$6),"Diterima",IF(G5&gt;=$L$7,"Cadangan","Tidak Lulus"))</f>
        <v>Cadangan</v>
      </c>
      <c r="K5" s="22" t="s">
        <v>89</v>
      </c>
      <c r="L5" s="24" t="n">
        <v>80</v>
      </c>
      <c r="M5" s="22" t="s">
        <v>90</v>
      </c>
    </row>
    <row r="6" customFormat="false" ht="15" hidden="false" customHeight="false" outlineLevel="0" collapsed="false">
      <c r="A6" s="17" t="s">
        <v>91</v>
      </c>
      <c r="B6" s="17" t="s">
        <v>92</v>
      </c>
      <c r="C6" s="17" t="s">
        <v>85</v>
      </c>
      <c r="D6" s="18" t="n">
        <v>66</v>
      </c>
      <c r="E6" s="18" t="n">
        <v>90</v>
      </c>
      <c r="F6" s="18" t="n">
        <v>78</v>
      </c>
      <c r="G6" s="19" t="n">
        <f aca="false">ROUND(D6*$L$2+E6*$L$3+F6*$L$4,1)</f>
        <v>78</v>
      </c>
      <c r="H6" s="20" t="n">
        <f aca="false">RANK(G6,$G$2:$G$31,0)</f>
        <v>12</v>
      </c>
      <c r="I6" s="21" t="str">
        <f aca="false">IF(AND(G6&gt;=$L$5,F6&gt;=$L$6),"Diterima",IF(G6&gt;=$L$7,"Cadangan","Tidak Lulus"))</f>
        <v>Cadangan</v>
      </c>
      <c r="K6" s="22" t="s">
        <v>93</v>
      </c>
      <c r="L6" s="24" t="n">
        <v>70</v>
      </c>
      <c r="M6" s="22" t="s">
        <v>94</v>
      </c>
    </row>
    <row r="7" customFormat="false" ht="15" hidden="false" customHeight="false" outlineLevel="0" collapsed="false">
      <c r="A7" s="17" t="s">
        <v>95</v>
      </c>
      <c r="B7" s="17" t="s">
        <v>96</v>
      </c>
      <c r="C7" s="17" t="s">
        <v>97</v>
      </c>
      <c r="D7" s="18" t="n">
        <v>80</v>
      </c>
      <c r="E7" s="18" t="n">
        <v>79</v>
      </c>
      <c r="F7" s="18" t="n">
        <v>69</v>
      </c>
      <c r="G7" s="19" t="n">
        <f aca="false">ROUND(D7*$L$2+E7*$L$3+F7*$L$4,1)</f>
        <v>75.3</v>
      </c>
      <c r="H7" s="20" t="n">
        <f aca="false">RANK(G7,$G$2:$G$31,0)</f>
        <v>14</v>
      </c>
      <c r="I7" s="21" t="str">
        <f aca="false">IF(AND(G7&gt;=$L$5,F7&gt;=$L$6),"Diterima",IF(G7&gt;=$L$7,"Cadangan","Tidak Lulus"))</f>
        <v>Cadangan</v>
      </c>
      <c r="K7" s="22" t="s">
        <v>98</v>
      </c>
      <c r="L7" s="24" t="n">
        <v>70</v>
      </c>
      <c r="M7" s="22" t="s">
        <v>99</v>
      </c>
    </row>
    <row r="8" customFormat="false" ht="15" hidden="false" customHeight="false" outlineLevel="0" collapsed="false">
      <c r="A8" s="17" t="s">
        <v>100</v>
      </c>
      <c r="B8" s="17" t="s">
        <v>101</v>
      </c>
      <c r="C8" s="17" t="s">
        <v>81</v>
      </c>
      <c r="D8" s="18" t="n">
        <v>67</v>
      </c>
      <c r="E8" s="18" t="n">
        <v>77</v>
      </c>
      <c r="F8" s="18" t="n">
        <v>64</v>
      </c>
      <c r="G8" s="19" t="n">
        <f aca="false">ROUND(D8*$L$2+E8*$L$3+F8*$L$4,1)</f>
        <v>68.8</v>
      </c>
      <c r="H8" s="20" t="n">
        <f aca="false">RANK(G8,$G$2:$G$31,0)</f>
        <v>22</v>
      </c>
      <c r="I8" s="21" t="str">
        <f aca="false">IF(AND(G8&gt;=$L$5,F8&gt;=$L$6),"Diterima",IF(G8&gt;=$L$7,"Cadangan","Tidak Lulus"))</f>
        <v>Tidak Lulus</v>
      </c>
    </row>
    <row r="9" customFormat="false" ht="15" hidden="false" customHeight="false" outlineLevel="0" collapsed="false">
      <c r="A9" s="17" t="s">
        <v>102</v>
      </c>
      <c r="B9" s="17" t="s">
        <v>103</v>
      </c>
      <c r="C9" s="17" t="s">
        <v>77</v>
      </c>
      <c r="D9" s="18" t="n">
        <v>76</v>
      </c>
      <c r="E9" s="18" t="n">
        <v>59</v>
      </c>
      <c r="F9" s="18" t="n">
        <v>68</v>
      </c>
      <c r="G9" s="19" t="n">
        <f aca="false">ROUND(D9*$L$2+E9*$L$3+F9*$L$4,1)</f>
        <v>67.7</v>
      </c>
      <c r="H9" s="20" t="n">
        <f aca="false">RANK(G9,$G$2:$G$31,0)</f>
        <v>23</v>
      </c>
      <c r="I9" s="21" t="str">
        <f aca="false">IF(AND(G9&gt;=$L$5,F9&gt;=$L$6),"Diterima",IF(G9&gt;=$L$7,"Cadangan","Tidak Lulus"))</f>
        <v>Tidak Lulus</v>
      </c>
    </row>
    <row r="10" customFormat="false" ht="15" hidden="false" customHeight="false" outlineLevel="0" collapsed="false">
      <c r="A10" s="17" t="s">
        <v>104</v>
      </c>
      <c r="B10" s="17" t="s">
        <v>105</v>
      </c>
      <c r="C10" s="17" t="s">
        <v>97</v>
      </c>
      <c r="D10" s="18" t="n">
        <v>66</v>
      </c>
      <c r="E10" s="18" t="n">
        <v>68</v>
      </c>
      <c r="F10" s="18" t="n">
        <v>58</v>
      </c>
      <c r="G10" s="19" t="n">
        <f aca="false">ROUND(D10*$L$2+E10*$L$3+F10*$L$4,1)</f>
        <v>63.4</v>
      </c>
      <c r="H10" s="20" t="n">
        <f aca="false">RANK(G10,$G$2:$G$31,0)</f>
        <v>27</v>
      </c>
      <c r="I10" s="21" t="str">
        <f aca="false">IF(AND(G10&gt;=$L$5,F10&gt;=$L$6),"Diterima",IF(G10&gt;=$L$7,"Cadangan","Tidak Lulus"))</f>
        <v>Tidak Lulus</v>
      </c>
    </row>
    <row r="11" customFormat="false" ht="15" hidden="false" customHeight="false" outlineLevel="0" collapsed="false">
      <c r="A11" s="17" t="s">
        <v>106</v>
      </c>
      <c r="B11" s="17" t="s">
        <v>107</v>
      </c>
      <c r="C11" s="17" t="s">
        <v>97</v>
      </c>
      <c r="D11" s="18" t="n">
        <v>69</v>
      </c>
      <c r="E11" s="18" t="n">
        <v>77</v>
      </c>
      <c r="F11" s="18" t="n">
        <v>88</v>
      </c>
      <c r="G11" s="19" t="n">
        <f aca="false">ROUND(D11*$L$2+E11*$L$3+F11*$L$4,1)</f>
        <v>79</v>
      </c>
      <c r="H11" s="20" t="n">
        <f aca="false">RANK(G11,$G$2:$G$31,0)</f>
        <v>11</v>
      </c>
      <c r="I11" s="21" t="str">
        <f aca="false">IF(AND(G11&gt;=$L$5,F11&gt;=$L$6),"Diterima",IF(G11&gt;=$L$7,"Cadangan","Tidak Lulus"))</f>
        <v>Cadangan</v>
      </c>
    </row>
    <row r="12" customFormat="false" ht="15" hidden="false" customHeight="false" outlineLevel="0" collapsed="false">
      <c r="A12" s="17" t="s">
        <v>108</v>
      </c>
      <c r="B12" s="17" t="s">
        <v>109</v>
      </c>
      <c r="C12" s="17" t="s">
        <v>97</v>
      </c>
      <c r="D12" s="18" t="n">
        <v>73</v>
      </c>
      <c r="E12" s="18" t="n">
        <v>69</v>
      </c>
      <c r="F12" s="18" t="n">
        <v>70</v>
      </c>
      <c r="G12" s="19" t="n">
        <f aca="false">ROUND(D12*$L$2+E12*$L$3+F12*$L$4,1)</f>
        <v>70.6</v>
      </c>
      <c r="H12" s="20" t="n">
        <f aca="false">RANK(G12,$G$2:$G$31,0)</f>
        <v>19</v>
      </c>
      <c r="I12" s="21" t="str">
        <f aca="false">IF(AND(G12&gt;=$L$5,F12&gt;=$L$6),"Diterima",IF(G12&gt;=$L$7,"Cadangan","Tidak Lulus"))</f>
        <v>Cadangan</v>
      </c>
    </row>
    <row r="13" customFormat="false" ht="15" hidden="false" customHeight="false" outlineLevel="0" collapsed="false">
      <c r="A13" s="17" t="s">
        <v>110</v>
      </c>
      <c r="B13" s="17" t="s">
        <v>111</v>
      </c>
      <c r="C13" s="17" t="s">
        <v>77</v>
      </c>
      <c r="D13" s="18" t="n">
        <v>67</v>
      </c>
      <c r="E13" s="18" t="n">
        <v>67</v>
      </c>
      <c r="F13" s="18" t="n">
        <v>85</v>
      </c>
      <c r="G13" s="19" t="n">
        <f aca="false">ROUND(D13*$L$2+E13*$L$3+F13*$L$4,1)</f>
        <v>74.2</v>
      </c>
      <c r="H13" s="20" t="n">
        <f aca="false">RANK(G13,$G$2:$G$31,0)</f>
        <v>16</v>
      </c>
      <c r="I13" s="21" t="str">
        <f aca="false">IF(AND(G13&gt;=$L$5,F13&gt;=$L$6),"Diterima",IF(G13&gt;=$L$7,"Cadangan","Tidak Lulus"))</f>
        <v>Cadangan</v>
      </c>
    </row>
    <row r="14" customFormat="false" ht="15" hidden="false" customHeight="false" outlineLevel="0" collapsed="false">
      <c r="A14" s="17" t="s">
        <v>112</v>
      </c>
      <c r="B14" s="17" t="s">
        <v>113</v>
      </c>
      <c r="C14" s="17" t="s">
        <v>81</v>
      </c>
      <c r="D14" s="18" t="n">
        <v>73</v>
      </c>
      <c r="E14" s="18" t="n">
        <v>67</v>
      </c>
      <c r="F14" s="18" t="n">
        <v>79</v>
      </c>
      <c r="G14" s="19" t="n">
        <f aca="false">ROUND(D14*$L$2+E14*$L$3+F14*$L$4,1)</f>
        <v>73.6</v>
      </c>
      <c r="H14" s="20" t="n">
        <f aca="false">RANK(G14,$G$2:$G$31,0)</f>
        <v>17</v>
      </c>
      <c r="I14" s="21" t="str">
        <f aca="false">IF(AND(G14&gt;=$L$5,F14&gt;=$L$6),"Diterima",IF(G14&gt;=$L$7,"Cadangan","Tidak Lulus"))</f>
        <v>Cadangan</v>
      </c>
    </row>
    <row r="15" customFormat="false" ht="15" hidden="false" customHeight="false" outlineLevel="0" collapsed="false">
      <c r="A15" s="17" t="s">
        <v>114</v>
      </c>
      <c r="B15" s="17" t="s">
        <v>115</v>
      </c>
      <c r="C15" s="17" t="s">
        <v>97</v>
      </c>
      <c r="D15" s="18" t="n">
        <v>75</v>
      </c>
      <c r="E15" s="18" t="n">
        <v>81</v>
      </c>
      <c r="F15" s="18" t="n">
        <v>89</v>
      </c>
      <c r="G15" s="19" t="n">
        <f aca="false">ROUND(D15*$L$2+E15*$L$3+F15*$L$4,1)</f>
        <v>82.4</v>
      </c>
      <c r="H15" s="20" t="n">
        <f aca="false">RANK(G15,$G$2:$G$31,0)</f>
        <v>8</v>
      </c>
      <c r="I15" s="21" t="str">
        <f aca="false">IF(AND(G15&gt;=$L$5,F15&gt;=$L$6),"Diterima",IF(G15&gt;=$L$7,"Cadangan","Tidak Lulus"))</f>
        <v>Diterima</v>
      </c>
    </row>
    <row r="16" customFormat="false" ht="15" hidden="false" customHeight="false" outlineLevel="0" collapsed="false">
      <c r="A16" s="17" t="s">
        <v>116</v>
      </c>
      <c r="B16" s="17" t="s">
        <v>117</v>
      </c>
      <c r="C16" s="17" t="s">
        <v>85</v>
      </c>
      <c r="D16" s="18" t="n">
        <v>83</v>
      </c>
      <c r="E16" s="18" t="n">
        <v>75</v>
      </c>
      <c r="F16" s="18" t="n">
        <v>83</v>
      </c>
      <c r="G16" s="19" t="n">
        <f aca="false">ROUND(D16*$L$2+E16*$L$3+F16*$L$4,1)</f>
        <v>80.6</v>
      </c>
      <c r="H16" s="20" t="n">
        <f aca="false">RANK(G16,$G$2:$G$31,0)</f>
        <v>10</v>
      </c>
      <c r="I16" s="21" t="str">
        <f aca="false">IF(AND(G16&gt;=$L$5,F16&gt;=$L$6),"Diterima",IF(G16&gt;=$L$7,"Cadangan","Tidak Lulus"))</f>
        <v>Diterima</v>
      </c>
    </row>
    <row r="17" customFormat="false" ht="15" hidden="false" customHeight="false" outlineLevel="0" collapsed="false">
      <c r="A17" s="17" t="s">
        <v>118</v>
      </c>
      <c r="B17" s="17" t="s">
        <v>119</v>
      </c>
      <c r="C17" s="17" t="s">
        <v>81</v>
      </c>
      <c r="D17" s="18" t="n">
        <v>74</v>
      </c>
      <c r="E17" s="18" t="n">
        <v>65</v>
      </c>
      <c r="F17" s="18" t="n">
        <v>68</v>
      </c>
      <c r="G17" s="19" t="n">
        <f aca="false">ROUND(D17*$L$2+E17*$L$3+F17*$L$4,1)</f>
        <v>68.9</v>
      </c>
      <c r="H17" s="20" t="n">
        <f aca="false">RANK(G17,$G$2:$G$31,0)</f>
        <v>21</v>
      </c>
      <c r="I17" s="21" t="str">
        <f aca="false">IF(AND(G17&gt;=$L$5,F17&gt;=$L$6),"Diterima",IF(G17&gt;=$L$7,"Cadangan","Tidak Lulus"))</f>
        <v>Tidak Lulus</v>
      </c>
    </row>
    <row r="18" customFormat="false" ht="15" hidden="false" customHeight="false" outlineLevel="0" collapsed="false">
      <c r="A18" s="17" t="s">
        <v>120</v>
      </c>
      <c r="B18" s="17" t="s">
        <v>121</v>
      </c>
      <c r="C18" s="17" t="s">
        <v>97</v>
      </c>
      <c r="D18" s="18" t="n">
        <v>75</v>
      </c>
      <c r="E18" s="18" t="n">
        <v>79</v>
      </c>
      <c r="F18" s="18" t="n">
        <v>66</v>
      </c>
      <c r="G18" s="19" t="n">
        <f aca="false">ROUND(D18*$L$2+E18*$L$3+F18*$L$4,1)</f>
        <v>72.6</v>
      </c>
      <c r="H18" s="20" t="n">
        <f aca="false">RANK(G18,$G$2:$G$31,0)</f>
        <v>18</v>
      </c>
      <c r="I18" s="21" t="str">
        <f aca="false">IF(AND(G18&gt;=$L$5,F18&gt;=$L$6),"Diterima",IF(G18&gt;=$L$7,"Cadangan","Tidak Lulus"))</f>
        <v>Cadangan</v>
      </c>
    </row>
    <row r="19" customFormat="false" ht="15" hidden="false" customHeight="false" outlineLevel="0" collapsed="false">
      <c r="A19" s="17" t="s">
        <v>122</v>
      </c>
      <c r="B19" s="17" t="s">
        <v>123</v>
      </c>
      <c r="C19" s="17" t="s">
        <v>97</v>
      </c>
      <c r="D19" s="18" t="n">
        <v>70</v>
      </c>
      <c r="E19" s="18" t="n">
        <v>72</v>
      </c>
      <c r="F19" s="18" t="n">
        <v>68</v>
      </c>
      <c r="G19" s="19" t="n">
        <f aca="false">ROUND(D19*$L$2+E19*$L$3+F19*$L$4,1)</f>
        <v>69.8</v>
      </c>
      <c r="H19" s="20" t="n">
        <f aca="false">RANK(G19,$G$2:$G$31,0)</f>
        <v>20</v>
      </c>
      <c r="I19" s="21" t="str">
        <f aca="false">IF(AND(G19&gt;=$L$5,F19&gt;=$L$6),"Diterima",IF(G19&gt;=$L$7,"Cadangan","Tidak Lulus"))</f>
        <v>Tidak Lulus</v>
      </c>
    </row>
    <row r="20" customFormat="false" ht="15" hidden="false" customHeight="false" outlineLevel="0" collapsed="false">
      <c r="A20" s="17" t="s">
        <v>124</v>
      </c>
      <c r="B20" s="17" t="s">
        <v>125</v>
      </c>
      <c r="C20" s="17" t="s">
        <v>85</v>
      </c>
      <c r="D20" s="18" t="n">
        <v>62</v>
      </c>
      <c r="E20" s="18" t="n">
        <v>64</v>
      </c>
      <c r="F20" s="18" t="n">
        <v>62</v>
      </c>
      <c r="G20" s="19" t="n">
        <f aca="false">ROUND(D20*$L$2+E20*$L$3+F20*$L$4,1)</f>
        <v>62.6</v>
      </c>
      <c r="H20" s="20" t="n">
        <f aca="false">RANK(G20,$G$2:$G$31,0)</f>
        <v>29</v>
      </c>
      <c r="I20" s="21" t="str">
        <f aca="false">IF(AND(G20&gt;=$L$5,F20&gt;=$L$6),"Diterima",IF(G20&gt;=$L$7,"Cadangan","Tidak Lulus"))</f>
        <v>Tidak Lulus</v>
      </c>
    </row>
    <row r="21" customFormat="false" ht="15" hidden="false" customHeight="false" outlineLevel="0" collapsed="false">
      <c r="A21" s="17" t="s">
        <v>126</v>
      </c>
      <c r="B21" s="17" t="s">
        <v>127</v>
      </c>
      <c r="C21" s="17" t="s">
        <v>97</v>
      </c>
      <c r="D21" s="18" t="n">
        <v>51</v>
      </c>
      <c r="E21" s="18" t="n">
        <v>66</v>
      </c>
      <c r="F21" s="18" t="n">
        <v>67</v>
      </c>
      <c r="G21" s="19" t="n">
        <f aca="false">ROUND(D21*$L$2+E21*$L$3+F21*$L$4,1)</f>
        <v>61.9</v>
      </c>
      <c r="H21" s="20" t="n">
        <f aca="false">RANK(G21,$G$2:$G$31,0)</f>
        <v>30</v>
      </c>
      <c r="I21" s="21" t="str">
        <f aca="false">IF(AND(G21&gt;=$L$5,F21&gt;=$L$6),"Diterima",IF(G21&gt;=$L$7,"Cadangan","Tidak Lulus"))</f>
        <v>Tidak Lulus</v>
      </c>
    </row>
    <row r="22" customFormat="false" ht="15" hidden="false" customHeight="false" outlineLevel="0" collapsed="false">
      <c r="A22" s="17" t="s">
        <v>128</v>
      </c>
      <c r="B22" s="17" t="s">
        <v>129</v>
      </c>
      <c r="C22" s="17" t="s">
        <v>85</v>
      </c>
      <c r="D22" s="18" t="n">
        <v>78</v>
      </c>
      <c r="E22" s="18" t="n">
        <v>89</v>
      </c>
      <c r="F22" s="18" t="n">
        <v>98</v>
      </c>
      <c r="G22" s="19" t="n">
        <f aca="false">ROUND(D22*$L$2+E22*$L$3+F22*$L$4,1)</f>
        <v>89.3</v>
      </c>
      <c r="H22" s="20" t="n">
        <f aca="false">RANK(G22,$G$2:$G$31,0)</f>
        <v>4</v>
      </c>
      <c r="I22" s="21" t="str">
        <f aca="false">IF(AND(G22&gt;=$L$5,F22&gt;=$L$6),"Diterima",IF(G22&gt;=$L$7,"Cadangan","Tidak Lulus"))</f>
        <v>Diterima</v>
      </c>
    </row>
    <row r="23" customFormat="false" ht="15" hidden="false" customHeight="false" outlineLevel="0" collapsed="false">
      <c r="A23" s="17" t="s">
        <v>130</v>
      </c>
      <c r="B23" s="17" t="s">
        <v>131</v>
      </c>
      <c r="C23" s="17" t="s">
        <v>97</v>
      </c>
      <c r="D23" s="18" t="n">
        <v>89</v>
      </c>
      <c r="E23" s="18" t="n">
        <v>95</v>
      </c>
      <c r="F23" s="18" t="n">
        <v>98</v>
      </c>
      <c r="G23" s="19" t="n">
        <f aca="false">ROUND(D23*$L$2+E23*$L$3+F23*$L$4,1)</f>
        <v>94.4</v>
      </c>
      <c r="H23" s="20" t="n">
        <f aca="false">RANK(G23,$G$2:$G$31,0)</f>
        <v>1</v>
      </c>
      <c r="I23" s="21" t="str">
        <f aca="false">IF(AND(G23&gt;=$L$5,F23&gt;=$L$6),"Diterima",IF(G23&gt;=$L$7,"Cadangan","Tidak Lulus"))</f>
        <v>Diterima</v>
      </c>
    </row>
    <row r="24" customFormat="false" ht="15" hidden="false" customHeight="false" outlineLevel="0" collapsed="false">
      <c r="A24" s="17" t="s">
        <v>132</v>
      </c>
      <c r="B24" s="17" t="s">
        <v>133</v>
      </c>
      <c r="C24" s="17" t="s">
        <v>97</v>
      </c>
      <c r="D24" s="18" t="n">
        <v>80</v>
      </c>
      <c r="E24" s="18" t="n">
        <v>97</v>
      </c>
      <c r="F24" s="18" t="n">
        <v>90</v>
      </c>
      <c r="G24" s="19" t="n">
        <f aca="false">ROUND(D24*$L$2+E24*$L$3+F24*$L$4,1)</f>
        <v>89.1</v>
      </c>
      <c r="H24" s="20" t="n">
        <f aca="false">RANK(G24,$G$2:$G$31,0)</f>
        <v>5</v>
      </c>
      <c r="I24" s="21" t="str">
        <f aca="false">IF(AND(G24&gt;=$L$5,F24&gt;=$L$6),"Diterima",IF(G24&gt;=$L$7,"Cadangan","Tidak Lulus"))</f>
        <v>Diterima</v>
      </c>
    </row>
    <row r="25" customFormat="false" ht="15" hidden="false" customHeight="false" outlineLevel="0" collapsed="false">
      <c r="A25" s="17" t="s">
        <v>134</v>
      </c>
      <c r="B25" s="17" t="s">
        <v>135</v>
      </c>
      <c r="C25" s="17" t="s">
        <v>85</v>
      </c>
      <c r="D25" s="18" t="n">
        <v>65</v>
      </c>
      <c r="E25" s="18" t="n">
        <v>64</v>
      </c>
      <c r="F25" s="18" t="n">
        <v>65</v>
      </c>
      <c r="G25" s="19" t="n">
        <f aca="false">ROUND(D25*$L$2+E25*$L$3+F25*$L$4,1)</f>
        <v>64.7</v>
      </c>
      <c r="H25" s="20" t="n">
        <f aca="false">RANK(G25,$G$2:$G$31,0)</f>
        <v>26</v>
      </c>
      <c r="I25" s="21" t="str">
        <f aca="false">IF(AND(G25&gt;=$L$5,F25&gt;=$L$6),"Diterima",IF(G25&gt;=$L$7,"Cadangan","Tidak Lulus"))</f>
        <v>Tidak Lulus</v>
      </c>
    </row>
    <row r="26" customFormat="false" ht="15" hidden="false" customHeight="false" outlineLevel="0" collapsed="false">
      <c r="A26" s="17" t="s">
        <v>136</v>
      </c>
      <c r="B26" s="17" t="s">
        <v>137</v>
      </c>
      <c r="C26" s="17" t="s">
        <v>85</v>
      </c>
      <c r="D26" s="18" t="n">
        <v>71</v>
      </c>
      <c r="E26" s="18" t="n">
        <v>75</v>
      </c>
      <c r="F26" s="18" t="n">
        <v>77</v>
      </c>
      <c r="G26" s="19" t="n">
        <f aca="false">ROUND(D26*$L$2+E26*$L$3+F26*$L$4,1)</f>
        <v>74.6</v>
      </c>
      <c r="H26" s="20" t="n">
        <f aca="false">RANK(G26,$G$2:$G$31,0)</f>
        <v>15</v>
      </c>
      <c r="I26" s="21" t="str">
        <f aca="false">IF(AND(G26&gt;=$L$5,F26&gt;=$L$6),"Diterima",IF(G26&gt;=$L$7,"Cadangan","Tidak Lulus"))</f>
        <v>Cadangan</v>
      </c>
    </row>
    <row r="27" customFormat="false" ht="15" hidden="false" customHeight="false" outlineLevel="0" collapsed="false">
      <c r="A27" s="17" t="s">
        <v>138</v>
      </c>
      <c r="B27" s="17" t="s">
        <v>139</v>
      </c>
      <c r="C27" s="17" t="s">
        <v>77</v>
      </c>
      <c r="D27" s="18" t="n">
        <v>83</v>
      </c>
      <c r="E27" s="18" t="n">
        <v>89</v>
      </c>
      <c r="F27" s="18" t="n">
        <v>78</v>
      </c>
      <c r="G27" s="19" t="n">
        <f aca="false">ROUND(D27*$L$2+E27*$L$3+F27*$L$4,1)</f>
        <v>82.8</v>
      </c>
      <c r="H27" s="20" t="n">
        <f aca="false">RANK(G27,$G$2:$G$31,0)</f>
        <v>7</v>
      </c>
      <c r="I27" s="21" t="str">
        <f aca="false">IF(AND(G27&gt;=$L$5,F27&gt;=$L$6),"Diterima",IF(G27&gt;=$L$7,"Cadangan","Tidak Lulus"))</f>
        <v>Diterima</v>
      </c>
    </row>
    <row r="28" customFormat="false" ht="15" hidden="false" customHeight="false" outlineLevel="0" collapsed="false">
      <c r="A28" s="17" t="s">
        <v>140</v>
      </c>
      <c r="B28" s="17" t="s">
        <v>141</v>
      </c>
      <c r="C28" s="17" t="s">
        <v>77</v>
      </c>
      <c r="D28" s="18" t="n">
        <v>85</v>
      </c>
      <c r="E28" s="18" t="n">
        <v>77</v>
      </c>
      <c r="F28" s="18" t="n">
        <v>83</v>
      </c>
      <c r="G28" s="19" t="n">
        <f aca="false">ROUND(D28*$L$2+E28*$L$3+F28*$L$4,1)</f>
        <v>81.8</v>
      </c>
      <c r="H28" s="20" t="n">
        <f aca="false">RANK(G28,$G$2:$G$31,0)</f>
        <v>9</v>
      </c>
      <c r="I28" s="21" t="str">
        <f aca="false">IF(AND(G28&gt;=$L$5,F28&gt;=$L$6),"Diterima",IF(G28&gt;=$L$7,"Cadangan","Tidak Lulus"))</f>
        <v>Diterima</v>
      </c>
    </row>
    <row r="29" customFormat="false" ht="15" hidden="false" customHeight="false" outlineLevel="0" collapsed="false">
      <c r="A29" s="17" t="s">
        <v>142</v>
      </c>
      <c r="B29" s="17" t="s">
        <v>143</v>
      </c>
      <c r="C29" s="17" t="s">
        <v>85</v>
      </c>
      <c r="D29" s="18" t="n">
        <v>84</v>
      </c>
      <c r="E29" s="18" t="n">
        <v>98</v>
      </c>
      <c r="F29" s="18" t="n">
        <v>87</v>
      </c>
      <c r="G29" s="19" t="n">
        <f aca="false">ROUND(D29*$L$2+E29*$L$3+F29*$L$4,1)</f>
        <v>89.4</v>
      </c>
      <c r="H29" s="20" t="n">
        <f aca="false">RANK(G29,$G$2:$G$31,0)</f>
        <v>3</v>
      </c>
      <c r="I29" s="21" t="str">
        <f aca="false">IF(AND(G29&gt;=$L$5,F29&gt;=$L$6),"Diterima",IF(G29&gt;=$L$7,"Cadangan","Tidak Lulus"))</f>
        <v>Diterima</v>
      </c>
    </row>
    <row r="30" customFormat="false" ht="15" hidden="false" customHeight="false" outlineLevel="0" collapsed="false">
      <c r="A30" s="17" t="s">
        <v>144</v>
      </c>
      <c r="B30" s="17" t="s">
        <v>145</v>
      </c>
      <c r="C30" s="17" t="s">
        <v>85</v>
      </c>
      <c r="D30" s="18" t="n">
        <v>72</v>
      </c>
      <c r="E30" s="18" t="n">
        <v>59</v>
      </c>
      <c r="F30" s="18" t="n">
        <v>59</v>
      </c>
      <c r="G30" s="19" t="n">
        <f aca="false">ROUND(D30*$L$2+E30*$L$3+F30*$L$4,1)</f>
        <v>62.9</v>
      </c>
      <c r="H30" s="20" t="n">
        <f aca="false">RANK(G30,$G$2:$G$31,0)</f>
        <v>28</v>
      </c>
      <c r="I30" s="21" t="str">
        <f aca="false">IF(AND(G30&gt;=$L$5,F30&gt;=$L$6),"Diterima",IF(G30&gt;=$L$7,"Cadangan","Tidak Lulus"))</f>
        <v>Tidak Lulus</v>
      </c>
    </row>
    <row r="31" customFormat="false" ht="15" hidden="false" customHeight="false" outlineLevel="0" collapsed="false">
      <c r="A31" s="17" t="s">
        <v>146</v>
      </c>
      <c r="B31" s="17" t="s">
        <v>147</v>
      </c>
      <c r="C31" s="17" t="s">
        <v>85</v>
      </c>
      <c r="D31" s="18" t="n">
        <v>67</v>
      </c>
      <c r="E31" s="18" t="n">
        <v>71</v>
      </c>
      <c r="F31" s="18" t="n">
        <v>65</v>
      </c>
      <c r="G31" s="19" t="n">
        <f aca="false">ROUND(D31*$L$2+E31*$L$3+F31*$L$4,1)</f>
        <v>67.4</v>
      </c>
      <c r="H31" s="20" t="n">
        <f aca="false">RANK(G31,$G$2:$G$31,0)</f>
        <v>24</v>
      </c>
      <c r="I31" s="21" t="str">
        <f aca="false">IF(AND(G31&gt;=$L$5,F31&gt;=$L$6),"Diterima",IF(G31&gt;=$L$7,"Cadangan","Tidak Lulus"))</f>
        <v>Tidak Lulus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3.75" hidden="false" customHeight="true" outlineLevel="0" collapsed="false">
      <c r="A1" s="11" t="s">
        <v>65</v>
      </c>
      <c r="B1" s="15" t="s">
        <v>148</v>
      </c>
      <c r="C1" s="15" t="s">
        <v>149</v>
      </c>
      <c r="D1" s="15" t="s">
        <v>150</v>
      </c>
    </row>
    <row r="2" customFormat="false" ht="15" hidden="false" customHeight="false" outlineLevel="0" collapsed="false">
      <c r="A2" s="17" t="s">
        <v>81</v>
      </c>
      <c r="B2" s="20" t="n">
        <f aca="false">COUNTIF(Data!$C$2:$C$31,A2)</f>
        <v>4</v>
      </c>
      <c r="C2" s="19" t="n">
        <f aca="false">AVERAGEIF(Data!$C$2:$C$31,A2,Data!$G$2:$G$31)</f>
        <v>69.05</v>
      </c>
      <c r="D2" s="20" t="n">
        <f aca="false">COUNTIFS(Data!$C$2:$C$31,A2,Data!$I$2:$I$31,"Diterima")</f>
        <v>0</v>
      </c>
    </row>
    <row r="3" customFormat="false" ht="15" hidden="false" customHeight="false" outlineLevel="0" collapsed="false">
      <c r="A3" s="17" t="s">
        <v>85</v>
      </c>
      <c r="B3" s="20" t="n">
        <f aca="false">COUNTIF(Data!$C$2:$C$31,A3)</f>
        <v>11</v>
      </c>
      <c r="C3" s="19" t="n">
        <f aca="false">AVERAGEIF(Data!$C$2:$C$31,A3,Data!$G$2:$G$31)</f>
        <v>75.4363636363636</v>
      </c>
      <c r="D3" s="20" t="n">
        <f aca="false">COUNTIFS(Data!$C$2:$C$31,A3,Data!$I$2:$I$31,"Diterima")</f>
        <v>4</v>
      </c>
    </row>
    <row r="4" customFormat="false" ht="15" hidden="false" customHeight="false" outlineLevel="0" collapsed="false">
      <c r="A4" s="17" t="s">
        <v>97</v>
      </c>
      <c r="B4" s="20" t="n">
        <f aca="false">COUNTIF(Data!$C$2:$C$31,A4)</f>
        <v>10</v>
      </c>
      <c r="C4" s="19" t="n">
        <f aca="false">AVERAGEIF(Data!$C$2:$C$31,A4,Data!$G$2:$G$31)</f>
        <v>75.85</v>
      </c>
      <c r="D4" s="20" t="n">
        <f aca="false">COUNTIFS(Data!$C$2:$C$31,A4,Data!$I$2:$I$31,"Diterima")</f>
        <v>3</v>
      </c>
    </row>
    <row r="5" customFormat="false" ht="15" hidden="false" customHeight="false" outlineLevel="0" collapsed="false">
      <c r="A5" s="17" t="s">
        <v>77</v>
      </c>
      <c r="B5" s="20" t="n">
        <f aca="false">COUNTIF(Data!$C$2:$C$31,A5)</f>
        <v>5</v>
      </c>
      <c r="C5" s="19" t="n">
        <f aca="false">AVERAGEIF(Data!$C$2:$C$31,A5,Data!$G$2:$G$31)</f>
        <v>79.4</v>
      </c>
      <c r="D5" s="20" t="n">
        <f aca="false">COUNTIFS(Data!$C$2:$C$31,A5,Data!$I$2:$I$31,"Diterima")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151</v>
      </c>
      <c r="B1" s="25"/>
      <c r="C1" s="25"/>
      <c r="D1" s="25"/>
    </row>
    <row r="2" customFormat="false" ht="15" hidden="false" customHeight="false" outlineLevel="0" collapsed="false">
      <c r="A2" s="26" t="s">
        <v>152</v>
      </c>
      <c r="B2" s="26"/>
      <c r="C2" s="26"/>
      <c r="D2" s="26"/>
    </row>
    <row r="3" customFormat="false" ht="15" hidden="false" customHeight="false" outlineLevel="0" collapsed="false">
      <c r="A3" s="11" t="s">
        <v>19</v>
      </c>
      <c r="B3" s="11" t="s">
        <v>153</v>
      </c>
      <c r="C3" s="11" t="s">
        <v>154</v>
      </c>
      <c r="D3" s="11" t="s">
        <v>155</v>
      </c>
    </row>
    <row r="4" customFormat="false" ht="15" hidden="false" customHeight="false" outlineLevel="0" collapsed="false">
      <c r="A4" s="27" t="s">
        <v>156</v>
      </c>
      <c r="B4" s="28" t="s">
        <v>157</v>
      </c>
      <c r="C4" s="20" t="n">
        <f aca="false">COUNTIF(Data!$I$2:$I$31,"Diterima")</f>
        <v>10</v>
      </c>
      <c r="D4" s="29" t="s">
        <v>158</v>
      </c>
    </row>
    <row r="5" customFormat="false" ht="15" hidden="false" customHeight="false" outlineLevel="0" collapsed="false">
      <c r="A5" s="27" t="s">
        <v>159</v>
      </c>
      <c r="B5" s="28" t="s">
        <v>160</v>
      </c>
      <c r="C5" s="20" t="n">
        <f aca="false">COUNTIF(Data!$I$2:$I$31,"Cadangan")</f>
        <v>9</v>
      </c>
      <c r="D5" s="29" t="s">
        <v>161</v>
      </c>
    </row>
    <row r="6" customFormat="false" ht="15" hidden="false" customHeight="false" outlineLevel="0" collapsed="false">
      <c r="A6" s="27" t="s">
        <v>162</v>
      </c>
      <c r="B6" s="28" t="s">
        <v>163</v>
      </c>
      <c r="C6" s="20" t="n">
        <f aca="false">COUNTIF(Data!$I$2:$I$31,"Tidak Lulus")</f>
        <v>11</v>
      </c>
      <c r="D6" s="29" t="s">
        <v>164</v>
      </c>
    </row>
    <row r="7" customFormat="false" ht="15" hidden="false" customHeight="false" outlineLevel="0" collapsed="false">
      <c r="A7" s="27" t="s">
        <v>165</v>
      </c>
      <c r="B7" s="28" t="s">
        <v>166</v>
      </c>
      <c r="C7" s="21" t="str">
        <f aca="false">INDEX(Data!$B$2:$B$31,MATCH(MAX(Data!$G$2:$G$31),Data!$G$2:$G$31,0))</f>
        <v>Ahmad Anggraini</v>
      </c>
      <c r="D7" s="29" t="s">
        <v>167</v>
      </c>
    </row>
    <row r="8" customFormat="false" ht="15" hidden="false" customHeight="false" outlineLevel="0" collapsed="false">
      <c r="A8" s="27" t="s">
        <v>168</v>
      </c>
      <c r="B8" s="28" t="s">
        <v>169</v>
      </c>
      <c r="C8" s="19" t="n">
        <f aca="false">LARGE(Data!$G$2:$G$31,3)</f>
        <v>89.4</v>
      </c>
      <c r="D8" s="29" t="s">
        <v>170</v>
      </c>
    </row>
    <row r="9" customFormat="false" ht="15" hidden="false" customHeight="false" outlineLevel="0" collapsed="false">
      <c r="A9" s="27" t="s">
        <v>171</v>
      </c>
      <c r="B9" s="28" t="s">
        <v>172</v>
      </c>
      <c r="C9" s="21" t="str">
        <f aca="false">INDEX(Acuan!$A$2:$A$5,MATCH(MAX(Acuan!$C$2:$C$5),Acuan!$C$2:$C$5,0))</f>
        <v>Customer Service</v>
      </c>
      <c r="D9" s="29" t="s">
        <v>173</v>
      </c>
    </row>
    <row r="10" customFormat="false" ht="15" hidden="false" customHeight="false" outlineLevel="0" collapsed="false">
      <c r="A10" s="27" t="s">
        <v>174</v>
      </c>
      <c r="B10" s="28" t="s">
        <v>175</v>
      </c>
      <c r="C10" s="19" t="n">
        <f aca="false">AVERAGE(Data!$F$2:$F$31)</f>
        <v>76.0333333333333</v>
      </c>
      <c r="D10" s="29" t="s">
        <v>176</v>
      </c>
    </row>
    <row r="11" customFormat="false" ht="15" hidden="false" customHeight="false" outlineLevel="0" collapsed="false">
      <c r="A11" s="27" t="s">
        <v>177</v>
      </c>
      <c r="B11" s="28" t="s">
        <v>178</v>
      </c>
      <c r="C11" s="20" t="n">
        <f aca="false">SUMPRODUCT((Data!$D$2:$D$31&gt;=75)*(Data!$E$2:$E$31&gt;=75)*(Data!$F$2:$F$31&gt;=75))</f>
        <v>10</v>
      </c>
      <c r="D11" s="29" t="s">
        <v>179</v>
      </c>
    </row>
    <row r="12" customFormat="false" ht="15" hidden="false" customHeight="false" outlineLevel="0" collapsed="false">
      <c r="A12" s="27" t="s">
        <v>180</v>
      </c>
      <c r="B12" s="28" t="s">
        <v>181</v>
      </c>
      <c r="C12" s="20" t="n">
        <f aca="false">COUNTIFS(Data!$C$2:$C$31,"Kasir",Data!$I$2:$I$31,"Diterima")</f>
        <v>4</v>
      </c>
      <c r="D12" s="29" t="s">
        <v>182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2026-10-14T23:33:49Z</dcterms:created>
  <dc:creator>PushExcel</dc:creator>
  <dc:description/>
  <dc:language>en-US</dc:language>
  <cp:lastModifiedBy/>
  <dcterms:modified xsi:type="dcterms:W3CDTF">2026-10-14T23:33:49Z</dcterms:modified>
  <cp:revision>0</cp:revision>
  <dc:subject/>
  <dc:title>Seleksi Penerimaan Karyawan Baru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