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<sst xmlns="http://schemas.openxmlformats.org/spreadsheetml/2006/main" count="192" uniqueCount="158">
  <si>
    <t xml:space="preserve">Kunci Jawaban: Membandingkan Tiga Tawaran Pinjaman Usaha</t>
  </si>
  <si>
    <t xml:space="preserve">Latihan 101 dari 40  |  Tingkat: Lanjutan  |  Perkiraan waktu: 65 menit  |  pushexcel.github.io/Pushexcel</t>
  </si>
  <si>
    <t xml:space="preserve">Skenario</t>
  </si>
  <si>
    <t xml:space="preserve">Kamu pemilik usaha yang sedang memilih pinjaman modal dari tiga penyedia: Bank Nusa Karya, Koperasi Maju Bersama, dan BPR Sinar Harapan. Untuk tiap skenario plafon dan tenor, data memuat bunga per tahun dan biaya admin (persen dari plafon) dari ketiga penyedia. Cicilan per bulan memakai PMT dengan bunga per bulan (bunga tahunan dibagi 12), dibulatkan ke rupiah. Total bayar adalah cicilan dikali tenor ditambah biaya admin, sedangkan total bunga adalah cicilan dikali tenor dikurangi plafon. Peringkat 1 adalah total bayar terendah pada plafon yang sama. Rekomendasi: Terbaik untuk peringkat 1, Layak Dipertimbangkan bila selisih terhadap termurah tidak lebih dari 2 persen plafon, selain itu Mahal.</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</si>
  <si>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</si>
  <si>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</si>
  <si>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</si>
  <si>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</si>
  <si>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</si>
  <si>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</si>
  <si>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</si>
  <si>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</si>
  <si>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</si>
  <si>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</si>
  <si>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</si>
  <si>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</si>
  <si>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</si>
  <si>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</si>
  <si>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</si>
  <si>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</si>
  <si>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</si>
  <si>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</si>
  <si>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</si>
  <si>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</si>
  <si>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biaya admin dalam rupiah: plafon dikali persen admin, dibulatkan ke rupiah.</t>
  </si>
  <si>
    <t xml:space="preserve">Sheet Data, kolom F (Biaya Admin), baris 2 sampai 31</t>
  </si>
  <si>
    <t xml:space="preserve">=ROUND(A2*E2;0)</t>
  </si>
  <si>
    <t xml:space="preserve">2</t>
  </si>
  <si>
    <t xml:space="preserve">Hitung cicilan per bulan dengan PMT (bunga per bulan = bunga tahunan / 12). Hasil PMT negatif, jadi beri tanda minus di depannya, lalu bulatkan ke rupiah.</t>
  </si>
  <si>
    <t xml:space="preserve">Sheet Data, kolom G (Cicilan per Bulan), baris 2 sampai 31</t>
  </si>
  <si>
    <t xml:space="preserve">=ROUND(-PMT(D2/12;B2;A2);0)</t>
  </si>
  <si>
    <t xml:space="preserve">3</t>
  </si>
  <si>
    <t xml:space="preserve">Hitung total bayar: cicilan per bulan dikali tenor, ditambah biaya admin.</t>
  </si>
  <si>
    <t xml:space="preserve">Sheet Data, kolom H (Total Bayar), baris 2 sampai 31</t>
  </si>
  <si>
    <t xml:space="preserve">=G2*B2+F2</t>
  </si>
  <si>
    <t xml:space="preserve">4</t>
  </si>
  <si>
    <t xml:space="preserve">Hitung total bunga: cicilan per bulan dikali tenor, dikurangi plafon.</t>
  </si>
  <si>
    <t xml:space="preserve">Sheet Data, kolom I (Total Bunga), baris 2 sampai 31</t>
  </si>
  <si>
    <t xml:space="preserve">=G2*B2-A2</t>
  </si>
  <si>
    <t xml:space="preserve">5</t>
  </si>
  <si>
    <t xml:space="preserve">Hitung peringkat biaya tiap tawaran pada plafon yang sama (1 = total bayar terendah): banyaknya tawaran berplafon sama dengan total bayar lebih kecil, ditambah 1.</t>
  </si>
  <si>
    <t xml:space="preserve">Sheet Data, kolom J (Peringkat Biaya), baris 2 sampai 31</t>
  </si>
  <si>
    <t xml:space="preserve">=COUNTIFS($A$2:$A$31;A2;$H$2:$H$31;"&lt;"&amp;H2)+1</t>
  </si>
  <si>
    <t xml:space="preserve">6</t>
  </si>
  <si>
    <t xml:space="preserve">Hitung selisih total bayar tawaran ini terhadap tawaran termurah pada plafon yang sama (peringkat 1). Tawaran termurah selisihnya 0.</t>
  </si>
  <si>
    <t xml:space="preserve">Sheet Data, kolom K (Selisih Termurah), baris 2 sampai 31</t>
  </si>
  <si>
    <t xml:space="preserve">=H2-SUMIFS($H$2:$H$31;$A$2:$A$31;A2;$J$2:$J$31;1)</t>
  </si>
  <si>
    <t xml:space="preserve">7</t>
  </si>
  <si>
    <t xml:space="preserve">Beri rekomendasi: Terbaik untuk peringkat 1, Layak Dipertimbangkan bila selisih tidak lebih dari plafon dikali toleransi, selain itu Mahal.</t>
  </si>
  <si>
    <t xml:space="preserve">Sheet Data, kolom L (Rekomendasi), baris 2 sampai 31</t>
  </si>
  <si>
    <t xml:space="preserve">=IF(J2=1;"Terbaik";IF(K2&lt;=A2*$O$2;"Layak Dipertimbangkan";"Mahal"))</t>
  </si>
  <si>
    <t xml:space="preserve">8</t>
  </si>
  <si>
    <t xml:space="preserve">Pada sheet Acuan, hitung berapa skenario yang tawaran tiap penyedia berstatus Terbaik.</t>
  </si>
  <si>
    <t xml:space="preserve">Sheet Acuan, kolom B (Jumlah Terbaik), baris 2 sampai 4</t>
  </si>
  <si>
    <t xml:space="preserve">=COUNTIFS(Data!$C$2:$C$31;A2;Data!$L$2:$L$31;"Terbaik")</t>
  </si>
  <si>
    <t xml:space="preserve">9</t>
  </si>
  <si>
    <t xml:space="preserve">Pada sheet Acuan, hitung jumlah total bunga dari seluruh tawaran tiap penyedia.</t>
  </si>
  <si>
    <t xml:space="preserve">Sheet Acuan, kolom C (Total Bunga Penyedia), baris 2 sampai 4</t>
  </si>
  <si>
    <t xml:space="preserve">=SUMIF(Data!$C$2:$C$31;A2;Data!$I$2:$I$31)</t>
  </si>
  <si>
    <t xml:space="preserve">10</t>
  </si>
  <si>
    <t xml:space="preserve">Pada sheet Acuan, hitung jumlah selisih terhadap termurah dari seluruh tawaran tiap penyedia.</t>
  </si>
  <si>
    <t xml:space="preserve">Sheet Acuan, kolom D (Total Selisih Termurah), baris 2 sampai 4</t>
  </si>
  <si>
    <t xml:space="preserve">=SUMIF(Data!$C$2:$C$31;A2;Data!$K$2:$K$31)</t>
  </si>
  <si>
    <t xml:space="preserve">11</t>
  </si>
  <si>
    <t xml:space="preserve">Berapa cicilan per bulan dan total bayar tawaran Bank Nusa Karya untuk plafon Rp 100.000.000?</t>
  </si>
  <si>
    <t xml:space="preserve">Sheet Ringkasan, sel C4 sampai C5</t>
  </si>
  <si>
    <t xml:space="preserve">=SUMIFS(Data!$G$2:$G$31;Data!$A$2:$A$31;100000000;Data!$C$2:$C$31;"Bank Nusa Karya")
=SUMIFS(Data!$H$2:$H$31;Data!$A$2:$A$31;100000000;Data!$C$2:$C$31;"Bank Nusa Karya")</t>
  </si>
  <si>
    <t xml:space="preserve">12</t>
  </si>
  <si>
    <t xml:space="preserve">Pada plafon Rp 200.000.000, berapa total bayar termurah dan penyedia mana yang menawarkannya?</t>
  </si>
  <si>
    <t xml:space="preserve">Sheet Ringkasan, sel C6 sampai C7</t>
  </si>
  <si>
    <t xml:space="preserve">=SUMIFS(Data!$H$2:$H$31;Data!$A$2:$A$31;200000000;Data!$J$2:$J$31;1)
=INDEX(Data!$C$2:$C$31;SUMPRODUCT((Data!$A$2:$A$31=200000000)*(Data!$J$2:$J$31=1)*(ROW(Data!$A$2:$A$31)-1)))</t>
  </si>
  <si>
    <t xml:space="preserve">13</t>
  </si>
  <si>
    <t xml:space="preserve">Penyedia mana yang paling sering menawarkan harga Terbaik, dan berapa kali?</t>
  </si>
  <si>
    <t xml:space="preserve">Sheet Ringkasan, sel C8 sampai C9</t>
  </si>
  <si>
    <t xml:space="preserve">=INDEX(Acuan!$A$2:$A$4;MATCH(MAX(Acuan!$B$2:$B$4);Acuan!$B$2:$B$4;0))
=MAX(Acuan!$B$2:$B$4)</t>
  </si>
  <si>
    <t xml:space="preserve">14</t>
  </si>
  <si>
    <t xml:space="preserve">Berapa tawaran berstatus Terbaik, Layak Dipertimbangkan, dan Mahal?</t>
  </si>
  <si>
    <t xml:space="preserve">Sheet Ringkasan, sel C10 sampai C12</t>
  </si>
  <si>
    <t xml:space="preserve">=COUNTIF(Data!$L$2:$L$31;"Terbaik")
=COUNTIF(Data!$L$2:$L$31;"Layak Dipertimbangkan")
=COUNTIF(Data!$L$2:$L$31;"Mahal")</t>
  </si>
  <si>
    <t xml:space="preserve">15</t>
  </si>
  <si>
    <t xml:space="preserve">Berapa total yang dihemat bila pada setiap skenario selalu memilih tawaran Terbaik dibanding selalu memilih Koperasi Maju Bersama?</t>
  </si>
  <si>
    <t xml:space="preserve">Sheet Ringkasan, sel C13 sampai C15</t>
  </si>
  <si>
    <t xml:space="preserve">=SUMIF(Data!$C$2:$C$31;"Koperasi Maju Bersama";Data!$H$2:$H$31)
=SUMIF(Data!$L$2:$L$31;"Terbaik";Data!$H$2:$H$31)
=C13-C14</t>
  </si>
  <si>
    <t xml:space="preserve">16</t>
  </si>
  <si>
    <t xml:space="preserve">Berapa selisih terhadap termurah yang terbesar, pada plafon berapa, dan dari penyedia mana?</t>
  </si>
  <si>
    <t xml:space="preserve">Sheet Ringkasan, sel C16 sampai C18</t>
  </si>
  <si>
    <t xml:space="preserve">=MAX(Data!$K$2:$K$31)
=INDEX(Data!$A$2:$A$31;MATCH(C16;Data!$K$2:$K$31;0))
=INDEX(Data!$C$2:$C$31;MATCH(C16;Data!$K$2:$K$31;0))</t>
  </si>
  <si>
    <t xml:space="preserve">Plafon</t>
  </si>
  <si>
    <t xml:space="preserve">Tenor (Bulan)</t>
  </si>
  <si>
    <t xml:space="preserve">Penyedia</t>
  </si>
  <si>
    <t xml:space="preserve">Bunga per Tahun</t>
  </si>
  <si>
    <t xml:space="preserve">Admin (%)</t>
  </si>
  <si>
    <t xml:space="preserve">Biaya Admin</t>
  </si>
  <si>
    <t xml:space="preserve">Cicilan per Bulan</t>
  </si>
  <si>
    <t xml:space="preserve">Total Bayar</t>
  </si>
  <si>
    <t xml:space="preserve">Total Bunga</t>
  </si>
  <si>
    <t xml:space="preserve">Peringkat Biaya</t>
  </si>
  <si>
    <t xml:space="preserve">Selisih Termurah</t>
  </si>
  <si>
    <t xml:space="preserve">Rekomendasi</t>
  </si>
  <si>
    <t xml:space="preserve">Parameter</t>
  </si>
  <si>
    <t xml:space="preserve">Nilai</t>
  </si>
  <si>
    <t xml:space="preserve">Keterangan</t>
  </si>
  <si>
    <t xml:space="preserve">Bank Nusa Karya</t>
  </si>
  <si>
    <t xml:space="preserve">Toleransi selisih</t>
  </si>
  <si>
    <t xml:space="preserve">Persen dari plafon untuk status Layak Dipertimbangkan</t>
  </si>
  <si>
    <t xml:space="preserve">Koperasi Maju Bersama</t>
  </si>
  <si>
    <t xml:space="preserve">BPR Sinar Harapan</t>
  </si>
  <si>
    <t xml:space="preserve">Jumlah Terbaik</t>
  </si>
  <si>
    <t xml:space="preserve">Total Bunga Penyedia</t>
  </si>
  <si>
    <t xml:space="preserve">Total Selisih Termurah</t>
  </si>
  <si>
    <t xml:space="preserve">Ringkasan: lembar jawaban soal berjenis ringkasan</t>
  </si>
  <si>
    <t xml:space="preserve">Sel hijau berisi rumus kunci.</t>
  </si>
  <si>
    <t xml:space="preserve">Pertanyaan</t>
  </si>
  <si>
    <t xml:space="preserve">Jawaban</t>
  </si>
  <si>
    <t xml:space="preserve">Contoh format hasil</t>
  </si>
  <si>
    <t xml:space="preserve">11a</t>
  </si>
  <si>
    <t xml:space="preserve">Cicilan Bank Nusa Karya plafon 100 juta</t>
  </si>
  <si>
    <t xml:space="preserve">Rupiah, mis. Rp 3.000.000</t>
  </si>
  <si>
    <t xml:space="preserve">11b</t>
  </si>
  <si>
    <t xml:space="preserve">Total bayar Bank Nusa Karya plafon 100 juta</t>
  </si>
  <si>
    <t xml:space="preserve">Rupiah, mis. Rp 110.000.000</t>
  </si>
  <si>
    <t xml:space="preserve">12a</t>
  </si>
  <si>
    <t xml:space="preserve">Total bayar termurah plafon 200 juta</t>
  </si>
  <si>
    <t xml:space="preserve">Rupiah, mis. Rp 230.000.000</t>
  </si>
  <si>
    <t xml:space="preserve">12b</t>
  </si>
  <si>
    <t xml:space="preserve">Penyedia termurah plafon 200 juta</t>
  </si>
  <si>
    <t xml:space="preserve">Teks: nama penyedia</t>
  </si>
  <si>
    <t xml:space="preserve">13a</t>
  </si>
  <si>
    <t xml:space="preserve">Penyedia paling sering Terbaik</t>
  </si>
  <si>
    <t xml:space="preserve">13b</t>
  </si>
  <si>
    <t xml:space="preserve">Jumlah skenario Terbaik penyedia itu</t>
  </si>
  <si>
    <t xml:space="preserve">Angka bulat, mis. 5</t>
  </si>
  <si>
    <t xml:space="preserve">14a</t>
  </si>
  <si>
    <t xml:space="preserve">Tawaran Terbaik</t>
  </si>
  <si>
    <t xml:space="preserve">Angka bulat, mis. 8</t>
  </si>
  <si>
    <t xml:space="preserve">14b</t>
  </si>
  <si>
    <t xml:space="preserve">Tawaran Layak Dipertimbangkan</t>
  </si>
  <si>
    <t xml:space="preserve">Angka bulat, mis. 11</t>
  </si>
  <si>
    <t xml:space="preserve">14c</t>
  </si>
  <si>
    <t xml:space="preserve">Tawaran Mahal</t>
  </si>
  <si>
    <t xml:space="preserve">Angka bulat, mis. 9</t>
  </si>
  <si>
    <t xml:space="preserve">15a</t>
  </si>
  <si>
    <t xml:space="preserve">Total bayar bila selalu Koperasi Maju Bersama</t>
  </si>
  <si>
    <t xml:space="preserve">Rupiah, mis. Rp 1.500.000.000</t>
  </si>
  <si>
    <t xml:space="preserve">15b</t>
  </si>
  <si>
    <t xml:space="preserve">Total bayar bila selalu Terbaik</t>
  </si>
  <si>
    <t xml:space="preserve">Rupiah, mis. Rp 1.400.000.000</t>
  </si>
  <si>
    <t xml:space="preserve">15c</t>
  </si>
  <si>
    <t xml:space="preserve">Total penghematan</t>
  </si>
  <si>
    <t xml:space="preserve">Rupiah, mis. Rp 100.000.000</t>
  </si>
  <si>
    <t xml:space="preserve">16a</t>
  </si>
  <si>
    <t xml:space="preserve">Selisih terbesar</t>
  </si>
  <si>
    <t xml:space="preserve">Rupiah, mis. Rp 9.000.000</t>
  </si>
  <si>
    <t xml:space="preserve">16b</t>
  </si>
  <si>
    <t xml:space="preserve">Plafon pada selisih terbesar</t>
  </si>
  <si>
    <t xml:space="preserve">Rupiah, mis. Rp 150.000.000</t>
  </si>
  <si>
    <t xml:space="preserve">16c</t>
  </si>
  <si>
    <t xml:space="preserve">Penyedia pada selisih terbesar</t>
  </si>
</sst>
</file>

<file path=xl/styles.xml><?xml version="1.0" encoding="utf-8"?>
<styleSheet xmlns="http://schemas.openxmlformats.org/spreadsheetml/2006/main">
  <numFmts count="5">
    <numFmt numFmtId="164" formatCode="General"/>
    <numFmt numFmtId="165" formatCode="&quot;Rp &quot;#,##0"/>
    <numFmt numFmtId="166" formatCode="0"/>
    <numFmt numFmtId="167" formatCode="0.0%"/>
    <numFmt numFmtId="168"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81"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42"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42" hidden="false" customHeight="true" outlineLevel="0" collapsed="false">
      <c r="A25" s="12" t="s">
        <v>39</v>
      </c>
      <c r="B25" s="13" t="s">
        <v>40</v>
      </c>
      <c r="C25" s="13" t="s">
        <v>41</v>
      </c>
      <c r="D25" s="14" t="s">
        <v>42</v>
      </c>
    </row>
    <row r="26" customFormat="false" ht="42" hidden="false" customHeight="true" outlineLevel="0" collapsed="false">
      <c r="A26" s="12" t="s">
        <v>43</v>
      </c>
      <c r="B26" s="13" t="s">
        <v>44</v>
      </c>
      <c r="C26" s="13" t="s">
        <v>45</v>
      </c>
      <c r="D26" s="14" t="s">
        <v>46</v>
      </c>
    </row>
    <row r="27" customFormat="false" ht="42"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30" hidden="false" customHeight="true" outlineLevel="0" collapsed="false">
      <c r="A29" s="12" t="s">
        <v>55</v>
      </c>
      <c r="B29" s="13" t="s">
        <v>56</v>
      </c>
      <c r="C29" s="13" t="s">
        <v>57</v>
      </c>
      <c r="D29" s="14" t="s">
        <v>58</v>
      </c>
    </row>
    <row r="30" customFormat="false" ht="30" hidden="false" customHeight="true" outlineLevel="0" collapsed="false">
      <c r="A30" s="12" t="s">
        <v>59</v>
      </c>
      <c r="B30" s="13" t="s">
        <v>60</v>
      </c>
      <c r="C30" s="13" t="s">
        <v>61</v>
      </c>
      <c r="D30" s="14" t="s">
        <v>62</v>
      </c>
    </row>
    <row r="31" customFormat="false" ht="55.5" hidden="false" customHeight="true" outlineLevel="0" collapsed="false">
      <c r="A31" s="12" t="s">
        <v>63</v>
      </c>
      <c r="B31" s="13" t="s">
        <v>64</v>
      </c>
      <c r="C31" s="13" t="s">
        <v>65</v>
      </c>
      <c r="D31" s="14" t="s">
        <v>66</v>
      </c>
    </row>
    <row r="32" customFormat="false" ht="55.5" hidden="false" customHeight="true" outlineLevel="0" collapsed="false">
      <c r="A32" s="12" t="s">
        <v>67</v>
      </c>
      <c r="B32" s="13" t="s">
        <v>68</v>
      </c>
      <c r="C32" s="13" t="s">
        <v>69</v>
      </c>
      <c r="D32" s="14" t="s">
        <v>70</v>
      </c>
    </row>
    <row r="33" customFormat="false" ht="43.5" hidden="false" customHeight="true" outlineLevel="0" collapsed="false">
      <c r="A33" s="12" t="s">
        <v>71</v>
      </c>
      <c r="B33" s="13" t="s">
        <v>72</v>
      </c>
      <c r="C33" s="13" t="s">
        <v>73</v>
      </c>
      <c r="D33" s="14" t="s">
        <v>74</v>
      </c>
    </row>
    <row r="34" customFormat="false" ht="57.75" hidden="false" customHeight="true" outlineLevel="0" collapsed="false">
      <c r="A34" s="12" t="s">
        <v>75</v>
      </c>
      <c r="B34" s="13" t="s">
        <v>76</v>
      </c>
      <c r="C34" s="13" t="s">
        <v>77</v>
      </c>
      <c r="D34" s="14" t="s">
        <v>78</v>
      </c>
    </row>
    <row r="35" customFormat="false" ht="69.75" hidden="false" customHeight="true" outlineLevel="0" collapsed="false">
      <c r="A35" s="12" t="s">
        <v>79</v>
      </c>
      <c r="B35" s="13" t="s">
        <v>80</v>
      </c>
      <c r="C35" s="13" t="s">
        <v>81</v>
      </c>
      <c r="D35" s="14" t="s">
        <v>82</v>
      </c>
    </row>
    <row r="36" customFormat="false" ht="57.75" hidden="false" customHeight="true" outlineLevel="0" collapsed="false">
      <c r="A36" s="12" t="s">
        <v>83</v>
      </c>
      <c r="B36" s="13" t="s">
        <v>84</v>
      </c>
      <c r="C36" s="13" t="s">
        <v>85</v>
      </c>
      <c r="D36" s="14" t="s">
        <v>86</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0"/>
    <col collapsed="false" customWidth="true" hidden="false" outlineLevel="0" max="3" min="3" style="0" width="22"/>
    <col collapsed="false" customWidth="true" hidden="false" outlineLevel="0" max="4" min="4" style="0" width="11"/>
    <col collapsed="false" customWidth="true" hidden="false" outlineLevel="0" max="5" min="5" style="0" width="10"/>
    <col collapsed="false" customWidth="true" hidden="false" outlineLevel="0" max="6" min="6" style="0" width="13"/>
    <col collapsed="false" customWidth="true" hidden="false" outlineLevel="0" max="7" min="7" style="0" width="15"/>
    <col collapsed="false" customWidth="true" hidden="false" outlineLevel="0" max="8" min="8" style="0" width="17"/>
    <col collapsed="false" customWidth="true" hidden="false" outlineLevel="0" max="9" min="9" style="0" width="16"/>
    <col collapsed="false" customWidth="true" hidden="false" outlineLevel="0" max="10" min="10" style="0" width="11"/>
    <col collapsed="false" customWidth="true" hidden="false" outlineLevel="0" max="11" min="11" style="0" width="15"/>
    <col collapsed="false" customWidth="true" hidden="false" outlineLevel="0" max="12" min="12" style="0" width="21"/>
    <col collapsed="false" customWidth="true" hidden="false" outlineLevel="0" max="13" min="13" style="0" width="3"/>
    <col collapsed="false" customWidth="true" hidden="false" outlineLevel="0" max="14" min="14" style="0" width="30"/>
    <col collapsed="false" customWidth="true" hidden="false" outlineLevel="0" max="15" min="15" style="0" width="16"/>
    <col collapsed="false" customWidth="true" hidden="false" outlineLevel="0" max="16" min="16" style="0" width="42"/>
  </cols>
  <sheetData>
    <row r="1" customFormat="false" ht="33.75" hidden="false" customHeight="true" outlineLevel="0" collapsed="false">
      <c r="A1" s="11" t="s">
        <v>87</v>
      </c>
      <c r="B1" s="11" t="s">
        <v>88</v>
      </c>
      <c r="C1" s="11" t="s">
        <v>89</v>
      </c>
      <c r="D1" s="11" t="s">
        <v>90</v>
      </c>
      <c r="E1" s="11" t="s">
        <v>91</v>
      </c>
      <c r="F1" s="15" t="s">
        <v>92</v>
      </c>
      <c r="G1" s="15" t="s">
        <v>93</v>
      </c>
      <c r="H1" s="15" t="s">
        <v>94</v>
      </c>
      <c r="I1" s="15" t="s">
        <v>95</v>
      </c>
      <c r="J1" s="15" t="s">
        <v>96</v>
      </c>
      <c r="K1" s="15" t="s">
        <v>97</v>
      </c>
      <c r="L1" s="15" t="s">
        <v>98</v>
      </c>
      <c r="N1" s="16" t="s">
        <v>99</v>
      </c>
      <c r="O1" s="16" t="s">
        <v>100</v>
      </c>
      <c r="P1" s="16" t="s">
        <v>101</v>
      </c>
    </row>
    <row r="2" customFormat="false" ht="15" hidden="false" customHeight="false" outlineLevel="0" collapsed="false">
      <c r="A2" s="17" t="n">
        <v>25000000</v>
      </c>
      <c r="B2" s="18" t="n">
        <v>12</v>
      </c>
      <c r="C2" s="19" t="s">
        <v>102</v>
      </c>
      <c r="D2" s="20" t="n">
        <v>0.1</v>
      </c>
      <c r="E2" s="20" t="n">
        <v>0.02</v>
      </c>
      <c r="F2" s="21" t="n">
        <f aca="false">ROUND(A2*E2,0)</f>
        <v>500000</v>
      </c>
      <c r="G2" s="21" t="n">
        <f aca="false">ROUND(-PMT(D2/12,B2,A2),0)</f>
        <v>2197897</v>
      </c>
      <c r="H2" s="21" t="n">
        <f aca="false">G2*B2+F2</f>
        <v>26874764</v>
      </c>
      <c r="I2" s="21" t="n">
        <f aca="false">G2*B2-A2</f>
        <v>1374764</v>
      </c>
      <c r="J2" s="22" t="n">
        <f aca="false">COUNTIFS($A$2:$A$31,A2,$H$2:$H$31,"&lt;"&amp;H2)+1</f>
        <v>3</v>
      </c>
      <c r="K2" s="21" t="n">
        <f aca="false">H2-SUMIFS($H$2:$H$31,$A$2:$A$31,A2,$J$2:$J$31,1)</f>
        <v>95124</v>
      </c>
      <c r="L2" s="23" t="str">
        <f aca="false">IF(J2=1,"Terbaik",IF(K2&lt;=A2*$O$2,"Layak Dipertimbangkan","Mahal"))</f>
        <v>Layak Dipertimbangkan</v>
      </c>
      <c r="N2" s="24" t="s">
        <v>103</v>
      </c>
      <c r="O2" s="25" t="n">
        <v>0.02</v>
      </c>
      <c r="P2" s="24" t="s">
        <v>104</v>
      </c>
    </row>
    <row r="3" customFormat="false" ht="15" hidden="false" customHeight="false" outlineLevel="0" collapsed="false">
      <c r="A3" s="17" t="n">
        <v>25000000</v>
      </c>
      <c r="B3" s="18" t="n">
        <v>12</v>
      </c>
      <c r="C3" s="19" t="s">
        <v>105</v>
      </c>
      <c r="D3" s="20" t="n">
        <v>0.105</v>
      </c>
      <c r="E3" s="20" t="n">
        <v>0.015</v>
      </c>
      <c r="F3" s="21" t="n">
        <f aca="false">ROUND(A3*E3,0)</f>
        <v>375000</v>
      </c>
      <c r="G3" s="21" t="n">
        <f aca="false">ROUND(-PMT(D3/12,B3,A3),0)</f>
        <v>2203715</v>
      </c>
      <c r="H3" s="21" t="n">
        <f aca="false">G3*B3+F3</f>
        <v>26819580</v>
      </c>
      <c r="I3" s="21" t="n">
        <f aca="false">G3*B3-A3</f>
        <v>1444580</v>
      </c>
      <c r="J3" s="22" t="n">
        <f aca="false">COUNTIFS($A$2:$A$31,A3,$H$2:$H$31,"&lt;"&amp;H3)+1</f>
        <v>2</v>
      </c>
      <c r="K3" s="21" t="n">
        <f aca="false">H3-SUMIFS($H$2:$H$31,$A$2:$A$31,A3,$J$2:$J$31,1)</f>
        <v>39940</v>
      </c>
      <c r="L3" s="23" t="str">
        <f aca="false">IF(J3=1,"Terbaik",IF(K3&lt;=A3*$O$2,"Layak Dipertimbangkan","Mahal"))</f>
        <v>Layak Dipertimbangkan</v>
      </c>
    </row>
    <row r="4" customFormat="false" ht="15" hidden="false" customHeight="false" outlineLevel="0" collapsed="false">
      <c r="A4" s="17" t="n">
        <v>25000000</v>
      </c>
      <c r="B4" s="18" t="n">
        <v>12</v>
      </c>
      <c r="C4" s="19" t="s">
        <v>106</v>
      </c>
      <c r="D4" s="20" t="n">
        <v>0.12</v>
      </c>
      <c r="E4" s="20" t="n">
        <v>0.005</v>
      </c>
      <c r="F4" s="21" t="n">
        <f aca="false">ROUND(A4*E4,0)</f>
        <v>125000</v>
      </c>
      <c r="G4" s="21" t="n">
        <f aca="false">ROUND(-PMT(D4/12,B4,A4),0)</f>
        <v>2221220</v>
      </c>
      <c r="H4" s="21" t="n">
        <f aca="false">G4*B4+F4</f>
        <v>26779640</v>
      </c>
      <c r="I4" s="21" t="n">
        <f aca="false">G4*B4-A4</f>
        <v>1654640</v>
      </c>
      <c r="J4" s="22" t="n">
        <f aca="false">COUNTIFS($A$2:$A$31,A4,$H$2:$H$31,"&lt;"&amp;H4)+1</f>
        <v>1</v>
      </c>
      <c r="K4" s="21" t="n">
        <f aca="false">H4-SUMIFS($H$2:$H$31,$A$2:$A$31,A4,$J$2:$J$31,1)</f>
        <v>0</v>
      </c>
      <c r="L4" s="23" t="str">
        <f aca="false">IF(J4=1,"Terbaik",IF(K4&lt;=A4*$O$2,"Layak Dipertimbangkan","Mahal"))</f>
        <v>Terbaik</v>
      </c>
    </row>
    <row r="5" customFormat="false" ht="15" hidden="false" customHeight="false" outlineLevel="0" collapsed="false">
      <c r="A5" s="17" t="n">
        <v>40000000</v>
      </c>
      <c r="B5" s="18" t="n">
        <v>24</v>
      </c>
      <c r="C5" s="19" t="s">
        <v>102</v>
      </c>
      <c r="D5" s="20" t="n">
        <v>0.105</v>
      </c>
      <c r="E5" s="20" t="n">
        <v>0.01</v>
      </c>
      <c r="F5" s="21" t="n">
        <f aca="false">ROUND(A5*E5,0)</f>
        <v>400000</v>
      </c>
      <c r="G5" s="21" t="n">
        <f aca="false">ROUND(-PMT(D5/12,B5,A5),0)</f>
        <v>1855042</v>
      </c>
      <c r="H5" s="21" t="n">
        <f aca="false">G5*B5+F5</f>
        <v>44921008</v>
      </c>
      <c r="I5" s="21" t="n">
        <f aca="false">G5*B5-A5</f>
        <v>4521008</v>
      </c>
      <c r="J5" s="22" t="n">
        <f aca="false">COUNTIFS($A$2:$A$31,A5,$H$2:$H$31,"&lt;"&amp;H5)+1</f>
        <v>1</v>
      </c>
      <c r="K5" s="21" t="n">
        <f aca="false">H5-SUMIFS($H$2:$H$31,$A$2:$A$31,A5,$J$2:$J$31,1)</f>
        <v>0</v>
      </c>
      <c r="L5" s="23" t="str">
        <f aca="false">IF(J5=1,"Terbaik",IF(K5&lt;=A5*$O$2,"Layak Dipertimbangkan","Mahal"))</f>
        <v>Terbaik</v>
      </c>
    </row>
    <row r="6" customFormat="false" ht="15" hidden="false" customHeight="false" outlineLevel="0" collapsed="false">
      <c r="A6" s="17" t="n">
        <v>40000000</v>
      </c>
      <c r="B6" s="18" t="n">
        <v>24</v>
      </c>
      <c r="C6" s="19" t="s">
        <v>105</v>
      </c>
      <c r="D6" s="20" t="n">
        <v>0.125</v>
      </c>
      <c r="E6" s="20" t="n">
        <v>0.015</v>
      </c>
      <c r="F6" s="21" t="n">
        <f aca="false">ROUND(A6*E6,0)</f>
        <v>600000</v>
      </c>
      <c r="G6" s="21" t="n">
        <f aca="false">ROUND(-PMT(D6/12,B6,A6),0)</f>
        <v>1892292</v>
      </c>
      <c r="H6" s="21" t="n">
        <f aca="false">G6*B6+F6</f>
        <v>46015008</v>
      </c>
      <c r="I6" s="21" t="n">
        <f aca="false">G6*B6-A6</f>
        <v>5415008</v>
      </c>
      <c r="J6" s="22" t="n">
        <f aca="false">COUNTIFS($A$2:$A$31,A6,$H$2:$H$31,"&lt;"&amp;H6)+1</f>
        <v>3</v>
      </c>
      <c r="K6" s="21" t="n">
        <f aca="false">H6-SUMIFS($H$2:$H$31,$A$2:$A$31,A6,$J$2:$J$31,1)</f>
        <v>1094000</v>
      </c>
      <c r="L6" s="23" t="str">
        <f aca="false">IF(J6=1,"Terbaik",IF(K6&lt;=A6*$O$2,"Layak Dipertimbangkan","Mahal"))</f>
        <v>Mahal</v>
      </c>
    </row>
    <row r="7" customFormat="false" ht="15" hidden="false" customHeight="false" outlineLevel="0" collapsed="false">
      <c r="A7" s="17" t="n">
        <v>40000000</v>
      </c>
      <c r="B7" s="18" t="n">
        <v>24</v>
      </c>
      <c r="C7" s="19" t="s">
        <v>106</v>
      </c>
      <c r="D7" s="20" t="n">
        <v>0.11</v>
      </c>
      <c r="E7" s="20" t="n">
        <v>0.01</v>
      </c>
      <c r="F7" s="21" t="n">
        <f aca="false">ROUND(A7*E7,0)</f>
        <v>400000</v>
      </c>
      <c r="G7" s="21" t="n">
        <f aca="false">ROUND(-PMT(D7/12,B7,A7),0)</f>
        <v>1864314</v>
      </c>
      <c r="H7" s="21" t="n">
        <f aca="false">G7*B7+F7</f>
        <v>45143536</v>
      </c>
      <c r="I7" s="21" t="n">
        <f aca="false">G7*B7-A7</f>
        <v>4743536</v>
      </c>
      <c r="J7" s="22" t="n">
        <f aca="false">COUNTIFS($A$2:$A$31,A7,$H$2:$H$31,"&lt;"&amp;H7)+1</f>
        <v>2</v>
      </c>
      <c r="K7" s="21" t="n">
        <f aca="false">H7-SUMIFS($H$2:$H$31,$A$2:$A$31,A7,$J$2:$J$31,1)</f>
        <v>222528</v>
      </c>
      <c r="L7" s="23" t="str">
        <f aca="false">IF(J7=1,"Terbaik",IF(K7&lt;=A7*$O$2,"Layak Dipertimbangkan","Mahal"))</f>
        <v>Layak Dipertimbangkan</v>
      </c>
    </row>
    <row r="8" customFormat="false" ht="15" hidden="false" customHeight="false" outlineLevel="0" collapsed="false">
      <c r="A8" s="17" t="n">
        <v>50000000</v>
      </c>
      <c r="B8" s="18" t="n">
        <v>24</v>
      </c>
      <c r="C8" s="19" t="s">
        <v>102</v>
      </c>
      <c r="D8" s="20" t="n">
        <v>0.115</v>
      </c>
      <c r="E8" s="20" t="n">
        <v>0.01</v>
      </c>
      <c r="F8" s="21" t="n">
        <f aca="false">ROUND(A8*E8,0)</f>
        <v>500000</v>
      </c>
      <c r="G8" s="21" t="n">
        <f aca="false">ROUND(-PMT(D8/12,B8,A8),0)</f>
        <v>2342016</v>
      </c>
      <c r="H8" s="21" t="n">
        <f aca="false">G8*B8+F8</f>
        <v>56708384</v>
      </c>
      <c r="I8" s="21" t="n">
        <f aca="false">G8*B8-A8</f>
        <v>6208384</v>
      </c>
      <c r="J8" s="22" t="n">
        <f aca="false">COUNTIFS($A$2:$A$31,A8,$H$2:$H$31,"&lt;"&amp;H8)+1</f>
        <v>3</v>
      </c>
      <c r="K8" s="21" t="n">
        <f aca="false">H8-SUMIFS($H$2:$H$31,$A$2:$A$31,A8,$J$2:$J$31,1)</f>
        <v>528976</v>
      </c>
      <c r="L8" s="23" t="str">
        <f aca="false">IF(J8=1,"Terbaik",IF(K8&lt;=A8*$O$2,"Layak Dipertimbangkan","Mahal"))</f>
        <v>Layak Dipertimbangkan</v>
      </c>
    </row>
    <row r="9" customFormat="false" ht="15" hidden="false" customHeight="false" outlineLevel="0" collapsed="false">
      <c r="A9" s="17" t="n">
        <v>50000000</v>
      </c>
      <c r="B9" s="18" t="n">
        <v>24</v>
      </c>
      <c r="C9" s="19" t="s">
        <v>105</v>
      </c>
      <c r="D9" s="20" t="n">
        <v>0.11</v>
      </c>
      <c r="E9" s="20" t="n">
        <v>0.01</v>
      </c>
      <c r="F9" s="21" t="n">
        <f aca="false">ROUND(A9*E9,0)</f>
        <v>500000</v>
      </c>
      <c r="G9" s="21" t="n">
        <f aca="false">ROUND(-PMT(D9/12,B9,A9),0)</f>
        <v>2330392</v>
      </c>
      <c r="H9" s="21" t="n">
        <f aca="false">G9*B9+F9</f>
        <v>56429408</v>
      </c>
      <c r="I9" s="21" t="n">
        <f aca="false">G9*B9-A9</f>
        <v>5929408</v>
      </c>
      <c r="J9" s="22" t="n">
        <f aca="false">COUNTIFS($A$2:$A$31,A9,$H$2:$H$31,"&lt;"&amp;H9)+1</f>
        <v>2</v>
      </c>
      <c r="K9" s="21" t="n">
        <f aca="false">H9-SUMIFS($H$2:$H$31,$A$2:$A$31,A9,$J$2:$J$31,1)</f>
        <v>250000</v>
      </c>
      <c r="L9" s="23" t="str">
        <f aca="false">IF(J9=1,"Terbaik",IF(K9&lt;=A9*$O$2,"Layak Dipertimbangkan","Mahal"))</f>
        <v>Layak Dipertimbangkan</v>
      </c>
    </row>
    <row r="10" customFormat="false" ht="15" hidden="false" customHeight="false" outlineLevel="0" collapsed="false">
      <c r="A10" s="17" t="n">
        <v>50000000</v>
      </c>
      <c r="B10" s="18" t="n">
        <v>24</v>
      </c>
      <c r="C10" s="19" t="s">
        <v>106</v>
      </c>
      <c r="D10" s="20" t="n">
        <v>0.11</v>
      </c>
      <c r="E10" s="20" t="n">
        <v>0.005</v>
      </c>
      <c r="F10" s="21" t="n">
        <f aca="false">ROUND(A10*E10,0)</f>
        <v>250000</v>
      </c>
      <c r="G10" s="21" t="n">
        <f aca="false">ROUND(-PMT(D10/12,B10,A10),0)</f>
        <v>2330392</v>
      </c>
      <c r="H10" s="21" t="n">
        <f aca="false">G10*B10+F10</f>
        <v>56179408</v>
      </c>
      <c r="I10" s="21" t="n">
        <f aca="false">G10*B10-A10</f>
        <v>5929408</v>
      </c>
      <c r="J10" s="22" t="n">
        <f aca="false">COUNTIFS($A$2:$A$31,A10,$H$2:$H$31,"&lt;"&amp;H10)+1</f>
        <v>1</v>
      </c>
      <c r="K10" s="21" t="n">
        <f aca="false">H10-SUMIFS($H$2:$H$31,$A$2:$A$31,A10,$J$2:$J$31,1)</f>
        <v>0</v>
      </c>
      <c r="L10" s="23" t="str">
        <f aca="false">IF(J10=1,"Terbaik",IF(K10&lt;=A10*$O$2,"Layak Dipertimbangkan","Mahal"))</f>
        <v>Terbaik</v>
      </c>
    </row>
    <row r="11" customFormat="false" ht="15" hidden="false" customHeight="false" outlineLevel="0" collapsed="false">
      <c r="A11" s="17" t="n">
        <v>75000000</v>
      </c>
      <c r="B11" s="18" t="n">
        <v>36</v>
      </c>
      <c r="C11" s="19" t="s">
        <v>102</v>
      </c>
      <c r="D11" s="20" t="n">
        <v>0.115</v>
      </c>
      <c r="E11" s="20" t="n">
        <v>0.01</v>
      </c>
      <c r="F11" s="21" t="n">
        <f aca="false">ROUND(A11*E11,0)</f>
        <v>750000</v>
      </c>
      <c r="G11" s="21" t="n">
        <f aca="false">ROUND(-PMT(D11/12,B11,A11),0)</f>
        <v>2473200</v>
      </c>
      <c r="H11" s="21" t="n">
        <f aca="false">G11*B11+F11</f>
        <v>89785200</v>
      </c>
      <c r="I11" s="21" t="n">
        <f aca="false">G11*B11-A11</f>
        <v>14035200</v>
      </c>
      <c r="J11" s="22" t="n">
        <f aca="false">COUNTIFS($A$2:$A$31,A11,$H$2:$H$31,"&lt;"&amp;H11)+1</f>
        <v>2</v>
      </c>
      <c r="K11" s="21" t="n">
        <f aca="false">H11-SUMIFS($H$2:$H$31,$A$2:$A$31,A11,$J$2:$J$31,1)</f>
        <v>3802860</v>
      </c>
      <c r="L11" s="23" t="str">
        <f aca="false">IF(J11=1,"Terbaik",IF(K11&lt;=A11*$O$2,"Layak Dipertimbangkan","Mahal"))</f>
        <v>Mahal</v>
      </c>
    </row>
    <row r="12" customFormat="false" ht="15" hidden="false" customHeight="false" outlineLevel="0" collapsed="false">
      <c r="A12" s="17" t="n">
        <v>75000000</v>
      </c>
      <c r="B12" s="18" t="n">
        <v>36</v>
      </c>
      <c r="C12" s="19" t="s">
        <v>105</v>
      </c>
      <c r="D12" s="20" t="n">
        <v>0.085</v>
      </c>
      <c r="E12" s="20" t="n">
        <v>0.01</v>
      </c>
      <c r="F12" s="21" t="n">
        <f aca="false">ROUND(A12*E12,0)</f>
        <v>750000</v>
      </c>
      <c r="G12" s="21" t="n">
        <f aca="false">ROUND(-PMT(D12/12,B12,A12),0)</f>
        <v>2367565</v>
      </c>
      <c r="H12" s="21" t="n">
        <f aca="false">G12*B12+F12</f>
        <v>85982340</v>
      </c>
      <c r="I12" s="21" t="n">
        <f aca="false">G12*B12-A12</f>
        <v>10232340</v>
      </c>
      <c r="J12" s="22" t="n">
        <f aca="false">COUNTIFS($A$2:$A$31,A12,$H$2:$H$31,"&lt;"&amp;H12)+1</f>
        <v>1</v>
      </c>
      <c r="K12" s="21" t="n">
        <f aca="false">H12-SUMIFS($H$2:$H$31,$A$2:$A$31,A12,$J$2:$J$31,1)</f>
        <v>0</v>
      </c>
      <c r="L12" s="23" t="str">
        <f aca="false">IF(J12=1,"Terbaik",IF(K12&lt;=A12*$O$2,"Layak Dipertimbangkan","Mahal"))</f>
        <v>Terbaik</v>
      </c>
    </row>
    <row r="13" customFormat="false" ht="15" hidden="false" customHeight="false" outlineLevel="0" collapsed="false">
      <c r="A13" s="17" t="n">
        <v>75000000</v>
      </c>
      <c r="B13" s="18" t="n">
        <v>36</v>
      </c>
      <c r="C13" s="19" t="s">
        <v>106</v>
      </c>
      <c r="D13" s="20" t="n">
        <v>0.12</v>
      </c>
      <c r="E13" s="20" t="n">
        <v>0.01</v>
      </c>
      <c r="F13" s="21" t="n">
        <f aca="false">ROUND(A13*E13,0)</f>
        <v>750000</v>
      </c>
      <c r="G13" s="21" t="n">
        <f aca="false">ROUND(-PMT(D13/12,B13,A13),0)</f>
        <v>2491073</v>
      </c>
      <c r="H13" s="21" t="n">
        <f aca="false">G13*B13+F13</f>
        <v>90428628</v>
      </c>
      <c r="I13" s="21" t="n">
        <f aca="false">G13*B13-A13</f>
        <v>14678628</v>
      </c>
      <c r="J13" s="22" t="n">
        <f aca="false">COUNTIFS($A$2:$A$31,A13,$H$2:$H$31,"&lt;"&amp;H13)+1</f>
        <v>3</v>
      </c>
      <c r="K13" s="21" t="n">
        <f aca="false">H13-SUMIFS($H$2:$H$31,$A$2:$A$31,A13,$J$2:$J$31,1)</f>
        <v>4446288</v>
      </c>
      <c r="L13" s="23" t="str">
        <f aca="false">IF(J13=1,"Terbaik",IF(K13&lt;=A13*$O$2,"Layak Dipertimbangkan","Mahal"))</f>
        <v>Mahal</v>
      </c>
    </row>
    <row r="14" customFormat="false" ht="15" hidden="false" customHeight="false" outlineLevel="0" collapsed="false">
      <c r="A14" s="17" t="n">
        <v>100000000</v>
      </c>
      <c r="B14" s="18" t="n">
        <v>36</v>
      </c>
      <c r="C14" s="19" t="s">
        <v>102</v>
      </c>
      <c r="D14" s="20" t="n">
        <v>0.105</v>
      </c>
      <c r="E14" s="20" t="n">
        <v>0.02</v>
      </c>
      <c r="F14" s="21" t="n">
        <f aca="false">ROUND(A14*E14,0)</f>
        <v>2000000</v>
      </c>
      <c r="G14" s="21" t="n">
        <f aca="false">ROUND(-PMT(D14/12,B14,A14),0)</f>
        <v>3250244</v>
      </c>
      <c r="H14" s="21" t="n">
        <f aca="false">G14*B14+F14</f>
        <v>119008784</v>
      </c>
      <c r="I14" s="21" t="n">
        <f aca="false">G14*B14-A14</f>
        <v>17008784</v>
      </c>
      <c r="J14" s="22" t="n">
        <f aca="false">COUNTIFS($A$2:$A$31,A14,$H$2:$H$31,"&lt;"&amp;H14)+1</f>
        <v>1</v>
      </c>
      <c r="K14" s="21" t="n">
        <f aca="false">H14-SUMIFS($H$2:$H$31,$A$2:$A$31,A14,$J$2:$J$31,1)</f>
        <v>0</v>
      </c>
      <c r="L14" s="23" t="str">
        <f aca="false">IF(J14=1,"Terbaik",IF(K14&lt;=A14*$O$2,"Layak Dipertimbangkan","Mahal"))</f>
        <v>Terbaik</v>
      </c>
    </row>
    <row r="15" customFormat="false" ht="15" hidden="false" customHeight="false" outlineLevel="0" collapsed="false">
      <c r="A15" s="17" t="n">
        <v>100000000</v>
      </c>
      <c r="B15" s="18" t="n">
        <v>36</v>
      </c>
      <c r="C15" s="19" t="s">
        <v>105</v>
      </c>
      <c r="D15" s="20" t="n">
        <v>0.125</v>
      </c>
      <c r="E15" s="20" t="n">
        <v>0.01</v>
      </c>
      <c r="F15" s="21" t="n">
        <f aca="false">ROUND(A15*E15,0)</f>
        <v>1000000</v>
      </c>
      <c r="G15" s="21" t="n">
        <f aca="false">ROUND(-PMT(D15/12,B15,A15),0)</f>
        <v>3345363</v>
      </c>
      <c r="H15" s="21" t="n">
        <f aca="false">G15*B15+F15</f>
        <v>121433068</v>
      </c>
      <c r="I15" s="21" t="n">
        <f aca="false">G15*B15-A15</f>
        <v>20433068</v>
      </c>
      <c r="J15" s="22" t="n">
        <f aca="false">COUNTIFS($A$2:$A$31,A15,$H$2:$H$31,"&lt;"&amp;H15)+1</f>
        <v>2</v>
      </c>
      <c r="K15" s="21" t="n">
        <f aca="false">H15-SUMIFS($H$2:$H$31,$A$2:$A$31,A15,$J$2:$J$31,1)</f>
        <v>2424284</v>
      </c>
      <c r="L15" s="23" t="str">
        <f aca="false">IF(J15=1,"Terbaik",IF(K15&lt;=A15*$O$2,"Layak Dipertimbangkan","Mahal"))</f>
        <v>Mahal</v>
      </c>
    </row>
    <row r="16" customFormat="false" ht="15" hidden="false" customHeight="false" outlineLevel="0" collapsed="false">
      <c r="A16" s="17" t="n">
        <v>100000000</v>
      </c>
      <c r="B16" s="18" t="n">
        <v>36</v>
      </c>
      <c r="C16" s="19" t="s">
        <v>106</v>
      </c>
      <c r="D16" s="20" t="n">
        <v>0.13</v>
      </c>
      <c r="E16" s="20" t="n">
        <v>0.005</v>
      </c>
      <c r="F16" s="21" t="n">
        <f aca="false">ROUND(A16*E16,0)</f>
        <v>500000</v>
      </c>
      <c r="G16" s="21" t="n">
        <f aca="false">ROUND(-PMT(D16/12,B16,A16),0)</f>
        <v>3369395</v>
      </c>
      <c r="H16" s="21" t="n">
        <f aca="false">G16*B16+F16</f>
        <v>121798220</v>
      </c>
      <c r="I16" s="21" t="n">
        <f aca="false">G16*B16-A16</f>
        <v>21298220</v>
      </c>
      <c r="J16" s="22" t="n">
        <f aca="false">COUNTIFS($A$2:$A$31,A16,$H$2:$H$31,"&lt;"&amp;H16)+1</f>
        <v>3</v>
      </c>
      <c r="K16" s="21" t="n">
        <f aca="false">H16-SUMIFS($H$2:$H$31,$A$2:$A$31,A16,$J$2:$J$31,1)</f>
        <v>2789436</v>
      </c>
      <c r="L16" s="23" t="str">
        <f aca="false">IF(J16=1,"Terbaik",IF(K16&lt;=A16*$O$2,"Layak Dipertimbangkan","Mahal"))</f>
        <v>Mahal</v>
      </c>
    </row>
    <row r="17" customFormat="false" ht="15" hidden="false" customHeight="false" outlineLevel="0" collapsed="false">
      <c r="A17" s="17" t="n">
        <v>125000000</v>
      </c>
      <c r="B17" s="18" t="n">
        <v>36</v>
      </c>
      <c r="C17" s="19" t="s">
        <v>102</v>
      </c>
      <c r="D17" s="20" t="n">
        <v>0.095</v>
      </c>
      <c r="E17" s="20" t="n">
        <v>0.015</v>
      </c>
      <c r="F17" s="21" t="n">
        <f aca="false">ROUND(A17*E17,0)</f>
        <v>1875000</v>
      </c>
      <c r="G17" s="21" t="n">
        <f aca="false">ROUND(-PMT(D17/12,B17,A17),0)</f>
        <v>4004119</v>
      </c>
      <c r="H17" s="21" t="n">
        <f aca="false">G17*B17+F17</f>
        <v>146023284</v>
      </c>
      <c r="I17" s="21" t="n">
        <f aca="false">G17*B17-A17</f>
        <v>19148284</v>
      </c>
      <c r="J17" s="22" t="n">
        <f aca="false">COUNTIFS($A$2:$A$31,A17,$H$2:$H$31,"&lt;"&amp;H17)+1</f>
        <v>2</v>
      </c>
      <c r="K17" s="21" t="n">
        <f aca="false">H17-SUMIFS($H$2:$H$31,$A$2:$A$31,A17,$J$2:$J$31,1)</f>
        <v>1250000</v>
      </c>
      <c r="L17" s="23" t="str">
        <f aca="false">IF(J17=1,"Terbaik",IF(K17&lt;=A17*$O$2,"Layak Dipertimbangkan","Mahal"))</f>
        <v>Layak Dipertimbangkan</v>
      </c>
    </row>
    <row r="18" customFormat="false" ht="15" hidden="false" customHeight="false" outlineLevel="0" collapsed="false">
      <c r="A18" s="17" t="n">
        <v>125000000</v>
      </c>
      <c r="B18" s="18" t="n">
        <v>36</v>
      </c>
      <c r="C18" s="19" t="s">
        <v>105</v>
      </c>
      <c r="D18" s="20" t="n">
        <v>0.095</v>
      </c>
      <c r="E18" s="20" t="n">
        <v>0.005</v>
      </c>
      <c r="F18" s="21" t="n">
        <f aca="false">ROUND(A18*E18,0)</f>
        <v>625000</v>
      </c>
      <c r="G18" s="21" t="n">
        <f aca="false">ROUND(-PMT(D18/12,B18,A18),0)</f>
        <v>4004119</v>
      </c>
      <c r="H18" s="21" t="n">
        <f aca="false">G18*B18+F18</f>
        <v>144773284</v>
      </c>
      <c r="I18" s="21" t="n">
        <f aca="false">G18*B18-A18</f>
        <v>19148284</v>
      </c>
      <c r="J18" s="22" t="n">
        <f aca="false">COUNTIFS($A$2:$A$31,A18,$H$2:$H$31,"&lt;"&amp;H18)+1</f>
        <v>1</v>
      </c>
      <c r="K18" s="21" t="n">
        <f aca="false">H18-SUMIFS($H$2:$H$31,$A$2:$A$31,A18,$J$2:$J$31,1)</f>
        <v>0</v>
      </c>
      <c r="L18" s="23" t="str">
        <f aca="false">IF(J18=1,"Terbaik",IF(K18&lt;=A18*$O$2,"Layak Dipertimbangkan","Mahal"))</f>
        <v>Terbaik</v>
      </c>
    </row>
    <row r="19" customFormat="false" ht="15" hidden="false" customHeight="false" outlineLevel="0" collapsed="false">
      <c r="A19" s="17" t="n">
        <v>125000000</v>
      </c>
      <c r="B19" s="18" t="n">
        <v>36</v>
      </c>
      <c r="C19" s="19" t="s">
        <v>106</v>
      </c>
      <c r="D19" s="20" t="n">
        <v>0.11</v>
      </c>
      <c r="E19" s="20" t="n">
        <v>0.01</v>
      </c>
      <c r="F19" s="21" t="n">
        <f aca="false">ROUND(A19*E19,0)</f>
        <v>1250000</v>
      </c>
      <c r="G19" s="21" t="n">
        <f aca="false">ROUND(-PMT(D19/12,B19,A19),0)</f>
        <v>4092340</v>
      </c>
      <c r="H19" s="21" t="n">
        <f aca="false">G19*B19+F19</f>
        <v>148574240</v>
      </c>
      <c r="I19" s="21" t="n">
        <f aca="false">G19*B19-A19</f>
        <v>22324240</v>
      </c>
      <c r="J19" s="22" t="n">
        <f aca="false">COUNTIFS($A$2:$A$31,A19,$H$2:$H$31,"&lt;"&amp;H19)+1</f>
        <v>3</v>
      </c>
      <c r="K19" s="21" t="n">
        <f aca="false">H19-SUMIFS($H$2:$H$31,$A$2:$A$31,A19,$J$2:$J$31,1)</f>
        <v>3800956</v>
      </c>
      <c r="L19" s="23" t="str">
        <f aca="false">IF(J19=1,"Terbaik",IF(K19&lt;=A19*$O$2,"Layak Dipertimbangkan","Mahal"))</f>
        <v>Mahal</v>
      </c>
    </row>
    <row r="20" customFormat="false" ht="15" hidden="false" customHeight="false" outlineLevel="0" collapsed="false">
      <c r="A20" s="17" t="n">
        <v>150000000</v>
      </c>
      <c r="B20" s="18" t="n">
        <v>48</v>
      </c>
      <c r="C20" s="19" t="s">
        <v>102</v>
      </c>
      <c r="D20" s="20" t="n">
        <v>0.115</v>
      </c>
      <c r="E20" s="20" t="n">
        <v>0.02</v>
      </c>
      <c r="F20" s="21" t="n">
        <f aca="false">ROUND(A20*E20,0)</f>
        <v>3000000</v>
      </c>
      <c r="G20" s="21" t="n">
        <f aca="false">ROUND(-PMT(D20/12,B20,A20),0)</f>
        <v>3913351</v>
      </c>
      <c r="H20" s="21" t="n">
        <f aca="false">G20*B20+F20</f>
        <v>190840848</v>
      </c>
      <c r="I20" s="21" t="n">
        <f aca="false">G20*B20-A20</f>
        <v>37840848</v>
      </c>
      <c r="J20" s="22" t="n">
        <f aca="false">COUNTIFS($A$2:$A$31,A20,$H$2:$H$31,"&lt;"&amp;H20)+1</f>
        <v>1</v>
      </c>
      <c r="K20" s="21" t="n">
        <f aca="false">H20-SUMIFS($H$2:$H$31,$A$2:$A$31,A20,$J$2:$J$31,1)</f>
        <v>0</v>
      </c>
      <c r="L20" s="23" t="str">
        <f aca="false">IF(J20=1,"Terbaik",IF(K20&lt;=A20*$O$2,"Layak Dipertimbangkan","Mahal"))</f>
        <v>Terbaik</v>
      </c>
    </row>
    <row r="21" customFormat="false" ht="15" hidden="false" customHeight="false" outlineLevel="0" collapsed="false">
      <c r="A21" s="17" t="n">
        <v>150000000</v>
      </c>
      <c r="B21" s="18" t="n">
        <v>48</v>
      </c>
      <c r="C21" s="19" t="s">
        <v>105</v>
      </c>
      <c r="D21" s="20" t="n">
        <v>0.12</v>
      </c>
      <c r="E21" s="20" t="n">
        <v>0.015</v>
      </c>
      <c r="F21" s="21" t="n">
        <f aca="false">ROUND(A21*E21,0)</f>
        <v>2250000</v>
      </c>
      <c r="G21" s="21" t="n">
        <f aca="false">ROUND(-PMT(D21/12,B21,A21),0)</f>
        <v>3950075</v>
      </c>
      <c r="H21" s="21" t="n">
        <f aca="false">G21*B21+F21</f>
        <v>191853600</v>
      </c>
      <c r="I21" s="21" t="n">
        <f aca="false">G21*B21-A21</f>
        <v>39603600</v>
      </c>
      <c r="J21" s="22" t="n">
        <f aca="false">COUNTIFS($A$2:$A$31,A21,$H$2:$H$31,"&lt;"&amp;H21)+1</f>
        <v>2</v>
      </c>
      <c r="K21" s="21" t="n">
        <f aca="false">H21-SUMIFS($H$2:$H$31,$A$2:$A$31,A21,$J$2:$J$31,1)</f>
        <v>1012752</v>
      </c>
      <c r="L21" s="23" t="str">
        <f aca="false">IF(J21=1,"Terbaik",IF(K21&lt;=A21*$O$2,"Layak Dipertimbangkan","Mahal"))</f>
        <v>Layak Dipertimbangkan</v>
      </c>
    </row>
    <row r="22" customFormat="false" ht="15" hidden="false" customHeight="false" outlineLevel="0" collapsed="false">
      <c r="A22" s="17" t="n">
        <v>150000000</v>
      </c>
      <c r="B22" s="18" t="n">
        <v>48</v>
      </c>
      <c r="C22" s="19" t="s">
        <v>106</v>
      </c>
      <c r="D22" s="20" t="n">
        <v>0.135</v>
      </c>
      <c r="E22" s="20" t="n">
        <v>0</v>
      </c>
      <c r="F22" s="21" t="n">
        <f aca="false">ROUND(A22*E22,0)</f>
        <v>0</v>
      </c>
      <c r="G22" s="21" t="n">
        <f aca="false">ROUND(-PMT(D22/12,B22,A22),0)</f>
        <v>4061448</v>
      </c>
      <c r="H22" s="21" t="n">
        <f aca="false">G22*B22+F22</f>
        <v>194949504</v>
      </c>
      <c r="I22" s="21" t="n">
        <f aca="false">G22*B22-A22</f>
        <v>44949504</v>
      </c>
      <c r="J22" s="22" t="n">
        <f aca="false">COUNTIFS($A$2:$A$31,A22,$H$2:$H$31,"&lt;"&amp;H22)+1</f>
        <v>3</v>
      </c>
      <c r="K22" s="21" t="n">
        <f aca="false">H22-SUMIFS($H$2:$H$31,$A$2:$A$31,A22,$J$2:$J$31,1)</f>
        <v>4108656</v>
      </c>
      <c r="L22" s="23" t="str">
        <f aca="false">IF(J22=1,"Terbaik",IF(K22&lt;=A22*$O$2,"Layak Dipertimbangkan","Mahal"))</f>
        <v>Mahal</v>
      </c>
    </row>
    <row r="23" customFormat="false" ht="15" hidden="false" customHeight="false" outlineLevel="0" collapsed="false">
      <c r="A23" s="17" t="n">
        <v>200000000</v>
      </c>
      <c r="B23" s="18" t="n">
        <v>48</v>
      </c>
      <c r="C23" s="19" t="s">
        <v>102</v>
      </c>
      <c r="D23" s="20" t="n">
        <v>0.105</v>
      </c>
      <c r="E23" s="20" t="n">
        <v>0.015</v>
      </c>
      <c r="F23" s="21" t="n">
        <f aca="false">ROUND(A23*E23,0)</f>
        <v>3000000</v>
      </c>
      <c r="G23" s="21" t="n">
        <f aca="false">ROUND(-PMT(D23/12,B23,A23),0)</f>
        <v>5120676</v>
      </c>
      <c r="H23" s="21" t="n">
        <f aca="false">G23*B23+F23</f>
        <v>248792448</v>
      </c>
      <c r="I23" s="21" t="n">
        <f aca="false">G23*B23-A23</f>
        <v>45792448</v>
      </c>
      <c r="J23" s="22" t="n">
        <f aca="false">COUNTIFS($A$2:$A$31,A23,$H$2:$H$31,"&lt;"&amp;H23)+1</f>
        <v>1</v>
      </c>
      <c r="K23" s="21" t="n">
        <f aca="false">H23-SUMIFS($H$2:$H$31,$A$2:$A$31,A23,$J$2:$J$31,1)</f>
        <v>0</v>
      </c>
      <c r="L23" s="23" t="str">
        <f aca="false">IF(J23=1,"Terbaik",IF(K23&lt;=A23*$O$2,"Layak Dipertimbangkan","Mahal"))</f>
        <v>Terbaik</v>
      </c>
    </row>
    <row r="24" customFormat="false" ht="15" hidden="false" customHeight="false" outlineLevel="0" collapsed="false">
      <c r="A24" s="17" t="n">
        <v>200000000</v>
      </c>
      <c r="B24" s="18" t="n">
        <v>48</v>
      </c>
      <c r="C24" s="19" t="s">
        <v>105</v>
      </c>
      <c r="D24" s="20" t="n">
        <v>0.12</v>
      </c>
      <c r="E24" s="20" t="n">
        <v>0.01</v>
      </c>
      <c r="F24" s="21" t="n">
        <f aca="false">ROUND(A24*E24,0)</f>
        <v>2000000</v>
      </c>
      <c r="G24" s="21" t="n">
        <f aca="false">ROUND(-PMT(D24/12,B24,A24),0)</f>
        <v>5266767</v>
      </c>
      <c r="H24" s="21" t="n">
        <f aca="false">G24*B24+F24</f>
        <v>254804816</v>
      </c>
      <c r="I24" s="21" t="n">
        <f aca="false">G24*B24-A24</f>
        <v>52804816</v>
      </c>
      <c r="J24" s="22" t="n">
        <f aca="false">COUNTIFS($A$2:$A$31,A24,$H$2:$H$31,"&lt;"&amp;H24)+1</f>
        <v>2</v>
      </c>
      <c r="K24" s="21" t="n">
        <f aca="false">H24-SUMIFS($H$2:$H$31,$A$2:$A$31,A24,$J$2:$J$31,1)</f>
        <v>6012368</v>
      </c>
      <c r="L24" s="23" t="str">
        <f aca="false">IF(J24=1,"Terbaik",IF(K24&lt;=A24*$O$2,"Layak Dipertimbangkan","Mahal"))</f>
        <v>Mahal</v>
      </c>
    </row>
    <row r="25" customFormat="false" ht="15" hidden="false" customHeight="false" outlineLevel="0" collapsed="false">
      <c r="A25" s="17" t="n">
        <v>200000000</v>
      </c>
      <c r="B25" s="18" t="n">
        <v>48</v>
      </c>
      <c r="C25" s="19" t="s">
        <v>106</v>
      </c>
      <c r="D25" s="20" t="n">
        <v>0.135</v>
      </c>
      <c r="E25" s="20" t="n">
        <v>0.01</v>
      </c>
      <c r="F25" s="21" t="n">
        <f aca="false">ROUND(A25*E25,0)</f>
        <v>2000000</v>
      </c>
      <c r="G25" s="21" t="n">
        <f aca="false">ROUND(-PMT(D25/12,B25,A25),0)</f>
        <v>5415265</v>
      </c>
      <c r="H25" s="21" t="n">
        <f aca="false">G25*B25+F25</f>
        <v>261932720</v>
      </c>
      <c r="I25" s="21" t="n">
        <f aca="false">G25*B25-A25</f>
        <v>59932720</v>
      </c>
      <c r="J25" s="22" t="n">
        <f aca="false">COUNTIFS($A$2:$A$31,A25,$H$2:$H$31,"&lt;"&amp;H25)+1</f>
        <v>3</v>
      </c>
      <c r="K25" s="21" t="n">
        <f aca="false">H25-SUMIFS($H$2:$H$31,$A$2:$A$31,A25,$J$2:$J$31,1)</f>
        <v>13140272</v>
      </c>
      <c r="L25" s="23" t="str">
        <f aca="false">IF(J25=1,"Terbaik",IF(K25&lt;=A25*$O$2,"Layak Dipertimbangkan","Mahal"))</f>
        <v>Mahal</v>
      </c>
    </row>
    <row r="26" customFormat="false" ht="15" hidden="false" customHeight="false" outlineLevel="0" collapsed="false">
      <c r="A26" s="17" t="n">
        <v>250000000</v>
      </c>
      <c r="B26" s="18" t="n">
        <v>60</v>
      </c>
      <c r="C26" s="19" t="s">
        <v>102</v>
      </c>
      <c r="D26" s="20" t="n">
        <v>0.11</v>
      </c>
      <c r="E26" s="20" t="n">
        <v>0.02</v>
      </c>
      <c r="F26" s="21" t="n">
        <f aca="false">ROUND(A26*E26,0)</f>
        <v>5000000</v>
      </c>
      <c r="G26" s="21" t="n">
        <f aca="false">ROUND(-PMT(D26/12,B26,A26),0)</f>
        <v>5435606</v>
      </c>
      <c r="H26" s="21" t="n">
        <f aca="false">G26*B26+F26</f>
        <v>331136360</v>
      </c>
      <c r="I26" s="21" t="n">
        <f aca="false">G26*B26-A26</f>
        <v>76136360</v>
      </c>
      <c r="J26" s="22" t="n">
        <f aca="false">COUNTIFS($A$2:$A$31,A26,$H$2:$H$31,"&lt;"&amp;H26)+1</f>
        <v>2</v>
      </c>
      <c r="K26" s="21" t="n">
        <f aca="false">H26-SUMIFS($H$2:$H$31,$A$2:$A$31,A26,$J$2:$J$31,1)</f>
        <v>18511020</v>
      </c>
      <c r="L26" s="23" t="str">
        <f aca="false">IF(J26=1,"Terbaik",IF(K26&lt;=A26*$O$2,"Layak Dipertimbangkan","Mahal"))</f>
        <v>Mahal</v>
      </c>
    </row>
    <row r="27" customFormat="false" ht="15" hidden="false" customHeight="false" outlineLevel="0" collapsed="false">
      <c r="A27" s="17" t="n">
        <v>250000000</v>
      </c>
      <c r="B27" s="18" t="n">
        <v>60</v>
      </c>
      <c r="C27" s="19" t="s">
        <v>105</v>
      </c>
      <c r="D27" s="20" t="n">
        <v>0.09</v>
      </c>
      <c r="E27" s="20" t="n">
        <v>0.005</v>
      </c>
      <c r="F27" s="21" t="n">
        <f aca="false">ROUND(A27*E27,0)</f>
        <v>1250000</v>
      </c>
      <c r="G27" s="21" t="n">
        <f aca="false">ROUND(-PMT(D27/12,B27,A27),0)</f>
        <v>5189589</v>
      </c>
      <c r="H27" s="21" t="n">
        <f aca="false">G27*B27+F27</f>
        <v>312625340</v>
      </c>
      <c r="I27" s="21" t="n">
        <f aca="false">G27*B27-A27</f>
        <v>61375340</v>
      </c>
      <c r="J27" s="22" t="n">
        <f aca="false">COUNTIFS($A$2:$A$31,A27,$H$2:$H$31,"&lt;"&amp;H27)+1</f>
        <v>1</v>
      </c>
      <c r="K27" s="21" t="n">
        <f aca="false">H27-SUMIFS($H$2:$H$31,$A$2:$A$31,A27,$J$2:$J$31,1)</f>
        <v>0</v>
      </c>
      <c r="L27" s="23" t="str">
        <f aca="false">IF(J27=1,"Terbaik",IF(K27&lt;=A27*$O$2,"Layak Dipertimbangkan","Mahal"))</f>
        <v>Terbaik</v>
      </c>
    </row>
    <row r="28" customFormat="false" ht="15" hidden="false" customHeight="false" outlineLevel="0" collapsed="false">
      <c r="A28" s="17" t="n">
        <v>250000000</v>
      </c>
      <c r="B28" s="18" t="n">
        <v>60</v>
      </c>
      <c r="C28" s="19" t="s">
        <v>106</v>
      </c>
      <c r="D28" s="20" t="n">
        <v>0.125</v>
      </c>
      <c r="E28" s="20" t="n">
        <v>0.005</v>
      </c>
      <c r="F28" s="21" t="n">
        <f aca="false">ROUND(A28*E28,0)</f>
        <v>1250000</v>
      </c>
      <c r="G28" s="21" t="n">
        <f aca="false">ROUND(-PMT(D28/12,B28,A28),0)</f>
        <v>5624485</v>
      </c>
      <c r="H28" s="21" t="n">
        <f aca="false">G28*B28+F28</f>
        <v>338719100</v>
      </c>
      <c r="I28" s="21" t="n">
        <f aca="false">G28*B28-A28</f>
        <v>87469100</v>
      </c>
      <c r="J28" s="22" t="n">
        <f aca="false">COUNTIFS($A$2:$A$31,A28,$H$2:$H$31,"&lt;"&amp;H28)+1</f>
        <v>3</v>
      </c>
      <c r="K28" s="21" t="n">
        <f aca="false">H28-SUMIFS($H$2:$H$31,$A$2:$A$31,A28,$J$2:$J$31,1)</f>
        <v>26093760</v>
      </c>
      <c r="L28" s="23" t="str">
        <f aca="false">IF(J28=1,"Terbaik",IF(K28&lt;=A28*$O$2,"Layak Dipertimbangkan","Mahal"))</f>
        <v>Mahal</v>
      </c>
    </row>
    <row r="29" customFormat="false" ht="15" hidden="false" customHeight="false" outlineLevel="0" collapsed="false">
      <c r="A29" s="17" t="n">
        <v>300000000</v>
      </c>
      <c r="B29" s="18" t="n">
        <v>60</v>
      </c>
      <c r="C29" s="19" t="s">
        <v>102</v>
      </c>
      <c r="D29" s="20" t="n">
        <v>0.1</v>
      </c>
      <c r="E29" s="20" t="n">
        <v>0.02</v>
      </c>
      <c r="F29" s="21" t="n">
        <f aca="false">ROUND(A29*E29,0)</f>
        <v>6000000</v>
      </c>
      <c r="G29" s="21" t="n">
        <f aca="false">ROUND(-PMT(D29/12,B29,A29),0)</f>
        <v>6374113</v>
      </c>
      <c r="H29" s="21" t="n">
        <f aca="false">G29*B29+F29</f>
        <v>388446780</v>
      </c>
      <c r="I29" s="21" t="n">
        <f aca="false">G29*B29-A29</f>
        <v>82446780</v>
      </c>
      <c r="J29" s="22" t="n">
        <f aca="false">COUNTIFS($A$2:$A$31,A29,$H$2:$H$31,"&lt;"&amp;H29)+1</f>
        <v>2</v>
      </c>
      <c r="K29" s="21" t="n">
        <f aca="false">H29-SUMIFS($H$2:$H$31,$A$2:$A$31,A29,$J$2:$J$31,1)</f>
        <v>4500000</v>
      </c>
      <c r="L29" s="23" t="str">
        <f aca="false">IF(J29=1,"Terbaik",IF(K29&lt;=A29*$O$2,"Layak Dipertimbangkan","Mahal"))</f>
        <v>Layak Dipertimbangkan</v>
      </c>
    </row>
    <row r="30" customFormat="false" ht="15" hidden="false" customHeight="false" outlineLevel="0" collapsed="false">
      <c r="A30" s="17" t="n">
        <v>300000000</v>
      </c>
      <c r="B30" s="18" t="n">
        <v>60</v>
      </c>
      <c r="C30" s="19" t="s">
        <v>105</v>
      </c>
      <c r="D30" s="20" t="n">
        <v>0.115</v>
      </c>
      <c r="E30" s="20" t="n">
        <v>0.01</v>
      </c>
      <c r="F30" s="21" t="n">
        <f aca="false">ROUND(A30*E30,0)</f>
        <v>3000000</v>
      </c>
      <c r="G30" s="21" t="n">
        <f aca="false">ROUND(-PMT(D30/12,B30,A30),0)</f>
        <v>6597782</v>
      </c>
      <c r="H30" s="21" t="n">
        <f aca="false">G30*B30+F30</f>
        <v>398866920</v>
      </c>
      <c r="I30" s="21" t="n">
        <f aca="false">G30*B30-A30</f>
        <v>95866920</v>
      </c>
      <c r="J30" s="22" t="n">
        <f aca="false">COUNTIFS($A$2:$A$31,A30,$H$2:$H$31,"&lt;"&amp;H30)+1</f>
        <v>3</v>
      </c>
      <c r="K30" s="21" t="n">
        <f aca="false">H30-SUMIFS($H$2:$H$31,$A$2:$A$31,A30,$J$2:$J$31,1)</f>
        <v>14920140</v>
      </c>
      <c r="L30" s="23" t="str">
        <f aca="false">IF(J30=1,"Terbaik",IF(K30&lt;=A30*$O$2,"Layak Dipertimbangkan","Mahal"))</f>
        <v>Mahal</v>
      </c>
    </row>
    <row r="31" customFormat="false" ht="15" hidden="false" customHeight="false" outlineLevel="0" collapsed="false">
      <c r="A31" s="17" t="n">
        <v>300000000</v>
      </c>
      <c r="B31" s="18" t="n">
        <v>60</v>
      </c>
      <c r="C31" s="19" t="s">
        <v>106</v>
      </c>
      <c r="D31" s="20" t="n">
        <v>0.1</v>
      </c>
      <c r="E31" s="20" t="n">
        <v>0.005</v>
      </c>
      <c r="F31" s="21" t="n">
        <f aca="false">ROUND(A31*E31,0)</f>
        <v>1500000</v>
      </c>
      <c r="G31" s="21" t="n">
        <f aca="false">ROUND(-PMT(D31/12,B31,A31),0)</f>
        <v>6374113</v>
      </c>
      <c r="H31" s="21" t="n">
        <f aca="false">G31*B31+F31</f>
        <v>383946780</v>
      </c>
      <c r="I31" s="21" t="n">
        <f aca="false">G31*B31-A31</f>
        <v>82446780</v>
      </c>
      <c r="J31" s="22" t="n">
        <f aca="false">COUNTIFS($A$2:$A$31,A31,$H$2:$H$31,"&lt;"&amp;H31)+1</f>
        <v>1</v>
      </c>
      <c r="K31" s="21" t="n">
        <f aca="false">H31-SUMIFS($H$2:$H$31,$A$2:$A$31,A31,$J$2:$J$31,1)</f>
        <v>0</v>
      </c>
      <c r="L31" s="23" t="str">
        <f aca="false">IF(J31=1,"Terbaik",IF(K31&lt;=A31*$O$2,"Layak Dipertimbangkan","Mahal"))</f>
        <v>Terbaik</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3"/>
    <col collapsed="false" customWidth="true" hidden="false" outlineLevel="0" max="3" min="3" style="0" width="19"/>
    <col collapsed="false" customWidth="true" hidden="false" outlineLevel="0" max="4" min="4" style="0" width="20"/>
  </cols>
  <sheetData>
    <row r="1" customFormat="false" ht="33.75" hidden="false" customHeight="true" outlineLevel="0" collapsed="false">
      <c r="A1" s="11" t="s">
        <v>89</v>
      </c>
      <c r="B1" s="15" t="s">
        <v>107</v>
      </c>
      <c r="C1" s="15" t="s">
        <v>108</v>
      </c>
      <c r="D1" s="15" t="s">
        <v>109</v>
      </c>
    </row>
    <row r="2" customFormat="false" ht="15" hidden="false" customHeight="false" outlineLevel="0" collapsed="false">
      <c r="A2" s="19" t="s">
        <v>102</v>
      </c>
      <c r="B2" s="22" t="n">
        <f aca="false">COUNTIFS(Data!$C$2:$C$31,A2,Data!$L$2:$L$31,"Terbaik")</f>
        <v>4</v>
      </c>
      <c r="C2" s="21" t="n">
        <f aca="false">SUMIF(Data!$C$2:$C$31,A2,Data!$I$2:$I$31)</f>
        <v>304512860</v>
      </c>
      <c r="D2" s="21" t="n">
        <f aca="false">SUMIF(Data!$C$2:$C$31,A2,Data!$K$2:$K$31)</f>
        <v>28687980</v>
      </c>
    </row>
    <row r="3" customFormat="false" ht="15" hidden="false" customHeight="false" outlineLevel="0" collapsed="false">
      <c r="A3" s="19" t="s">
        <v>105</v>
      </c>
      <c r="B3" s="22" t="n">
        <f aca="false">COUNTIFS(Data!$C$2:$C$31,A3,Data!$L$2:$L$31,"Terbaik")</f>
        <v>3</v>
      </c>
      <c r="C3" s="21" t="n">
        <f aca="false">SUMIF(Data!$C$2:$C$31,A3,Data!$I$2:$I$31)</f>
        <v>312253364</v>
      </c>
      <c r="D3" s="21" t="n">
        <f aca="false">SUMIF(Data!$C$2:$C$31,A3,Data!$K$2:$K$31)</f>
        <v>25753484</v>
      </c>
    </row>
    <row r="4" customFormat="false" ht="15" hidden="false" customHeight="false" outlineLevel="0" collapsed="false">
      <c r="A4" s="19" t="s">
        <v>106</v>
      </c>
      <c r="B4" s="22" t="n">
        <f aca="false">COUNTIFS(Data!$C$2:$C$31,A4,Data!$L$2:$L$31,"Terbaik")</f>
        <v>3</v>
      </c>
      <c r="C4" s="21" t="n">
        <f aca="false">SUMIF(Data!$C$2:$C$31,A4,Data!$I$2:$I$31)</f>
        <v>345426776</v>
      </c>
      <c r="D4" s="21" t="n">
        <f aca="false">SUMIF(Data!$C$2:$C$31,A4,Data!$K$2:$K$31)</f>
        <v>54601896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6" t="s">
        <v>110</v>
      </c>
      <c r="B1" s="26"/>
      <c r="C1" s="26"/>
      <c r="D1" s="26"/>
    </row>
    <row r="2" customFormat="false" ht="15" hidden="false" customHeight="false" outlineLevel="0" collapsed="false">
      <c r="A2" s="27" t="s">
        <v>111</v>
      </c>
      <c r="B2" s="27"/>
      <c r="C2" s="27"/>
      <c r="D2" s="27"/>
    </row>
    <row r="3" customFormat="false" ht="15" hidden="false" customHeight="false" outlineLevel="0" collapsed="false">
      <c r="A3" s="11" t="s">
        <v>19</v>
      </c>
      <c r="B3" s="11" t="s">
        <v>112</v>
      </c>
      <c r="C3" s="11" t="s">
        <v>113</v>
      </c>
      <c r="D3" s="11" t="s">
        <v>114</v>
      </c>
    </row>
    <row r="4" customFormat="false" ht="15" hidden="false" customHeight="false" outlineLevel="0" collapsed="false">
      <c r="A4" s="28" t="s">
        <v>115</v>
      </c>
      <c r="B4" s="29" t="s">
        <v>116</v>
      </c>
      <c r="C4" s="21" t="n">
        <f aca="false">SUMIFS(Data!$G$2:$G$31,Data!$A$2:$A$31,100000000,Data!$C$2:$C$31,"Bank Nusa Karya")</f>
        <v>3250244</v>
      </c>
      <c r="D4" s="30" t="s">
        <v>117</v>
      </c>
    </row>
    <row r="5" customFormat="false" ht="15" hidden="false" customHeight="false" outlineLevel="0" collapsed="false">
      <c r="A5" s="28" t="s">
        <v>118</v>
      </c>
      <c r="B5" s="29" t="s">
        <v>119</v>
      </c>
      <c r="C5" s="21" t="n">
        <f aca="false">SUMIFS(Data!$H$2:$H$31,Data!$A$2:$A$31,100000000,Data!$C$2:$C$31,"Bank Nusa Karya")</f>
        <v>119008784</v>
      </c>
      <c r="D5" s="30" t="s">
        <v>120</v>
      </c>
    </row>
    <row r="6" customFormat="false" ht="15" hidden="false" customHeight="false" outlineLevel="0" collapsed="false">
      <c r="A6" s="28" t="s">
        <v>121</v>
      </c>
      <c r="B6" s="29" t="s">
        <v>122</v>
      </c>
      <c r="C6" s="21" t="n">
        <f aca="false">SUMIFS(Data!$H$2:$H$31,Data!$A$2:$A$31,200000000,Data!$J$2:$J$31,1)</f>
        <v>248792448</v>
      </c>
      <c r="D6" s="30" t="s">
        <v>123</v>
      </c>
    </row>
    <row r="7" customFormat="false" ht="15" hidden="false" customHeight="false" outlineLevel="0" collapsed="false">
      <c r="A7" s="28" t="s">
        <v>124</v>
      </c>
      <c r="B7" s="29" t="s">
        <v>125</v>
      </c>
      <c r="C7" s="23" t="str">
        <f aca="false">INDEX(Data!$C$2:$C$31,SUMPRODUCT((Data!$A$2:$A$31=200000000)*(Data!$J$2:$J$31=1)*(ROW(Data!$A$2:$A$31)-1)))</f>
        <v>Bank Nusa Karya</v>
      </c>
      <c r="D7" s="30" t="s">
        <v>126</v>
      </c>
    </row>
    <row r="8" customFormat="false" ht="15" hidden="false" customHeight="false" outlineLevel="0" collapsed="false">
      <c r="A8" s="28" t="s">
        <v>127</v>
      </c>
      <c r="B8" s="29" t="s">
        <v>128</v>
      </c>
      <c r="C8" s="23" t="str">
        <f aca="false">INDEX(Acuan!$A$2:$A$4,MATCH(MAX(Acuan!$B$2:$B$4),Acuan!$B$2:$B$4,0))</f>
        <v>Bank Nusa Karya</v>
      </c>
      <c r="D8" s="30" t="s">
        <v>126</v>
      </c>
    </row>
    <row r="9" customFormat="false" ht="15" hidden="false" customHeight="false" outlineLevel="0" collapsed="false">
      <c r="A9" s="28" t="s">
        <v>129</v>
      </c>
      <c r="B9" s="29" t="s">
        <v>130</v>
      </c>
      <c r="C9" s="22" t="n">
        <f aca="false">MAX(Acuan!$B$2:$B$4)</f>
        <v>4</v>
      </c>
      <c r="D9" s="30" t="s">
        <v>131</v>
      </c>
    </row>
    <row r="10" customFormat="false" ht="15" hidden="false" customHeight="false" outlineLevel="0" collapsed="false">
      <c r="A10" s="28" t="s">
        <v>132</v>
      </c>
      <c r="B10" s="29" t="s">
        <v>133</v>
      </c>
      <c r="C10" s="22" t="n">
        <f aca="false">COUNTIF(Data!$L$2:$L$31,"Terbaik")</f>
        <v>10</v>
      </c>
      <c r="D10" s="30" t="s">
        <v>134</v>
      </c>
    </row>
    <row r="11" customFormat="false" ht="15" hidden="false" customHeight="false" outlineLevel="0" collapsed="false">
      <c r="A11" s="28" t="s">
        <v>135</v>
      </c>
      <c r="B11" s="29" t="s">
        <v>136</v>
      </c>
      <c r="C11" s="22" t="n">
        <f aca="false">COUNTIF(Data!$L$2:$L$31,"Layak Dipertimbangkan")</f>
        <v>8</v>
      </c>
      <c r="D11" s="30" t="s">
        <v>137</v>
      </c>
    </row>
    <row r="12" customFormat="false" ht="15" hidden="false" customHeight="false" outlineLevel="0" collapsed="false">
      <c r="A12" s="28" t="s">
        <v>138</v>
      </c>
      <c r="B12" s="29" t="s">
        <v>139</v>
      </c>
      <c r="C12" s="22" t="n">
        <f aca="false">COUNTIF(Data!$L$2:$L$31,"Mahal")</f>
        <v>12</v>
      </c>
      <c r="D12" s="30" t="s">
        <v>140</v>
      </c>
    </row>
    <row r="13" customFormat="false" ht="15" hidden="false" customHeight="false" outlineLevel="0" collapsed="false">
      <c r="A13" s="28" t="s">
        <v>141</v>
      </c>
      <c r="B13" s="29" t="s">
        <v>142</v>
      </c>
      <c r="C13" s="21" t="n">
        <f aca="false">SUMIF(Data!$C$2:$C$31,"Koperasi Maju Bersama",Data!$H$2:$H$31)</f>
        <v>1639603364</v>
      </c>
      <c r="D13" s="30" t="s">
        <v>143</v>
      </c>
    </row>
    <row r="14" customFormat="false" ht="15" hidden="false" customHeight="false" outlineLevel="0" collapsed="false">
      <c r="A14" s="28" t="s">
        <v>144</v>
      </c>
      <c r="B14" s="29" t="s">
        <v>145</v>
      </c>
      <c r="C14" s="21" t="n">
        <f aca="false">SUMIF(Data!$L$2:$L$31,"Terbaik",Data!$H$2:$H$31)</f>
        <v>1613849880</v>
      </c>
      <c r="D14" s="30" t="s">
        <v>146</v>
      </c>
    </row>
    <row r="15" customFormat="false" ht="15" hidden="false" customHeight="false" outlineLevel="0" collapsed="false">
      <c r="A15" s="28" t="s">
        <v>147</v>
      </c>
      <c r="B15" s="29" t="s">
        <v>148</v>
      </c>
      <c r="C15" s="21" t="n">
        <f aca="false">C13-C14</f>
        <v>25753484</v>
      </c>
      <c r="D15" s="30" t="s">
        <v>149</v>
      </c>
    </row>
    <row r="16" customFormat="false" ht="15" hidden="false" customHeight="false" outlineLevel="0" collapsed="false">
      <c r="A16" s="28" t="s">
        <v>150</v>
      </c>
      <c r="B16" s="29" t="s">
        <v>151</v>
      </c>
      <c r="C16" s="21" t="n">
        <f aca="false">MAX(Data!$K$2:$K$31)</f>
        <v>26093760</v>
      </c>
      <c r="D16" s="30" t="s">
        <v>152</v>
      </c>
    </row>
    <row r="17" customFormat="false" ht="15" hidden="false" customHeight="false" outlineLevel="0" collapsed="false">
      <c r="A17" s="28" t="s">
        <v>153</v>
      </c>
      <c r="B17" s="29" t="s">
        <v>154</v>
      </c>
      <c r="C17" s="21" t="n">
        <f aca="false">INDEX(Data!$A$2:$A$31,MATCH(C16,Data!$K$2:$K$31,0))</f>
        <v>250000000</v>
      </c>
      <c r="D17" s="30" t="s">
        <v>155</v>
      </c>
    </row>
    <row r="18" customFormat="false" ht="15" hidden="false" customHeight="false" outlineLevel="0" collapsed="false">
      <c r="A18" s="28" t="s">
        <v>156</v>
      </c>
      <c r="B18" s="29" t="s">
        <v>157</v>
      </c>
      <c r="C18" s="23" t="str">
        <f aca="false">INDEX(Data!$C$2:$C$31,MATCH(C16,Data!$K$2:$K$31,0))</f>
        <v>BPR Sinar Harapan</v>
      </c>
      <c r="D18" s="30" t="s">
        <v>126</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2026-10-18T00:01:24Z</dcterms:created>
  <dc:creator>PushExcel</dc:creator>
  <dc:description/>
  <dc:language>en-US</dc:language>
  <cp:lastModifiedBy/>
  <dcterms:modified xsi:type="dcterms:W3CDTF">2026-10-18T00:01:24Z</dcterms:modified>
  <cp:revision>0</cp:revision>
  <dc:subject/>
  <dc:title>Membandingkan Tiga Tawaran Pinjaman Usaha - Kunci</dc:title>
</cp:coreProperties>
</file>

<file path=docProps/custom.xml><?xml version="1.0" encoding="utf-8"?>
<Properties xmlns="http://schemas.openxmlformats.org/officeDocument/2006/custom-properties" xmlns:vt="http://schemas.openxmlformats.org/officeDocument/2006/docPropsVTypes"/>
</file>