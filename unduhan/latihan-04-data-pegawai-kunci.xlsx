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Ringkas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<sst xmlns="http://schemas.openxmlformats.org/spreadsheetml/2006/main" count="273" uniqueCount="181">
  <si>
    <t xml:space="preserve">Kunci Jawaban: Rekap Data Pegawai (HRD)</t>
  </si>
  <si>
    <t xml:space="preserve">Latihan 4 dari 104  |  Tingkat: Menengah  |  Perkiraan waktu: 45 menit  |  pushexcel.github.io/Pushexcel</t>
  </si>
  <si>
    <t xml:space="preserve">Skenario</t>
  </si>
  <si>
    <t xml:space="preserve">Kamu staf HRD di PT Cahaya Nusantara. Direktur meminta rekap data 30 pegawai per 1 Oktober 2026: umur, masa kerja, kategori masa kerja, jumlah pegawai tiap departemen, sampai calon pegawai yang mendekati masa pensiun. Semua perhitungan memakai tanggal acuan 1 Oktober 2026.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</si>
  <si>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</si>
  <si>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</si>
  <si>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</si>
  <si>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</si>
  <si>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</si>
  <si>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</si>
  <si>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</si>
  <si>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</si>
  <si>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</si>
  <si>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</si>
  <si>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</si>
  <si>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</si>
  <si>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</si>
  <si>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</si>
  <si>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</si>
  <si>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</si>
  <si>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</si>
  <si>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</si>
  <si>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</si>
  <si>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</si>
  <si>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umur setiap pegawai dalam tahun penuh, dihitung sampai tanggal acuan.</t>
  </si>
  <si>
    <t xml:space="preserve">Sheet Data, kolom J (Umur (tahun)), baris 2 sampai 31</t>
  </si>
  <si>
    <t xml:space="preserve">=DATEDIF(E2;$O$2;"Y")</t>
  </si>
  <si>
    <t xml:space="preserve">2</t>
  </si>
  <si>
    <t xml:space="preserve">Hitung masa kerja setiap pegawai dalam tahun penuh, dari tanggal masuk sampai tanggal acuan.</t>
  </si>
  <si>
    <t xml:space="preserve">Sheet Data, kolom K (Masa Kerja (tahun)), baris 2 sampai 31</t>
  </si>
  <si>
    <t xml:space="preserve">=DATEDIF(F2;$O$2;"Y")</t>
  </si>
  <si>
    <t xml:space="preserve">3</t>
  </si>
  <si>
    <t xml:space="preserve">Kelompokkan masa kerja: di bawah batas Baru = Baru, di bawah batas Senior = Menengah, selain itu Senior.</t>
  </si>
  <si>
    <t xml:space="preserve">Sheet Data, kolom L (Kategori Masa Kerja), baris 2 sampai 31</t>
  </si>
  <si>
    <t xml:space="preserve">=IF(K2&lt;$O$3;"Baru";IF(K2&lt;$O$4;"Menengah";"Senior"))</t>
  </si>
  <si>
    <t xml:space="preserve">4</t>
  </si>
  <si>
    <t xml:space="preserve">Berapa jumlah pegawai di masing-masing departemen: Keuangan, Pemasaran, Produksi, Gudang, dan Umum?</t>
  </si>
  <si>
    <t xml:space="preserve">Sheet Ringkasan, sel C4 sampai C8</t>
  </si>
  <si>
    <t xml:space="preserve">=COUNTIF(Data!$G$2:$G$31;"Keuangan")
=COUNTIF(Data!$G$2:$G$31;"Pemasaran")
=COUNTIF(Data!$G$2:$G$31;"Produksi")
=COUNTIF(Data!$G$2:$G$31;"Gudang")
=COUNTIF(Data!$G$2:$G$31;"Umum")</t>
  </si>
  <si>
    <t xml:space="preserve">5</t>
  </si>
  <si>
    <t xml:space="preserve">Berapa rata-rata gaji pokok pegawai departemen Produksi?</t>
  </si>
  <si>
    <t xml:space="preserve">Sheet Ringkasan, sel C9</t>
  </si>
  <si>
    <t xml:space="preserve">=AVERAGEIF(Data!$G$2:$G$31;"Produksi";Data!$I$2:$I$31)</t>
  </si>
  <si>
    <t xml:space="preserve">6</t>
  </si>
  <si>
    <t xml:space="preserve">Berapa total gaji pokok seluruh pegawai per bulan?</t>
  </si>
  <si>
    <t xml:space="preserve">Sheet Ringkasan, sel C10</t>
  </si>
  <si>
    <t xml:space="preserve">=SUM(Data!$I$2:$I$31)</t>
  </si>
  <si>
    <t xml:space="preserve">7</t>
  </si>
  <si>
    <t xml:space="preserve">Siapa pegawai dengan gaji pokok tertinggi?</t>
  </si>
  <si>
    <t xml:space="preserve">Sheet Ringkasan, sel C11</t>
  </si>
  <si>
    <t xml:space="preserve">=INDEX(Data!$C$2:$C$31;MATCH(MAX(Data!$I$2:$I$31);Data!$I$2:$I$31;0))</t>
  </si>
  <si>
    <t xml:space="preserve">8</t>
  </si>
  <si>
    <t xml:space="preserve">Berapa pegawai perempuan (P) yang berjabatan Supervisor atau Manajer?</t>
  </si>
  <si>
    <t xml:space="preserve">Sheet Ringkasan, sel C12</t>
  </si>
  <si>
    <t xml:space="preserve">=COUNTIFS(Data!$D$2:$D$31;"P";Data!$H$2:$H$31;"Supervisor")+COUNTIFS(Data!$D$2:$D$31;"P";Data!$H$2:$H$31;"Manajer")</t>
  </si>
  <si>
    <t xml:space="preserve">9</t>
  </si>
  <si>
    <t xml:space="preserve">Berapa pegawai yang berumur 50 tahun atau lebih (mendekati masa pensiun)?</t>
  </si>
  <si>
    <t xml:space="preserve">Sheet Ringkasan, sel C13</t>
  </si>
  <si>
    <t xml:space="preserve">=COUNTIF(Data!$J$2:$J$31;"&gt;=50")</t>
  </si>
  <si>
    <t xml:space="preserve">10</t>
  </si>
  <si>
    <t xml:space="preserve">Berapa pegawai departemen Keuangan yang berkategori Senior?</t>
  </si>
  <si>
    <t xml:space="preserve">Sheet Ringkasan, sel C14</t>
  </si>
  <si>
    <t xml:space="preserve">=COUNTIFS(Data!$G$2:$G$31;"Keuangan";Data!$L$2:$L$31;"Senior")</t>
  </si>
  <si>
    <t xml:space="preserve">NIP</t>
  </si>
  <si>
    <t xml:space="preserve">Nama Pegawai</t>
  </si>
  <si>
    <t xml:space="preserve">JK</t>
  </si>
  <si>
    <t xml:space="preserve">Tanggal Lahir</t>
  </si>
  <si>
    <t xml:space="preserve">Tanggal Masuk</t>
  </si>
  <si>
    <t xml:space="preserve">Departemen</t>
  </si>
  <si>
    <t xml:space="preserve">Jabatan</t>
  </si>
  <si>
    <t xml:space="preserve">Gaji Pokok</t>
  </si>
  <si>
    <t xml:space="preserve">Umur (tahun)</t>
  </si>
  <si>
    <t xml:space="preserve">Masa Kerja (tahun)</t>
  </si>
  <si>
    <t xml:space="preserve">Kategori Masa Kerja</t>
  </si>
  <si>
    <t xml:space="preserve">Parameter</t>
  </si>
  <si>
    <t xml:space="preserve">Nilai</t>
  </si>
  <si>
    <t xml:space="preserve">Keterangan</t>
  </si>
  <si>
    <t xml:space="preserve">P-001</t>
  </si>
  <si>
    <t xml:space="preserve">Bagas Handayani</t>
  </si>
  <si>
    <t xml:space="preserve">L</t>
  </si>
  <si>
    <t xml:space="preserve">Pemasaran</t>
  </si>
  <si>
    <t xml:space="preserve">Manajer</t>
  </si>
  <si>
    <t xml:space="preserve">Tanggal acuan perhitungan</t>
  </si>
  <si>
    <t xml:space="preserve">Semua umur dan masa kerja dihitung sampai tanggal ini</t>
  </si>
  <si>
    <t xml:space="preserve">P-002</t>
  </si>
  <si>
    <t xml:space="preserve">Ratna Hidayat</t>
  </si>
  <si>
    <t xml:space="preserve">P</t>
  </si>
  <si>
    <t xml:space="preserve">Produksi</t>
  </si>
  <si>
    <t xml:space="preserve">Staf</t>
  </si>
  <si>
    <t xml:space="preserve">Batas kategori Baru (tahun)</t>
  </si>
  <si>
    <t xml:space="preserve">Masa kerja di bawah nilai ini = Baru</t>
  </si>
  <si>
    <t xml:space="preserve">P-003</t>
  </si>
  <si>
    <t xml:space="preserve">Mulyadi Handayani</t>
  </si>
  <si>
    <t xml:space="preserve">Batas kategori Senior (tahun)</t>
  </si>
  <si>
    <t xml:space="preserve">Masa kerja sama dengan atau di atas nilai ini = Senior</t>
  </si>
  <si>
    <t xml:space="preserve">P-004</t>
  </si>
  <si>
    <t xml:space="preserve">Budi Purnomo</t>
  </si>
  <si>
    <t xml:space="preserve">Keuangan</t>
  </si>
  <si>
    <t xml:space="preserve">Supervisor</t>
  </si>
  <si>
    <t xml:space="preserve">P-005</t>
  </si>
  <si>
    <t xml:space="preserve">Dewi Firmansyah</t>
  </si>
  <si>
    <t xml:space="preserve">P-006</t>
  </si>
  <si>
    <t xml:space="preserve">Zainal Handayani</t>
  </si>
  <si>
    <t xml:space="preserve">P-007</t>
  </si>
  <si>
    <t xml:space="preserve">Vivi Utomo</t>
  </si>
  <si>
    <t xml:space="preserve">P-008</t>
  </si>
  <si>
    <t xml:space="preserve">Lukman Wibowo</t>
  </si>
  <si>
    <t xml:space="preserve">P-009</t>
  </si>
  <si>
    <t xml:space="preserve">Indah Utomo</t>
  </si>
  <si>
    <t xml:space="preserve">P-010</t>
  </si>
  <si>
    <t xml:space="preserve">Indra Maulana</t>
  </si>
  <si>
    <t xml:space="preserve">Gudang</t>
  </si>
  <si>
    <t xml:space="preserve">P-011</t>
  </si>
  <si>
    <t xml:space="preserve">Joko Firmansyah</t>
  </si>
  <si>
    <t xml:space="preserve">P-012</t>
  </si>
  <si>
    <t xml:space="preserve">Lukman Utomo</t>
  </si>
  <si>
    <t xml:space="preserve">P-013</t>
  </si>
  <si>
    <t xml:space="preserve">Indra Utomo</t>
  </si>
  <si>
    <t xml:space="preserve">P-014</t>
  </si>
  <si>
    <t xml:space="preserve">Bayu Santoso</t>
  </si>
  <si>
    <t xml:space="preserve">P-015</t>
  </si>
  <si>
    <t xml:space="preserve">Edi Hidayat</t>
  </si>
  <si>
    <t xml:space="preserve">P-016</t>
  </si>
  <si>
    <t xml:space="preserve">Nurul Ramadhan</t>
  </si>
  <si>
    <t xml:space="preserve">Umum</t>
  </si>
  <si>
    <t xml:space="preserve">P-017</t>
  </si>
  <si>
    <t xml:space="preserve">Tika Handayani</t>
  </si>
  <si>
    <t xml:space="preserve">P-018</t>
  </si>
  <si>
    <t xml:space="preserve">Edi Pratama</t>
  </si>
  <si>
    <t xml:space="preserve">P-019</t>
  </si>
  <si>
    <t xml:space="preserve">Maya Firmansyah</t>
  </si>
  <si>
    <t xml:space="preserve">P-020</t>
  </si>
  <si>
    <t xml:space="preserve">Lukman Anggraini</t>
  </si>
  <si>
    <t xml:space="preserve">P-021</t>
  </si>
  <si>
    <t xml:space="preserve">Yusuf Kurniawan</t>
  </si>
  <si>
    <t xml:space="preserve">P-022</t>
  </si>
  <si>
    <t xml:space="preserve">Bayu Wibowo</t>
  </si>
  <si>
    <t xml:space="preserve">P-023</t>
  </si>
  <si>
    <t xml:space="preserve">Eko Wijaya</t>
  </si>
  <si>
    <t xml:space="preserve">P-024</t>
  </si>
  <si>
    <t xml:space="preserve">Teguh Kurniawan</t>
  </si>
  <si>
    <t xml:space="preserve">P-025</t>
  </si>
  <si>
    <t xml:space="preserve">Taufik Susanto</t>
  </si>
  <si>
    <t xml:space="preserve">P-026</t>
  </si>
  <si>
    <t xml:space="preserve">Hana Saputra</t>
  </si>
  <si>
    <t xml:space="preserve">P-027</t>
  </si>
  <si>
    <t xml:space="preserve">Gita Permana</t>
  </si>
  <si>
    <t xml:space="preserve">P-028</t>
  </si>
  <si>
    <t xml:space="preserve">Rizki Wijaya</t>
  </si>
  <si>
    <t xml:space="preserve">P-029</t>
  </si>
  <si>
    <t xml:space="preserve">Anwar Maulana</t>
  </si>
  <si>
    <t xml:space="preserve">P-030</t>
  </si>
  <si>
    <t xml:space="preserve">Anwar Purnomo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</si>
  <si>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</si>
  <si>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</si>
  <si>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</si>
  <si>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</si>
  <si>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</si>
  <si>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4a</t>
  </si>
  <si>
    <t xml:space="preserve">Jumlah pegawai departemen Keuangan</t>
  </si>
  <si>
    <t xml:space="preserve">Angka bulat, mis. 7</t>
  </si>
  <si>
    <t xml:space="preserve">4b</t>
  </si>
  <si>
    <t xml:space="preserve">Jumlah pegawai departemen Pemasaran</t>
  </si>
  <si>
    <t xml:space="preserve">4c</t>
  </si>
  <si>
    <t xml:space="preserve">Jumlah pegawai departemen Produksi</t>
  </si>
  <si>
    <t xml:space="preserve">4d</t>
  </si>
  <si>
    <t xml:space="preserve">Jumlah pegawai departemen Gudang</t>
  </si>
  <si>
    <t xml:space="preserve">4e</t>
  </si>
  <si>
    <t xml:space="preserve">Jumlah pegawai departemen Umum</t>
  </si>
  <si>
    <t xml:space="preserve">Rata-rata gaji pokok departemen Produksi</t>
  </si>
  <si>
    <t xml:space="preserve">Rupiah, mis. Rp 5.450.000</t>
  </si>
  <si>
    <t xml:space="preserve">Total gaji pokok seluruh pegawai</t>
  </si>
  <si>
    <t xml:space="preserve">Rupiah, mis. Rp 210.000.000</t>
  </si>
  <si>
    <t xml:space="preserve">Nama pegawai bergaji pokok tertinggi</t>
  </si>
  <si>
    <t xml:space="preserve">Teks: nama pegawai</t>
  </si>
  <si>
    <t xml:space="preserve">Jumlah pegawai perempuan berjabatan Supervisor atau Manajer</t>
  </si>
  <si>
    <t xml:space="preserve">Angka bulat, mis. 5</t>
  </si>
  <si>
    <t xml:space="preserve">Jumlah pegawai berumur 50 tahun atau lebih</t>
  </si>
  <si>
    <t xml:space="preserve">Angka bulat, mis. 4</t>
  </si>
  <si>
    <t xml:space="preserve">Jumlah pegawai Keuangan berkategori Senior</t>
  </si>
  <si>
    <t xml:space="preserve">Angka bulat, mis. 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</si>
</sst>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d/mm/yyyy"/>
    <numFmt numFmtId="167" formatCode="&quot;Rp &quot;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97.5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7" min="5" style="0" width="13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3.75" hidden="false" customHeight="true" outlineLevel="0" collapsed="false">
      <c r="A1" s="12" t="s">
        <v>19</v>
      </c>
      <c r="B1" s="12" t="s">
        <v>63</v>
      </c>
      <c r="C1" s="12" t="s">
        <v>64</v>
      </c>
      <c r="D1" s="12" t="s">
        <v>65</v>
      </c>
      <c r="E1" s="12" t="s">
        <v>66</v>
      </c>
      <c r="F1" s="12" t="s">
        <v>67</v>
      </c>
      <c r="G1" s="12" t="s">
        <v>68</v>
      </c>
      <c r="H1" s="12" t="s">
        <v>69</v>
      </c>
      <c r="I1" s="12" t="s">
        <v>70</v>
      </c>
      <c r="J1" s="16" t="s">
        <v>71</v>
      </c>
      <c r="K1" s="16" t="s">
        <v>72</v>
      </c>
      <c r="L1" s="16" t="s">
        <v>73</v>
      </c>
      <c r="N1" s="17" t="s">
        <v>74</v>
      </c>
      <c r="O1" s="17" t="s">
        <v>75</v>
      </c>
      <c r="P1" s="17" t="s">
        <v>76</v>
      </c>
    </row>
    <row r="2" customFormat="false" ht="22.35" hidden="false" customHeight="false" outlineLevel="0" collapsed="false">
      <c r="A2" s="18" t="n">
        <v>1</v>
      </c>
      <c r="B2" s="19" t="s">
        <v>77</v>
      </c>
      <c r="C2" s="19" t="s">
        <v>78</v>
      </c>
      <c r="D2" s="19" t="s">
        <v>79</v>
      </c>
      <c r="E2" s="20" t="n">
        <v>24500</v>
      </c>
      <c r="F2" s="20" t="n">
        <v>45715</v>
      </c>
      <c r="G2" s="19" t="s">
        <v>80</v>
      </c>
      <c r="H2" s="19" t="s">
        <v>81</v>
      </c>
      <c r="I2" s="21" t="n">
        <v>11300000</v>
      </c>
      <c r="J2" s="22" t="n">
        <f aca="false">DATEDIF(E2,$O$2,"Y")</f>
        <v>59</v>
      </c>
      <c r="K2" s="22" t="n">
        <f aca="false">DATEDIF(F2,$O$2,"Y")</f>
        <v>1</v>
      </c>
      <c r="L2" s="23" t="str">
        <f aca="false">IF(K2&lt;$O$3,"Baru",IF(K2&lt;$O$4,"Menengah","Senior"))</f>
        <v>Baru</v>
      </c>
      <c r="N2" s="24" t="s">
        <v>82</v>
      </c>
      <c r="O2" s="25" t="n">
        <v>46296</v>
      </c>
      <c r="P2" s="26" t="s">
        <v>83</v>
      </c>
    </row>
    <row r="3" customFormat="false" ht="15" hidden="false" customHeight="false" outlineLevel="0" collapsed="false">
      <c r="A3" s="18" t="n">
        <v>2</v>
      </c>
      <c r="B3" s="19" t="s">
        <v>84</v>
      </c>
      <c r="C3" s="19" t="s">
        <v>85</v>
      </c>
      <c r="D3" s="19" t="s">
        <v>86</v>
      </c>
      <c r="E3" s="20" t="n">
        <v>34232</v>
      </c>
      <c r="F3" s="20" t="n">
        <v>42271</v>
      </c>
      <c r="G3" s="19" t="s">
        <v>87</v>
      </c>
      <c r="H3" s="19" t="s">
        <v>88</v>
      </c>
      <c r="I3" s="21" t="n">
        <v>5300000</v>
      </c>
      <c r="J3" s="22" t="n">
        <f aca="false">DATEDIF(E3,$O$2,"Y")</f>
        <v>33</v>
      </c>
      <c r="K3" s="22" t="n">
        <f aca="false">DATEDIF(F3,$O$2,"Y")</f>
        <v>11</v>
      </c>
      <c r="L3" s="23" t="str">
        <f aca="false">IF(K3&lt;$O$3,"Baru",IF(K3&lt;$O$4,"Menengah","Senior"))</f>
        <v>Senior</v>
      </c>
      <c r="N3" s="24" t="s">
        <v>89</v>
      </c>
      <c r="O3" s="27" t="n">
        <v>2</v>
      </c>
      <c r="P3" s="26" t="s">
        <v>90</v>
      </c>
    </row>
    <row r="4" customFormat="false" ht="15" hidden="false" customHeight="false" outlineLevel="0" collapsed="false">
      <c r="A4" s="18" t="n">
        <v>3</v>
      </c>
      <c r="B4" s="19" t="s">
        <v>91</v>
      </c>
      <c r="C4" s="19" t="s">
        <v>92</v>
      </c>
      <c r="D4" s="19" t="s">
        <v>79</v>
      </c>
      <c r="E4" s="20" t="n">
        <v>34561</v>
      </c>
      <c r="F4" s="20" t="n">
        <v>46222</v>
      </c>
      <c r="G4" s="19" t="s">
        <v>87</v>
      </c>
      <c r="H4" s="19" t="s">
        <v>88</v>
      </c>
      <c r="I4" s="21" t="n">
        <v>3800000</v>
      </c>
      <c r="J4" s="22" t="n">
        <f aca="false">DATEDIF(E4,$O$2,"Y")</f>
        <v>32</v>
      </c>
      <c r="K4" s="22" t="n">
        <f aca="false">DATEDIF(F4,$O$2,"Y")</f>
        <v>0</v>
      </c>
      <c r="L4" s="23" t="str">
        <f aca="false">IF(K4&lt;$O$3,"Baru",IF(K4&lt;$O$4,"Menengah","Senior"))</f>
        <v>Baru</v>
      </c>
      <c r="N4" s="24" t="s">
        <v>93</v>
      </c>
      <c r="O4" s="27" t="n">
        <v>5</v>
      </c>
      <c r="P4" s="26" t="s">
        <v>94</v>
      </c>
    </row>
    <row r="5" customFormat="false" ht="15" hidden="false" customHeight="false" outlineLevel="0" collapsed="false">
      <c r="A5" s="18" t="n">
        <v>4</v>
      </c>
      <c r="B5" s="19" t="s">
        <v>95</v>
      </c>
      <c r="C5" s="19" t="s">
        <v>96</v>
      </c>
      <c r="D5" s="19" t="s">
        <v>79</v>
      </c>
      <c r="E5" s="20" t="n">
        <v>32870</v>
      </c>
      <c r="F5" s="20" t="n">
        <v>41913</v>
      </c>
      <c r="G5" s="19" t="s">
        <v>97</v>
      </c>
      <c r="H5" s="19" t="s">
        <v>98</v>
      </c>
      <c r="I5" s="21" t="n">
        <v>9000000</v>
      </c>
      <c r="J5" s="22" t="n">
        <f aca="false">DATEDIF(E5,$O$2,"Y")</f>
        <v>36</v>
      </c>
      <c r="K5" s="22" t="n">
        <f aca="false">DATEDIF(F5,$O$2,"Y")</f>
        <v>12</v>
      </c>
      <c r="L5" s="23" t="str">
        <f aca="false">IF(K5&lt;$O$3,"Baru",IF(K5&lt;$O$4,"Menengah","Senior"))</f>
        <v>Senior</v>
      </c>
    </row>
    <row r="6" customFormat="false" ht="15" hidden="false" customHeight="false" outlineLevel="0" collapsed="false">
      <c r="A6" s="18" t="n">
        <v>5</v>
      </c>
      <c r="B6" s="19" t="s">
        <v>99</v>
      </c>
      <c r="C6" s="19" t="s">
        <v>100</v>
      </c>
      <c r="D6" s="19" t="s">
        <v>86</v>
      </c>
      <c r="E6" s="20" t="n">
        <v>26009</v>
      </c>
      <c r="F6" s="20" t="n">
        <v>38657</v>
      </c>
      <c r="G6" s="19" t="s">
        <v>87</v>
      </c>
      <c r="H6" s="19" t="s">
        <v>81</v>
      </c>
      <c r="I6" s="21" t="n">
        <v>14700000</v>
      </c>
      <c r="J6" s="22" t="n">
        <f aca="false">DATEDIF(E6,$O$2,"Y")</f>
        <v>55</v>
      </c>
      <c r="K6" s="22" t="n">
        <f aca="false">DATEDIF(F6,$O$2,"Y")</f>
        <v>20</v>
      </c>
      <c r="L6" s="23" t="str">
        <f aca="false">IF(K6&lt;$O$3,"Baru",IF(K6&lt;$O$4,"Menengah","Senior"))</f>
        <v>Senior</v>
      </c>
    </row>
    <row r="7" customFormat="false" ht="15" hidden="false" customHeight="false" outlineLevel="0" collapsed="false">
      <c r="A7" s="18" t="n">
        <v>6</v>
      </c>
      <c r="B7" s="19" t="s">
        <v>101</v>
      </c>
      <c r="C7" s="19" t="s">
        <v>102</v>
      </c>
      <c r="D7" s="19" t="s">
        <v>79</v>
      </c>
      <c r="E7" s="20" t="n">
        <v>31311</v>
      </c>
      <c r="F7" s="20" t="n">
        <v>44296</v>
      </c>
      <c r="G7" s="19" t="s">
        <v>97</v>
      </c>
      <c r="H7" s="19" t="s">
        <v>88</v>
      </c>
      <c r="I7" s="21" t="n">
        <v>4550000</v>
      </c>
      <c r="J7" s="22" t="n">
        <f aca="false">DATEDIF(E7,$O$2,"Y")</f>
        <v>41</v>
      </c>
      <c r="K7" s="22" t="n">
        <f aca="false">DATEDIF(F7,$O$2,"Y")</f>
        <v>5</v>
      </c>
      <c r="L7" s="23" t="str">
        <f aca="false">IF(K7&lt;$O$3,"Baru",IF(K7&lt;$O$4,"Menengah","Senior"))</f>
        <v>Senior</v>
      </c>
    </row>
    <row r="8" customFormat="false" ht="15" hidden="false" customHeight="false" outlineLevel="0" collapsed="false">
      <c r="A8" s="18" t="n">
        <v>7</v>
      </c>
      <c r="B8" s="19" t="s">
        <v>103</v>
      </c>
      <c r="C8" s="19" t="s">
        <v>104</v>
      </c>
      <c r="D8" s="19" t="s">
        <v>86</v>
      </c>
      <c r="E8" s="20" t="n">
        <v>31372</v>
      </c>
      <c r="F8" s="20" t="n">
        <v>40713</v>
      </c>
      <c r="G8" s="19" t="s">
        <v>87</v>
      </c>
      <c r="H8" s="19" t="s">
        <v>98</v>
      </c>
      <c r="I8" s="21" t="n">
        <v>9050000</v>
      </c>
      <c r="J8" s="22" t="n">
        <f aca="false">DATEDIF(E8,$O$2,"Y")</f>
        <v>40</v>
      </c>
      <c r="K8" s="22" t="n">
        <f aca="false">DATEDIF(F8,$O$2,"Y")</f>
        <v>15</v>
      </c>
      <c r="L8" s="23" t="str">
        <f aca="false">IF(K8&lt;$O$3,"Baru",IF(K8&lt;$O$4,"Menengah","Senior"))</f>
        <v>Senior</v>
      </c>
    </row>
    <row r="9" customFormat="false" ht="15" hidden="false" customHeight="false" outlineLevel="0" collapsed="false">
      <c r="A9" s="18" t="n">
        <v>8</v>
      </c>
      <c r="B9" s="19" t="s">
        <v>105</v>
      </c>
      <c r="C9" s="19" t="s">
        <v>106</v>
      </c>
      <c r="D9" s="19" t="s">
        <v>79</v>
      </c>
      <c r="E9" s="20" t="n">
        <v>34430</v>
      </c>
      <c r="F9" s="20" t="n">
        <v>45673</v>
      </c>
      <c r="G9" s="19" t="s">
        <v>87</v>
      </c>
      <c r="H9" s="19" t="s">
        <v>88</v>
      </c>
      <c r="I9" s="21" t="n">
        <v>4000000</v>
      </c>
      <c r="J9" s="22" t="n">
        <f aca="false">DATEDIF(E9,$O$2,"Y")</f>
        <v>32</v>
      </c>
      <c r="K9" s="22" t="n">
        <f aca="false">DATEDIF(F9,$O$2,"Y")</f>
        <v>1</v>
      </c>
      <c r="L9" s="23" t="str">
        <f aca="false">IF(K9&lt;$O$3,"Baru",IF(K9&lt;$O$4,"Menengah","Senior"))</f>
        <v>Baru</v>
      </c>
    </row>
    <row r="10" customFormat="false" ht="15" hidden="false" customHeight="false" outlineLevel="0" collapsed="false">
      <c r="A10" s="18" t="n">
        <v>9</v>
      </c>
      <c r="B10" s="19" t="s">
        <v>107</v>
      </c>
      <c r="C10" s="19" t="s">
        <v>108</v>
      </c>
      <c r="D10" s="19" t="s">
        <v>86</v>
      </c>
      <c r="E10" s="20" t="n">
        <v>37724</v>
      </c>
      <c r="F10" s="20" t="n">
        <v>46160</v>
      </c>
      <c r="G10" s="19" t="s">
        <v>80</v>
      </c>
      <c r="H10" s="19" t="s">
        <v>88</v>
      </c>
      <c r="I10" s="21" t="n">
        <v>3900000</v>
      </c>
      <c r="J10" s="22" t="n">
        <f aca="false">DATEDIF(E10,$O$2,"Y")</f>
        <v>23</v>
      </c>
      <c r="K10" s="22" t="n">
        <f aca="false">DATEDIF(F10,$O$2,"Y")</f>
        <v>0</v>
      </c>
      <c r="L10" s="23" t="str">
        <f aca="false">IF(K10&lt;$O$3,"Baru",IF(K10&lt;$O$4,"Menengah","Senior"))</f>
        <v>Baru</v>
      </c>
    </row>
    <row r="11" customFormat="false" ht="15" hidden="false" customHeight="false" outlineLevel="0" collapsed="false">
      <c r="A11" s="18" t="n">
        <v>10</v>
      </c>
      <c r="B11" s="19" t="s">
        <v>109</v>
      </c>
      <c r="C11" s="19" t="s">
        <v>110</v>
      </c>
      <c r="D11" s="19" t="s">
        <v>79</v>
      </c>
      <c r="E11" s="20" t="n">
        <v>33873</v>
      </c>
      <c r="F11" s="20" t="n">
        <v>44566</v>
      </c>
      <c r="G11" s="19" t="s">
        <v>111</v>
      </c>
      <c r="H11" s="19" t="s">
        <v>88</v>
      </c>
      <c r="I11" s="21" t="n">
        <v>4500000</v>
      </c>
      <c r="J11" s="22" t="n">
        <f aca="false">DATEDIF(E11,$O$2,"Y")</f>
        <v>34</v>
      </c>
      <c r="K11" s="22" t="n">
        <f aca="false">DATEDIF(F11,$O$2,"Y")</f>
        <v>4</v>
      </c>
      <c r="L11" s="23" t="str">
        <f aca="false">IF(K11&lt;$O$3,"Baru",IF(K11&lt;$O$4,"Menengah","Senior"))</f>
        <v>Menengah</v>
      </c>
    </row>
    <row r="12" customFormat="false" ht="15" hidden="false" customHeight="false" outlineLevel="0" collapsed="false">
      <c r="A12" s="18" t="n">
        <v>11</v>
      </c>
      <c r="B12" s="19" t="s">
        <v>112</v>
      </c>
      <c r="C12" s="19" t="s">
        <v>113</v>
      </c>
      <c r="D12" s="19" t="s">
        <v>79</v>
      </c>
      <c r="E12" s="20" t="n">
        <v>37140</v>
      </c>
      <c r="F12" s="20" t="n">
        <v>46183</v>
      </c>
      <c r="G12" s="19" t="s">
        <v>111</v>
      </c>
      <c r="H12" s="19" t="s">
        <v>88</v>
      </c>
      <c r="I12" s="21" t="n">
        <v>3900000</v>
      </c>
      <c r="J12" s="22" t="n">
        <f aca="false">DATEDIF(E12,$O$2,"Y")</f>
        <v>25</v>
      </c>
      <c r="K12" s="22" t="n">
        <f aca="false">DATEDIF(F12,$O$2,"Y")</f>
        <v>0</v>
      </c>
      <c r="L12" s="23" t="str">
        <f aca="false">IF(K12&lt;$O$3,"Baru",IF(K12&lt;$O$4,"Menengah","Senior"))</f>
        <v>Baru</v>
      </c>
    </row>
    <row r="13" customFormat="false" ht="15" hidden="false" customHeight="false" outlineLevel="0" collapsed="false">
      <c r="A13" s="18" t="n">
        <v>12</v>
      </c>
      <c r="B13" s="19" t="s">
        <v>114</v>
      </c>
      <c r="C13" s="19" t="s">
        <v>115</v>
      </c>
      <c r="D13" s="19" t="s">
        <v>79</v>
      </c>
      <c r="E13" s="20" t="n">
        <v>34591</v>
      </c>
      <c r="F13" s="20" t="n">
        <v>43869</v>
      </c>
      <c r="G13" s="19" t="s">
        <v>87</v>
      </c>
      <c r="H13" s="19" t="s">
        <v>88</v>
      </c>
      <c r="I13" s="21" t="n">
        <v>4750000</v>
      </c>
      <c r="J13" s="22" t="n">
        <f aca="false">DATEDIF(E13,$O$2,"Y")</f>
        <v>32</v>
      </c>
      <c r="K13" s="22" t="n">
        <f aca="false">DATEDIF(F13,$O$2,"Y")</f>
        <v>6</v>
      </c>
      <c r="L13" s="23" t="str">
        <f aca="false">IF(K13&lt;$O$3,"Baru",IF(K13&lt;$O$4,"Menengah","Senior"))</f>
        <v>Senior</v>
      </c>
    </row>
    <row r="14" customFormat="false" ht="15" hidden="false" customHeight="false" outlineLevel="0" collapsed="false">
      <c r="A14" s="18" t="n">
        <v>13</v>
      </c>
      <c r="B14" s="19" t="s">
        <v>116</v>
      </c>
      <c r="C14" s="19" t="s">
        <v>117</v>
      </c>
      <c r="D14" s="19" t="s">
        <v>79</v>
      </c>
      <c r="E14" s="20" t="n">
        <v>26520</v>
      </c>
      <c r="F14" s="20" t="n">
        <v>40047</v>
      </c>
      <c r="G14" s="19" t="s">
        <v>80</v>
      </c>
      <c r="H14" s="19" t="s">
        <v>81</v>
      </c>
      <c r="I14" s="21" t="n">
        <v>14600000</v>
      </c>
      <c r="J14" s="22" t="n">
        <f aca="false">DATEDIF(E14,$O$2,"Y")</f>
        <v>54</v>
      </c>
      <c r="K14" s="22" t="n">
        <f aca="false">DATEDIF(F14,$O$2,"Y")</f>
        <v>17</v>
      </c>
      <c r="L14" s="23" t="str">
        <f aca="false">IF(K14&lt;$O$3,"Baru",IF(K14&lt;$O$4,"Menengah","Senior"))</f>
        <v>Senior</v>
      </c>
    </row>
    <row r="15" customFormat="false" ht="15" hidden="false" customHeight="false" outlineLevel="0" collapsed="false">
      <c r="A15" s="18" t="n">
        <v>14</v>
      </c>
      <c r="B15" s="19" t="s">
        <v>118</v>
      </c>
      <c r="C15" s="19" t="s">
        <v>119</v>
      </c>
      <c r="D15" s="19" t="s">
        <v>79</v>
      </c>
      <c r="E15" s="20" t="n">
        <v>32794</v>
      </c>
      <c r="F15" s="20" t="n">
        <v>44356</v>
      </c>
      <c r="G15" s="19" t="s">
        <v>97</v>
      </c>
      <c r="H15" s="19" t="s">
        <v>88</v>
      </c>
      <c r="I15" s="21" t="n">
        <v>4600000</v>
      </c>
      <c r="J15" s="22" t="n">
        <f aca="false">DATEDIF(E15,$O$2,"Y")</f>
        <v>36</v>
      </c>
      <c r="K15" s="22" t="n">
        <f aca="false">DATEDIF(F15,$O$2,"Y")</f>
        <v>5</v>
      </c>
      <c r="L15" s="23" t="str">
        <f aca="false">IF(K15&lt;$O$3,"Baru",IF(K15&lt;$O$4,"Menengah","Senior"))</f>
        <v>Senior</v>
      </c>
    </row>
    <row r="16" customFormat="false" ht="15" hidden="false" customHeight="false" outlineLevel="0" collapsed="false">
      <c r="A16" s="18" t="n">
        <v>15</v>
      </c>
      <c r="B16" s="19" t="s">
        <v>120</v>
      </c>
      <c r="C16" s="19" t="s">
        <v>121</v>
      </c>
      <c r="D16" s="19" t="s">
        <v>79</v>
      </c>
      <c r="E16" s="20" t="n">
        <v>32973</v>
      </c>
      <c r="F16" s="20" t="n">
        <v>45711</v>
      </c>
      <c r="G16" s="19" t="s">
        <v>80</v>
      </c>
      <c r="H16" s="19" t="s">
        <v>88</v>
      </c>
      <c r="I16" s="21" t="n">
        <v>4050000</v>
      </c>
      <c r="J16" s="22" t="n">
        <f aca="false">DATEDIF(E16,$O$2,"Y")</f>
        <v>36</v>
      </c>
      <c r="K16" s="22" t="n">
        <f aca="false">DATEDIF(F16,$O$2,"Y")</f>
        <v>1</v>
      </c>
      <c r="L16" s="23" t="str">
        <f aca="false">IF(K16&lt;$O$3,"Baru",IF(K16&lt;$O$4,"Menengah","Senior"))</f>
        <v>Baru</v>
      </c>
    </row>
    <row r="17" customFormat="false" ht="15" hidden="false" customHeight="false" outlineLevel="0" collapsed="false">
      <c r="A17" s="18" t="n">
        <v>16</v>
      </c>
      <c r="B17" s="19" t="s">
        <v>122</v>
      </c>
      <c r="C17" s="19" t="s">
        <v>123</v>
      </c>
      <c r="D17" s="19" t="s">
        <v>86</v>
      </c>
      <c r="E17" s="20" t="n">
        <v>29682</v>
      </c>
      <c r="F17" s="20" t="n">
        <v>39669</v>
      </c>
      <c r="G17" s="19" t="s">
        <v>124</v>
      </c>
      <c r="H17" s="19" t="s">
        <v>98</v>
      </c>
      <c r="I17" s="21" t="n">
        <v>9100000</v>
      </c>
      <c r="J17" s="22" t="n">
        <f aca="false">DATEDIF(E17,$O$2,"Y")</f>
        <v>45</v>
      </c>
      <c r="K17" s="22" t="n">
        <f aca="false">DATEDIF(F17,$O$2,"Y")</f>
        <v>18</v>
      </c>
      <c r="L17" s="23" t="str">
        <f aca="false">IF(K17&lt;$O$3,"Baru",IF(K17&lt;$O$4,"Menengah","Senior"))</f>
        <v>Senior</v>
      </c>
    </row>
    <row r="18" customFormat="false" ht="15" hidden="false" customHeight="false" outlineLevel="0" collapsed="false">
      <c r="A18" s="18" t="n">
        <v>17</v>
      </c>
      <c r="B18" s="19" t="s">
        <v>125</v>
      </c>
      <c r="C18" s="19" t="s">
        <v>126</v>
      </c>
      <c r="D18" s="19" t="s">
        <v>86</v>
      </c>
      <c r="E18" s="20" t="n">
        <v>34628</v>
      </c>
      <c r="F18" s="20" t="n">
        <v>44406</v>
      </c>
      <c r="G18" s="19" t="s">
        <v>87</v>
      </c>
      <c r="H18" s="19" t="s">
        <v>88</v>
      </c>
      <c r="I18" s="21" t="n">
        <v>4600000</v>
      </c>
      <c r="J18" s="22" t="n">
        <f aca="false">DATEDIF(E18,$O$2,"Y")</f>
        <v>31</v>
      </c>
      <c r="K18" s="22" t="n">
        <f aca="false">DATEDIF(F18,$O$2,"Y")</f>
        <v>5</v>
      </c>
      <c r="L18" s="23" t="str">
        <f aca="false">IF(K18&lt;$O$3,"Baru",IF(K18&lt;$O$4,"Menengah","Senior"))</f>
        <v>Senior</v>
      </c>
    </row>
    <row r="19" customFormat="false" ht="15" hidden="false" customHeight="false" outlineLevel="0" collapsed="false">
      <c r="A19" s="18" t="n">
        <v>18</v>
      </c>
      <c r="B19" s="19" t="s">
        <v>127</v>
      </c>
      <c r="C19" s="19" t="s">
        <v>128</v>
      </c>
      <c r="D19" s="19" t="s">
        <v>79</v>
      </c>
      <c r="E19" s="20" t="n">
        <v>32445</v>
      </c>
      <c r="F19" s="20" t="n">
        <v>44637</v>
      </c>
      <c r="G19" s="19" t="s">
        <v>111</v>
      </c>
      <c r="H19" s="19" t="s">
        <v>88</v>
      </c>
      <c r="I19" s="21" t="n">
        <v>4450000</v>
      </c>
      <c r="J19" s="22" t="n">
        <f aca="false">DATEDIF(E19,$O$2,"Y")</f>
        <v>37</v>
      </c>
      <c r="K19" s="22" t="n">
        <f aca="false">DATEDIF(F19,$O$2,"Y")</f>
        <v>4</v>
      </c>
      <c r="L19" s="23" t="str">
        <f aca="false">IF(K19&lt;$O$3,"Baru",IF(K19&lt;$O$4,"Menengah","Senior"))</f>
        <v>Menengah</v>
      </c>
    </row>
    <row r="20" customFormat="false" ht="15" hidden="false" customHeight="false" outlineLevel="0" collapsed="false">
      <c r="A20" s="18" t="n">
        <v>19</v>
      </c>
      <c r="B20" s="19" t="s">
        <v>129</v>
      </c>
      <c r="C20" s="19" t="s">
        <v>130</v>
      </c>
      <c r="D20" s="19" t="s">
        <v>86</v>
      </c>
      <c r="E20" s="20" t="n">
        <v>30848</v>
      </c>
      <c r="F20" s="20" t="n">
        <v>38908</v>
      </c>
      <c r="G20" s="19" t="s">
        <v>80</v>
      </c>
      <c r="H20" s="19" t="s">
        <v>98</v>
      </c>
      <c r="I20" s="21" t="n">
        <v>9000000</v>
      </c>
      <c r="J20" s="22" t="n">
        <f aca="false">DATEDIF(E20,$O$2,"Y")</f>
        <v>42</v>
      </c>
      <c r="K20" s="22" t="n">
        <f aca="false">DATEDIF(F20,$O$2,"Y")</f>
        <v>20</v>
      </c>
      <c r="L20" s="23" t="str">
        <f aca="false">IF(K20&lt;$O$3,"Baru",IF(K20&lt;$O$4,"Menengah","Senior"))</f>
        <v>Senior</v>
      </c>
    </row>
    <row r="21" customFormat="false" ht="15" hidden="false" customHeight="false" outlineLevel="0" collapsed="false">
      <c r="A21" s="18" t="n">
        <v>20</v>
      </c>
      <c r="B21" s="19" t="s">
        <v>131</v>
      </c>
      <c r="C21" s="19" t="s">
        <v>132</v>
      </c>
      <c r="D21" s="19" t="s">
        <v>79</v>
      </c>
      <c r="E21" s="20" t="n">
        <v>31155</v>
      </c>
      <c r="F21" s="20" t="n">
        <v>43219</v>
      </c>
      <c r="G21" s="19" t="s">
        <v>124</v>
      </c>
      <c r="H21" s="19" t="s">
        <v>88</v>
      </c>
      <c r="I21" s="21" t="n">
        <v>5050000</v>
      </c>
      <c r="J21" s="22" t="n">
        <f aca="false">DATEDIF(E21,$O$2,"Y")</f>
        <v>41</v>
      </c>
      <c r="K21" s="22" t="n">
        <f aca="false">DATEDIF(F21,$O$2,"Y")</f>
        <v>8</v>
      </c>
      <c r="L21" s="23" t="str">
        <f aca="false">IF(K21&lt;$O$3,"Baru",IF(K21&lt;$O$4,"Menengah","Senior"))</f>
        <v>Senior</v>
      </c>
    </row>
    <row r="22" customFormat="false" ht="15" hidden="false" customHeight="false" outlineLevel="0" collapsed="false">
      <c r="A22" s="18" t="n">
        <v>21</v>
      </c>
      <c r="B22" s="19" t="s">
        <v>133</v>
      </c>
      <c r="C22" s="19" t="s">
        <v>134</v>
      </c>
      <c r="D22" s="19" t="s">
        <v>79</v>
      </c>
      <c r="E22" s="20" t="n">
        <v>35347</v>
      </c>
      <c r="F22" s="20" t="n">
        <v>45678</v>
      </c>
      <c r="G22" s="19" t="s">
        <v>124</v>
      </c>
      <c r="H22" s="19" t="s">
        <v>88</v>
      </c>
      <c r="I22" s="21" t="n">
        <v>4050000</v>
      </c>
      <c r="J22" s="22" t="n">
        <f aca="false">DATEDIF(E22,$O$2,"Y")</f>
        <v>29</v>
      </c>
      <c r="K22" s="22" t="n">
        <f aca="false">DATEDIF(F22,$O$2,"Y")</f>
        <v>1</v>
      </c>
      <c r="L22" s="23" t="str">
        <f aca="false">IF(K22&lt;$O$3,"Baru",IF(K22&lt;$O$4,"Menengah","Senior"))</f>
        <v>Baru</v>
      </c>
    </row>
    <row r="23" customFormat="false" ht="15" hidden="false" customHeight="false" outlineLevel="0" collapsed="false">
      <c r="A23" s="18" t="n">
        <v>22</v>
      </c>
      <c r="B23" s="19" t="s">
        <v>135</v>
      </c>
      <c r="C23" s="19" t="s">
        <v>136</v>
      </c>
      <c r="D23" s="19" t="s">
        <v>79</v>
      </c>
      <c r="E23" s="20" t="n">
        <v>32772</v>
      </c>
      <c r="F23" s="20" t="n">
        <v>45262</v>
      </c>
      <c r="G23" s="19" t="s">
        <v>80</v>
      </c>
      <c r="H23" s="19" t="s">
        <v>88</v>
      </c>
      <c r="I23" s="21" t="n">
        <v>4100000</v>
      </c>
      <c r="J23" s="22" t="n">
        <f aca="false">DATEDIF(E23,$O$2,"Y")</f>
        <v>37</v>
      </c>
      <c r="K23" s="22" t="n">
        <f aca="false">DATEDIF(F23,$O$2,"Y")</f>
        <v>2</v>
      </c>
      <c r="L23" s="23" t="str">
        <f aca="false">IF(K23&lt;$O$3,"Baru",IF(K23&lt;$O$4,"Menengah","Senior"))</f>
        <v>Menengah</v>
      </c>
    </row>
    <row r="24" customFormat="false" ht="15" hidden="false" customHeight="false" outlineLevel="0" collapsed="false">
      <c r="A24" s="18" t="n">
        <v>23</v>
      </c>
      <c r="B24" s="19" t="s">
        <v>137</v>
      </c>
      <c r="C24" s="19" t="s">
        <v>138</v>
      </c>
      <c r="D24" s="19" t="s">
        <v>79</v>
      </c>
      <c r="E24" s="20" t="n">
        <v>33443</v>
      </c>
      <c r="F24" s="20" t="n">
        <v>44591</v>
      </c>
      <c r="G24" s="19" t="s">
        <v>87</v>
      </c>
      <c r="H24" s="19" t="s">
        <v>88</v>
      </c>
      <c r="I24" s="21" t="n">
        <v>4400000</v>
      </c>
      <c r="J24" s="22" t="n">
        <f aca="false">DATEDIF(E24,$O$2,"Y")</f>
        <v>35</v>
      </c>
      <c r="K24" s="22" t="n">
        <f aca="false">DATEDIF(F24,$O$2,"Y")</f>
        <v>4</v>
      </c>
      <c r="L24" s="23" t="str">
        <f aca="false">IF(K24&lt;$O$3,"Baru",IF(K24&lt;$O$4,"Menengah","Senior"))</f>
        <v>Menengah</v>
      </c>
    </row>
    <row r="25" customFormat="false" ht="15" hidden="false" customHeight="false" outlineLevel="0" collapsed="false">
      <c r="A25" s="18" t="n">
        <v>24</v>
      </c>
      <c r="B25" s="19" t="s">
        <v>139</v>
      </c>
      <c r="C25" s="19" t="s">
        <v>140</v>
      </c>
      <c r="D25" s="19" t="s">
        <v>79</v>
      </c>
      <c r="E25" s="20" t="n">
        <v>27737</v>
      </c>
      <c r="F25" s="20" t="n">
        <v>46100</v>
      </c>
      <c r="G25" s="19" t="s">
        <v>124</v>
      </c>
      <c r="H25" s="19" t="s">
        <v>98</v>
      </c>
      <c r="I25" s="21" t="n">
        <v>7100000</v>
      </c>
      <c r="J25" s="22" t="n">
        <f aca="false">DATEDIF(E25,$O$2,"Y")</f>
        <v>50</v>
      </c>
      <c r="K25" s="22" t="n">
        <f aca="false">DATEDIF(F25,$O$2,"Y")</f>
        <v>0</v>
      </c>
      <c r="L25" s="23" t="str">
        <f aca="false">IF(K25&lt;$O$3,"Baru",IF(K25&lt;$O$4,"Menengah","Senior"))</f>
        <v>Baru</v>
      </c>
    </row>
    <row r="26" customFormat="false" ht="15" hidden="false" customHeight="false" outlineLevel="0" collapsed="false">
      <c r="A26" s="18" t="n">
        <v>25</v>
      </c>
      <c r="B26" s="19" t="s">
        <v>141</v>
      </c>
      <c r="C26" s="19" t="s">
        <v>142</v>
      </c>
      <c r="D26" s="19" t="s">
        <v>79</v>
      </c>
      <c r="E26" s="20" t="n">
        <v>27117</v>
      </c>
      <c r="F26" s="20" t="n">
        <v>39340</v>
      </c>
      <c r="G26" s="19" t="s">
        <v>97</v>
      </c>
      <c r="H26" s="19" t="s">
        <v>98</v>
      </c>
      <c r="I26" s="21" t="n">
        <v>9050000</v>
      </c>
      <c r="J26" s="22" t="n">
        <f aca="false">DATEDIF(E26,$O$2,"Y")</f>
        <v>52</v>
      </c>
      <c r="K26" s="22" t="n">
        <f aca="false">DATEDIF(F26,$O$2,"Y")</f>
        <v>19</v>
      </c>
      <c r="L26" s="23" t="str">
        <f aca="false">IF(K26&lt;$O$3,"Baru",IF(K26&lt;$O$4,"Menengah","Senior"))</f>
        <v>Senior</v>
      </c>
    </row>
    <row r="27" customFormat="false" ht="15" hidden="false" customHeight="false" outlineLevel="0" collapsed="false">
      <c r="A27" s="18" t="n">
        <v>26</v>
      </c>
      <c r="B27" s="19" t="s">
        <v>143</v>
      </c>
      <c r="C27" s="19" t="s">
        <v>144</v>
      </c>
      <c r="D27" s="19" t="s">
        <v>86</v>
      </c>
      <c r="E27" s="20" t="n">
        <v>35977</v>
      </c>
      <c r="F27" s="20" t="n">
        <v>44523</v>
      </c>
      <c r="G27" s="19" t="s">
        <v>111</v>
      </c>
      <c r="H27" s="19" t="s">
        <v>88</v>
      </c>
      <c r="I27" s="21" t="n">
        <v>4450000</v>
      </c>
      <c r="J27" s="22" t="n">
        <f aca="false">DATEDIF(E27,$O$2,"Y")</f>
        <v>28</v>
      </c>
      <c r="K27" s="22" t="n">
        <f aca="false">DATEDIF(F27,$O$2,"Y")</f>
        <v>4</v>
      </c>
      <c r="L27" s="23" t="str">
        <f aca="false">IF(K27&lt;$O$3,"Baru",IF(K27&lt;$O$4,"Menengah","Senior"))</f>
        <v>Menengah</v>
      </c>
    </row>
    <row r="28" customFormat="false" ht="15" hidden="false" customHeight="false" outlineLevel="0" collapsed="false">
      <c r="A28" s="18" t="n">
        <v>27</v>
      </c>
      <c r="B28" s="19" t="s">
        <v>145</v>
      </c>
      <c r="C28" s="19" t="s">
        <v>146</v>
      </c>
      <c r="D28" s="19" t="s">
        <v>86</v>
      </c>
      <c r="E28" s="20" t="n">
        <v>32621</v>
      </c>
      <c r="F28" s="20" t="n">
        <v>45405</v>
      </c>
      <c r="G28" s="19" t="s">
        <v>87</v>
      </c>
      <c r="H28" s="19" t="s">
        <v>88</v>
      </c>
      <c r="I28" s="21" t="n">
        <v>4100000</v>
      </c>
      <c r="J28" s="22" t="n">
        <f aca="false">DATEDIF(E28,$O$2,"Y")</f>
        <v>37</v>
      </c>
      <c r="K28" s="22" t="n">
        <f aca="false">DATEDIF(F28,$O$2,"Y")</f>
        <v>2</v>
      </c>
      <c r="L28" s="23" t="str">
        <f aca="false">IF(K28&lt;$O$3,"Baru",IF(K28&lt;$O$4,"Menengah","Senior"))</f>
        <v>Menengah</v>
      </c>
    </row>
    <row r="29" customFormat="false" ht="15" hidden="false" customHeight="false" outlineLevel="0" collapsed="false">
      <c r="A29" s="18" t="n">
        <v>28</v>
      </c>
      <c r="B29" s="19" t="s">
        <v>147</v>
      </c>
      <c r="C29" s="19" t="s">
        <v>148</v>
      </c>
      <c r="D29" s="19" t="s">
        <v>79</v>
      </c>
      <c r="E29" s="20" t="n">
        <v>36878</v>
      </c>
      <c r="F29" s="20" t="n">
        <v>45025</v>
      </c>
      <c r="G29" s="19" t="s">
        <v>97</v>
      </c>
      <c r="H29" s="19" t="s">
        <v>88</v>
      </c>
      <c r="I29" s="21" t="n">
        <v>4350000</v>
      </c>
      <c r="J29" s="22" t="n">
        <f aca="false">DATEDIF(E29,$O$2,"Y")</f>
        <v>25</v>
      </c>
      <c r="K29" s="22" t="n">
        <f aca="false">DATEDIF(F29,$O$2,"Y")</f>
        <v>3</v>
      </c>
      <c r="L29" s="23" t="str">
        <f aca="false">IF(K29&lt;$O$3,"Baru",IF(K29&lt;$O$4,"Menengah","Senior"))</f>
        <v>Menengah</v>
      </c>
    </row>
    <row r="30" customFormat="false" ht="15" hidden="false" customHeight="false" outlineLevel="0" collapsed="false">
      <c r="A30" s="18" t="n">
        <v>29</v>
      </c>
      <c r="B30" s="19" t="s">
        <v>149</v>
      </c>
      <c r="C30" s="19" t="s">
        <v>150</v>
      </c>
      <c r="D30" s="19" t="s">
        <v>79</v>
      </c>
      <c r="E30" s="20" t="n">
        <v>34210</v>
      </c>
      <c r="F30" s="20" t="n">
        <v>44888</v>
      </c>
      <c r="G30" s="19" t="s">
        <v>111</v>
      </c>
      <c r="H30" s="19" t="s">
        <v>88</v>
      </c>
      <c r="I30" s="21" t="n">
        <v>4350000</v>
      </c>
      <c r="J30" s="22" t="n">
        <f aca="false">DATEDIF(E30,$O$2,"Y")</f>
        <v>33</v>
      </c>
      <c r="K30" s="22" t="n">
        <f aca="false">DATEDIF(F30,$O$2,"Y")</f>
        <v>3</v>
      </c>
      <c r="L30" s="23" t="str">
        <f aca="false">IF(K30&lt;$O$3,"Baru",IF(K30&lt;$O$4,"Menengah","Senior"))</f>
        <v>Menengah</v>
      </c>
    </row>
    <row r="31" customFormat="false" ht="15" hidden="false" customHeight="false" outlineLevel="0" collapsed="false">
      <c r="A31" s="18" t="n">
        <v>30</v>
      </c>
      <c r="B31" s="19" t="s">
        <v>151</v>
      </c>
      <c r="C31" s="19" t="s">
        <v>152</v>
      </c>
      <c r="D31" s="19" t="s">
        <v>79</v>
      </c>
      <c r="E31" s="20" t="n">
        <v>33528</v>
      </c>
      <c r="F31" s="20" t="n">
        <v>42339</v>
      </c>
      <c r="G31" s="19" t="s">
        <v>80</v>
      </c>
      <c r="H31" s="19" t="s">
        <v>88</v>
      </c>
      <c r="I31" s="21" t="n">
        <v>5300000</v>
      </c>
      <c r="J31" s="22" t="n">
        <f aca="false">DATEDIF(E31,$O$2,"Y")</f>
        <v>34</v>
      </c>
      <c r="K31" s="22" t="n">
        <f aca="false">DATEDIF(F31,$O$2,"Y")</f>
        <v>10</v>
      </c>
      <c r="L31" s="23" t="str">
        <f aca="false">IF(K31&lt;$O$3,"Baru",IF(K31&lt;$O$4,"Menengah","Senior"))</f>
        <v>Senior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8" t="s">
        <v>153</v>
      </c>
      <c r="B1" s="28"/>
      <c r="C1" s="28"/>
      <c r="D1" s="28"/>
    </row>
    <row r="2" customFormat="false" ht="15" hidden="false" customHeight="false" outlineLevel="0" collapsed="false">
      <c r="A2" s="29" t="s">
        <v>154</v>
      </c>
      <c r="B2" s="29"/>
      <c r="C2" s="29"/>
      <c r="D2" s="29"/>
    </row>
    <row r="3" customFormat="false" ht="15" hidden="false" customHeight="false" outlineLevel="0" collapsed="false">
      <c r="A3" s="12" t="s">
        <v>19</v>
      </c>
      <c r="B3" s="12" t="s">
        <v>155</v>
      </c>
      <c r="C3" s="12" t="s">
        <v>156</v>
      </c>
      <c r="D3" s="12" t="s">
        <v>157</v>
      </c>
    </row>
    <row r="4" customFormat="false" ht="19.5" hidden="false" customHeight="true" outlineLevel="0" collapsed="false">
      <c r="A4" s="30" t="s">
        <v>158</v>
      </c>
      <c r="B4" s="31" t="s">
        <v>159</v>
      </c>
      <c r="C4" s="22" t="n">
        <f aca="false">COUNTIF(Data!$G$2:$G$31,"Keuangan")</f>
        <v>5</v>
      </c>
      <c r="D4" s="26" t="s">
        <v>160</v>
      </c>
    </row>
    <row r="5" customFormat="false" ht="19.5" hidden="false" customHeight="true" outlineLevel="0" collapsed="false">
      <c r="A5" s="30" t="s">
        <v>161</v>
      </c>
      <c r="B5" s="31" t="s">
        <v>162</v>
      </c>
      <c r="C5" s="22" t="n">
        <f aca="false">COUNTIF(Data!$G$2:$G$31,"Pemasaran")</f>
        <v>7</v>
      </c>
      <c r="D5" s="26" t="s">
        <v>160</v>
      </c>
    </row>
    <row r="6" customFormat="false" ht="19.5" hidden="false" customHeight="true" outlineLevel="0" collapsed="false">
      <c r="A6" s="30" t="s">
        <v>163</v>
      </c>
      <c r="B6" s="31" t="s">
        <v>164</v>
      </c>
      <c r="C6" s="22" t="n">
        <f aca="false">COUNTIF(Data!$G$2:$G$31,"Produksi")</f>
        <v>9</v>
      </c>
      <c r="D6" s="26" t="s">
        <v>160</v>
      </c>
    </row>
    <row r="7" customFormat="false" ht="19.5" hidden="false" customHeight="true" outlineLevel="0" collapsed="false">
      <c r="A7" s="30" t="s">
        <v>165</v>
      </c>
      <c r="B7" s="31" t="s">
        <v>166</v>
      </c>
      <c r="C7" s="22" t="n">
        <f aca="false">COUNTIF(Data!$G$2:$G$31,"Gudang")</f>
        <v>5</v>
      </c>
      <c r="D7" s="26" t="s">
        <v>160</v>
      </c>
    </row>
    <row r="8" customFormat="false" ht="19.5" hidden="false" customHeight="true" outlineLevel="0" collapsed="false">
      <c r="A8" s="30" t="s">
        <v>167</v>
      </c>
      <c r="B8" s="31" t="s">
        <v>168</v>
      </c>
      <c r="C8" s="22" t="n">
        <f aca="false">COUNTIF(Data!$G$2:$G$31,"Umum")</f>
        <v>4</v>
      </c>
      <c r="D8" s="26" t="s">
        <v>160</v>
      </c>
    </row>
    <row r="9" customFormat="false" ht="19.5" hidden="false" customHeight="true" outlineLevel="0" collapsed="false">
      <c r="A9" s="30" t="s">
        <v>39</v>
      </c>
      <c r="B9" s="31" t="s">
        <v>169</v>
      </c>
      <c r="C9" s="32" t="n">
        <f aca="false">AVERAGEIF(Data!$G$2:$G$31,"Produksi",Data!$I$2:$I$31)</f>
        <v>6077777.77777778</v>
      </c>
      <c r="D9" s="26" t="s">
        <v>170</v>
      </c>
    </row>
    <row r="10" customFormat="false" ht="19.5" hidden="false" customHeight="true" outlineLevel="0" collapsed="false">
      <c r="A10" s="30" t="s">
        <v>43</v>
      </c>
      <c r="B10" s="31" t="s">
        <v>171</v>
      </c>
      <c r="C10" s="32" t="n">
        <f aca="false">SUM(Data!$I$2:$I$31)</f>
        <v>185450000</v>
      </c>
      <c r="D10" s="26" t="s">
        <v>172</v>
      </c>
    </row>
    <row r="11" customFormat="false" ht="19.5" hidden="false" customHeight="true" outlineLevel="0" collapsed="false">
      <c r="A11" s="30" t="s">
        <v>47</v>
      </c>
      <c r="B11" s="31" t="s">
        <v>173</v>
      </c>
      <c r="C11" s="23" t="str">
        <f aca="false">INDEX(Data!$C$2:$C$31,MATCH(MAX(Data!$I$2:$I$31),Data!$I$2:$I$31,0))</f>
        <v>Dewi Firmansyah</v>
      </c>
      <c r="D11" s="26" t="s">
        <v>174</v>
      </c>
    </row>
    <row r="12" customFormat="false" ht="19.5" hidden="false" customHeight="true" outlineLevel="0" collapsed="false">
      <c r="A12" s="30" t="s">
        <v>51</v>
      </c>
      <c r="B12" s="31" t="s">
        <v>175</v>
      </c>
      <c r="C12" s="22" t="n">
        <f aca="false">COUNTIFS(Data!$D$2:$D$31,"P",Data!$H$2:$H$31,"Supervisor")+COUNTIFS(Data!$D$2:$D$31,"P",Data!$H$2:$H$31,"Manajer")</f>
        <v>4</v>
      </c>
      <c r="D12" s="26" t="s">
        <v>176</v>
      </c>
    </row>
    <row r="13" customFormat="false" ht="19.5" hidden="false" customHeight="true" outlineLevel="0" collapsed="false">
      <c r="A13" s="30" t="s">
        <v>55</v>
      </c>
      <c r="B13" s="31" t="s">
        <v>177</v>
      </c>
      <c r="C13" s="22" t="n">
        <f aca="false">COUNTIF(Data!$J$2:$J$31,"&gt;=50")</f>
        <v>5</v>
      </c>
      <c r="D13" s="26" t="s">
        <v>178</v>
      </c>
    </row>
    <row r="14" customFormat="false" ht="19.5" hidden="false" customHeight="true" outlineLevel="0" collapsed="false">
      <c r="A14" s="30" t="s">
        <v>59</v>
      </c>
      <c r="B14" s="31" t="s">
        <v>179</v>
      </c>
      <c r="C14" s="22" t="n">
        <f aca="false">COUNTIFS(Data!$G$2:$G$31,"Keuangan",Data!$L$2:$L$31,"Senior")</f>
        <v>4</v>
      </c>
      <c r="D14" s="26" t="s">
        <v>180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2026-10-10T06:49:16Z</dcterms:created>
  <dc:creator>PushExcel</dc:creator>
  <dc:description/>
  <dc:language>en-US</dc:language>
  <cp:lastModifiedBy/>
  <dcterms:modified xsi:type="dcterms:W3CDTF">2026-10-10T06:49:16Z</dcterms:modified>
  <cp:revision>0</cp:revision>
  <dc:subject/>
  <dc:title>Rekap Data Pegawai (HRD)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