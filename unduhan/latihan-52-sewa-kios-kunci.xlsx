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<sst xmlns="http://schemas.openxmlformats.org/spreadsheetml/2006/main" count="233" uniqueCount="200">
  <si>
    <t xml:space="preserve">Kunci Jawaban: Tagihan Sewa Kios, Denda, dan Tunggakan</t>
  </si>
  <si>
    <t xml:space="preserve">Latihan 52 dari 56  |  Tingkat: Menengah  |  Perkiraan waktu: 55 menit  |  pushexcel.github.io/Pushexcel</t>
  </si>
  <si>
    <t xml:space="preserve">Skenario</t>
  </si>
  <si>
    <t xml:space="preserve">Kamu petugas penagihan Pasar Modern Sejahtera yang mengelola 30 kios dengan tiga tipe. Tarif sewa bulanan tiap tipe ada di sheet Acuan, jatuh tempo semua kios 1 Oktober 2026. Pembayaran yang terlambat dikenai denda 0,2 persen dari sewa per hari terlambat, tetapi tidak lebih dari 10 persen sewa. Biaya listrik dihitung dari pemakaian kWh dikali tarif per kWh. Status Tepat Waktu bila terlambat 0 hari, Terlambat bila 1 sampai 14 hari, dan Menunggak bila lebih dari 14 hari (batas dan tarif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</si>
  <si>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</si>
  <si>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</si>
  <si>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</si>
  <si>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</si>
  <si>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</si>
  <si>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</si>
  <si>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</si>
  <si>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</si>
  <si>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</si>
  <si>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</si>
  <si>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</si>
  <si>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</si>
  <si>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</si>
  <si>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</si>
  <si>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</si>
  <si>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</si>
  <si>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</si>
  <si>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</si>
  <si>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</si>
  <si>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</si>
  <si>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tarif sewa bulanan tiap kios dari sheet Acuan berdasarkan tipe kios.</t>
  </si>
  <si>
    <t xml:space="preserve">Sheet Data, kolom G (Tarif Sewa), baris 2 sampai 31</t>
  </si>
  <si>
    <t xml:space="preserve">=VLOOKUP(C2;Acuan!$A$2:$B$4;2;FALSE)</t>
  </si>
  <si>
    <t xml:space="preserve">2</t>
  </si>
  <si>
    <t xml:space="preserve">Hitung hari terlambat: tanggal bayar dikurangi jatuh tempo. Bila bayar lebih awal, hasilnya 0 (bukan negatif).</t>
  </si>
  <si>
    <t xml:space="preserve">Sheet Data, kolom H (Hari Terlambat), baris 2 sampai 31</t>
  </si>
  <si>
    <t xml:space="preserve">=MAX(0;E2-D2)</t>
  </si>
  <si>
    <t xml:space="preserve">3</t>
  </si>
  <si>
    <t xml:space="preserve">Tentukan status: Tepat Waktu bila 0 hari, Terlambat bila tidak lebih dari batas terlambat, selain itu Menunggak.</t>
  </si>
  <si>
    <t xml:space="preserve">Sheet Data, kolom I (Status Bayar), baris 2 sampai 31</t>
  </si>
  <si>
    <t xml:space="preserve">=IF(H2=0;"Tepat Waktu";IF(H2&lt;=$O$5;"Terlambat";"Menunggak"))</t>
  </si>
  <si>
    <t xml:space="preserve">4</t>
  </si>
  <si>
    <t xml:space="preserve">Hitung denda: tarif sewa dikali persen denda per hari dikali hari terlambat, tetapi persennya tidak boleh melebihi denda maksimum. Bulatkan ke rupiah.</t>
  </si>
  <si>
    <t xml:space="preserve">Sheet Data, kolom J (Denda), baris 2 sampai 31</t>
  </si>
  <si>
    <t xml:space="preserve">=ROUND(G2*MIN(H2*$O$2;$O$3);0)</t>
  </si>
  <si>
    <t xml:space="preserve">5</t>
  </si>
  <si>
    <t xml:space="preserve">Hitung biaya listrik: pemakaian kWh dikali tarif per kWh.</t>
  </si>
  <si>
    <t xml:space="preserve">Sheet Data, kolom K (Biaya Listrik), baris 2 sampai 31</t>
  </si>
  <si>
    <t xml:space="preserve">=F2*$O$4</t>
  </si>
  <si>
    <t xml:space="preserve">6</t>
  </si>
  <si>
    <t xml:space="preserve">Hitung total tagihan: tarif sewa ditambah denda dan biaya listrik.</t>
  </si>
  <si>
    <t xml:space="preserve">Sheet Data, kolom L (Total Tagihan), baris 2 sampai 31</t>
  </si>
  <si>
    <t xml:space="preserve">=G2+J2+K2</t>
  </si>
  <si>
    <t xml:space="preserve">7</t>
  </si>
  <si>
    <t xml:space="preserve">Pada sheet Acuan, hitung jumlah kios untuk tiap tipe.</t>
  </si>
  <si>
    <t xml:space="preserve">Sheet Acuan, kolom C (Jumlah Kios), baris 2 sampai 4</t>
  </si>
  <si>
    <t xml:space="preserve">=COUNTIF(Data!$C$2:$C$31;A2)</t>
  </si>
  <si>
    <t xml:space="preserve">8</t>
  </si>
  <si>
    <t xml:space="preserve">Pada sheet Acuan, hitung total tagihan tiap tipe kios.</t>
  </si>
  <si>
    <t xml:space="preserve">Sheet Acuan, kolom D (Total Tagihan Tipe), baris 2 sampai 4</t>
  </si>
  <si>
    <t xml:space="preserve">=SUMIF(Data!$C$2:$C$31;A2;Data!$L$2:$L$31)</t>
  </si>
  <si>
    <t xml:space="preserve">9</t>
  </si>
  <si>
    <t xml:space="preserve">Berapa total tagihan seluruh kios, berapa total denda, dan berapa total biaya listrik?</t>
  </si>
  <si>
    <t xml:space="preserve">Sheet Ringkasan, sel C4 sampai C6</t>
  </si>
  <si>
    <t xml:space="preserve">=SUM(Data!$L$2:$L$31)
=SUM(Data!$J$2:$J$31)
=SUM(Data!$K$2:$K$31)</t>
  </si>
  <si>
    <t xml:space="preserve">10</t>
  </si>
  <si>
    <t xml:space="preserve">Berapa kios yang Menunggak, dan berapa persen kios yang membayar Tepat Waktu?</t>
  </si>
  <si>
    <t xml:space="preserve">Sheet Ringkasan, sel C7 sampai C8</t>
  </si>
  <si>
    <t xml:space="preserve">=COUNTIF(Data!$I$2:$I$31;"Menunggak")
=COUNTIF(Data!$I$2:$I$31;"Tepat Waktu")/COUNTA(Data!$A$2:$A$31)</t>
  </si>
  <si>
    <t xml:space="preserve">11</t>
  </si>
  <si>
    <t xml:space="preserve">Tipe kios apa yang total tagihannya terbesar, dan penyewa mana yang paling lama terlambat?</t>
  </si>
  <si>
    <t xml:space="preserve">Sheet Ringkasan, sel C9 sampai C10</t>
  </si>
  <si>
    <t xml:space="preserve">=INDEX(Acuan!$A$2:$A$4;MATCH(MAX(Acuan!$D$2:$D$4);Acuan!$D$2:$D$4;0))
=INDEX(Data!$B$2:$B$31;MATCH(MAX(Data!$H$2:$H$31);Data!$H$2:$H$31;0))</t>
  </si>
  <si>
    <t xml:space="preserve">12</t>
  </si>
  <si>
    <t xml:space="preserve">Berapa rata-rata hari terlambat untuk kios yang tidak Tepat Waktu, dan berapa total tagihan kios tipe Besar yang Menunggak?</t>
  </si>
  <si>
    <t xml:space="preserve">Sheet Ringkasan, sel C11 sampai C12</t>
  </si>
  <si>
    <t xml:space="preserve">=AVERAGEIF(Data!$I$2:$I$31;"&lt;&gt;Tepat Waktu";Data!$H$2:$H$31)
=SUMIFS(Data!$L$2:$L$31;Data!$C$2:$C$31;"Besar";Data!$I$2:$I$31;"Menunggak")</t>
  </si>
  <si>
    <t xml:space="preserve">13</t>
  </si>
  <si>
    <t xml:space="preserve">Berapa kios yang dendanya sudah mencapai batas maksimum, dan berapa denda terbesar yang dikenakan?</t>
  </si>
  <si>
    <t xml:space="preserve">Sheet Ringkasan, sel C13 sampai C14</t>
  </si>
  <si>
    <t xml:space="preserve">=COUNTIF(Data!$H$2:$H$31;"&gt;="&amp;Data!$O$3/Data!$O$2)
=MAX(Data!$J$2:$J$31)</t>
  </si>
  <si>
    <t xml:space="preserve">Kode Kios</t>
  </si>
  <si>
    <t xml:space="preserve">Penyewa</t>
  </si>
  <si>
    <t xml:space="preserve">Tipe Kios</t>
  </si>
  <si>
    <t xml:space="preserve">Jatuh Tempo</t>
  </si>
  <si>
    <t xml:space="preserve">Tanggal Bayar</t>
  </si>
  <si>
    <t xml:space="preserve">Listrik (kWh)</t>
  </si>
  <si>
    <t xml:space="preserve">Tarif Sewa</t>
  </si>
  <si>
    <t xml:space="preserve">Hari Terlambat</t>
  </si>
  <si>
    <t xml:space="preserve">Status Bayar</t>
  </si>
  <si>
    <t xml:space="preserve">Denda</t>
  </si>
  <si>
    <t xml:space="preserve">Biaya Listrik</t>
  </si>
  <si>
    <t xml:space="preserve">Total Tagihan</t>
  </si>
  <si>
    <t xml:space="preserve">Parameter</t>
  </si>
  <si>
    <t xml:space="preserve">Nilai</t>
  </si>
  <si>
    <t xml:space="preserve">Keterangan</t>
  </si>
  <si>
    <t xml:space="preserve">KS-01</t>
  </si>
  <si>
    <t xml:space="preserve">Gita Wibowo</t>
  </si>
  <si>
    <t xml:space="preserve">Kecil</t>
  </si>
  <si>
    <t xml:space="preserve">Denda per hari</t>
  </si>
  <si>
    <t xml:space="preserve">Persen dari tarif sewa per hari terlambat</t>
  </si>
  <si>
    <t xml:space="preserve">KS-02</t>
  </si>
  <si>
    <t xml:space="preserve">Wawan Sari</t>
  </si>
  <si>
    <t xml:space="preserve">Sedang</t>
  </si>
  <si>
    <t xml:space="preserve">Denda maksimum</t>
  </si>
  <si>
    <t xml:space="preserve">Persen dari tarif sewa</t>
  </si>
  <si>
    <t xml:space="preserve">KS-03</t>
  </si>
  <si>
    <t xml:space="preserve">Novi Permana</t>
  </si>
  <si>
    <t xml:space="preserve">Besar</t>
  </si>
  <si>
    <t xml:space="preserve">Tarif listrik per kWh</t>
  </si>
  <si>
    <t xml:space="preserve">KS-04</t>
  </si>
  <si>
    <t xml:space="preserve">Lestari Wijaya</t>
  </si>
  <si>
    <t xml:space="preserve">Batas terlambat (hari)</t>
  </si>
  <si>
    <t xml:space="preserve">Lebih dari batas = Menunggak</t>
  </si>
  <si>
    <t xml:space="preserve">KS-05</t>
  </si>
  <si>
    <t xml:space="preserve">Prasetyo Putra</t>
  </si>
  <si>
    <t xml:space="preserve">KS-06</t>
  </si>
  <si>
    <t xml:space="preserve">Nurul Yulianto</t>
  </si>
  <si>
    <t xml:space="preserve">KS-07</t>
  </si>
  <si>
    <t xml:space="preserve">Prasetyo Ramadhan</t>
  </si>
  <si>
    <t xml:space="preserve">KS-08</t>
  </si>
  <si>
    <t xml:space="preserve">Hesti Saputra</t>
  </si>
  <si>
    <t xml:space="preserve">KS-09</t>
  </si>
  <si>
    <t xml:space="preserve">Indah Permana</t>
  </si>
  <si>
    <t xml:space="preserve">KS-10</t>
  </si>
  <si>
    <t xml:space="preserve">Joko Utomo</t>
  </si>
  <si>
    <t xml:space="preserve">KS-11</t>
  </si>
  <si>
    <t xml:space="preserve">Vina Anggraini</t>
  </si>
  <si>
    <t xml:space="preserve">KS-12</t>
  </si>
  <si>
    <t xml:space="preserve">Dian Amalia</t>
  </si>
  <si>
    <t xml:space="preserve">KS-13</t>
  </si>
  <si>
    <t xml:space="preserve">Hesti Nugroho</t>
  </si>
  <si>
    <t xml:space="preserve">KS-14</t>
  </si>
  <si>
    <t xml:space="preserve">Mulyadi Yulianto</t>
  </si>
  <si>
    <t xml:space="preserve">KS-15</t>
  </si>
  <si>
    <t xml:space="preserve">Kartika Lestari</t>
  </si>
  <si>
    <t xml:space="preserve">KS-16</t>
  </si>
  <si>
    <t xml:space="preserve">Rina Handayani</t>
  </si>
  <si>
    <t xml:space="preserve">KS-17</t>
  </si>
  <si>
    <t xml:space="preserve">Dian Wijaya</t>
  </si>
  <si>
    <t xml:space="preserve">KS-18</t>
  </si>
  <si>
    <t xml:space="preserve">Citra Amalia</t>
  </si>
  <si>
    <t xml:space="preserve">KS-19</t>
  </si>
  <si>
    <t xml:space="preserve">Dimas Pangestu</t>
  </si>
  <si>
    <t xml:space="preserve">KS-20</t>
  </si>
  <si>
    <t xml:space="preserve">Edi Kurniawan</t>
  </si>
  <si>
    <t xml:space="preserve">KS-21</t>
  </si>
  <si>
    <t xml:space="preserve">Irfan Ramadhan</t>
  </si>
  <si>
    <t xml:space="preserve">KS-22</t>
  </si>
  <si>
    <t xml:space="preserve">Kartika Syahputra</t>
  </si>
  <si>
    <t xml:space="preserve">KS-23</t>
  </si>
  <si>
    <t xml:space="preserve">Lina Hartono</t>
  </si>
  <si>
    <t xml:space="preserve">KS-24</t>
  </si>
  <si>
    <t xml:space="preserve">Rina Kurniawan</t>
  </si>
  <si>
    <t xml:space="preserve">KS-25</t>
  </si>
  <si>
    <t xml:space="preserve">Eka Pangestu</t>
  </si>
  <si>
    <t xml:space="preserve">KS-26</t>
  </si>
  <si>
    <t xml:space="preserve">Lestari Anggraini</t>
  </si>
  <si>
    <t xml:space="preserve">KS-27</t>
  </si>
  <si>
    <t xml:space="preserve">Andi Rahayu</t>
  </si>
  <si>
    <t xml:space="preserve">KS-28</t>
  </si>
  <si>
    <t xml:space="preserve">Eko Handayani</t>
  </si>
  <si>
    <t xml:space="preserve">KS-29</t>
  </si>
  <si>
    <t xml:space="preserve">Joko Santoso</t>
  </si>
  <si>
    <t xml:space="preserve">KS-30</t>
  </si>
  <si>
    <t xml:space="preserve">Zainal Maharani</t>
  </si>
  <si>
    <t xml:space="preserve">Jumlah Kios</t>
  </si>
  <si>
    <t xml:space="preserve">Total Tagihan Tipe</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</si>
  <si>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</si>
  <si>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</si>
  <si>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</si>
  <si>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</si>
  <si>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</si>
  <si>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</si>
  <si>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tagihan seluruh kios</t>
  </si>
  <si>
    <t xml:space="preserve">Rupiah, mis. Rp 100.000.000</t>
  </si>
  <si>
    <t xml:space="preserve">9b</t>
  </si>
  <si>
    <t xml:space="preserve">Total denda</t>
  </si>
  <si>
    <t xml:space="preserve">Rupiah, mis. Rp 1.500.000</t>
  </si>
  <si>
    <t xml:space="preserve">9c</t>
  </si>
  <si>
    <t xml:space="preserve">Total biaya listrik</t>
  </si>
  <si>
    <t xml:space="preserve">Rupiah, mis. Rp 10.000.000</t>
  </si>
  <si>
    <t xml:space="preserve">10a</t>
  </si>
  <si>
    <t xml:space="preserve">Jumlah kios Menunggak</t>
  </si>
  <si>
    <t xml:space="preserve">Angka bulat, mis. 4</t>
  </si>
  <si>
    <t xml:space="preserve">10b</t>
  </si>
  <si>
    <t xml:space="preserve">Persen kios Tepat Waktu</t>
  </si>
  <si>
    <t xml:space="preserve">Persen, mis. 40,5%</t>
  </si>
  <si>
    <t xml:space="preserve">11a</t>
  </si>
  <si>
    <t xml:space="preserve">Tipe kios dengan total tagihan terbesar</t>
  </si>
  <si>
    <t xml:space="preserve">Teks: tipe kios</t>
  </si>
  <si>
    <t xml:space="preserve">11b</t>
  </si>
  <si>
    <t xml:space="preserve">Penyewa paling lama terlambat</t>
  </si>
  <si>
    <t xml:space="preserve">Teks: nama penyewa</t>
  </si>
  <si>
    <t xml:space="preserve">12a</t>
  </si>
  <si>
    <t xml:space="preserve">Rata-rata hari terlambat kios tidak tepat waktu</t>
  </si>
  <si>
    <t xml:space="preserve">Angka desimal, mis. 12,5</t>
  </si>
  <si>
    <t xml:space="preserve">12b</t>
  </si>
  <si>
    <t xml:space="preserve">Total tagihan kios Besar yang Menunggak</t>
  </si>
  <si>
    <t xml:space="preserve">Rupiah, mis. Rp 9.000.000</t>
  </si>
  <si>
    <t xml:space="preserve">13a</t>
  </si>
  <si>
    <t xml:space="preserve">Kios dengan denda mencapai batas maksimum</t>
  </si>
  <si>
    <t xml:space="preserve">Angka bulat, mis. 3</t>
  </si>
  <si>
    <t xml:space="preserve">13b</t>
  </si>
  <si>
    <t xml:space="preserve">Denda terbesar yang dikenakan</t>
  </si>
  <si>
    <t xml:space="preserve">Rupiah, mis. Rp 350.000</t>
  </si>
</sst>
</file>

<file path=xl/styles.xml><?xml version="1.0" encoding="utf-8"?>
<styleSheet xmlns="http://schemas.openxmlformats.org/spreadsheetml/2006/main">
  <numFmts count="7">
    <numFmt numFmtId="164" formatCode="General"/>
    <numFmt numFmtId="165" formatCode="dd/mm/yyyy"/>
    <numFmt numFmtId="166" formatCode="0"/>
    <numFmt numFmtId="167" formatCode="&quot;Rp &quot;#,##0"/>
    <numFmt numFmtId="168" formatCode="0.0%"/>
    <numFmt numFmtId="169" formatCode="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42"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1"/>
    <col collapsed="false" customWidth="true" hidden="false" outlineLevel="0" max="4" min="4" style="0" width="13"/>
    <col collapsed="false" customWidth="true" hidden="false" outlineLevel="0" max="5" min="5" style="0" width="14"/>
    <col collapsed="false" customWidth="true" hidden="false" outlineLevel="0" max="7" min="6" style="0" width="13"/>
    <col collapsed="false" customWidth="true" hidden="false" outlineLevel="0" max="8" min="8" style="0" width="14"/>
    <col collapsed="false" customWidth="true" hidden="false" outlineLevel="0" max="9" min="9" style="0" width="13"/>
    <col collapsed="false" customWidth="true" hidden="false" outlineLevel="0" max="10" min="10" style="0" width="12"/>
    <col collapsed="false" customWidth="true" hidden="false" outlineLevel="0" max="11" min="11" style="0" width="13"/>
    <col collapsed="false" customWidth="true" hidden="false" outlineLevel="0" max="12" min="12" style="0" width="14"/>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75</v>
      </c>
      <c r="B1" s="11" t="s">
        <v>76</v>
      </c>
      <c r="C1" s="11" t="s">
        <v>77</v>
      </c>
      <c r="D1" s="11" t="s">
        <v>78</v>
      </c>
      <c r="E1" s="11" t="s">
        <v>79</v>
      </c>
      <c r="F1" s="11" t="s">
        <v>80</v>
      </c>
      <c r="G1" s="15" t="s">
        <v>81</v>
      </c>
      <c r="H1" s="15" t="s">
        <v>82</v>
      </c>
      <c r="I1" s="15" t="s">
        <v>83</v>
      </c>
      <c r="J1" s="15" t="s">
        <v>84</v>
      </c>
      <c r="K1" s="15" t="s">
        <v>85</v>
      </c>
      <c r="L1" s="15" t="s">
        <v>86</v>
      </c>
      <c r="N1" s="16" t="s">
        <v>87</v>
      </c>
      <c r="O1" s="16" t="s">
        <v>88</v>
      </c>
      <c r="P1" s="16" t="s">
        <v>89</v>
      </c>
    </row>
    <row r="2" customFormat="false" ht="15" hidden="false" customHeight="false" outlineLevel="0" collapsed="false">
      <c r="A2" s="17" t="s">
        <v>90</v>
      </c>
      <c r="B2" s="17" t="s">
        <v>91</v>
      </c>
      <c r="C2" s="17" t="s">
        <v>92</v>
      </c>
      <c r="D2" s="18" t="n">
        <v>46296</v>
      </c>
      <c r="E2" s="18" t="n">
        <v>46296</v>
      </c>
      <c r="F2" s="19" t="n">
        <v>273</v>
      </c>
      <c r="G2" s="20" t="n">
        <f aca="false">VLOOKUP(C2,Acuan!$A$2:$B$4,2,FALSE())</f>
        <v>1500000</v>
      </c>
      <c r="H2" s="21" t="n">
        <f aca="false">MAX(0,E2-D2)</f>
        <v>0</v>
      </c>
      <c r="I2" s="22" t="str">
        <f aca="false">IF(H2=0,"Tepat Waktu",IF(H2&lt;=$O$5,"Terlambat","Menunggak"))</f>
        <v>Tepat Waktu</v>
      </c>
      <c r="J2" s="20" t="n">
        <f aca="false">ROUND(G2*MIN(H2*$O$2,$O$3),0)</f>
        <v>0</v>
      </c>
      <c r="K2" s="20" t="n">
        <f aca="false">F2*$O$4</f>
        <v>409500</v>
      </c>
      <c r="L2" s="20" t="n">
        <f aca="false">G2+J2+K2</f>
        <v>1909500</v>
      </c>
      <c r="N2" s="23" t="s">
        <v>93</v>
      </c>
      <c r="O2" s="24" t="n">
        <v>0.002</v>
      </c>
      <c r="P2" s="23" t="s">
        <v>94</v>
      </c>
    </row>
    <row r="3" customFormat="false" ht="15" hidden="false" customHeight="false" outlineLevel="0" collapsed="false">
      <c r="A3" s="17" t="s">
        <v>95</v>
      </c>
      <c r="B3" s="17" t="s">
        <v>96</v>
      </c>
      <c r="C3" s="17" t="s">
        <v>97</v>
      </c>
      <c r="D3" s="18" t="n">
        <v>46296</v>
      </c>
      <c r="E3" s="18" t="n">
        <v>46295</v>
      </c>
      <c r="F3" s="19" t="n">
        <v>135</v>
      </c>
      <c r="G3" s="20" t="n">
        <f aca="false">VLOOKUP(C3,Acuan!$A$2:$B$4,2,FALSE())</f>
        <v>2500000</v>
      </c>
      <c r="H3" s="21" t="n">
        <f aca="false">MAX(0,E3-D3)</f>
        <v>0</v>
      </c>
      <c r="I3" s="22" t="str">
        <f aca="false">IF(H3=0,"Tepat Waktu",IF(H3&lt;=$O$5,"Terlambat","Menunggak"))</f>
        <v>Tepat Waktu</v>
      </c>
      <c r="J3" s="20" t="n">
        <f aca="false">ROUND(G3*MIN(H3*$O$2,$O$3),0)</f>
        <v>0</v>
      </c>
      <c r="K3" s="20" t="n">
        <f aca="false">F3*$O$4</f>
        <v>202500</v>
      </c>
      <c r="L3" s="20" t="n">
        <f aca="false">G3+J3+K3</f>
        <v>2702500</v>
      </c>
      <c r="N3" s="23" t="s">
        <v>98</v>
      </c>
      <c r="O3" s="25" t="n">
        <v>0.1</v>
      </c>
      <c r="P3" s="23" t="s">
        <v>99</v>
      </c>
    </row>
    <row r="4" customFormat="false" ht="15" hidden="false" customHeight="false" outlineLevel="0" collapsed="false">
      <c r="A4" s="17" t="s">
        <v>100</v>
      </c>
      <c r="B4" s="17" t="s">
        <v>101</v>
      </c>
      <c r="C4" s="17" t="s">
        <v>102</v>
      </c>
      <c r="D4" s="18" t="n">
        <v>46296</v>
      </c>
      <c r="E4" s="18" t="n">
        <v>46317</v>
      </c>
      <c r="F4" s="19" t="n">
        <v>186</v>
      </c>
      <c r="G4" s="20" t="n">
        <f aca="false">VLOOKUP(C4,Acuan!$A$2:$B$4,2,FALSE())</f>
        <v>4000000</v>
      </c>
      <c r="H4" s="21" t="n">
        <f aca="false">MAX(0,E4-D4)</f>
        <v>21</v>
      </c>
      <c r="I4" s="22" t="str">
        <f aca="false">IF(H4=0,"Tepat Waktu",IF(H4&lt;=$O$5,"Terlambat","Menunggak"))</f>
        <v>Menunggak</v>
      </c>
      <c r="J4" s="20" t="n">
        <f aca="false">ROUND(G4*MIN(H4*$O$2,$O$3),0)</f>
        <v>168000</v>
      </c>
      <c r="K4" s="20" t="n">
        <f aca="false">F4*$O$4</f>
        <v>279000</v>
      </c>
      <c r="L4" s="20" t="n">
        <f aca="false">G4+J4+K4</f>
        <v>4447000</v>
      </c>
      <c r="N4" s="23" t="s">
        <v>103</v>
      </c>
      <c r="O4" s="26" t="n">
        <v>1500</v>
      </c>
      <c r="P4" s="23"/>
    </row>
    <row r="5" customFormat="false" ht="15" hidden="false" customHeight="false" outlineLevel="0" collapsed="false">
      <c r="A5" s="17" t="s">
        <v>104</v>
      </c>
      <c r="B5" s="17" t="s">
        <v>105</v>
      </c>
      <c r="C5" s="17" t="s">
        <v>92</v>
      </c>
      <c r="D5" s="18" t="n">
        <v>46296</v>
      </c>
      <c r="E5" s="18" t="n">
        <v>46293</v>
      </c>
      <c r="F5" s="19" t="n">
        <v>247</v>
      </c>
      <c r="G5" s="20" t="n">
        <f aca="false">VLOOKUP(C5,Acuan!$A$2:$B$4,2,FALSE())</f>
        <v>1500000</v>
      </c>
      <c r="H5" s="21" t="n">
        <f aca="false">MAX(0,E5-D5)</f>
        <v>0</v>
      </c>
      <c r="I5" s="22" t="str">
        <f aca="false">IF(H5=0,"Tepat Waktu",IF(H5&lt;=$O$5,"Terlambat","Menunggak"))</f>
        <v>Tepat Waktu</v>
      </c>
      <c r="J5" s="20" t="n">
        <f aca="false">ROUND(G5*MIN(H5*$O$2,$O$3),0)</f>
        <v>0</v>
      </c>
      <c r="K5" s="20" t="n">
        <f aca="false">F5*$O$4</f>
        <v>370500</v>
      </c>
      <c r="L5" s="20" t="n">
        <f aca="false">G5+J5+K5</f>
        <v>1870500</v>
      </c>
      <c r="N5" s="23" t="s">
        <v>106</v>
      </c>
      <c r="O5" s="27" t="n">
        <v>14</v>
      </c>
      <c r="P5" s="23" t="s">
        <v>107</v>
      </c>
    </row>
    <row r="6" customFormat="false" ht="15" hidden="false" customHeight="false" outlineLevel="0" collapsed="false">
      <c r="A6" s="17" t="s">
        <v>108</v>
      </c>
      <c r="B6" s="17" t="s">
        <v>109</v>
      </c>
      <c r="C6" s="17" t="s">
        <v>97</v>
      </c>
      <c r="D6" s="18" t="n">
        <v>46296</v>
      </c>
      <c r="E6" s="18" t="n">
        <v>46297</v>
      </c>
      <c r="F6" s="19" t="n">
        <v>306</v>
      </c>
      <c r="G6" s="20" t="n">
        <f aca="false">VLOOKUP(C6,Acuan!$A$2:$B$4,2,FALSE())</f>
        <v>2500000</v>
      </c>
      <c r="H6" s="21" t="n">
        <f aca="false">MAX(0,E6-D6)</f>
        <v>1</v>
      </c>
      <c r="I6" s="22" t="str">
        <f aca="false">IF(H6=0,"Tepat Waktu",IF(H6&lt;=$O$5,"Terlambat","Menunggak"))</f>
        <v>Terlambat</v>
      </c>
      <c r="J6" s="20" t="n">
        <f aca="false">ROUND(G6*MIN(H6*$O$2,$O$3),0)</f>
        <v>5000</v>
      </c>
      <c r="K6" s="20" t="n">
        <f aca="false">F6*$O$4</f>
        <v>459000</v>
      </c>
      <c r="L6" s="20" t="n">
        <f aca="false">G6+J6+K6</f>
        <v>2964000</v>
      </c>
    </row>
    <row r="7" customFormat="false" ht="15" hidden="false" customHeight="false" outlineLevel="0" collapsed="false">
      <c r="A7" s="17" t="s">
        <v>110</v>
      </c>
      <c r="B7" s="17" t="s">
        <v>111</v>
      </c>
      <c r="C7" s="17" t="s">
        <v>102</v>
      </c>
      <c r="D7" s="18" t="n">
        <v>46296</v>
      </c>
      <c r="E7" s="18" t="n">
        <v>46296</v>
      </c>
      <c r="F7" s="19" t="n">
        <v>121</v>
      </c>
      <c r="G7" s="20" t="n">
        <f aca="false">VLOOKUP(C7,Acuan!$A$2:$B$4,2,FALSE())</f>
        <v>4000000</v>
      </c>
      <c r="H7" s="21" t="n">
        <f aca="false">MAX(0,E7-D7)</f>
        <v>0</v>
      </c>
      <c r="I7" s="22" t="str">
        <f aca="false">IF(H7=0,"Tepat Waktu",IF(H7&lt;=$O$5,"Terlambat","Menunggak"))</f>
        <v>Tepat Waktu</v>
      </c>
      <c r="J7" s="20" t="n">
        <f aca="false">ROUND(G7*MIN(H7*$O$2,$O$3),0)</f>
        <v>0</v>
      </c>
      <c r="K7" s="20" t="n">
        <f aca="false">F7*$O$4</f>
        <v>181500</v>
      </c>
      <c r="L7" s="20" t="n">
        <f aca="false">G7+J7+K7</f>
        <v>4181500</v>
      </c>
    </row>
    <row r="8" customFormat="false" ht="15" hidden="false" customHeight="false" outlineLevel="0" collapsed="false">
      <c r="A8" s="17" t="s">
        <v>112</v>
      </c>
      <c r="B8" s="17" t="s">
        <v>113</v>
      </c>
      <c r="C8" s="17" t="s">
        <v>102</v>
      </c>
      <c r="D8" s="18" t="n">
        <v>46296</v>
      </c>
      <c r="E8" s="18" t="n">
        <v>46310</v>
      </c>
      <c r="F8" s="19" t="n">
        <v>108</v>
      </c>
      <c r="G8" s="20" t="n">
        <f aca="false">VLOOKUP(C8,Acuan!$A$2:$B$4,2,FALSE())</f>
        <v>4000000</v>
      </c>
      <c r="H8" s="21" t="n">
        <f aca="false">MAX(0,E8-D8)</f>
        <v>14</v>
      </c>
      <c r="I8" s="22" t="str">
        <f aca="false">IF(H8=0,"Tepat Waktu",IF(H8&lt;=$O$5,"Terlambat","Menunggak"))</f>
        <v>Terlambat</v>
      </c>
      <c r="J8" s="20" t="n">
        <f aca="false">ROUND(G8*MIN(H8*$O$2,$O$3),0)</f>
        <v>112000</v>
      </c>
      <c r="K8" s="20" t="n">
        <f aca="false">F8*$O$4</f>
        <v>162000</v>
      </c>
      <c r="L8" s="20" t="n">
        <f aca="false">G8+J8+K8</f>
        <v>4274000</v>
      </c>
    </row>
    <row r="9" customFormat="false" ht="15" hidden="false" customHeight="false" outlineLevel="0" collapsed="false">
      <c r="A9" s="17" t="s">
        <v>114</v>
      </c>
      <c r="B9" s="17" t="s">
        <v>115</v>
      </c>
      <c r="C9" s="17" t="s">
        <v>97</v>
      </c>
      <c r="D9" s="18" t="n">
        <v>46296</v>
      </c>
      <c r="E9" s="18" t="n">
        <v>46327</v>
      </c>
      <c r="F9" s="19" t="n">
        <v>157</v>
      </c>
      <c r="G9" s="20" t="n">
        <f aca="false">VLOOKUP(C9,Acuan!$A$2:$B$4,2,FALSE())</f>
        <v>2500000</v>
      </c>
      <c r="H9" s="21" t="n">
        <f aca="false">MAX(0,E9-D9)</f>
        <v>31</v>
      </c>
      <c r="I9" s="22" t="str">
        <f aca="false">IF(H9=0,"Tepat Waktu",IF(H9&lt;=$O$5,"Terlambat","Menunggak"))</f>
        <v>Menunggak</v>
      </c>
      <c r="J9" s="20" t="n">
        <f aca="false">ROUND(G9*MIN(H9*$O$2,$O$3),0)</f>
        <v>155000</v>
      </c>
      <c r="K9" s="20" t="n">
        <f aca="false">F9*$O$4</f>
        <v>235500</v>
      </c>
      <c r="L9" s="20" t="n">
        <f aca="false">G9+J9+K9</f>
        <v>2890500</v>
      </c>
    </row>
    <row r="10" customFormat="false" ht="15" hidden="false" customHeight="false" outlineLevel="0" collapsed="false">
      <c r="A10" s="17" t="s">
        <v>116</v>
      </c>
      <c r="B10" s="17" t="s">
        <v>117</v>
      </c>
      <c r="C10" s="17" t="s">
        <v>92</v>
      </c>
      <c r="D10" s="18" t="n">
        <v>46296</v>
      </c>
      <c r="E10" s="18" t="n">
        <v>46328</v>
      </c>
      <c r="F10" s="19" t="n">
        <v>183</v>
      </c>
      <c r="G10" s="20" t="n">
        <f aca="false">VLOOKUP(C10,Acuan!$A$2:$B$4,2,FALSE())</f>
        <v>1500000</v>
      </c>
      <c r="H10" s="21" t="n">
        <f aca="false">MAX(0,E10-D10)</f>
        <v>32</v>
      </c>
      <c r="I10" s="22" t="str">
        <f aca="false">IF(H10=0,"Tepat Waktu",IF(H10&lt;=$O$5,"Terlambat","Menunggak"))</f>
        <v>Menunggak</v>
      </c>
      <c r="J10" s="20" t="n">
        <f aca="false">ROUND(G10*MIN(H10*$O$2,$O$3),0)</f>
        <v>96000</v>
      </c>
      <c r="K10" s="20" t="n">
        <f aca="false">F10*$O$4</f>
        <v>274500</v>
      </c>
      <c r="L10" s="20" t="n">
        <f aca="false">G10+J10+K10</f>
        <v>1870500</v>
      </c>
    </row>
    <row r="11" customFormat="false" ht="15" hidden="false" customHeight="false" outlineLevel="0" collapsed="false">
      <c r="A11" s="17" t="s">
        <v>118</v>
      </c>
      <c r="B11" s="17" t="s">
        <v>119</v>
      </c>
      <c r="C11" s="17" t="s">
        <v>92</v>
      </c>
      <c r="D11" s="18" t="n">
        <v>46296</v>
      </c>
      <c r="E11" s="18" t="n">
        <v>46314</v>
      </c>
      <c r="F11" s="19" t="n">
        <v>291</v>
      </c>
      <c r="G11" s="20" t="n">
        <f aca="false">VLOOKUP(C11,Acuan!$A$2:$B$4,2,FALSE())</f>
        <v>1500000</v>
      </c>
      <c r="H11" s="21" t="n">
        <f aca="false">MAX(0,E11-D11)</f>
        <v>18</v>
      </c>
      <c r="I11" s="22" t="str">
        <f aca="false">IF(H11=0,"Tepat Waktu",IF(H11&lt;=$O$5,"Terlambat","Menunggak"))</f>
        <v>Menunggak</v>
      </c>
      <c r="J11" s="20" t="n">
        <f aca="false">ROUND(G11*MIN(H11*$O$2,$O$3),0)</f>
        <v>54000</v>
      </c>
      <c r="K11" s="20" t="n">
        <f aca="false">F11*$O$4</f>
        <v>436500</v>
      </c>
      <c r="L11" s="20" t="n">
        <f aca="false">G11+J11+K11</f>
        <v>1990500</v>
      </c>
    </row>
    <row r="12" customFormat="false" ht="15" hidden="false" customHeight="false" outlineLevel="0" collapsed="false">
      <c r="A12" s="17" t="s">
        <v>120</v>
      </c>
      <c r="B12" s="17" t="s">
        <v>121</v>
      </c>
      <c r="C12" s="17" t="s">
        <v>92</v>
      </c>
      <c r="D12" s="18" t="n">
        <v>46296</v>
      </c>
      <c r="E12" s="18" t="n">
        <v>46308</v>
      </c>
      <c r="F12" s="19" t="n">
        <v>117</v>
      </c>
      <c r="G12" s="20" t="n">
        <f aca="false">VLOOKUP(C12,Acuan!$A$2:$B$4,2,FALSE())</f>
        <v>1500000</v>
      </c>
      <c r="H12" s="21" t="n">
        <f aca="false">MAX(0,E12-D12)</f>
        <v>12</v>
      </c>
      <c r="I12" s="22" t="str">
        <f aca="false">IF(H12=0,"Tepat Waktu",IF(H12&lt;=$O$5,"Terlambat","Menunggak"))</f>
        <v>Terlambat</v>
      </c>
      <c r="J12" s="20" t="n">
        <f aca="false">ROUND(G12*MIN(H12*$O$2,$O$3),0)</f>
        <v>36000</v>
      </c>
      <c r="K12" s="20" t="n">
        <f aca="false">F12*$O$4</f>
        <v>175500</v>
      </c>
      <c r="L12" s="20" t="n">
        <f aca="false">G12+J12+K12</f>
        <v>1711500</v>
      </c>
    </row>
    <row r="13" customFormat="false" ht="15" hidden="false" customHeight="false" outlineLevel="0" collapsed="false">
      <c r="A13" s="17" t="s">
        <v>122</v>
      </c>
      <c r="B13" s="17" t="s">
        <v>123</v>
      </c>
      <c r="C13" s="17" t="s">
        <v>92</v>
      </c>
      <c r="D13" s="18" t="n">
        <v>46296</v>
      </c>
      <c r="E13" s="18" t="n">
        <v>46293</v>
      </c>
      <c r="F13" s="19" t="n">
        <v>52</v>
      </c>
      <c r="G13" s="20" t="n">
        <f aca="false">VLOOKUP(C13,Acuan!$A$2:$B$4,2,FALSE())</f>
        <v>1500000</v>
      </c>
      <c r="H13" s="21" t="n">
        <f aca="false">MAX(0,E13-D13)</f>
        <v>0</v>
      </c>
      <c r="I13" s="22" t="str">
        <f aca="false">IF(H13=0,"Tepat Waktu",IF(H13&lt;=$O$5,"Terlambat","Menunggak"))</f>
        <v>Tepat Waktu</v>
      </c>
      <c r="J13" s="20" t="n">
        <f aca="false">ROUND(G13*MIN(H13*$O$2,$O$3),0)</f>
        <v>0</v>
      </c>
      <c r="K13" s="20" t="n">
        <f aca="false">F13*$O$4</f>
        <v>78000</v>
      </c>
      <c r="L13" s="20" t="n">
        <f aca="false">G13+J13+K13</f>
        <v>1578000</v>
      </c>
    </row>
    <row r="14" customFormat="false" ht="15" hidden="false" customHeight="false" outlineLevel="0" collapsed="false">
      <c r="A14" s="17" t="s">
        <v>124</v>
      </c>
      <c r="B14" s="17" t="s">
        <v>125</v>
      </c>
      <c r="C14" s="17" t="s">
        <v>102</v>
      </c>
      <c r="D14" s="18" t="n">
        <v>46296</v>
      </c>
      <c r="E14" s="18" t="n">
        <v>46361</v>
      </c>
      <c r="F14" s="19" t="n">
        <v>129</v>
      </c>
      <c r="G14" s="20" t="n">
        <f aca="false">VLOOKUP(C14,Acuan!$A$2:$B$4,2,FALSE())</f>
        <v>4000000</v>
      </c>
      <c r="H14" s="21" t="n">
        <f aca="false">MAX(0,E14-D14)</f>
        <v>65</v>
      </c>
      <c r="I14" s="22" t="str">
        <f aca="false">IF(H14=0,"Tepat Waktu",IF(H14&lt;=$O$5,"Terlambat","Menunggak"))</f>
        <v>Menunggak</v>
      </c>
      <c r="J14" s="20" t="n">
        <f aca="false">ROUND(G14*MIN(H14*$O$2,$O$3),0)</f>
        <v>400000</v>
      </c>
      <c r="K14" s="20" t="n">
        <f aca="false">F14*$O$4</f>
        <v>193500</v>
      </c>
      <c r="L14" s="20" t="n">
        <f aca="false">G14+J14+K14</f>
        <v>4593500</v>
      </c>
    </row>
    <row r="15" customFormat="false" ht="15" hidden="false" customHeight="false" outlineLevel="0" collapsed="false">
      <c r="A15" s="17" t="s">
        <v>126</v>
      </c>
      <c r="B15" s="17" t="s">
        <v>127</v>
      </c>
      <c r="C15" s="17" t="s">
        <v>92</v>
      </c>
      <c r="D15" s="18" t="n">
        <v>46296</v>
      </c>
      <c r="E15" s="18" t="n">
        <v>46294</v>
      </c>
      <c r="F15" s="19" t="n">
        <v>45</v>
      </c>
      <c r="G15" s="20" t="n">
        <f aca="false">VLOOKUP(C15,Acuan!$A$2:$B$4,2,FALSE())</f>
        <v>1500000</v>
      </c>
      <c r="H15" s="21" t="n">
        <f aca="false">MAX(0,E15-D15)</f>
        <v>0</v>
      </c>
      <c r="I15" s="22" t="str">
        <f aca="false">IF(H15=0,"Tepat Waktu",IF(H15&lt;=$O$5,"Terlambat","Menunggak"))</f>
        <v>Tepat Waktu</v>
      </c>
      <c r="J15" s="20" t="n">
        <f aca="false">ROUND(G15*MIN(H15*$O$2,$O$3),0)</f>
        <v>0</v>
      </c>
      <c r="K15" s="20" t="n">
        <f aca="false">F15*$O$4</f>
        <v>67500</v>
      </c>
      <c r="L15" s="20" t="n">
        <f aca="false">G15+J15+K15</f>
        <v>1567500</v>
      </c>
    </row>
    <row r="16" customFormat="false" ht="15" hidden="false" customHeight="false" outlineLevel="0" collapsed="false">
      <c r="A16" s="17" t="s">
        <v>128</v>
      </c>
      <c r="B16" s="17" t="s">
        <v>129</v>
      </c>
      <c r="C16" s="17" t="s">
        <v>97</v>
      </c>
      <c r="D16" s="18" t="n">
        <v>46296</v>
      </c>
      <c r="E16" s="18" t="n">
        <v>46294</v>
      </c>
      <c r="F16" s="19" t="n">
        <v>51</v>
      </c>
      <c r="G16" s="20" t="n">
        <f aca="false">VLOOKUP(C16,Acuan!$A$2:$B$4,2,FALSE())</f>
        <v>2500000</v>
      </c>
      <c r="H16" s="21" t="n">
        <f aca="false">MAX(0,E16-D16)</f>
        <v>0</v>
      </c>
      <c r="I16" s="22" t="str">
        <f aca="false">IF(H16=0,"Tepat Waktu",IF(H16&lt;=$O$5,"Terlambat","Menunggak"))</f>
        <v>Tepat Waktu</v>
      </c>
      <c r="J16" s="20" t="n">
        <f aca="false">ROUND(G16*MIN(H16*$O$2,$O$3),0)</f>
        <v>0</v>
      </c>
      <c r="K16" s="20" t="n">
        <f aca="false">F16*$O$4</f>
        <v>76500</v>
      </c>
      <c r="L16" s="20" t="n">
        <f aca="false">G16+J16+K16</f>
        <v>2576500</v>
      </c>
    </row>
    <row r="17" customFormat="false" ht="15" hidden="false" customHeight="false" outlineLevel="0" collapsed="false">
      <c r="A17" s="17" t="s">
        <v>130</v>
      </c>
      <c r="B17" s="17" t="s">
        <v>131</v>
      </c>
      <c r="C17" s="17" t="s">
        <v>102</v>
      </c>
      <c r="D17" s="18" t="n">
        <v>46296</v>
      </c>
      <c r="E17" s="18" t="n">
        <v>46295</v>
      </c>
      <c r="F17" s="19" t="n">
        <v>305</v>
      </c>
      <c r="G17" s="20" t="n">
        <f aca="false">VLOOKUP(C17,Acuan!$A$2:$B$4,2,FALSE())</f>
        <v>4000000</v>
      </c>
      <c r="H17" s="21" t="n">
        <f aca="false">MAX(0,E17-D17)</f>
        <v>0</v>
      </c>
      <c r="I17" s="22" t="str">
        <f aca="false">IF(H17=0,"Tepat Waktu",IF(H17&lt;=$O$5,"Terlambat","Menunggak"))</f>
        <v>Tepat Waktu</v>
      </c>
      <c r="J17" s="20" t="n">
        <f aca="false">ROUND(G17*MIN(H17*$O$2,$O$3),0)</f>
        <v>0</v>
      </c>
      <c r="K17" s="20" t="n">
        <f aca="false">F17*$O$4</f>
        <v>457500</v>
      </c>
      <c r="L17" s="20" t="n">
        <f aca="false">G17+J17+K17</f>
        <v>4457500</v>
      </c>
    </row>
    <row r="18" customFormat="false" ht="15" hidden="false" customHeight="false" outlineLevel="0" collapsed="false">
      <c r="A18" s="17" t="s">
        <v>132</v>
      </c>
      <c r="B18" s="17" t="s">
        <v>133</v>
      </c>
      <c r="C18" s="17" t="s">
        <v>102</v>
      </c>
      <c r="D18" s="18" t="n">
        <v>46296</v>
      </c>
      <c r="E18" s="18" t="n">
        <v>46296</v>
      </c>
      <c r="F18" s="19" t="n">
        <v>234</v>
      </c>
      <c r="G18" s="20" t="n">
        <f aca="false">VLOOKUP(C18,Acuan!$A$2:$B$4,2,FALSE())</f>
        <v>4000000</v>
      </c>
      <c r="H18" s="21" t="n">
        <f aca="false">MAX(0,E18-D18)</f>
        <v>0</v>
      </c>
      <c r="I18" s="22" t="str">
        <f aca="false">IF(H18=0,"Tepat Waktu",IF(H18&lt;=$O$5,"Terlambat","Menunggak"))</f>
        <v>Tepat Waktu</v>
      </c>
      <c r="J18" s="20" t="n">
        <f aca="false">ROUND(G18*MIN(H18*$O$2,$O$3),0)</f>
        <v>0</v>
      </c>
      <c r="K18" s="20" t="n">
        <f aca="false">F18*$O$4</f>
        <v>351000</v>
      </c>
      <c r="L18" s="20" t="n">
        <f aca="false">G18+J18+K18</f>
        <v>4351000</v>
      </c>
    </row>
    <row r="19" customFormat="false" ht="15" hidden="false" customHeight="false" outlineLevel="0" collapsed="false">
      <c r="A19" s="17" t="s">
        <v>134</v>
      </c>
      <c r="B19" s="17" t="s">
        <v>135</v>
      </c>
      <c r="C19" s="17" t="s">
        <v>92</v>
      </c>
      <c r="D19" s="18" t="n">
        <v>46296</v>
      </c>
      <c r="E19" s="18" t="n">
        <v>46328</v>
      </c>
      <c r="F19" s="19" t="n">
        <v>151</v>
      </c>
      <c r="G19" s="20" t="n">
        <f aca="false">VLOOKUP(C19,Acuan!$A$2:$B$4,2,FALSE())</f>
        <v>1500000</v>
      </c>
      <c r="H19" s="21" t="n">
        <f aca="false">MAX(0,E19-D19)</f>
        <v>32</v>
      </c>
      <c r="I19" s="22" t="str">
        <f aca="false">IF(H19=0,"Tepat Waktu",IF(H19&lt;=$O$5,"Terlambat","Menunggak"))</f>
        <v>Menunggak</v>
      </c>
      <c r="J19" s="20" t="n">
        <f aca="false">ROUND(G19*MIN(H19*$O$2,$O$3),0)</f>
        <v>96000</v>
      </c>
      <c r="K19" s="20" t="n">
        <f aca="false">F19*$O$4</f>
        <v>226500</v>
      </c>
      <c r="L19" s="20" t="n">
        <f aca="false">G19+J19+K19</f>
        <v>1822500</v>
      </c>
    </row>
    <row r="20" customFormat="false" ht="15" hidden="false" customHeight="false" outlineLevel="0" collapsed="false">
      <c r="A20" s="17" t="s">
        <v>136</v>
      </c>
      <c r="B20" s="17" t="s">
        <v>137</v>
      </c>
      <c r="C20" s="17" t="s">
        <v>92</v>
      </c>
      <c r="D20" s="18" t="n">
        <v>46296</v>
      </c>
      <c r="E20" s="18" t="n">
        <v>46365</v>
      </c>
      <c r="F20" s="19" t="n">
        <v>194</v>
      </c>
      <c r="G20" s="20" t="n">
        <f aca="false">VLOOKUP(C20,Acuan!$A$2:$B$4,2,FALSE())</f>
        <v>1500000</v>
      </c>
      <c r="H20" s="21" t="n">
        <f aca="false">MAX(0,E20-D20)</f>
        <v>69</v>
      </c>
      <c r="I20" s="22" t="str">
        <f aca="false">IF(H20=0,"Tepat Waktu",IF(H20&lt;=$O$5,"Terlambat","Menunggak"))</f>
        <v>Menunggak</v>
      </c>
      <c r="J20" s="20" t="n">
        <f aca="false">ROUND(G20*MIN(H20*$O$2,$O$3),0)</f>
        <v>150000</v>
      </c>
      <c r="K20" s="20" t="n">
        <f aca="false">F20*$O$4</f>
        <v>291000</v>
      </c>
      <c r="L20" s="20" t="n">
        <f aca="false">G20+J20+K20</f>
        <v>1941000</v>
      </c>
    </row>
    <row r="21" customFormat="false" ht="15" hidden="false" customHeight="false" outlineLevel="0" collapsed="false">
      <c r="A21" s="17" t="s">
        <v>138</v>
      </c>
      <c r="B21" s="17" t="s">
        <v>139</v>
      </c>
      <c r="C21" s="17" t="s">
        <v>92</v>
      </c>
      <c r="D21" s="18" t="n">
        <v>46296</v>
      </c>
      <c r="E21" s="18" t="n">
        <v>46294</v>
      </c>
      <c r="F21" s="19" t="n">
        <v>110</v>
      </c>
      <c r="G21" s="20" t="n">
        <f aca="false">VLOOKUP(C21,Acuan!$A$2:$B$4,2,FALSE())</f>
        <v>1500000</v>
      </c>
      <c r="H21" s="21" t="n">
        <f aca="false">MAX(0,E21-D21)</f>
        <v>0</v>
      </c>
      <c r="I21" s="22" t="str">
        <f aca="false">IF(H21=0,"Tepat Waktu",IF(H21&lt;=$O$5,"Terlambat","Menunggak"))</f>
        <v>Tepat Waktu</v>
      </c>
      <c r="J21" s="20" t="n">
        <f aca="false">ROUND(G21*MIN(H21*$O$2,$O$3),0)</f>
        <v>0</v>
      </c>
      <c r="K21" s="20" t="n">
        <f aca="false">F21*$O$4</f>
        <v>165000</v>
      </c>
      <c r="L21" s="20" t="n">
        <f aca="false">G21+J21+K21</f>
        <v>1665000</v>
      </c>
    </row>
    <row r="22" customFormat="false" ht="15" hidden="false" customHeight="false" outlineLevel="0" collapsed="false">
      <c r="A22" s="17" t="s">
        <v>140</v>
      </c>
      <c r="B22" s="17" t="s">
        <v>141</v>
      </c>
      <c r="C22" s="17" t="s">
        <v>102</v>
      </c>
      <c r="D22" s="18" t="n">
        <v>46296</v>
      </c>
      <c r="E22" s="18" t="n">
        <v>46305</v>
      </c>
      <c r="F22" s="19" t="n">
        <v>156</v>
      </c>
      <c r="G22" s="20" t="n">
        <f aca="false">VLOOKUP(C22,Acuan!$A$2:$B$4,2,FALSE())</f>
        <v>4000000</v>
      </c>
      <c r="H22" s="21" t="n">
        <f aca="false">MAX(0,E22-D22)</f>
        <v>9</v>
      </c>
      <c r="I22" s="22" t="str">
        <f aca="false">IF(H22=0,"Tepat Waktu",IF(H22&lt;=$O$5,"Terlambat","Menunggak"))</f>
        <v>Terlambat</v>
      </c>
      <c r="J22" s="20" t="n">
        <f aca="false">ROUND(G22*MIN(H22*$O$2,$O$3),0)</f>
        <v>72000</v>
      </c>
      <c r="K22" s="20" t="n">
        <f aca="false">F22*$O$4</f>
        <v>234000</v>
      </c>
      <c r="L22" s="20" t="n">
        <f aca="false">G22+J22+K22</f>
        <v>4306000</v>
      </c>
    </row>
    <row r="23" customFormat="false" ht="15" hidden="false" customHeight="false" outlineLevel="0" collapsed="false">
      <c r="A23" s="17" t="s">
        <v>142</v>
      </c>
      <c r="B23" s="17" t="s">
        <v>143</v>
      </c>
      <c r="C23" s="17" t="s">
        <v>97</v>
      </c>
      <c r="D23" s="18" t="n">
        <v>46296</v>
      </c>
      <c r="E23" s="18" t="n">
        <v>46294</v>
      </c>
      <c r="F23" s="19" t="n">
        <v>187</v>
      </c>
      <c r="G23" s="20" t="n">
        <f aca="false">VLOOKUP(C23,Acuan!$A$2:$B$4,2,FALSE())</f>
        <v>2500000</v>
      </c>
      <c r="H23" s="21" t="n">
        <f aca="false">MAX(0,E23-D23)</f>
        <v>0</v>
      </c>
      <c r="I23" s="22" t="str">
        <f aca="false">IF(H23=0,"Tepat Waktu",IF(H23&lt;=$O$5,"Terlambat","Menunggak"))</f>
        <v>Tepat Waktu</v>
      </c>
      <c r="J23" s="20" t="n">
        <f aca="false">ROUND(G23*MIN(H23*$O$2,$O$3),0)</f>
        <v>0</v>
      </c>
      <c r="K23" s="20" t="n">
        <f aca="false">F23*$O$4</f>
        <v>280500</v>
      </c>
      <c r="L23" s="20" t="n">
        <f aca="false">G23+J23+K23</f>
        <v>2780500</v>
      </c>
    </row>
    <row r="24" customFormat="false" ht="15" hidden="false" customHeight="false" outlineLevel="0" collapsed="false">
      <c r="A24" s="17" t="s">
        <v>144</v>
      </c>
      <c r="B24" s="17" t="s">
        <v>145</v>
      </c>
      <c r="C24" s="17" t="s">
        <v>92</v>
      </c>
      <c r="D24" s="18" t="n">
        <v>46296</v>
      </c>
      <c r="E24" s="18" t="n">
        <v>46294</v>
      </c>
      <c r="F24" s="19" t="n">
        <v>237</v>
      </c>
      <c r="G24" s="20" t="n">
        <f aca="false">VLOOKUP(C24,Acuan!$A$2:$B$4,2,FALSE())</f>
        <v>1500000</v>
      </c>
      <c r="H24" s="21" t="n">
        <f aca="false">MAX(0,E24-D24)</f>
        <v>0</v>
      </c>
      <c r="I24" s="22" t="str">
        <f aca="false">IF(H24=0,"Tepat Waktu",IF(H24&lt;=$O$5,"Terlambat","Menunggak"))</f>
        <v>Tepat Waktu</v>
      </c>
      <c r="J24" s="20" t="n">
        <f aca="false">ROUND(G24*MIN(H24*$O$2,$O$3),0)</f>
        <v>0</v>
      </c>
      <c r="K24" s="20" t="n">
        <f aca="false">F24*$O$4</f>
        <v>355500</v>
      </c>
      <c r="L24" s="20" t="n">
        <f aca="false">G24+J24+K24</f>
        <v>1855500</v>
      </c>
    </row>
    <row r="25" customFormat="false" ht="15" hidden="false" customHeight="false" outlineLevel="0" collapsed="false">
      <c r="A25" s="17" t="s">
        <v>146</v>
      </c>
      <c r="B25" s="17" t="s">
        <v>147</v>
      </c>
      <c r="C25" s="17" t="s">
        <v>92</v>
      </c>
      <c r="D25" s="18" t="n">
        <v>46296</v>
      </c>
      <c r="E25" s="18" t="n">
        <v>46297</v>
      </c>
      <c r="F25" s="19" t="n">
        <v>54</v>
      </c>
      <c r="G25" s="20" t="n">
        <f aca="false">VLOOKUP(C25,Acuan!$A$2:$B$4,2,FALSE())</f>
        <v>1500000</v>
      </c>
      <c r="H25" s="21" t="n">
        <f aca="false">MAX(0,E25-D25)</f>
        <v>1</v>
      </c>
      <c r="I25" s="22" t="str">
        <f aca="false">IF(H25=0,"Tepat Waktu",IF(H25&lt;=$O$5,"Terlambat","Menunggak"))</f>
        <v>Terlambat</v>
      </c>
      <c r="J25" s="20" t="n">
        <f aca="false">ROUND(G25*MIN(H25*$O$2,$O$3),0)</f>
        <v>3000</v>
      </c>
      <c r="K25" s="20" t="n">
        <f aca="false">F25*$O$4</f>
        <v>81000</v>
      </c>
      <c r="L25" s="20" t="n">
        <f aca="false">G25+J25+K25</f>
        <v>1584000</v>
      </c>
    </row>
    <row r="26" customFormat="false" ht="15" hidden="false" customHeight="false" outlineLevel="0" collapsed="false">
      <c r="A26" s="17" t="s">
        <v>148</v>
      </c>
      <c r="B26" s="17" t="s">
        <v>149</v>
      </c>
      <c r="C26" s="17" t="s">
        <v>92</v>
      </c>
      <c r="D26" s="18" t="n">
        <v>46296</v>
      </c>
      <c r="E26" s="18" t="n">
        <v>46293</v>
      </c>
      <c r="F26" s="19" t="n">
        <v>296</v>
      </c>
      <c r="G26" s="20" t="n">
        <f aca="false">VLOOKUP(C26,Acuan!$A$2:$B$4,2,FALSE())</f>
        <v>1500000</v>
      </c>
      <c r="H26" s="21" t="n">
        <f aca="false">MAX(0,E26-D26)</f>
        <v>0</v>
      </c>
      <c r="I26" s="22" t="str">
        <f aca="false">IF(H26=0,"Tepat Waktu",IF(H26&lt;=$O$5,"Terlambat","Menunggak"))</f>
        <v>Tepat Waktu</v>
      </c>
      <c r="J26" s="20" t="n">
        <f aca="false">ROUND(G26*MIN(H26*$O$2,$O$3),0)</f>
        <v>0</v>
      </c>
      <c r="K26" s="20" t="n">
        <f aca="false">F26*$O$4</f>
        <v>444000</v>
      </c>
      <c r="L26" s="20" t="n">
        <f aca="false">G26+J26+K26</f>
        <v>1944000</v>
      </c>
    </row>
    <row r="27" customFormat="false" ht="15" hidden="false" customHeight="false" outlineLevel="0" collapsed="false">
      <c r="A27" s="17" t="s">
        <v>150</v>
      </c>
      <c r="B27" s="17" t="s">
        <v>151</v>
      </c>
      <c r="C27" s="17" t="s">
        <v>97</v>
      </c>
      <c r="D27" s="18" t="n">
        <v>46296</v>
      </c>
      <c r="E27" s="18" t="n">
        <v>46306</v>
      </c>
      <c r="F27" s="19" t="n">
        <v>228</v>
      </c>
      <c r="G27" s="20" t="n">
        <f aca="false">VLOOKUP(C27,Acuan!$A$2:$B$4,2,FALSE())</f>
        <v>2500000</v>
      </c>
      <c r="H27" s="21" t="n">
        <f aca="false">MAX(0,E27-D27)</f>
        <v>10</v>
      </c>
      <c r="I27" s="22" t="str">
        <f aca="false">IF(H27=0,"Tepat Waktu",IF(H27&lt;=$O$5,"Terlambat","Menunggak"))</f>
        <v>Terlambat</v>
      </c>
      <c r="J27" s="20" t="n">
        <f aca="false">ROUND(G27*MIN(H27*$O$2,$O$3),0)</f>
        <v>50000</v>
      </c>
      <c r="K27" s="20" t="n">
        <f aca="false">F27*$O$4</f>
        <v>342000</v>
      </c>
      <c r="L27" s="20" t="n">
        <f aca="false">G27+J27+K27</f>
        <v>2892000</v>
      </c>
    </row>
    <row r="28" customFormat="false" ht="15" hidden="false" customHeight="false" outlineLevel="0" collapsed="false">
      <c r="A28" s="17" t="s">
        <v>152</v>
      </c>
      <c r="B28" s="17" t="s">
        <v>153</v>
      </c>
      <c r="C28" s="17" t="s">
        <v>92</v>
      </c>
      <c r="D28" s="18" t="n">
        <v>46296</v>
      </c>
      <c r="E28" s="18" t="n">
        <v>46296</v>
      </c>
      <c r="F28" s="19" t="n">
        <v>155</v>
      </c>
      <c r="G28" s="20" t="n">
        <f aca="false">VLOOKUP(C28,Acuan!$A$2:$B$4,2,FALSE())</f>
        <v>1500000</v>
      </c>
      <c r="H28" s="21" t="n">
        <f aca="false">MAX(0,E28-D28)</f>
        <v>0</v>
      </c>
      <c r="I28" s="22" t="str">
        <f aca="false">IF(H28=0,"Tepat Waktu",IF(H28&lt;=$O$5,"Terlambat","Menunggak"))</f>
        <v>Tepat Waktu</v>
      </c>
      <c r="J28" s="20" t="n">
        <f aca="false">ROUND(G28*MIN(H28*$O$2,$O$3),0)</f>
        <v>0</v>
      </c>
      <c r="K28" s="20" t="n">
        <f aca="false">F28*$O$4</f>
        <v>232500</v>
      </c>
      <c r="L28" s="20" t="n">
        <f aca="false">G28+J28+K28</f>
        <v>1732500</v>
      </c>
    </row>
    <row r="29" customFormat="false" ht="15" hidden="false" customHeight="false" outlineLevel="0" collapsed="false">
      <c r="A29" s="17" t="s">
        <v>154</v>
      </c>
      <c r="B29" s="17" t="s">
        <v>155</v>
      </c>
      <c r="C29" s="17" t="s">
        <v>97</v>
      </c>
      <c r="D29" s="18" t="n">
        <v>46296</v>
      </c>
      <c r="E29" s="18" t="n">
        <v>46296</v>
      </c>
      <c r="F29" s="19" t="n">
        <v>170</v>
      </c>
      <c r="G29" s="20" t="n">
        <f aca="false">VLOOKUP(C29,Acuan!$A$2:$B$4,2,FALSE())</f>
        <v>2500000</v>
      </c>
      <c r="H29" s="21" t="n">
        <f aca="false">MAX(0,E29-D29)</f>
        <v>0</v>
      </c>
      <c r="I29" s="22" t="str">
        <f aca="false">IF(H29=0,"Tepat Waktu",IF(H29&lt;=$O$5,"Terlambat","Menunggak"))</f>
        <v>Tepat Waktu</v>
      </c>
      <c r="J29" s="20" t="n">
        <f aca="false">ROUND(G29*MIN(H29*$O$2,$O$3),0)</f>
        <v>0</v>
      </c>
      <c r="K29" s="20" t="n">
        <f aca="false">F29*$O$4</f>
        <v>255000</v>
      </c>
      <c r="L29" s="20" t="n">
        <f aca="false">G29+J29+K29</f>
        <v>2755000</v>
      </c>
    </row>
    <row r="30" customFormat="false" ht="15" hidden="false" customHeight="false" outlineLevel="0" collapsed="false">
      <c r="A30" s="17" t="s">
        <v>156</v>
      </c>
      <c r="B30" s="17" t="s">
        <v>157</v>
      </c>
      <c r="C30" s="17" t="s">
        <v>92</v>
      </c>
      <c r="D30" s="18" t="n">
        <v>46296</v>
      </c>
      <c r="E30" s="18" t="n">
        <v>46299</v>
      </c>
      <c r="F30" s="19" t="n">
        <v>153</v>
      </c>
      <c r="G30" s="20" t="n">
        <f aca="false">VLOOKUP(C30,Acuan!$A$2:$B$4,2,FALSE())</f>
        <v>1500000</v>
      </c>
      <c r="H30" s="21" t="n">
        <f aca="false">MAX(0,E30-D30)</f>
        <v>3</v>
      </c>
      <c r="I30" s="22" t="str">
        <f aca="false">IF(H30=0,"Tepat Waktu",IF(H30&lt;=$O$5,"Terlambat","Menunggak"))</f>
        <v>Terlambat</v>
      </c>
      <c r="J30" s="20" t="n">
        <f aca="false">ROUND(G30*MIN(H30*$O$2,$O$3),0)</f>
        <v>9000</v>
      </c>
      <c r="K30" s="20" t="n">
        <f aca="false">F30*$O$4</f>
        <v>229500</v>
      </c>
      <c r="L30" s="20" t="n">
        <f aca="false">G30+J30+K30</f>
        <v>1738500</v>
      </c>
    </row>
    <row r="31" customFormat="false" ht="15" hidden="false" customHeight="false" outlineLevel="0" collapsed="false">
      <c r="A31" s="17" t="s">
        <v>158</v>
      </c>
      <c r="B31" s="17" t="s">
        <v>159</v>
      </c>
      <c r="C31" s="17" t="s">
        <v>92</v>
      </c>
      <c r="D31" s="18" t="n">
        <v>46296</v>
      </c>
      <c r="E31" s="18" t="n">
        <v>46342</v>
      </c>
      <c r="F31" s="19" t="n">
        <v>93</v>
      </c>
      <c r="G31" s="20" t="n">
        <f aca="false">VLOOKUP(C31,Acuan!$A$2:$B$4,2,FALSE())</f>
        <v>1500000</v>
      </c>
      <c r="H31" s="21" t="n">
        <f aca="false">MAX(0,E31-D31)</f>
        <v>46</v>
      </c>
      <c r="I31" s="22" t="str">
        <f aca="false">IF(H31=0,"Tepat Waktu",IF(H31&lt;=$O$5,"Terlambat","Menunggak"))</f>
        <v>Menunggak</v>
      </c>
      <c r="J31" s="20" t="n">
        <f aca="false">ROUND(G31*MIN(H31*$O$2,$O$3),0)</f>
        <v>138000</v>
      </c>
      <c r="K31" s="20" t="n">
        <f aca="false">F31*$O$4</f>
        <v>139500</v>
      </c>
      <c r="L31" s="20" t="n">
        <f aca="false">G31+J31+K31</f>
        <v>1777500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3"/>
    <col collapsed="false" customWidth="true" hidden="false" outlineLevel="0" max="4" min="4" style="0" width="19"/>
  </cols>
  <sheetData>
    <row r="1" customFormat="false" ht="33.75" hidden="false" customHeight="true" outlineLevel="0" collapsed="false">
      <c r="A1" s="11" t="s">
        <v>77</v>
      </c>
      <c r="B1" s="11" t="s">
        <v>81</v>
      </c>
      <c r="C1" s="15" t="s">
        <v>160</v>
      </c>
      <c r="D1" s="15" t="s">
        <v>161</v>
      </c>
    </row>
    <row r="2" customFormat="false" ht="15" hidden="false" customHeight="false" outlineLevel="0" collapsed="false">
      <c r="A2" s="17" t="s">
        <v>92</v>
      </c>
      <c r="B2" s="28" t="n">
        <v>1500000</v>
      </c>
      <c r="C2" s="21" t="n">
        <f aca="false">COUNTIF(Data!$C$2:$C$31,A2)</f>
        <v>16</v>
      </c>
      <c r="D2" s="20" t="n">
        <f aca="false">SUMIF(Data!$C$2:$C$31,A2,Data!$L$2:$L$31)</f>
        <v>28558500</v>
      </c>
    </row>
    <row r="3" customFormat="false" ht="15" hidden="false" customHeight="false" outlineLevel="0" collapsed="false">
      <c r="A3" s="17" t="s">
        <v>97</v>
      </c>
      <c r="B3" s="28" t="n">
        <v>2500000</v>
      </c>
      <c r="C3" s="21" t="n">
        <f aca="false">COUNTIF(Data!$C$2:$C$31,A3)</f>
        <v>7</v>
      </c>
      <c r="D3" s="20" t="n">
        <f aca="false">SUMIF(Data!$C$2:$C$31,A3,Data!$L$2:$L$31)</f>
        <v>19561000</v>
      </c>
    </row>
    <row r="4" customFormat="false" ht="15" hidden="false" customHeight="false" outlineLevel="0" collapsed="false">
      <c r="A4" s="17" t="s">
        <v>102</v>
      </c>
      <c r="B4" s="28" t="n">
        <v>4000000</v>
      </c>
      <c r="C4" s="21" t="n">
        <f aca="false">COUNTIF(Data!$C$2:$C$31,A4)</f>
        <v>7</v>
      </c>
      <c r="D4" s="20" t="n">
        <f aca="false">SUMIF(Data!$C$2:$C$31,A4,Data!$L$2:$L$31)</f>
        <v>30610500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162</v>
      </c>
      <c r="B1" s="29"/>
      <c r="C1" s="29"/>
      <c r="D1" s="29"/>
    </row>
    <row r="2" customFormat="false" ht="15" hidden="false" customHeight="false" outlineLevel="0" collapsed="false">
      <c r="A2" s="30" t="s">
        <v>163</v>
      </c>
      <c r="B2" s="30"/>
      <c r="C2" s="30"/>
      <c r="D2" s="30"/>
    </row>
    <row r="3" customFormat="false" ht="15" hidden="false" customHeight="false" outlineLevel="0" collapsed="false">
      <c r="A3" s="11" t="s">
        <v>19</v>
      </c>
      <c r="B3" s="11" t="s">
        <v>164</v>
      </c>
      <c r="C3" s="11" t="s">
        <v>165</v>
      </c>
      <c r="D3" s="11" t="s">
        <v>166</v>
      </c>
    </row>
    <row r="4" customFormat="false" ht="15" hidden="false" customHeight="false" outlineLevel="0" collapsed="false">
      <c r="A4" s="31" t="s">
        <v>167</v>
      </c>
      <c r="B4" s="32" t="s">
        <v>168</v>
      </c>
      <c r="C4" s="20" t="n">
        <f aca="false">SUM(Data!$L$2:$L$31)</f>
        <v>78730000</v>
      </c>
      <c r="D4" s="33" t="s">
        <v>169</v>
      </c>
    </row>
    <row r="5" customFormat="false" ht="15" hidden="false" customHeight="false" outlineLevel="0" collapsed="false">
      <c r="A5" s="31" t="s">
        <v>170</v>
      </c>
      <c r="B5" s="32" t="s">
        <v>171</v>
      </c>
      <c r="C5" s="20" t="n">
        <f aca="false">SUM(Data!$J$2:$J$31)</f>
        <v>1544000</v>
      </c>
      <c r="D5" s="33" t="s">
        <v>172</v>
      </c>
    </row>
    <row r="6" customFormat="false" ht="15" hidden="false" customHeight="false" outlineLevel="0" collapsed="false">
      <c r="A6" s="31" t="s">
        <v>173</v>
      </c>
      <c r="B6" s="32" t="s">
        <v>174</v>
      </c>
      <c r="C6" s="20" t="n">
        <f aca="false">SUM(Data!$K$2:$K$31)</f>
        <v>7686000</v>
      </c>
      <c r="D6" s="33" t="s">
        <v>175</v>
      </c>
    </row>
    <row r="7" customFormat="false" ht="15" hidden="false" customHeight="false" outlineLevel="0" collapsed="false">
      <c r="A7" s="31" t="s">
        <v>176</v>
      </c>
      <c r="B7" s="32" t="s">
        <v>177</v>
      </c>
      <c r="C7" s="21" t="n">
        <f aca="false">COUNTIF(Data!$I$2:$I$31,"Menunggak")</f>
        <v>8</v>
      </c>
      <c r="D7" s="33" t="s">
        <v>178</v>
      </c>
    </row>
    <row r="8" customFormat="false" ht="15" hidden="false" customHeight="false" outlineLevel="0" collapsed="false">
      <c r="A8" s="31" t="s">
        <v>179</v>
      </c>
      <c r="B8" s="32" t="s">
        <v>180</v>
      </c>
      <c r="C8" s="34" t="n">
        <f aca="false">COUNTIF(Data!$I$2:$I$31,"Tepat Waktu")/COUNTA(Data!$A$2:$A$31)</f>
        <v>0.5</v>
      </c>
      <c r="D8" s="33" t="s">
        <v>181</v>
      </c>
    </row>
    <row r="9" customFormat="false" ht="15" hidden="false" customHeight="false" outlineLevel="0" collapsed="false">
      <c r="A9" s="31" t="s">
        <v>182</v>
      </c>
      <c r="B9" s="32" t="s">
        <v>183</v>
      </c>
      <c r="C9" s="22" t="str">
        <f aca="false">INDEX(Acuan!$A$2:$A$4,MATCH(MAX(Acuan!$D$2:$D$4),Acuan!$D$2:$D$4,0))</f>
        <v>Besar</v>
      </c>
      <c r="D9" s="33" t="s">
        <v>184</v>
      </c>
    </row>
    <row r="10" customFormat="false" ht="15" hidden="false" customHeight="false" outlineLevel="0" collapsed="false">
      <c r="A10" s="31" t="s">
        <v>185</v>
      </c>
      <c r="B10" s="32" t="s">
        <v>186</v>
      </c>
      <c r="C10" s="22" t="str">
        <f aca="false">INDEX(Data!$B$2:$B$31,MATCH(MAX(Data!$H$2:$H$31),Data!$H$2:$H$31,0))</f>
        <v>Dimas Pangestu</v>
      </c>
      <c r="D10" s="33" t="s">
        <v>187</v>
      </c>
    </row>
    <row r="11" customFormat="false" ht="15" hidden="false" customHeight="false" outlineLevel="0" collapsed="false">
      <c r="A11" s="31" t="s">
        <v>188</v>
      </c>
      <c r="B11" s="32" t="s">
        <v>189</v>
      </c>
      <c r="C11" s="35" t="n">
        <f aca="false">AVERAGEIF(Data!$I$2:$I$31,"&lt;&gt;Tepat Waktu",Data!$H$2:$H$31)</f>
        <v>24.2666666666667</v>
      </c>
      <c r="D11" s="33" t="s">
        <v>190</v>
      </c>
    </row>
    <row r="12" customFormat="false" ht="15" hidden="false" customHeight="false" outlineLevel="0" collapsed="false">
      <c r="A12" s="31" t="s">
        <v>191</v>
      </c>
      <c r="B12" s="32" t="s">
        <v>192</v>
      </c>
      <c r="C12" s="20" t="n">
        <f aca="false">SUMIFS(Data!$L$2:$L$31,Data!$C$2:$C$31,"Besar",Data!$I$2:$I$31,"Menunggak")</f>
        <v>9040500</v>
      </c>
      <c r="D12" s="33" t="s">
        <v>193</v>
      </c>
    </row>
    <row r="13" customFormat="false" ht="15" hidden="false" customHeight="false" outlineLevel="0" collapsed="false">
      <c r="A13" s="31" t="s">
        <v>194</v>
      </c>
      <c r="B13" s="32" t="s">
        <v>195</v>
      </c>
      <c r="C13" s="21" t="n">
        <f aca="false">COUNTIF(Data!$H$2:$H$31,"&gt;="&amp;Data!$O$3/Data!$O$2)</f>
        <v>2</v>
      </c>
      <c r="D13" s="33" t="s">
        <v>196</v>
      </c>
    </row>
    <row r="14" customFormat="false" ht="15" hidden="false" customHeight="false" outlineLevel="0" collapsed="false">
      <c r="A14" s="31" t="s">
        <v>197</v>
      </c>
      <c r="B14" s="32" t="s">
        <v>198</v>
      </c>
      <c r="C14" s="20" t="n">
        <f aca="false">MAX(Data!$J$2:$J$31)</f>
        <v>400000</v>
      </c>
      <c r="D14" s="33" t="s">
        <v>199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2026-10-14T23:34:15Z</dcterms:created>
  <dc:creator>PushExcel</dc:creator>
  <dc:description/>
  <dc:language>en-US</dc:language>
  <cp:lastModifiedBy/>
  <dcterms:modified xsi:type="dcterms:W3CDTF">2026-10-14T23:34:15Z</dcterms:modified>
  <cp:revision>0</cp:revision>
  <dc:subject/>
  <dc:title>Tagihan Sewa Kios, Denda, dan Tunggakan - Kunci</dc:title>
</cp:coreProperties>
</file>

<file path=docProps/custom.xml><?xml version="1.0" encoding="utf-8"?>
<Properties xmlns="http://schemas.openxmlformats.org/officeDocument/2006/custom-properties" xmlns:vt="http://schemas.openxmlformats.org/officeDocument/2006/docPropsVTypes"/>
</file>