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<sst xmlns="http://schemas.openxmlformats.org/spreadsheetml/2006/main" count="217" uniqueCount="162">
  <si>
    <t xml:space="preserve">Kunci Jawaban: Tagihan SPP Sekolah</t>
  </si>
  <si>
    <t xml:space="preserve">Latihan 6 dari 104  |  Tingkat: Menengah  |  Perkiraan waktu: 50 menit  |  pushexcel.github.io/Pushexcel</t>
  </si>
  <si>
    <t xml:space="preserve">Skenario</t>
  </si>
  <si>
    <t xml:space="preserve">Kamu staf tata usaha di SMK Bina Mandiri. Tahun ajaran berjalan sudah sampai bulan ke-10. Kamu menyusun daftar tunggakan SPP untuk 24 siswa. Tarif SPP berbeda tiap kelas, dan siswa penerima beasiswa mendapat potongan 50 persen. Daftar ini dipakai bendahara untuk menagih orang tua.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</si>
  <si>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</si>
  <si>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</si>
  <si>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</si>
  <si>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</si>
  <si>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</si>
  <si>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</si>
  <si>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</si>
  <si>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</si>
  <si>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</si>
  <si>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</si>
  <si>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</si>
  <si>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</si>
  <si>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</si>
  <si>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</si>
  <si>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</si>
  <si>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</si>
  <si>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</si>
  <si>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</si>
  <si>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</si>
  <si>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</si>
  <si>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SPP per bulan setiap siswa dari tabel tarif di sheet Acuan berdasarkan kelasnya.</t>
  </si>
  <si>
    <t xml:space="preserve">Sheet Data, kolom F (SPP per Bulan), baris 2 sampai 25</t>
  </si>
  <si>
    <t xml:space="preserve">=VLOOKUP(C2;Acuan!$A$2:$B$4;2;FALSE)</t>
  </si>
  <si>
    <t xml:space="preserve">2</t>
  </si>
  <si>
    <t xml:space="preserve">Hitung SPP efektif. Siswa penerima beasiswa membayar SPP dikurangi potongan, siswa lain membayar SPP penuh.</t>
  </si>
  <si>
    <t xml:space="preserve">Sheet Data, kolom G (SPP Efektif), baris 2 sampai 25</t>
  </si>
  <si>
    <t xml:space="preserve">=IF(D2="Ya";ROUND(F2*(1-$M$3);0);F2)</t>
  </si>
  <si>
    <t xml:space="preserve">3</t>
  </si>
  <si>
    <t xml:space="preserve">Hitung tunggakan dalam bulan: bulan berjalan dikurangi jumlah bulan yang sudah dibayar.</t>
  </si>
  <si>
    <t xml:space="preserve">Sheet Data, kolom H (Tunggakan (bulan)), baris 2 sampai 25</t>
  </si>
  <si>
    <t xml:space="preserve">=$M$2-E2</t>
  </si>
  <si>
    <t xml:space="preserve">4</t>
  </si>
  <si>
    <t xml:space="preserve">Hitung tunggakan dalam rupiah: tunggakan bulan dikali SPP efektif.</t>
  </si>
  <si>
    <t xml:space="preserve">Sheet Data, kolom I (Tunggakan (Rp)), baris 2 sampai 25</t>
  </si>
  <si>
    <t xml:space="preserve">=H2*G2</t>
  </si>
  <si>
    <t xml:space="preserve">5</t>
  </si>
  <si>
    <t xml:space="preserve">Beri status Lunas bila tunggakan bulan sama dengan 0, selain itu Menunggak.</t>
  </si>
  <si>
    <t xml:space="preserve">Sheet Data, kolom J (Status), baris 2 sampai 25</t>
  </si>
  <si>
    <t xml:space="preserve">=IF(H2=0;"Lunas";"Menunggak")</t>
  </si>
  <si>
    <t xml:space="preserve">6</t>
  </si>
  <si>
    <t xml:space="preserve">Berapa total tunggakan SPP seluruh siswa?</t>
  </si>
  <si>
    <t xml:space="preserve">Sheet Ringkasan, sel C4</t>
  </si>
  <si>
    <t xml:space="preserve">=SUM(Data!$I$2:$I$25)</t>
  </si>
  <si>
    <t xml:space="preserve">7</t>
  </si>
  <si>
    <t xml:space="preserve">Berapa siswa yang sudah lunas?</t>
  </si>
  <si>
    <t xml:space="preserve">Sheet Ringkasan, sel C5</t>
  </si>
  <si>
    <t xml:space="preserve">=COUNTIF(Data!$J$2:$J$25;"Lunas")</t>
  </si>
  <si>
    <t xml:space="preserve">8</t>
  </si>
  <si>
    <t xml:space="preserve">Berapa persen siswa yang sudah lunas dari seluruh siswa?</t>
  </si>
  <si>
    <t xml:space="preserve">Sheet Ringkasan, sel C6</t>
  </si>
  <si>
    <t xml:space="preserve">=COUNTIF(Data!$J$2:$J$25;"Lunas")/COUNTA(Data!$B$2:$B$25)</t>
  </si>
  <si>
    <t xml:space="preserve">9</t>
  </si>
  <si>
    <t xml:space="preserve">Siapa siswa dengan tunggakan rupiah terbesar?</t>
  </si>
  <si>
    <t xml:space="preserve">Sheet Ringkasan, sel C7</t>
  </si>
  <si>
    <t xml:space="preserve">=INDEX(Data!$B$2:$B$25;MATCH(MAX(Data!$I$2:$I$25);Data!$I$2:$I$25;0))</t>
  </si>
  <si>
    <t xml:space="preserve">10</t>
  </si>
  <si>
    <t xml:space="preserve">Berapa total SPP yang sudah diterima sekolah sampai bulan ini?</t>
  </si>
  <si>
    <t xml:space="preserve">Sheet Ringkasan, sel C8</t>
  </si>
  <si>
    <t xml:space="preserve">=SUMPRODUCT(Data!$G$2:$G$25;Data!$E$2:$E$25)</t>
  </si>
  <si>
    <t xml:space="preserve">11</t>
  </si>
  <si>
    <t xml:space="preserve">Pada sheet Acuan, hitung jumlah siswa di tiap kelas.</t>
  </si>
  <si>
    <t xml:space="preserve">Sheet Acuan, kolom C (Jumlah Siswa), baris 2 sampai 4</t>
  </si>
  <si>
    <t xml:space="preserve">=COUNTIF(Data!$C$2:$C$25;A2)</t>
  </si>
  <si>
    <t xml:space="preserve">12</t>
  </si>
  <si>
    <t xml:space="preserve">Pada sheet Acuan, hitung total tunggakan (Rp) tiap kelas.</t>
  </si>
  <si>
    <t xml:space="preserve">Sheet Acuan, kolom D (Total Tunggakan), baris 2 sampai 4</t>
  </si>
  <si>
    <t xml:space="preserve">=SUMIF(Data!$C$2:$C$25;A2;Data!$I$2:$I$25)</t>
  </si>
  <si>
    <t xml:space="preserve">13</t>
  </si>
  <si>
    <t xml:space="preserve">Berapa penerima beasiswa yang masih menunggak?</t>
  </si>
  <si>
    <t xml:space="preserve">Sheet Ringkasan, sel C9</t>
  </si>
  <si>
    <t xml:space="preserve">=COUNTIFS(Data!$D$2:$D$25;"Ya";Data!$J$2:$J$25;"Menunggak")</t>
  </si>
  <si>
    <t xml:space="preserve">NIS</t>
  </si>
  <si>
    <t xml:space="preserve">Nama Siswa</t>
  </si>
  <si>
    <t xml:space="preserve">Kelas</t>
  </si>
  <si>
    <t xml:space="preserve">Penerima Beasiswa</t>
  </si>
  <si>
    <t xml:space="preserve">Jumlah Bulan Dibayar</t>
  </si>
  <si>
    <t xml:space="preserve">SPP per Bulan</t>
  </si>
  <si>
    <t xml:space="preserve">SPP Efektif</t>
  </si>
  <si>
    <t xml:space="preserve">Tunggakan (bulan)</t>
  </si>
  <si>
    <t xml:space="preserve">Tunggakan (Rp)</t>
  </si>
  <si>
    <t xml:space="preserve">Status</t>
  </si>
  <si>
    <t xml:space="preserve">Parameter</t>
  </si>
  <si>
    <t xml:space="preserve">Nilai</t>
  </si>
  <si>
    <t xml:space="preserve">Keterangan</t>
  </si>
  <si>
    <t xml:space="preserve">26001</t>
  </si>
  <si>
    <t xml:space="preserve">Arif Permana</t>
  </si>
  <si>
    <t xml:space="preserve">XII</t>
  </si>
  <si>
    <t xml:space="preserve">Ya</t>
  </si>
  <si>
    <t xml:space="preserve">Bulan berjalan (ditagih sampai bulan ke-)</t>
  </si>
  <si>
    <t xml:space="preserve">26002</t>
  </si>
  <si>
    <t xml:space="preserve">Intan Anggraini</t>
  </si>
  <si>
    <t xml:space="preserve">X</t>
  </si>
  <si>
    <t xml:space="preserve">Potongan SPP penerima beasiswa</t>
  </si>
  <si>
    <t xml:space="preserve">26003</t>
  </si>
  <si>
    <t xml:space="preserve">Kartika Utomo</t>
  </si>
  <si>
    <t xml:space="preserve">Tidak</t>
  </si>
  <si>
    <t xml:space="preserve">26004</t>
  </si>
  <si>
    <t xml:space="preserve">Mulyadi Kurniawan</t>
  </si>
  <si>
    <t xml:space="preserve">26005</t>
  </si>
  <si>
    <t xml:space="preserve">Putri Kurniawan</t>
  </si>
  <si>
    <t xml:space="preserve">26006</t>
  </si>
  <si>
    <t xml:space="preserve">Rahmat Anggraini</t>
  </si>
  <si>
    <t xml:space="preserve">XI</t>
  </si>
  <si>
    <t xml:space="preserve">26007</t>
  </si>
  <si>
    <t xml:space="preserve">Taufik Hidayat</t>
  </si>
  <si>
    <t xml:space="preserve">26008</t>
  </si>
  <si>
    <t xml:space="preserve">Lukman Rahayu</t>
  </si>
  <si>
    <t xml:space="preserve">26009</t>
  </si>
  <si>
    <t xml:space="preserve">Vivi Pratama</t>
  </si>
  <si>
    <t xml:space="preserve">26010</t>
  </si>
  <si>
    <t xml:space="preserve">Nurul Utomo</t>
  </si>
  <si>
    <t xml:space="preserve">26011</t>
  </si>
  <si>
    <t xml:space="preserve">Budi Handayani</t>
  </si>
  <si>
    <t xml:space="preserve">26012</t>
  </si>
  <si>
    <t xml:space="preserve">Anwar Handayani</t>
  </si>
  <si>
    <t xml:space="preserve">26013</t>
  </si>
  <si>
    <t xml:space="preserve">Agus Handayani</t>
  </si>
  <si>
    <t xml:space="preserve">26014</t>
  </si>
  <si>
    <t xml:space="preserve">Intan Hidayat</t>
  </si>
  <si>
    <t xml:space="preserve">26015</t>
  </si>
  <si>
    <t xml:space="preserve">Bayu Santoso</t>
  </si>
  <si>
    <t xml:space="preserve">26016</t>
  </si>
  <si>
    <t xml:space="preserve">Vina Wibowo</t>
  </si>
  <si>
    <t xml:space="preserve">26017</t>
  </si>
  <si>
    <t xml:space="preserve">Ayu Kurniawan</t>
  </si>
  <si>
    <t xml:space="preserve">26018</t>
  </si>
  <si>
    <t xml:space="preserve">Yusuf Anggraini</t>
  </si>
  <si>
    <t xml:space="preserve">26019</t>
  </si>
  <si>
    <t xml:space="preserve">Rizki Wibowo</t>
  </si>
  <si>
    <t xml:space="preserve">26020</t>
  </si>
  <si>
    <t xml:space="preserve">Eko Pratama</t>
  </si>
  <si>
    <t xml:space="preserve">26021</t>
  </si>
  <si>
    <t xml:space="preserve">Jamal Setiawan</t>
  </si>
  <si>
    <t xml:space="preserve">26022</t>
  </si>
  <si>
    <t xml:space="preserve">Rahmat Susanto</t>
  </si>
  <si>
    <t xml:space="preserve">26023</t>
  </si>
  <si>
    <t xml:space="preserve">Citra Rahayu</t>
  </si>
  <si>
    <t xml:space="preserve">26024</t>
  </si>
  <si>
    <t xml:space="preserve">Vivi Kurniawan</t>
  </si>
  <si>
    <t xml:space="preserve">Jumlah Siswa</t>
  </si>
  <si>
    <t xml:space="preserve">Total Tunggakan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</si>
  <si>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</si>
  <si>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</si>
  <si>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</si>
  <si>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</si>
  <si>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</si>
  <si>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tunggakan SPP seluruh siswa</t>
  </si>
  <si>
    <t xml:space="preserve">Rupiah, mis. Rp 8.400.000</t>
  </si>
  <si>
    <t xml:space="preserve">Jumlah siswa berstatus Lunas</t>
  </si>
  <si>
    <t xml:space="preserve">Angka bulat, mis. 10</t>
  </si>
  <si>
    <t xml:space="preserve">Persentase siswa yang sudah lunas</t>
  </si>
  <si>
    <t xml:space="preserve">Persen, mis. 41,7%</t>
  </si>
  <si>
    <t xml:space="preserve">Nama siswa dengan tunggakan terbesar</t>
  </si>
  <si>
    <t xml:space="preserve">Teks: nama siswa</t>
  </si>
  <si>
    <t xml:space="preserve">Total SPP yang sudah diterima</t>
  </si>
  <si>
    <t xml:space="preserve">Rupiah, mis. Rp 52.000.000</t>
  </si>
  <si>
    <t xml:space="preserve">Jumlah penerima beasiswa yang menunggak</t>
  </si>
  <si>
    <t xml:space="preserve">Angka bulat, mis. 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</si>
</sst>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Rp &quot;#,##0"/>
    <numFmt numFmtId="167" formatCode="0%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42"/>
  </cols>
  <sheetData>
    <row r="1" customFormat="false" ht="33.75" hidden="false" customHeight="true" outlineLevel="0" collapsed="false">
      <c r="A1" s="12" t="s">
        <v>75</v>
      </c>
      <c r="B1" s="12" t="s">
        <v>76</v>
      </c>
      <c r="C1" s="12" t="s">
        <v>77</v>
      </c>
      <c r="D1" s="12" t="s">
        <v>78</v>
      </c>
      <c r="E1" s="12" t="s">
        <v>79</v>
      </c>
      <c r="F1" s="16" t="s">
        <v>80</v>
      </c>
      <c r="G1" s="16" t="s">
        <v>81</v>
      </c>
      <c r="H1" s="16" t="s">
        <v>82</v>
      </c>
      <c r="I1" s="16" t="s">
        <v>83</v>
      </c>
      <c r="J1" s="16" t="s">
        <v>84</v>
      </c>
      <c r="L1" s="17" t="s">
        <v>85</v>
      </c>
      <c r="M1" s="17" t="s">
        <v>86</v>
      </c>
      <c r="N1" s="17" t="s">
        <v>87</v>
      </c>
    </row>
    <row r="2" customFormat="false" ht="15" hidden="false" customHeight="false" outlineLevel="0" collapsed="false">
      <c r="A2" s="18" t="s">
        <v>88</v>
      </c>
      <c r="B2" s="18" t="s">
        <v>89</v>
      </c>
      <c r="C2" s="18" t="s">
        <v>90</v>
      </c>
      <c r="D2" s="18" t="s">
        <v>91</v>
      </c>
      <c r="E2" s="19" t="n">
        <v>10</v>
      </c>
      <c r="F2" s="20" t="n">
        <f aca="false">VLOOKUP(C2,Acuan!$A$2:$B$4,2,FALSE())</f>
        <v>350000</v>
      </c>
      <c r="G2" s="20" t="n">
        <f aca="false">IF(D2="Ya",ROUND(F2*(1-$M$3),0),F2)</f>
        <v>175000</v>
      </c>
      <c r="H2" s="21" t="n">
        <f aca="false">$M$2-E2</f>
        <v>0</v>
      </c>
      <c r="I2" s="20" t="n">
        <f aca="false">H2*G2</f>
        <v>0</v>
      </c>
      <c r="J2" s="22" t="str">
        <f aca="false">IF(H2=0,"Lunas","Menunggak")</f>
        <v>Lunas</v>
      </c>
      <c r="L2" s="23" t="s">
        <v>92</v>
      </c>
      <c r="M2" s="24" t="n">
        <v>10</v>
      </c>
      <c r="N2" s="25"/>
    </row>
    <row r="3" customFormat="false" ht="15" hidden="false" customHeight="false" outlineLevel="0" collapsed="false">
      <c r="A3" s="18" t="s">
        <v>93</v>
      </c>
      <c r="B3" s="18" t="s">
        <v>94</v>
      </c>
      <c r="C3" s="18" t="s">
        <v>95</v>
      </c>
      <c r="D3" s="18" t="s">
        <v>91</v>
      </c>
      <c r="E3" s="19" t="n">
        <v>8</v>
      </c>
      <c r="F3" s="20" t="n">
        <f aca="false">VLOOKUP(C3,Acuan!$A$2:$B$4,2,FALSE())</f>
        <v>300000</v>
      </c>
      <c r="G3" s="20" t="n">
        <f aca="false">IF(D3="Ya",ROUND(F3*(1-$M$3),0),F3)</f>
        <v>150000</v>
      </c>
      <c r="H3" s="21" t="n">
        <f aca="false">$M$2-E3</f>
        <v>2</v>
      </c>
      <c r="I3" s="20" t="n">
        <f aca="false">H3*G3</f>
        <v>300000</v>
      </c>
      <c r="J3" s="22" t="str">
        <f aca="false">IF(H3=0,"Lunas","Menunggak")</f>
        <v>Menunggak</v>
      </c>
      <c r="L3" s="23" t="s">
        <v>96</v>
      </c>
      <c r="M3" s="26" t="n">
        <v>0.5</v>
      </c>
      <c r="N3" s="25"/>
    </row>
    <row r="4" customFormat="false" ht="15" hidden="false" customHeight="false" outlineLevel="0" collapsed="false">
      <c r="A4" s="18" t="s">
        <v>97</v>
      </c>
      <c r="B4" s="18" t="s">
        <v>98</v>
      </c>
      <c r="C4" s="18" t="s">
        <v>95</v>
      </c>
      <c r="D4" s="18" t="s">
        <v>99</v>
      </c>
      <c r="E4" s="19" t="n">
        <v>10</v>
      </c>
      <c r="F4" s="20" t="n">
        <f aca="false">VLOOKUP(C4,Acuan!$A$2:$B$4,2,FALSE())</f>
        <v>300000</v>
      </c>
      <c r="G4" s="20" t="n">
        <f aca="false">IF(D4="Ya",ROUND(F4*(1-$M$3),0),F4)</f>
        <v>300000</v>
      </c>
      <c r="H4" s="21" t="n">
        <f aca="false">$M$2-E4</f>
        <v>0</v>
      </c>
      <c r="I4" s="20" t="n">
        <f aca="false">H4*G4</f>
        <v>0</v>
      </c>
      <c r="J4" s="22" t="str">
        <f aca="false">IF(H4=0,"Lunas","Menunggak")</f>
        <v>Lunas</v>
      </c>
    </row>
    <row r="5" customFormat="false" ht="15" hidden="false" customHeight="false" outlineLevel="0" collapsed="false">
      <c r="A5" s="18" t="s">
        <v>100</v>
      </c>
      <c r="B5" s="18" t="s">
        <v>101</v>
      </c>
      <c r="C5" s="18" t="s">
        <v>90</v>
      </c>
      <c r="D5" s="18" t="s">
        <v>91</v>
      </c>
      <c r="E5" s="19" t="n">
        <v>8</v>
      </c>
      <c r="F5" s="20" t="n">
        <f aca="false">VLOOKUP(C5,Acuan!$A$2:$B$4,2,FALSE())</f>
        <v>350000</v>
      </c>
      <c r="G5" s="20" t="n">
        <f aca="false">IF(D5="Ya",ROUND(F5*(1-$M$3),0),F5)</f>
        <v>175000</v>
      </c>
      <c r="H5" s="21" t="n">
        <f aca="false">$M$2-E5</f>
        <v>2</v>
      </c>
      <c r="I5" s="20" t="n">
        <f aca="false">H5*G5</f>
        <v>350000</v>
      </c>
      <c r="J5" s="22" t="str">
        <f aca="false">IF(H5=0,"Lunas","Menunggak")</f>
        <v>Menunggak</v>
      </c>
    </row>
    <row r="6" customFormat="false" ht="15" hidden="false" customHeight="false" outlineLevel="0" collapsed="false">
      <c r="A6" s="18" t="s">
        <v>102</v>
      </c>
      <c r="B6" s="18" t="s">
        <v>103</v>
      </c>
      <c r="C6" s="18" t="s">
        <v>90</v>
      </c>
      <c r="D6" s="18" t="s">
        <v>99</v>
      </c>
      <c r="E6" s="19" t="n">
        <v>8</v>
      </c>
      <c r="F6" s="20" t="n">
        <f aca="false">VLOOKUP(C6,Acuan!$A$2:$B$4,2,FALSE())</f>
        <v>350000</v>
      </c>
      <c r="G6" s="20" t="n">
        <f aca="false">IF(D6="Ya",ROUND(F6*(1-$M$3),0),F6)</f>
        <v>350000</v>
      </c>
      <c r="H6" s="21" t="n">
        <f aca="false">$M$2-E6</f>
        <v>2</v>
      </c>
      <c r="I6" s="20" t="n">
        <f aca="false">H6*G6</f>
        <v>700000</v>
      </c>
      <c r="J6" s="22" t="str">
        <f aca="false">IF(H6=0,"Lunas","Menunggak")</f>
        <v>Menunggak</v>
      </c>
    </row>
    <row r="7" customFormat="false" ht="15" hidden="false" customHeight="false" outlineLevel="0" collapsed="false">
      <c r="A7" s="18" t="s">
        <v>104</v>
      </c>
      <c r="B7" s="18" t="s">
        <v>105</v>
      </c>
      <c r="C7" s="18" t="s">
        <v>106</v>
      </c>
      <c r="D7" s="18" t="s">
        <v>99</v>
      </c>
      <c r="E7" s="19" t="n">
        <v>10</v>
      </c>
      <c r="F7" s="20" t="n">
        <f aca="false">VLOOKUP(C7,Acuan!$A$2:$B$4,2,FALSE())</f>
        <v>325000</v>
      </c>
      <c r="G7" s="20" t="n">
        <f aca="false">IF(D7="Ya",ROUND(F7*(1-$M$3),0),F7)</f>
        <v>325000</v>
      </c>
      <c r="H7" s="21" t="n">
        <f aca="false">$M$2-E7</f>
        <v>0</v>
      </c>
      <c r="I7" s="20" t="n">
        <f aca="false">H7*G7</f>
        <v>0</v>
      </c>
      <c r="J7" s="22" t="str">
        <f aca="false">IF(H7=0,"Lunas","Menunggak")</f>
        <v>Lunas</v>
      </c>
    </row>
    <row r="8" customFormat="false" ht="15" hidden="false" customHeight="false" outlineLevel="0" collapsed="false">
      <c r="A8" s="18" t="s">
        <v>107</v>
      </c>
      <c r="B8" s="18" t="s">
        <v>108</v>
      </c>
      <c r="C8" s="18" t="s">
        <v>106</v>
      </c>
      <c r="D8" s="18" t="s">
        <v>99</v>
      </c>
      <c r="E8" s="19" t="n">
        <v>6</v>
      </c>
      <c r="F8" s="20" t="n">
        <f aca="false">VLOOKUP(C8,Acuan!$A$2:$B$4,2,FALSE())</f>
        <v>325000</v>
      </c>
      <c r="G8" s="20" t="n">
        <f aca="false">IF(D8="Ya",ROUND(F8*(1-$M$3),0),F8)</f>
        <v>325000</v>
      </c>
      <c r="H8" s="21" t="n">
        <f aca="false">$M$2-E8</f>
        <v>4</v>
      </c>
      <c r="I8" s="20" t="n">
        <f aca="false">H8*G8</f>
        <v>1300000</v>
      </c>
      <c r="J8" s="22" t="str">
        <f aca="false">IF(H8=0,"Lunas","Menunggak")</f>
        <v>Menunggak</v>
      </c>
    </row>
    <row r="9" customFormat="false" ht="15" hidden="false" customHeight="false" outlineLevel="0" collapsed="false">
      <c r="A9" s="18" t="s">
        <v>109</v>
      </c>
      <c r="B9" s="18" t="s">
        <v>110</v>
      </c>
      <c r="C9" s="18" t="s">
        <v>106</v>
      </c>
      <c r="D9" s="18" t="s">
        <v>99</v>
      </c>
      <c r="E9" s="19" t="n">
        <v>10</v>
      </c>
      <c r="F9" s="20" t="n">
        <f aca="false">VLOOKUP(C9,Acuan!$A$2:$B$4,2,FALSE())</f>
        <v>325000</v>
      </c>
      <c r="G9" s="20" t="n">
        <f aca="false">IF(D9="Ya",ROUND(F9*(1-$M$3),0),F9)</f>
        <v>325000</v>
      </c>
      <c r="H9" s="21" t="n">
        <f aca="false">$M$2-E9</f>
        <v>0</v>
      </c>
      <c r="I9" s="20" t="n">
        <f aca="false">H9*G9</f>
        <v>0</v>
      </c>
      <c r="J9" s="22" t="str">
        <f aca="false">IF(H9=0,"Lunas","Menunggak")</f>
        <v>Lunas</v>
      </c>
    </row>
    <row r="10" customFormat="false" ht="15" hidden="false" customHeight="false" outlineLevel="0" collapsed="false">
      <c r="A10" s="18" t="s">
        <v>111</v>
      </c>
      <c r="B10" s="18" t="s">
        <v>112</v>
      </c>
      <c r="C10" s="18" t="s">
        <v>106</v>
      </c>
      <c r="D10" s="18" t="s">
        <v>99</v>
      </c>
      <c r="E10" s="19" t="n">
        <v>10</v>
      </c>
      <c r="F10" s="20" t="n">
        <f aca="false">VLOOKUP(C10,Acuan!$A$2:$B$4,2,FALSE())</f>
        <v>325000</v>
      </c>
      <c r="G10" s="20" t="n">
        <f aca="false">IF(D10="Ya",ROUND(F10*(1-$M$3),0),F10)</f>
        <v>325000</v>
      </c>
      <c r="H10" s="21" t="n">
        <f aca="false">$M$2-E10</f>
        <v>0</v>
      </c>
      <c r="I10" s="20" t="n">
        <f aca="false">H10*G10</f>
        <v>0</v>
      </c>
      <c r="J10" s="22" t="str">
        <f aca="false">IF(H10=0,"Lunas","Menunggak")</f>
        <v>Lunas</v>
      </c>
    </row>
    <row r="11" customFormat="false" ht="15" hidden="false" customHeight="false" outlineLevel="0" collapsed="false">
      <c r="A11" s="18" t="s">
        <v>113</v>
      </c>
      <c r="B11" s="18" t="s">
        <v>114</v>
      </c>
      <c r="C11" s="18" t="s">
        <v>95</v>
      </c>
      <c r="D11" s="18" t="s">
        <v>99</v>
      </c>
      <c r="E11" s="19" t="n">
        <v>7</v>
      </c>
      <c r="F11" s="20" t="n">
        <f aca="false">VLOOKUP(C11,Acuan!$A$2:$B$4,2,FALSE())</f>
        <v>300000</v>
      </c>
      <c r="G11" s="20" t="n">
        <f aca="false">IF(D11="Ya",ROUND(F11*(1-$M$3),0),F11)</f>
        <v>300000</v>
      </c>
      <c r="H11" s="21" t="n">
        <f aca="false">$M$2-E11</f>
        <v>3</v>
      </c>
      <c r="I11" s="20" t="n">
        <f aca="false">H11*G11</f>
        <v>900000</v>
      </c>
      <c r="J11" s="22" t="str">
        <f aca="false">IF(H11=0,"Lunas","Menunggak")</f>
        <v>Menunggak</v>
      </c>
    </row>
    <row r="12" customFormat="false" ht="15" hidden="false" customHeight="false" outlineLevel="0" collapsed="false">
      <c r="A12" s="18" t="s">
        <v>115</v>
      </c>
      <c r="B12" s="18" t="s">
        <v>116</v>
      </c>
      <c r="C12" s="18" t="s">
        <v>90</v>
      </c>
      <c r="D12" s="18" t="s">
        <v>99</v>
      </c>
      <c r="E12" s="19" t="n">
        <v>8</v>
      </c>
      <c r="F12" s="20" t="n">
        <f aca="false">VLOOKUP(C12,Acuan!$A$2:$B$4,2,FALSE())</f>
        <v>350000</v>
      </c>
      <c r="G12" s="20" t="n">
        <f aca="false">IF(D12="Ya",ROUND(F12*(1-$M$3),0),F12)</f>
        <v>350000</v>
      </c>
      <c r="H12" s="21" t="n">
        <f aca="false">$M$2-E12</f>
        <v>2</v>
      </c>
      <c r="I12" s="20" t="n">
        <f aca="false">H12*G12</f>
        <v>700000</v>
      </c>
      <c r="J12" s="22" t="str">
        <f aca="false">IF(H12=0,"Lunas","Menunggak")</f>
        <v>Menunggak</v>
      </c>
    </row>
    <row r="13" customFormat="false" ht="15" hidden="false" customHeight="false" outlineLevel="0" collapsed="false">
      <c r="A13" s="18" t="s">
        <v>117</v>
      </c>
      <c r="B13" s="18" t="s">
        <v>118</v>
      </c>
      <c r="C13" s="18" t="s">
        <v>90</v>
      </c>
      <c r="D13" s="18" t="s">
        <v>99</v>
      </c>
      <c r="E13" s="19" t="n">
        <v>10</v>
      </c>
      <c r="F13" s="20" t="n">
        <f aca="false">VLOOKUP(C13,Acuan!$A$2:$B$4,2,FALSE())</f>
        <v>350000</v>
      </c>
      <c r="G13" s="20" t="n">
        <f aca="false">IF(D13="Ya",ROUND(F13*(1-$M$3),0),F13)</f>
        <v>350000</v>
      </c>
      <c r="H13" s="21" t="n">
        <f aca="false">$M$2-E13</f>
        <v>0</v>
      </c>
      <c r="I13" s="20" t="n">
        <f aca="false">H13*G13</f>
        <v>0</v>
      </c>
      <c r="J13" s="22" t="str">
        <f aca="false">IF(H13=0,"Lunas","Menunggak")</f>
        <v>Lunas</v>
      </c>
    </row>
    <row r="14" customFormat="false" ht="15" hidden="false" customHeight="false" outlineLevel="0" collapsed="false">
      <c r="A14" s="18" t="s">
        <v>119</v>
      </c>
      <c r="B14" s="18" t="s">
        <v>120</v>
      </c>
      <c r="C14" s="18" t="s">
        <v>95</v>
      </c>
      <c r="D14" s="18" t="s">
        <v>91</v>
      </c>
      <c r="E14" s="19" t="n">
        <v>9</v>
      </c>
      <c r="F14" s="20" t="n">
        <f aca="false">VLOOKUP(C14,Acuan!$A$2:$B$4,2,FALSE())</f>
        <v>300000</v>
      </c>
      <c r="G14" s="20" t="n">
        <f aca="false">IF(D14="Ya",ROUND(F14*(1-$M$3),0),F14)</f>
        <v>150000</v>
      </c>
      <c r="H14" s="21" t="n">
        <f aca="false">$M$2-E14</f>
        <v>1</v>
      </c>
      <c r="I14" s="20" t="n">
        <f aca="false">H14*G14</f>
        <v>150000</v>
      </c>
      <c r="J14" s="22" t="str">
        <f aca="false">IF(H14=0,"Lunas","Menunggak")</f>
        <v>Menunggak</v>
      </c>
    </row>
    <row r="15" customFormat="false" ht="15" hidden="false" customHeight="false" outlineLevel="0" collapsed="false">
      <c r="A15" s="18" t="s">
        <v>121</v>
      </c>
      <c r="B15" s="18" t="s">
        <v>122</v>
      </c>
      <c r="C15" s="18" t="s">
        <v>95</v>
      </c>
      <c r="D15" s="18" t="s">
        <v>99</v>
      </c>
      <c r="E15" s="19" t="n">
        <v>10</v>
      </c>
      <c r="F15" s="20" t="n">
        <f aca="false">VLOOKUP(C15,Acuan!$A$2:$B$4,2,FALSE())</f>
        <v>300000</v>
      </c>
      <c r="G15" s="20" t="n">
        <f aca="false">IF(D15="Ya",ROUND(F15*(1-$M$3),0),F15)</f>
        <v>300000</v>
      </c>
      <c r="H15" s="21" t="n">
        <f aca="false">$M$2-E15</f>
        <v>0</v>
      </c>
      <c r="I15" s="20" t="n">
        <f aca="false">H15*G15</f>
        <v>0</v>
      </c>
      <c r="J15" s="22" t="str">
        <f aca="false">IF(H15=0,"Lunas","Menunggak")</f>
        <v>Lunas</v>
      </c>
    </row>
    <row r="16" customFormat="false" ht="15" hidden="false" customHeight="false" outlineLevel="0" collapsed="false">
      <c r="A16" s="18" t="s">
        <v>123</v>
      </c>
      <c r="B16" s="18" t="s">
        <v>124</v>
      </c>
      <c r="C16" s="18" t="s">
        <v>95</v>
      </c>
      <c r="D16" s="18" t="s">
        <v>99</v>
      </c>
      <c r="E16" s="19" t="n">
        <v>10</v>
      </c>
      <c r="F16" s="20" t="n">
        <f aca="false">VLOOKUP(C16,Acuan!$A$2:$B$4,2,FALSE())</f>
        <v>300000</v>
      </c>
      <c r="G16" s="20" t="n">
        <f aca="false">IF(D16="Ya",ROUND(F16*(1-$M$3),0),F16)</f>
        <v>300000</v>
      </c>
      <c r="H16" s="21" t="n">
        <f aca="false">$M$2-E16</f>
        <v>0</v>
      </c>
      <c r="I16" s="20" t="n">
        <f aca="false">H16*G16</f>
        <v>0</v>
      </c>
      <c r="J16" s="22" t="str">
        <f aca="false">IF(H16=0,"Lunas","Menunggak")</f>
        <v>Lunas</v>
      </c>
    </row>
    <row r="17" customFormat="false" ht="15" hidden="false" customHeight="false" outlineLevel="0" collapsed="false">
      <c r="A17" s="18" t="s">
        <v>125</v>
      </c>
      <c r="B17" s="18" t="s">
        <v>126</v>
      </c>
      <c r="C17" s="18" t="s">
        <v>106</v>
      </c>
      <c r="D17" s="18" t="s">
        <v>99</v>
      </c>
      <c r="E17" s="19" t="n">
        <v>4</v>
      </c>
      <c r="F17" s="20" t="n">
        <f aca="false">VLOOKUP(C17,Acuan!$A$2:$B$4,2,FALSE())</f>
        <v>325000</v>
      </c>
      <c r="G17" s="20" t="n">
        <f aca="false">IF(D17="Ya",ROUND(F17*(1-$M$3),0),F17)</f>
        <v>325000</v>
      </c>
      <c r="H17" s="21" t="n">
        <f aca="false">$M$2-E17</f>
        <v>6</v>
      </c>
      <c r="I17" s="20" t="n">
        <f aca="false">H17*G17</f>
        <v>1950000</v>
      </c>
      <c r="J17" s="22" t="str">
        <f aca="false">IF(H17=0,"Lunas","Menunggak")</f>
        <v>Menunggak</v>
      </c>
    </row>
    <row r="18" customFormat="false" ht="15" hidden="false" customHeight="false" outlineLevel="0" collapsed="false">
      <c r="A18" s="18" t="s">
        <v>127</v>
      </c>
      <c r="B18" s="18" t="s">
        <v>128</v>
      </c>
      <c r="C18" s="18" t="s">
        <v>95</v>
      </c>
      <c r="D18" s="18" t="s">
        <v>99</v>
      </c>
      <c r="E18" s="19" t="n">
        <v>8</v>
      </c>
      <c r="F18" s="20" t="n">
        <f aca="false">VLOOKUP(C18,Acuan!$A$2:$B$4,2,FALSE())</f>
        <v>300000</v>
      </c>
      <c r="G18" s="20" t="n">
        <f aca="false">IF(D18="Ya",ROUND(F18*(1-$M$3),0),F18)</f>
        <v>300000</v>
      </c>
      <c r="H18" s="21" t="n">
        <f aca="false">$M$2-E18</f>
        <v>2</v>
      </c>
      <c r="I18" s="20" t="n">
        <f aca="false">H18*G18</f>
        <v>600000</v>
      </c>
      <c r="J18" s="22" t="str">
        <f aca="false">IF(H18=0,"Lunas","Menunggak")</f>
        <v>Menunggak</v>
      </c>
    </row>
    <row r="19" customFormat="false" ht="15" hidden="false" customHeight="false" outlineLevel="0" collapsed="false">
      <c r="A19" s="18" t="s">
        <v>129</v>
      </c>
      <c r="B19" s="18" t="s">
        <v>130</v>
      </c>
      <c r="C19" s="18" t="s">
        <v>106</v>
      </c>
      <c r="D19" s="18" t="s">
        <v>99</v>
      </c>
      <c r="E19" s="19" t="n">
        <v>10</v>
      </c>
      <c r="F19" s="20" t="n">
        <f aca="false">VLOOKUP(C19,Acuan!$A$2:$B$4,2,FALSE())</f>
        <v>325000</v>
      </c>
      <c r="G19" s="20" t="n">
        <f aca="false">IF(D19="Ya",ROUND(F19*(1-$M$3),0),F19)</f>
        <v>325000</v>
      </c>
      <c r="H19" s="21" t="n">
        <f aca="false">$M$2-E19</f>
        <v>0</v>
      </c>
      <c r="I19" s="20" t="n">
        <f aca="false">H19*G19</f>
        <v>0</v>
      </c>
      <c r="J19" s="22" t="str">
        <f aca="false">IF(H19=0,"Lunas","Menunggak")</f>
        <v>Lunas</v>
      </c>
    </row>
    <row r="20" customFormat="false" ht="15" hidden="false" customHeight="false" outlineLevel="0" collapsed="false">
      <c r="A20" s="18" t="s">
        <v>131</v>
      </c>
      <c r="B20" s="18" t="s">
        <v>132</v>
      </c>
      <c r="C20" s="18" t="s">
        <v>106</v>
      </c>
      <c r="D20" s="18" t="s">
        <v>91</v>
      </c>
      <c r="E20" s="19" t="n">
        <v>9</v>
      </c>
      <c r="F20" s="20" t="n">
        <f aca="false">VLOOKUP(C20,Acuan!$A$2:$B$4,2,FALSE())</f>
        <v>325000</v>
      </c>
      <c r="G20" s="20" t="n">
        <f aca="false">IF(D20="Ya",ROUND(F20*(1-$M$3),0),F20)</f>
        <v>162500</v>
      </c>
      <c r="H20" s="21" t="n">
        <f aca="false">$M$2-E20</f>
        <v>1</v>
      </c>
      <c r="I20" s="20" t="n">
        <f aca="false">H20*G20</f>
        <v>162500</v>
      </c>
      <c r="J20" s="22" t="str">
        <f aca="false">IF(H20=0,"Lunas","Menunggak")</f>
        <v>Menunggak</v>
      </c>
    </row>
    <row r="21" customFormat="false" ht="15" hidden="false" customHeight="false" outlineLevel="0" collapsed="false">
      <c r="A21" s="18" t="s">
        <v>133</v>
      </c>
      <c r="B21" s="18" t="s">
        <v>134</v>
      </c>
      <c r="C21" s="18" t="s">
        <v>106</v>
      </c>
      <c r="D21" s="18" t="s">
        <v>99</v>
      </c>
      <c r="E21" s="19" t="n">
        <v>9</v>
      </c>
      <c r="F21" s="20" t="n">
        <f aca="false">VLOOKUP(C21,Acuan!$A$2:$B$4,2,FALSE())</f>
        <v>325000</v>
      </c>
      <c r="G21" s="20" t="n">
        <f aca="false">IF(D21="Ya",ROUND(F21*(1-$M$3),0),F21)</f>
        <v>325000</v>
      </c>
      <c r="H21" s="21" t="n">
        <f aca="false">$M$2-E21</f>
        <v>1</v>
      </c>
      <c r="I21" s="20" t="n">
        <f aca="false">H21*G21</f>
        <v>325000</v>
      </c>
      <c r="J21" s="22" t="str">
        <f aca="false">IF(H21=0,"Lunas","Menunggak")</f>
        <v>Menunggak</v>
      </c>
    </row>
    <row r="22" customFormat="false" ht="15" hidden="false" customHeight="false" outlineLevel="0" collapsed="false">
      <c r="A22" s="18" t="s">
        <v>135</v>
      </c>
      <c r="B22" s="18" t="s">
        <v>136</v>
      </c>
      <c r="C22" s="18" t="s">
        <v>90</v>
      </c>
      <c r="D22" s="18" t="s">
        <v>99</v>
      </c>
      <c r="E22" s="19" t="n">
        <v>10</v>
      </c>
      <c r="F22" s="20" t="n">
        <f aca="false">VLOOKUP(C22,Acuan!$A$2:$B$4,2,FALSE())</f>
        <v>350000</v>
      </c>
      <c r="G22" s="20" t="n">
        <f aca="false">IF(D22="Ya",ROUND(F22*(1-$M$3),0),F22)</f>
        <v>350000</v>
      </c>
      <c r="H22" s="21" t="n">
        <f aca="false">$M$2-E22</f>
        <v>0</v>
      </c>
      <c r="I22" s="20" t="n">
        <f aca="false">H22*G22</f>
        <v>0</v>
      </c>
      <c r="J22" s="22" t="str">
        <f aca="false">IF(H22=0,"Lunas","Menunggak")</f>
        <v>Lunas</v>
      </c>
    </row>
    <row r="23" customFormat="false" ht="15" hidden="false" customHeight="false" outlineLevel="0" collapsed="false">
      <c r="A23" s="18" t="s">
        <v>137</v>
      </c>
      <c r="B23" s="18" t="s">
        <v>138</v>
      </c>
      <c r="C23" s="18" t="s">
        <v>90</v>
      </c>
      <c r="D23" s="18" t="s">
        <v>99</v>
      </c>
      <c r="E23" s="19" t="n">
        <v>10</v>
      </c>
      <c r="F23" s="20" t="n">
        <f aca="false">VLOOKUP(C23,Acuan!$A$2:$B$4,2,FALSE())</f>
        <v>350000</v>
      </c>
      <c r="G23" s="20" t="n">
        <f aca="false">IF(D23="Ya",ROUND(F23*(1-$M$3),0),F23)</f>
        <v>350000</v>
      </c>
      <c r="H23" s="21" t="n">
        <f aca="false">$M$2-E23</f>
        <v>0</v>
      </c>
      <c r="I23" s="20" t="n">
        <f aca="false">H23*G23</f>
        <v>0</v>
      </c>
      <c r="J23" s="22" t="str">
        <f aca="false">IF(H23=0,"Lunas","Menunggak")</f>
        <v>Lunas</v>
      </c>
    </row>
    <row r="24" customFormat="false" ht="15" hidden="false" customHeight="false" outlineLevel="0" collapsed="false">
      <c r="A24" s="18" t="s">
        <v>139</v>
      </c>
      <c r="B24" s="18" t="s">
        <v>140</v>
      </c>
      <c r="C24" s="18" t="s">
        <v>90</v>
      </c>
      <c r="D24" s="18" t="s">
        <v>99</v>
      </c>
      <c r="E24" s="19" t="n">
        <v>10</v>
      </c>
      <c r="F24" s="20" t="n">
        <f aca="false">VLOOKUP(C24,Acuan!$A$2:$B$4,2,FALSE())</f>
        <v>350000</v>
      </c>
      <c r="G24" s="20" t="n">
        <f aca="false">IF(D24="Ya",ROUND(F24*(1-$M$3),0),F24)</f>
        <v>350000</v>
      </c>
      <c r="H24" s="21" t="n">
        <f aca="false">$M$2-E24</f>
        <v>0</v>
      </c>
      <c r="I24" s="20" t="n">
        <f aca="false">H24*G24</f>
        <v>0</v>
      </c>
      <c r="J24" s="22" t="str">
        <f aca="false">IF(H24=0,"Lunas","Menunggak")</f>
        <v>Lunas</v>
      </c>
    </row>
    <row r="25" customFormat="false" ht="15" hidden="false" customHeight="false" outlineLevel="0" collapsed="false">
      <c r="A25" s="18" t="s">
        <v>141</v>
      </c>
      <c r="B25" s="18" t="s">
        <v>142</v>
      </c>
      <c r="C25" s="18" t="s">
        <v>95</v>
      </c>
      <c r="D25" s="18" t="s">
        <v>99</v>
      </c>
      <c r="E25" s="19" t="n">
        <v>9</v>
      </c>
      <c r="F25" s="20" t="n">
        <f aca="false">VLOOKUP(C25,Acuan!$A$2:$B$4,2,FALSE())</f>
        <v>300000</v>
      </c>
      <c r="G25" s="20" t="n">
        <f aca="false">IF(D25="Ya",ROUND(F25*(1-$M$3),0),F25)</f>
        <v>300000</v>
      </c>
      <c r="H25" s="21" t="n">
        <f aca="false">$M$2-E25</f>
        <v>1</v>
      </c>
      <c r="I25" s="20" t="n">
        <f aca="false">H25*G25</f>
        <v>300000</v>
      </c>
      <c r="J25" s="22" t="str">
        <f aca="false">IF(H25=0,"Lunas","Menunggak")</f>
        <v>Menunggak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2" t="s">
        <v>77</v>
      </c>
      <c r="B1" s="12" t="s">
        <v>80</v>
      </c>
      <c r="C1" s="16" t="s">
        <v>143</v>
      </c>
      <c r="D1" s="16" t="s">
        <v>144</v>
      </c>
    </row>
    <row r="2" customFormat="false" ht="15" hidden="false" customHeight="false" outlineLevel="0" collapsed="false">
      <c r="A2" s="18" t="s">
        <v>95</v>
      </c>
      <c r="B2" s="27" t="n">
        <v>300000</v>
      </c>
      <c r="C2" s="21" t="n">
        <f aca="false">COUNTIF(Data!$C$2:$C$25,A2)</f>
        <v>8</v>
      </c>
      <c r="D2" s="20" t="n">
        <f aca="false">SUMIF(Data!$C$2:$C$25,A2,Data!$I$2:$I$25)</f>
        <v>2250000</v>
      </c>
    </row>
    <row r="3" customFormat="false" ht="15" hidden="false" customHeight="false" outlineLevel="0" collapsed="false">
      <c r="A3" s="18" t="s">
        <v>106</v>
      </c>
      <c r="B3" s="27" t="n">
        <v>325000</v>
      </c>
      <c r="C3" s="21" t="n">
        <f aca="false">COUNTIF(Data!$C$2:$C$25,A3)</f>
        <v>8</v>
      </c>
      <c r="D3" s="20" t="n">
        <f aca="false">SUMIF(Data!$C$2:$C$25,A3,Data!$I$2:$I$25)</f>
        <v>3737500</v>
      </c>
    </row>
    <row r="4" customFormat="false" ht="15" hidden="false" customHeight="false" outlineLevel="0" collapsed="false">
      <c r="A4" s="18" t="s">
        <v>90</v>
      </c>
      <c r="B4" s="27" t="n">
        <v>350000</v>
      </c>
      <c r="C4" s="21" t="n">
        <f aca="false">COUNTIF(Data!$C$2:$C$25,A4)</f>
        <v>8</v>
      </c>
      <c r="D4" s="20" t="n">
        <f aca="false">SUMIF(Data!$C$2:$C$25,A4,Data!$I$2:$I$25)</f>
        <v>1750000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145</v>
      </c>
      <c r="B1" s="28"/>
      <c r="C1" s="28"/>
      <c r="D1" s="28"/>
    </row>
    <row r="2" customFormat="false" ht="15" hidden="false" customHeight="false" outlineLevel="0" collapsed="false">
      <c r="A2" s="29" t="s">
        <v>146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147</v>
      </c>
      <c r="C3" s="12" t="s">
        <v>148</v>
      </c>
      <c r="D3" s="12" t="s">
        <v>149</v>
      </c>
    </row>
    <row r="4" customFormat="false" ht="19.5" hidden="false" customHeight="true" outlineLevel="0" collapsed="false">
      <c r="A4" s="30" t="s">
        <v>43</v>
      </c>
      <c r="B4" s="31" t="s">
        <v>150</v>
      </c>
      <c r="C4" s="20" t="n">
        <f aca="false">SUM(Data!$I$2:$I$25)</f>
        <v>7737500</v>
      </c>
      <c r="D4" s="25" t="s">
        <v>151</v>
      </c>
    </row>
    <row r="5" customFormat="false" ht="19.5" hidden="false" customHeight="true" outlineLevel="0" collapsed="false">
      <c r="A5" s="30" t="s">
        <v>47</v>
      </c>
      <c r="B5" s="31" t="s">
        <v>152</v>
      </c>
      <c r="C5" s="21" t="n">
        <f aca="false">COUNTIF(Data!$J$2:$J$25,"Lunas")</f>
        <v>12</v>
      </c>
      <c r="D5" s="25" t="s">
        <v>153</v>
      </c>
    </row>
    <row r="6" customFormat="false" ht="19.5" hidden="false" customHeight="true" outlineLevel="0" collapsed="false">
      <c r="A6" s="30" t="s">
        <v>51</v>
      </c>
      <c r="B6" s="31" t="s">
        <v>154</v>
      </c>
      <c r="C6" s="32" t="n">
        <f aca="false">COUNTIF(Data!$J$2:$J$25,"Lunas")/COUNTA(Data!$B$2:$B$25)</f>
        <v>0.5</v>
      </c>
      <c r="D6" s="25" t="s">
        <v>155</v>
      </c>
    </row>
    <row r="7" customFormat="false" ht="19.5" hidden="false" customHeight="true" outlineLevel="0" collapsed="false">
      <c r="A7" s="30" t="s">
        <v>55</v>
      </c>
      <c r="B7" s="31" t="s">
        <v>156</v>
      </c>
      <c r="C7" s="22" t="str">
        <f aca="false">INDEX(Data!$B$2:$B$25,MATCH(MAX(Data!$I$2:$I$25),Data!$I$2:$I$25,0))</f>
        <v>Vina Wibowo</v>
      </c>
      <c r="D7" s="25" t="s">
        <v>157</v>
      </c>
    </row>
    <row r="8" customFormat="false" ht="19.5" hidden="false" customHeight="true" outlineLevel="0" collapsed="false">
      <c r="A8" s="30" t="s">
        <v>59</v>
      </c>
      <c r="B8" s="31" t="s">
        <v>158</v>
      </c>
      <c r="C8" s="20" t="n">
        <f aca="false">SUMPRODUCT(Data!$G$2:$G$25,Data!$E$2:$E$25)</f>
        <v>62137500</v>
      </c>
      <c r="D8" s="25" t="s">
        <v>159</v>
      </c>
    </row>
    <row r="9" customFormat="false" ht="19.5" hidden="false" customHeight="true" outlineLevel="0" collapsed="false">
      <c r="A9" s="30" t="s">
        <v>71</v>
      </c>
      <c r="B9" s="31" t="s">
        <v>160</v>
      </c>
      <c r="C9" s="21" t="n">
        <f aca="false">COUNTIFS(Data!$D$2:$D$25,"Ya",Data!$J$2:$J$25,"Menunggak")</f>
        <v>4</v>
      </c>
      <c r="D9" s="25" t="s">
        <v>161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Tagihan SPP Sekolah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