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<sst xmlns="http://schemas.openxmlformats.org/spreadsheetml/2006/main" count="203" uniqueCount="173">
  <si>
    <t xml:space="preserve">Kunci Jawaban: Penilaian Kinerja Karyawan dan Kenaikan Gaji</t>
  </si>
  <si>
    <t xml:space="preserve">Latihan 48 dari 56  |  Tingkat: Menengah  |  Perkiraan waktu: 55 menit  |  pushexcel.github.io/Pushexcel</t>
  </si>
  <si>
    <t xml:space="preserve">Skenario</t>
  </si>
  <si>
    <t xml:space="preserve">Kamu staf HRD PT Karya Prima yang menyusun penilaian kinerja semester untuk 30 karyawan. Skor kinerja terdiri dari empat aspek (kualitas, produktivitas, kedisiplinan, kerja sama). Rata-rata empat aspek dikurangi penalti absen: 0,5 poin per hari absen, maksimal 3 poin (keduanya ada di blok Parameter). Predikat dan persen kenaikan gaji ditentukan dari tabel di sheet Acuan memakai skor akhir. Kamu juga menghitung gaji baru dan peringkat tiap karyawan di dalam departemennya.</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</si>
  <si>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</si>
  <si>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</si>
  <si>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</si>
  <si>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</si>
  <si>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</si>
  <si>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</si>
  <si>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</si>
  <si>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</si>
  <si>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</si>
  <si>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</si>
  <si>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</si>
  <si>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</si>
  <si>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</si>
  <si>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</si>
  <si>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</si>
  <si>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</si>
  <si>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</si>
  <si>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</si>
  <si>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</si>
  <si>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</si>
  <si>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rata-rata keempat skor aspek tiap karyawan.</t>
  </si>
  <si>
    <t xml:space="preserve">Sheet Data, kolom I (Rata-rata Aspek), baris 2 sampai 31</t>
  </si>
  <si>
    <t xml:space="preserve">=AVERAGE(D2;E2;F2;G2)</t>
  </si>
  <si>
    <t xml:space="preserve">2</t>
  </si>
  <si>
    <t xml:space="preserve">Hitung penalti: hari absen dikali penalti per hari, tetapi tidak boleh melebihi penalti maksimum.</t>
  </si>
  <si>
    <t xml:space="preserve">Sheet Data, kolom J (Penalti Absen), baris 2 sampai 31</t>
  </si>
  <si>
    <t xml:space="preserve">=MIN(H2*$R$2;$R$3)</t>
  </si>
  <si>
    <t xml:space="preserve">3</t>
  </si>
  <si>
    <t xml:space="preserve">Hitung skor akhir: rata-rata aspek dikurangi penalti absen.</t>
  </si>
  <si>
    <t xml:space="preserve">Sheet Data, kolom K (Skor Akhir), baris 2 sampai 31</t>
  </si>
  <si>
    <t xml:space="preserve">=I2-J2</t>
  </si>
  <si>
    <t xml:space="preserve">4</t>
  </si>
  <si>
    <t xml:space="preserve">Tentukan predikat dari skor akhir memakai tabel di sheet Acuan (pencocokan perkiraan, bukan persis).</t>
  </si>
  <si>
    <t xml:space="preserve">Sheet Data, kolom L (Predikat), baris 2 sampai 31</t>
  </si>
  <si>
    <t xml:space="preserve">=VLOOKUP(K2;Acuan!$A$2:$C$6;2;TRUE)</t>
  </si>
  <si>
    <t xml:space="preserve">5</t>
  </si>
  <si>
    <t xml:space="preserve">Ambil persen kenaikan gaji dari tabel Acuan berdasarkan skor akhir.</t>
  </si>
  <si>
    <t xml:space="preserve">Sheet Data, kolom M (Kenaikan Gaji), baris 2 sampai 31</t>
  </si>
  <si>
    <t xml:space="preserve">=VLOOKUP(K2;Acuan!$A$2:$C$6;3;TRUE)</t>
  </si>
  <si>
    <t xml:space="preserve">6</t>
  </si>
  <si>
    <t xml:space="preserve">Hitung gaji baru: gaji pokok dikali (1 + persen kenaikan), dibulatkan ke rupiah.</t>
  </si>
  <si>
    <t xml:space="preserve">Sheet Data, kolom N (Gaji Baru), baris 2 sampai 31</t>
  </si>
  <si>
    <t xml:space="preserve">=ROUND(C2*(1+M2);0)</t>
  </si>
  <si>
    <t xml:space="preserve">7</t>
  </si>
  <si>
    <t xml:space="preserve">Hitung peringkat tiap karyawan di dalam departemennya: banyak rekan sedepartemen dengan skor akhir lebih tinggi, ditambah 1.</t>
  </si>
  <si>
    <t xml:space="preserve">Sheet Data, kolom O (Peringkat Dept), baris 2 sampai 31</t>
  </si>
  <si>
    <t xml:space="preserve">=COUNTIFS($B$2:$B$31;B2;$K$2:$K$31;"&gt;"&amp;K2)+1</t>
  </si>
  <si>
    <t xml:space="preserve">8</t>
  </si>
  <si>
    <t xml:space="preserve">Pada sheet Acuan, hitung jumlah karyawan untuk tiap predikat.</t>
  </si>
  <si>
    <t xml:space="preserve">Sheet Acuan, kolom D (Jumlah Karyawan), baris 2 sampai 6</t>
  </si>
  <si>
    <t xml:space="preserve">=COUNTIF(Data!$L$2:$L$31;B2)</t>
  </si>
  <si>
    <t xml:space="preserve">9</t>
  </si>
  <si>
    <t xml:space="preserve">Berapa rata-rata skor akhir seluruh karyawan, dan berapa karyawan yang berpredikat Istimewa?</t>
  </si>
  <si>
    <t xml:space="preserve">Sheet Ringkasan, sel C4 sampai C5</t>
  </si>
  <si>
    <t xml:space="preserve">=AVERAGE(Data!$K$2:$K$31)
=COUNTIF(Data!$L$2:$L$31;"Istimewa")</t>
  </si>
  <si>
    <t xml:space="preserve">10</t>
  </si>
  <si>
    <t xml:space="preserve">Berapa total gaji pokok, total gaji baru, dan tambahan biaya gaji per bulan?</t>
  </si>
  <si>
    <t xml:space="preserve">Sheet Ringkasan, sel C6 sampai C8</t>
  </si>
  <si>
    <t xml:space="preserve">=SUM(Data!$C$2:$C$31)
=SUM(Data!$N$2:$N$31)
=C7-C6</t>
  </si>
  <si>
    <t xml:space="preserve">11</t>
  </si>
  <si>
    <t xml:space="preserve">Siapa karyawan dengan skor akhir tertinggi, dan siapa yang gaji barunya terbesar?</t>
  </si>
  <si>
    <t xml:space="preserve">Sheet Ringkasan, sel C9 sampai C10</t>
  </si>
  <si>
    <t xml:space="preserve">=INDEX(Data!$A$2:$A$31;MATCH(MAX(Data!$K$2:$K$31);Data!$K$2:$K$31;0))
=INDEX(Data!$A$2:$A$31;MATCH(MAX(Data!$N$2:$N$31);Data!$N$2:$N$31;0))</t>
  </si>
  <si>
    <t xml:space="preserve">12</t>
  </si>
  <si>
    <t xml:space="preserve">Berapa rata-rata skor akhir departemen Produksi, dan berapa karyawan Pemasaran yang skor akhirnya 70 ke atas?</t>
  </si>
  <si>
    <t xml:space="preserve">Sheet Ringkasan, sel C11 sampai C12</t>
  </si>
  <si>
    <t xml:space="preserve">=AVERAGEIF(Data!$B$2:$B$31;"Produksi";Data!$K$2:$K$31)
=COUNTIFS(Data!$B$2:$B$31;"Pemasaran";Data!$K$2:$K$31;"&gt;=70")</t>
  </si>
  <si>
    <t xml:space="preserve">13</t>
  </si>
  <si>
    <t xml:space="preserve">Berapa karyawan yang terkena penalti maksimum, dan berapa total hari absen seluruh karyawan?</t>
  </si>
  <si>
    <t xml:space="preserve">Sheet Ringkasan, sel C13 sampai C14</t>
  </si>
  <si>
    <t xml:space="preserve">=COUNTIF(Data!$J$2:$J$31;Data!$R$3)
=SUM(Data!$H$2:$H$31)</t>
  </si>
  <si>
    <t xml:space="preserve">Nama</t>
  </si>
  <si>
    <t xml:space="preserve">Departemen</t>
  </si>
  <si>
    <t xml:space="preserve">Gaji Pokok</t>
  </si>
  <si>
    <t xml:space="preserve">Kualitas</t>
  </si>
  <si>
    <t xml:space="preserve">Produktivitas</t>
  </si>
  <si>
    <t xml:space="preserve">Kedisiplinan</t>
  </si>
  <si>
    <t xml:space="preserve">Kerja Sama</t>
  </si>
  <si>
    <t xml:space="preserve">Hari Absen</t>
  </si>
  <si>
    <t xml:space="preserve">Rata-rata Aspek</t>
  </si>
  <si>
    <t xml:space="preserve">Penalti Absen</t>
  </si>
  <si>
    <t xml:space="preserve">Skor Akhir</t>
  </si>
  <si>
    <t xml:space="preserve">Predikat</t>
  </si>
  <si>
    <t xml:space="preserve">Kenaikan Gaji</t>
  </si>
  <si>
    <t xml:space="preserve">Gaji Baru</t>
  </si>
  <si>
    <t xml:space="preserve">Peringkat Dept</t>
  </si>
  <si>
    <t xml:space="preserve">Parameter</t>
  </si>
  <si>
    <t xml:space="preserve">Nilai</t>
  </si>
  <si>
    <t xml:space="preserve">Keterangan</t>
  </si>
  <si>
    <t xml:space="preserve">Budi Purnomo</t>
  </si>
  <si>
    <t xml:space="preserve">Produksi</t>
  </si>
  <si>
    <t xml:space="preserve">Penalti per hari absen</t>
  </si>
  <si>
    <t xml:space="preserve">Lestari Firmansyah</t>
  </si>
  <si>
    <t xml:space="preserve">Keuangan</t>
  </si>
  <si>
    <t xml:space="preserve">Penalti maksimum</t>
  </si>
  <si>
    <t xml:space="preserve">Yoga Firmansyah</t>
  </si>
  <si>
    <t xml:space="preserve">Pemasaran</t>
  </si>
  <si>
    <t xml:space="preserve">Mulyadi Maharani</t>
  </si>
  <si>
    <t xml:space="preserve">Gudang</t>
  </si>
  <si>
    <t xml:space="preserve">Tika Setiawan</t>
  </si>
  <si>
    <t xml:space="preserve">Vina Rahayu</t>
  </si>
  <si>
    <t xml:space="preserve">Rahmat Handayani</t>
  </si>
  <si>
    <t xml:space="preserve">Maman Santoso</t>
  </si>
  <si>
    <t xml:space="preserve">Wawan Putra</t>
  </si>
  <si>
    <t xml:space="preserve">Yuni Syahputra</t>
  </si>
  <si>
    <t xml:space="preserve">Putri Anggraini</t>
  </si>
  <si>
    <t xml:space="preserve">Gita Fauzi</t>
  </si>
  <si>
    <t xml:space="preserve">Bayu Fauzi</t>
  </si>
  <si>
    <t xml:space="preserve">Bayu Ramadhan</t>
  </si>
  <si>
    <t xml:space="preserve">Siti Rahayu</t>
  </si>
  <si>
    <t xml:space="preserve">Edi Wibowo</t>
  </si>
  <si>
    <t xml:space="preserve">Budi Handayani</t>
  </si>
  <si>
    <t xml:space="preserve">Prasetyo Hartono</t>
  </si>
  <si>
    <t xml:space="preserve">Andi Lestari</t>
  </si>
  <si>
    <t xml:space="preserve">Rina Sari</t>
  </si>
  <si>
    <t xml:space="preserve">Mulyadi Kurniawan</t>
  </si>
  <si>
    <t xml:space="preserve">Indah Sari</t>
  </si>
  <si>
    <t xml:space="preserve">Kartika Yulianto</t>
  </si>
  <si>
    <t xml:space="preserve">Yoga Putra</t>
  </si>
  <si>
    <t xml:space="preserve">Fajar Wijaya</t>
  </si>
  <si>
    <t xml:space="preserve">Jihan Maharani</t>
  </si>
  <si>
    <t xml:space="preserve">Gita Purnomo</t>
  </si>
  <si>
    <t xml:space="preserve">Kartika Rahayu</t>
  </si>
  <si>
    <t xml:space="preserve">Irfan Anggraini</t>
  </si>
  <si>
    <t xml:space="preserve">Edi Handayani</t>
  </si>
  <si>
    <t xml:space="preserve">Skor Minimal</t>
  </si>
  <si>
    <t xml:space="preserve">Jumlah Karyawan</t>
  </si>
  <si>
    <t xml:space="preserve">Kurang</t>
  </si>
  <si>
    <t xml:space="preserve">Cukup</t>
  </si>
  <si>
    <t xml:space="preserve">Baik</t>
  </si>
  <si>
    <t xml:space="preserve">Sangat Baik</t>
  </si>
  <si>
    <t xml:space="preserve">Istimewa</t>
  </si>
  <si>
    <t xml:space="preserve">Ringkasan: lembar jawaban soal berjenis ringkasan</t>
  </si>
  <si>
    <t xml:space="preserve">Sel hijau berisi rumus kunci.</t>
  </si>
  <si>
    <t xml:space="preserve">Pertanyaan</t>
  </si>
  <si>
    <t xml:space="preserve">Jawaban</t>
  </si>
  <si>
    <t xml:space="preserve">Contoh format hasil</t>
  </si>
  <si>
    <t xml:space="preserve">9a</t>
  </si>
  <si>
    <t xml:space="preserve">Rata-rata skor akhir</t>
  </si>
  <si>
    <t xml:space="preserve">Angka desimal, mis. 72,50</t>
  </si>
  <si>
    <t xml:space="preserve">9b</t>
  </si>
  <si>
    <t xml:space="preserve">Jumlah karyawan Istimewa</t>
  </si>
  <si>
    <t xml:space="preserve">Angka bulat, mis. 5</t>
  </si>
  <si>
    <t xml:space="preserve">10a</t>
  </si>
  <si>
    <t xml:space="preserve">Total gaji pokok</t>
  </si>
  <si>
    <t xml:space="preserve">Rupiah, mis. Rp 200.000.000</t>
  </si>
  <si>
    <t xml:space="preserve">10b</t>
  </si>
  <si>
    <t xml:space="preserve">Total gaji baru</t>
  </si>
  <si>
    <t xml:space="preserve">Rupiah, mis. Rp 210.000.000</t>
  </si>
  <si>
    <t xml:space="preserve">10c</t>
  </si>
  <si>
    <t xml:space="preserve">Tambahan biaya gaji per bulan</t>
  </si>
  <si>
    <t xml:space="preserve">Rupiah, mis. Rp 8.000.000</t>
  </si>
  <si>
    <t xml:space="preserve">11a</t>
  </si>
  <si>
    <t xml:space="preserve">Karyawan dengan skor akhir tertinggi</t>
  </si>
  <si>
    <t xml:space="preserve">Teks: nama karyawan</t>
  </si>
  <si>
    <t xml:space="preserve">11b</t>
  </si>
  <si>
    <t xml:space="preserve">Karyawan dengan gaji baru terbesar</t>
  </si>
  <si>
    <t xml:space="preserve">12a</t>
  </si>
  <si>
    <t xml:space="preserve">Rata-rata skor akhir departemen Produksi</t>
  </si>
  <si>
    <t xml:space="preserve">Angka desimal, mis. 71,50</t>
  </si>
  <si>
    <t xml:space="preserve">12b</t>
  </si>
  <si>
    <t xml:space="preserve">Karyawan Pemasaran dengan skor 70 ke atas</t>
  </si>
  <si>
    <t xml:space="preserve">Angka bulat, mis. 6</t>
  </si>
  <si>
    <t xml:space="preserve">13a</t>
  </si>
  <si>
    <t xml:space="preserve">Karyawan terkena penalti maksimum</t>
  </si>
  <si>
    <t xml:space="preserve">Angka bulat, mis. 4</t>
  </si>
  <si>
    <t xml:space="preserve">13b</t>
  </si>
  <si>
    <t xml:space="preserve">Total hari absen</t>
  </si>
  <si>
    <t xml:space="preserve">Angka bulat, mis. 90</t>
  </si>
</sst>
</file>

<file path=xl/styles.xml><?xml version="1.0" encoding="utf-8"?>
<styleSheet xmlns="http://schemas.openxmlformats.org/spreadsheetml/2006/main">
  <numFmts count="6">
    <numFmt numFmtId="164" formatCode="General"/>
    <numFmt numFmtId="165" formatCode="&quot;Rp &quot;#,##0"/>
    <numFmt numFmtId="166" formatCode="0"/>
    <numFmt numFmtId="167" formatCode="0.00"/>
    <numFmt numFmtId="168" formatCode="0.0"/>
    <numFmt numFmtId="169" formatCode="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8"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9" fontId="7" fillId="4" borderId="1" xfId="0" applyFont="true" applyBorder="true" applyAlignment="true" applyProtection="false">
      <alignment horizontal="right"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true" applyProtection="false">
      <alignment horizontal="right" vertical="center" textRotation="0" wrapText="false" indent="0" shrinkToFit="false"/>
      <protection locked="true" hidden="false"/>
    </xf>
    <xf numFmtId="166" fontId="10" fillId="0" borderId="1" xfId="0" applyFont="true" applyBorder="true" applyAlignment="true" applyProtection="false">
      <alignment horizontal="right" vertical="center" textRotation="0" wrapText="false" indent="0" shrinkToFit="false"/>
      <protection locked="true" hidden="false"/>
    </xf>
    <xf numFmtId="169" fontId="7" fillId="0"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6"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30" hidden="false" customHeight="true" outlineLevel="0" collapsed="false">
      <c r="A22" s="12" t="s">
        <v>27</v>
      </c>
      <c r="B22" s="13" t="s">
        <v>28</v>
      </c>
      <c r="C22" s="13" t="s">
        <v>29</v>
      </c>
      <c r="D22" s="14" t="s">
        <v>30</v>
      </c>
    </row>
    <row r="23" customFormat="false" ht="30" hidden="false" customHeight="true" outlineLevel="0" collapsed="false">
      <c r="A23" s="12" t="s">
        <v>31</v>
      </c>
      <c r="B23" s="13" t="s">
        <v>32</v>
      </c>
      <c r="C23" s="13" t="s">
        <v>33</v>
      </c>
      <c r="D23" s="14" t="s">
        <v>34</v>
      </c>
    </row>
    <row r="24" customFormat="false" ht="30" hidden="false" customHeight="true" outlineLevel="0" collapsed="false">
      <c r="A24" s="12" t="s">
        <v>35</v>
      </c>
      <c r="B24" s="13" t="s">
        <v>36</v>
      </c>
      <c r="C24" s="13" t="s">
        <v>37</v>
      </c>
      <c r="D24" s="14" t="s">
        <v>38</v>
      </c>
    </row>
    <row r="25" customFormat="false" ht="30" hidden="false" customHeight="true" outlineLevel="0" collapsed="false">
      <c r="A25" s="12" t="s">
        <v>39</v>
      </c>
      <c r="B25" s="13" t="s">
        <v>40</v>
      </c>
      <c r="C25" s="13" t="s">
        <v>41</v>
      </c>
      <c r="D25" s="14" t="s">
        <v>42</v>
      </c>
    </row>
    <row r="26" customFormat="false" ht="30" hidden="false" customHeight="true" outlineLevel="0" collapsed="false">
      <c r="A26" s="12" t="s">
        <v>43</v>
      </c>
      <c r="B26" s="13" t="s">
        <v>44</v>
      </c>
      <c r="C26" s="13" t="s">
        <v>45</v>
      </c>
      <c r="D26" s="14" t="s">
        <v>46</v>
      </c>
    </row>
    <row r="27" customFormat="false" ht="42" hidden="false" customHeight="true" outlineLevel="0" collapsed="false">
      <c r="A27" s="12" t="s">
        <v>47</v>
      </c>
      <c r="B27" s="13" t="s">
        <v>48</v>
      </c>
      <c r="C27" s="13" t="s">
        <v>49</v>
      </c>
      <c r="D27" s="14" t="s">
        <v>50</v>
      </c>
    </row>
    <row r="28" customFormat="false" ht="30" hidden="false" customHeight="true" outlineLevel="0" collapsed="false">
      <c r="A28" s="12" t="s">
        <v>51</v>
      </c>
      <c r="B28" s="13" t="s">
        <v>52</v>
      </c>
      <c r="C28" s="13" t="s">
        <v>53</v>
      </c>
      <c r="D28" s="14" t="s">
        <v>54</v>
      </c>
    </row>
    <row r="29" customFormat="false" ht="43.5" hidden="false" customHeight="true" outlineLevel="0" collapsed="false">
      <c r="A29" s="12" t="s">
        <v>55</v>
      </c>
      <c r="B29" s="13" t="s">
        <v>56</v>
      </c>
      <c r="C29" s="13" t="s">
        <v>57</v>
      </c>
      <c r="D29" s="14" t="s">
        <v>58</v>
      </c>
    </row>
    <row r="30" customFormat="false" ht="57.75" hidden="false" customHeight="true" outlineLevel="0" collapsed="false">
      <c r="A30" s="12" t="s">
        <v>59</v>
      </c>
      <c r="B30" s="13" t="s">
        <v>60</v>
      </c>
      <c r="C30" s="13" t="s">
        <v>61</v>
      </c>
      <c r="D30" s="14" t="s">
        <v>62</v>
      </c>
    </row>
    <row r="31" customFormat="false" ht="55.5" hidden="false" customHeight="true" outlineLevel="0" collapsed="false">
      <c r="A31" s="12" t="s">
        <v>63</v>
      </c>
      <c r="B31" s="13" t="s">
        <v>64</v>
      </c>
      <c r="C31" s="13" t="s">
        <v>65</v>
      </c>
      <c r="D31" s="14" t="s">
        <v>66</v>
      </c>
    </row>
    <row r="32" customFormat="false" ht="43.5" hidden="false" customHeight="true" outlineLevel="0" collapsed="false">
      <c r="A32" s="12" t="s">
        <v>67</v>
      </c>
      <c r="B32" s="13" t="s">
        <v>68</v>
      </c>
      <c r="C32" s="13" t="s">
        <v>69</v>
      </c>
      <c r="D32" s="14" t="s">
        <v>70</v>
      </c>
    </row>
    <row r="33" customFormat="false" ht="43.5" hidden="false" customHeight="true" outlineLevel="0" collapsed="false">
      <c r="A33" s="12" t="s">
        <v>71</v>
      </c>
      <c r="B33" s="13" t="s">
        <v>72</v>
      </c>
      <c r="C33" s="13" t="s">
        <v>73</v>
      </c>
      <c r="D33" s="14" t="s">
        <v>74</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3"/>
    <col collapsed="false" customWidth="true" hidden="false" outlineLevel="0" max="3" min="3" style="0" width="14"/>
    <col collapsed="false" customWidth="true" hidden="false" outlineLevel="0" max="4" min="4" style="0" width="10"/>
    <col collapsed="false" customWidth="true" hidden="false" outlineLevel="0" max="5" min="5" style="0" width="14"/>
    <col collapsed="false" customWidth="true" hidden="false" outlineLevel="0" max="6" min="6" style="0" width="13"/>
    <col collapsed="false" customWidth="true" hidden="false" outlineLevel="0" max="8" min="7" style="0" width="11"/>
    <col collapsed="false" customWidth="true" hidden="false" outlineLevel="0" max="9" min="9" style="0" width="15"/>
    <col collapsed="false" customWidth="true" hidden="false" outlineLevel="0" max="10" min="10" style="0" width="13"/>
    <col collapsed="false" customWidth="true" hidden="false" outlineLevel="0" max="11" min="11" style="0" width="11"/>
    <col collapsed="false" customWidth="true" hidden="false" outlineLevel="0" max="13" min="12" style="0" width="13"/>
    <col collapsed="false" customWidth="true" hidden="false" outlineLevel="0" max="15" min="14" style="0" width="14"/>
    <col collapsed="false" customWidth="true" hidden="false" outlineLevel="0" max="16" min="16" style="0" width="3"/>
    <col collapsed="false" customWidth="true" hidden="false" outlineLevel="0" max="17" min="17" style="0" width="30"/>
    <col collapsed="false" customWidth="true" hidden="false" outlineLevel="0" max="18" min="18" style="0" width="16"/>
    <col collapsed="false" customWidth="true" hidden="false" outlineLevel="0" max="19" min="19" style="0" width="42"/>
  </cols>
  <sheetData>
    <row r="1" customFormat="false" ht="33.75" hidden="false" customHeight="true" outlineLevel="0" collapsed="false">
      <c r="A1" s="11" t="s">
        <v>75</v>
      </c>
      <c r="B1" s="11" t="s">
        <v>76</v>
      </c>
      <c r="C1" s="11" t="s">
        <v>77</v>
      </c>
      <c r="D1" s="11" t="s">
        <v>78</v>
      </c>
      <c r="E1" s="11" t="s">
        <v>79</v>
      </c>
      <c r="F1" s="11" t="s">
        <v>80</v>
      </c>
      <c r="G1" s="11" t="s">
        <v>81</v>
      </c>
      <c r="H1" s="11" t="s">
        <v>82</v>
      </c>
      <c r="I1" s="15" t="s">
        <v>83</v>
      </c>
      <c r="J1" s="15" t="s">
        <v>84</v>
      </c>
      <c r="K1" s="15" t="s">
        <v>85</v>
      </c>
      <c r="L1" s="15" t="s">
        <v>86</v>
      </c>
      <c r="M1" s="15" t="s">
        <v>87</v>
      </c>
      <c r="N1" s="15" t="s">
        <v>88</v>
      </c>
      <c r="O1" s="15" t="s">
        <v>89</v>
      </c>
      <c r="Q1" s="16" t="s">
        <v>90</v>
      </c>
      <c r="R1" s="16" t="s">
        <v>91</v>
      </c>
      <c r="S1" s="16" t="s">
        <v>92</v>
      </c>
    </row>
    <row r="2" customFormat="false" ht="15" hidden="false" customHeight="false" outlineLevel="0" collapsed="false">
      <c r="A2" s="17" t="s">
        <v>93</v>
      </c>
      <c r="B2" s="17" t="s">
        <v>94</v>
      </c>
      <c r="C2" s="18" t="n">
        <v>8500000</v>
      </c>
      <c r="D2" s="19" t="n">
        <v>49</v>
      </c>
      <c r="E2" s="19" t="n">
        <v>59</v>
      </c>
      <c r="F2" s="19" t="n">
        <v>60</v>
      </c>
      <c r="G2" s="19" t="n">
        <v>53</v>
      </c>
      <c r="H2" s="19" t="n">
        <v>1</v>
      </c>
      <c r="I2" s="20" t="n">
        <f aca="false">AVERAGE(D2,E2,F2,G2)</f>
        <v>55.25</v>
      </c>
      <c r="J2" s="21" t="n">
        <f aca="false">MIN(H2*$R$2,$R$3)</f>
        <v>0.5</v>
      </c>
      <c r="K2" s="20" t="n">
        <f aca="false">I2-J2</f>
        <v>54.75</v>
      </c>
      <c r="L2" s="22" t="str">
        <f aca="false">VLOOKUP(K2,Acuan!$A$2:$C$6,2,TRUE())</f>
        <v>Kurang</v>
      </c>
      <c r="M2" s="23" t="n">
        <f aca="false">VLOOKUP(K2,Acuan!$A$2:$C$6,3,TRUE())</f>
        <v>0</v>
      </c>
      <c r="N2" s="24" t="n">
        <f aca="false">ROUND(C2*(1+M2),0)</f>
        <v>8500000</v>
      </c>
      <c r="O2" s="25" t="n">
        <f aca="false">COUNTIFS($B$2:$B$31,B2,$K$2:$K$31,"&gt;"&amp;K2)+1</f>
        <v>7</v>
      </c>
      <c r="Q2" s="26" t="s">
        <v>95</v>
      </c>
      <c r="R2" s="27" t="n">
        <v>0.5</v>
      </c>
      <c r="S2" s="26"/>
    </row>
    <row r="3" customFormat="false" ht="15" hidden="false" customHeight="false" outlineLevel="0" collapsed="false">
      <c r="A3" s="17" t="s">
        <v>96</v>
      </c>
      <c r="B3" s="17" t="s">
        <v>97</v>
      </c>
      <c r="C3" s="18" t="n">
        <v>5500000</v>
      </c>
      <c r="D3" s="19" t="n">
        <v>84</v>
      </c>
      <c r="E3" s="19" t="n">
        <v>85</v>
      </c>
      <c r="F3" s="19" t="n">
        <v>99</v>
      </c>
      <c r="G3" s="19" t="n">
        <v>96</v>
      </c>
      <c r="H3" s="19" t="n">
        <v>0</v>
      </c>
      <c r="I3" s="20" t="n">
        <f aca="false">AVERAGE(D3,E3,F3,G3)</f>
        <v>91</v>
      </c>
      <c r="J3" s="21" t="n">
        <f aca="false">MIN(H3*$R$2,$R$3)</f>
        <v>0</v>
      </c>
      <c r="K3" s="20" t="n">
        <f aca="false">I3-J3</f>
        <v>91</v>
      </c>
      <c r="L3" s="22" t="str">
        <f aca="false">VLOOKUP(K3,Acuan!$A$2:$C$6,2,TRUE())</f>
        <v>Istimewa</v>
      </c>
      <c r="M3" s="23" t="n">
        <f aca="false">VLOOKUP(K3,Acuan!$A$2:$C$6,3,TRUE())</f>
        <v>0.08</v>
      </c>
      <c r="N3" s="24" t="n">
        <f aca="false">ROUND(C3*(1+M3),0)</f>
        <v>5940000</v>
      </c>
      <c r="O3" s="25" t="n">
        <f aca="false">COUNTIFS($B$2:$B$31,B3,$K$2:$K$31,"&gt;"&amp;K3)+1</f>
        <v>1</v>
      </c>
      <c r="Q3" s="26" t="s">
        <v>98</v>
      </c>
      <c r="R3" s="28" t="n">
        <v>3</v>
      </c>
      <c r="S3" s="26"/>
    </row>
    <row r="4" customFormat="false" ht="15" hidden="false" customHeight="false" outlineLevel="0" collapsed="false">
      <c r="A4" s="17" t="s">
        <v>99</v>
      </c>
      <c r="B4" s="17" t="s">
        <v>100</v>
      </c>
      <c r="C4" s="18" t="n">
        <v>7500000</v>
      </c>
      <c r="D4" s="19" t="n">
        <v>99</v>
      </c>
      <c r="E4" s="19" t="n">
        <v>84</v>
      </c>
      <c r="F4" s="19" t="n">
        <v>82</v>
      </c>
      <c r="G4" s="19" t="n">
        <v>84</v>
      </c>
      <c r="H4" s="19" t="n">
        <v>8</v>
      </c>
      <c r="I4" s="20" t="n">
        <f aca="false">AVERAGE(D4,E4,F4,G4)</f>
        <v>87.25</v>
      </c>
      <c r="J4" s="21" t="n">
        <f aca="false">MIN(H4*$R$2,$R$3)</f>
        <v>3</v>
      </c>
      <c r="K4" s="20" t="n">
        <f aca="false">I4-J4</f>
        <v>84.25</v>
      </c>
      <c r="L4" s="22" t="str">
        <f aca="false">VLOOKUP(K4,Acuan!$A$2:$C$6,2,TRUE())</f>
        <v>Sangat Baik</v>
      </c>
      <c r="M4" s="23" t="n">
        <f aca="false">VLOOKUP(K4,Acuan!$A$2:$C$6,3,TRUE())</f>
        <v>0.06</v>
      </c>
      <c r="N4" s="24" t="n">
        <f aca="false">ROUND(C4*(1+M4),0)</f>
        <v>7950000</v>
      </c>
      <c r="O4" s="25" t="n">
        <f aca="false">COUNTIFS($B$2:$B$31,B4,$K$2:$K$31,"&gt;"&amp;K4)+1</f>
        <v>1</v>
      </c>
    </row>
    <row r="5" customFormat="false" ht="15" hidden="false" customHeight="false" outlineLevel="0" collapsed="false">
      <c r="A5" s="17" t="s">
        <v>101</v>
      </c>
      <c r="B5" s="17" t="s">
        <v>102</v>
      </c>
      <c r="C5" s="18" t="n">
        <v>9500000</v>
      </c>
      <c r="D5" s="19" t="n">
        <v>86</v>
      </c>
      <c r="E5" s="19" t="n">
        <v>90</v>
      </c>
      <c r="F5" s="19" t="n">
        <v>89</v>
      </c>
      <c r="G5" s="19" t="n">
        <v>88</v>
      </c>
      <c r="H5" s="19" t="n">
        <v>3</v>
      </c>
      <c r="I5" s="20" t="n">
        <f aca="false">AVERAGE(D5,E5,F5,G5)</f>
        <v>88.25</v>
      </c>
      <c r="J5" s="21" t="n">
        <f aca="false">MIN(H5*$R$2,$R$3)</f>
        <v>1.5</v>
      </c>
      <c r="K5" s="20" t="n">
        <f aca="false">I5-J5</f>
        <v>86.75</v>
      </c>
      <c r="L5" s="22" t="str">
        <f aca="false">VLOOKUP(K5,Acuan!$A$2:$C$6,2,TRUE())</f>
        <v>Sangat Baik</v>
      </c>
      <c r="M5" s="23" t="n">
        <f aca="false">VLOOKUP(K5,Acuan!$A$2:$C$6,3,TRUE())</f>
        <v>0.06</v>
      </c>
      <c r="N5" s="24" t="n">
        <f aca="false">ROUND(C5*(1+M5),0)</f>
        <v>10070000</v>
      </c>
      <c r="O5" s="25" t="n">
        <f aca="false">COUNTIFS($B$2:$B$31,B5,$K$2:$K$31,"&gt;"&amp;K5)+1</f>
        <v>3</v>
      </c>
    </row>
    <row r="6" customFormat="false" ht="15" hidden="false" customHeight="false" outlineLevel="0" collapsed="false">
      <c r="A6" s="17" t="s">
        <v>103</v>
      </c>
      <c r="B6" s="17" t="s">
        <v>94</v>
      </c>
      <c r="C6" s="18" t="n">
        <v>5500000</v>
      </c>
      <c r="D6" s="19" t="n">
        <v>74</v>
      </c>
      <c r="E6" s="19" t="n">
        <v>81</v>
      </c>
      <c r="F6" s="19" t="n">
        <v>83</v>
      </c>
      <c r="G6" s="19" t="n">
        <v>67</v>
      </c>
      <c r="H6" s="19" t="n">
        <v>8</v>
      </c>
      <c r="I6" s="20" t="n">
        <f aca="false">AVERAGE(D6,E6,F6,G6)</f>
        <v>76.25</v>
      </c>
      <c r="J6" s="21" t="n">
        <f aca="false">MIN(H6*$R$2,$R$3)</f>
        <v>3</v>
      </c>
      <c r="K6" s="20" t="n">
        <f aca="false">I6-J6</f>
        <v>73.25</v>
      </c>
      <c r="L6" s="22" t="str">
        <f aca="false">VLOOKUP(K6,Acuan!$A$2:$C$6,2,TRUE())</f>
        <v>Baik</v>
      </c>
      <c r="M6" s="23" t="n">
        <f aca="false">VLOOKUP(K6,Acuan!$A$2:$C$6,3,TRUE())</f>
        <v>0.04</v>
      </c>
      <c r="N6" s="24" t="n">
        <f aca="false">ROUND(C6*(1+M6),0)</f>
        <v>5720000</v>
      </c>
      <c r="O6" s="25" t="n">
        <f aca="false">COUNTIFS($B$2:$B$31,B6,$K$2:$K$31,"&gt;"&amp;K6)+1</f>
        <v>1</v>
      </c>
    </row>
    <row r="7" customFormat="false" ht="15" hidden="false" customHeight="false" outlineLevel="0" collapsed="false">
      <c r="A7" s="17" t="s">
        <v>104</v>
      </c>
      <c r="B7" s="17" t="s">
        <v>97</v>
      </c>
      <c r="C7" s="18" t="n">
        <v>11000000</v>
      </c>
      <c r="D7" s="19" t="n">
        <v>79</v>
      </c>
      <c r="E7" s="19" t="n">
        <v>72</v>
      </c>
      <c r="F7" s="19" t="n">
        <v>81</v>
      </c>
      <c r="G7" s="19" t="n">
        <v>72</v>
      </c>
      <c r="H7" s="19" t="n">
        <v>3</v>
      </c>
      <c r="I7" s="20" t="n">
        <f aca="false">AVERAGE(D7,E7,F7,G7)</f>
        <v>76</v>
      </c>
      <c r="J7" s="21" t="n">
        <f aca="false">MIN(H7*$R$2,$R$3)</f>
        <v>1.5</v>
      </c>
      <c r="K7" s="20" t="n">
        <f aca="false">I7-J7</f>
        <v>74.5</v>
      </c>
      <c r="L7" s="22" t="str">
        <f aca="false">VLOOKUP(K7,Acuan!$A$2:$C$6,2,TRUE())</f>
        <v>Baik</v>
      </c>
      <c r="M7" s="23" t="n">
        <f aca="false">VLOOKUP(K7,Acuan!$A$2:$C$6,3,TRUE())</f>
        <v>0.04</v>
      </c>
      <c r="N7" s="24" t="n">
        <f aca="false">ROUND(C7*(1+M7),0)</f>
        <v>11440000</v>
      </c>
      <c r="O7" s="25" t="n">
        <f aca="false">COUNTIFS($B$2:$B$31,B7,$K$2:$K$31,"&gt;"&amp;K7)+1</f>
        <v>5</v>
      </c>
    </row>
    <row r="8" customFormat="false" ht="15" hidden="false" customHeight="false" outlineLevel="0" collapsed="false">
      <c r="A8" s="17" t="s">
        <v>105</v>
      </c>
      <c r="B8" s="17" t="s">
        <v>100</v>
      </c>
      <c r="C8" s="18" t="n">
        <v>4500000</v>
      </c>
      <c r="D8" s="19" t="n">
        <v>57</v>
      </c>
      <c r="E8" s="19" t="n">
        <v>69</v>
      </c>
      <c r="F8" s="19" t="n">
        <v>60</v>
      </c>
      <c r="G8" s="19" t="n">
        <v>57</v>
      </c>
      <c r="H8" s="19" t="n">
        <v>0</v>
      </c>
      <c r="I8" s="20" t="n">
        <f aca="false">AVERAGE(D8,E8,F8,G8)</f>
        <v>60.75</v>
      </c>
      <c r="J8" s="21" t="n">
        <f aca="false">MIN(H8*$R$2,$R$3)</f>
        <v>0</v>
      </c>
      <c r="K8" s="20" t="n">
        <f aca="false">I8-J8</f>
        <v>60.75</v>
      </c>
      <c r="L8" s="22" t="str">
        <f aca="false">VLOOKUP(K8,Acuan!$A$2:$C$6,2,TRUE())</f>
        <v>Cukup</v>
      </c>
      <c r="M8" s="23" t="n">
        <f aca="false">VLOOKUP(K8,Acuan!$A$2:$C$6,3,TRUE())</f>
        <v>0.02</v>
      </c>
      <c r="N8" s="24" t="n">
        <f aca="false">ROUND(C8*(1+M8),0)</f>
        <v>4590000</v>
      </c>
      <c r="O8" s="25" t="n">
        <f aca="false">COUNTIFS($B$2:$B$31,B8,$K$2:$K$31,"&gt;"&amp;K8)+1</f>
        <v>7</v>
      </c>
    </row>
    <row r="9" customFormat="false" ht="15" hidden="false" customHeight="false" outlineLevel="0" collapsed="false">
      <c r="A9" s="17" t="s">
        <v>106</v>
      </c>
      <c r="B9" s="17" t="s">
        <v>102</v>
      </c>
      <c r="C9" s="18" t="n">
        <v>4500000</v>
      </c>
      <c r="D9" s="19" t="n">
        <v>69</v>
      </c>
      <c r="E9" s="19" t="n">
        <v>67</v>
      </c>
      <c r="F9" s="19" t="n">
        <v>75</v>
      </c>
      <c r="G9" s="19" t="n">
        <v>67</v>
      </c>
      <c r="H9" s="19" t="n">
        <v>8</v>
      </c>
      <c r="I9" s="20" t="n">
        <f aca="false">AVERAGE(D9,E9,F9,G9)</f>
        <v>69.5</v>
      </c>
      <c r="J9" s="21" t="n">
        <f aca="false">MIN(H9*$R$2,$R$3)</f>
        <v>3</v>
      </c>
      <c r="K9" s="20" t="n">
        <f aca="false">I9-J9</f>
        <v>66.5</v>
      </c>
      <c r="L9" s="22" t="str">
        <f aca="false">VLOOKUP(K9,Acuan!$A$2:$C$6,2,TRUE())</f>
        <v>Cukup</v>
      </c>
      <c r="M9" s="23" t="n">
        <f aca="false">VLOOKUP(K9,Acuan!$A$2:$C$6,3,TRUE())</f>
        <v>0.02</v>
      </c>
      <c r="N9" s="24" t="n">
        <f aca="false">ROUND(C9*(1+M9),0)</f>
        <v>4590000</v>
      </c>
      <c r="O9" s="25" t="n">
        <f aca="false">COUNTIFS($B$2:$B$31,B9,$K$2:$K$31,"&gt;"&amp;K9)+1</f>
        <v>4</v>
      </c>
    </row>
    <row r="10" customFormat="false" ht="15" hidden="false" customHeight="false" outlineLevel="0" collapsed="false">
      <c r="A10" s="17" t="s">
        <v>107</v>
      </c>
      <c r="B10" s="17" t="s">
        <v>94</v>
      </c>
      <c r="C10" s="18" t="n">
        <v>9500000</v>
      </c>
      <c r="D10" s="19" t="n">
        <v>67</v>
      </c>
      <c r="E10" s="19" t="n">
        <v>81</v>
      </c>
      <c r="F10" s="19" t="n">
        <v>71</v>
      </c>
      <c r="G10" s="19" t="n">
        <v>75</v>
      </c>
      <c r="H10" s="19" t="n">
        <v>6</v>
      </c>
      <c r="I10" s="20" t="n">
        <f aca="false">AVERAGE(D10,E10,F10,G10)</f>
        <v>73.5</v>
      </c>
      <c r="J10" s="21" t="n">
        <f aca="false">MIN(H10*$R$2,$R$3)</f>
        <v>3</v>
      </c>
      <c r="K10" s="20" t="n">
        <f aca="false">I10-J10</f>
        <v>70.5</v>
      </c>
      <c r="L10" s="22" t="str">
        <f aca="false">VLOOKUP(K10,Acuan!$A$2:$C$6,2,TRUE())</f>
        <v>Baik</v>
      </c>
      <c r="M10" s="23" t="n">
        <f aca="false">VLOOKUP(K10,Acuan!$A$2:$C$6,3,TRUE())</f>
        <v>0.04</v>
      </c>
      <c r="N10" s="24" t="n">
        <f aca="false">ROUND(C10*(1+M10),0)</f>
        <v>9880000</v>
      </c>
      <c r="O10" s="25" t="n">
        <f aca="false">COUNTIFS($B$2:$B$31,B10,$K$2:$K$31,"&gt;"&amp;K10)+1</f>
        <v>4</v>
      </c>
    </row>
    <row r="11" customFormat="false" ht="15" hidden="false" customHeight="false" outlineLevel="0" collapsed="false">
      <c r="A11" s="17" t="s">
        <v>108</v>
      </c>
      <c r="B11" s="17" t="s">
        <v>97</v>
      </c>
      <c r="C11" s="18" t="n">
        <v>5500000</v>
      </c>
      <c r="D11" s="19" t="n">
        <v>71</v>
      </c>
      <c r="E11" s="19" t="n">
        <v>55</v>
      </c>
      <c r="F11" s="19" t="n">
        <v>55</v>
      </c>
      <c r="G11" s="19" t="n">
        <v>68</v>
      </c>
      <c r="H11" s="19" t="n">
        <v>6</v>
      </c>
      <c r="I11" s="20" t="n">
        <f aca="false">AVERAGE(D11,E11,F11,G11)</f>
        <v>62.25</v>
      </c>
      <c r="J11" s="21" t="n">
        <f aca="false">MIN(H11*$R$2,$R$3)</f>
        <v>3</v>
      </c>
      <c r="K11" s="20" t="n">
        <f aca="false">I11-J11</f>
        <v>59.25</v>
      </c>
      <c r="L11" s="22" t="str">
        <f aca="false">VLOOKUP(K11,Acuan!$A$2:$C$6,2,TRUE())</f>
        <v>Kurang</v>
      </c>
      <c r="M11" s="23" t="n">
        <f aca="false">VLOOKUP(K11,Acuan!$A$2:$C$6,3,TRUE())</f>
        <v>0</v>
      </c>
      <c r="N11" s="24" t="n">
        <f aca="false">ROUND(C11*(1+M11),0)</f>
        <v>5500000</v>
      </c>
      <c r="O11" s="25" t="n">
        <f aca="false">COUNTIFS($B$2:$B$31,B11,$K$2:$K$31,"&gt;"&amp;K11)+1</f>
        <v>7</v>
      </c>
    </row>
    <row r="12" customFormat="false" ht="15" hidden="false" customHeight="false" outlineLevel="0" collapsed="false">
      <c r="A12" s="17" t="s">
        <v>109</v>
      </c>
      <c r="B12" s="17" t="s">
        <v>100</v>
      </c>
      <c r="C12" s="18" t="n">
        <v>6500000</v>
      </c>
      <c r="D12" s="19" t="n">
        <v>68</v>
      </c>
      <c r="E12" s="19" t="n">
        <v>65</v>
      </c>
      <c r="F12" s="19" t="n">
        <v>72</v>
      </c>
      <c r="G12" s="19" t="n">
        <v>74</v>
      </c>
      <c r="H12" s="19" t="n">
        <v>2</v>
      </c>
      <c r="I12" s="20" t="n">
        <f aca="false">AVERAGE(D12,E12,F12,G12)</f>
        <v>69.75</v>
      </c>
      <c r="J12" s="21" t="n">
        <f aca="false">MIN(H12*$R$2,$R$3)</f>
        <v>1</v>
      </c>
      <c r="K12" s="20" t="n">
        <f aca="false">I12-J12</f>
        <v>68.75</v>
      </c>
      <c r="L12" s="22" t="str">
        <f aca="false">VLOOKUP(K12,Acuan!$A$2:$C$6,2,TRUE())</f>
        <v>Cukup</v>
      </c>
      <c r="M12" s="23" t="n">
        <f aca="false">VLOOKUP(K12,Acuan!$A$2:$C$6,3,TRUE())</f>
        <v>0.02</v>
      </c>
      <c r="N12" s="24" t="n">
        <f aca="false">ROUND(C12*(1+M12),0)</f>
        <v>6630000</v>
      </c>
      <c r="O12" s="25" t="n">
        <f aca="false">COUNTIFS($B$2:$B$31,B12,$K$2:$K$31,"&gt;"&amp;K12)+1</f>
        <v>5</v>
      </c>
    </row>
    <row r="13" customFormat="false" ht="15" hidden="false" customHeight="false" outlineLevel="0" collapsed="false">
      <c r="A13" s="17" t="s">
        <v>110</v>
      </c>
      <c r="B13" s="17" t="s">
        <v>102</v>
      </c>
      <c r="C13" s="18" t="n">
        <v>9500000</v>
      </c>
      <c r="D13" s="19" t="n">
        <v>70</v>
      </c>
      <c r="E13" s="19" t="n">
        <v>76</v>
      </c>
      <c r="F13" s="19" t="n">
        <v>50</v>
      </c>
      <c r="G13" s="19" t="n">
        <v>57</v>
      </c>
      <c r="H13" s="19" t="n">
        <v>1</v>
      </c>
      <c r="I13" s="20" t="n">
        <f aca="false">AVERAGE(D13,E13,F13,G13)</f>
        <v>63.25</v>
      </c>
      <c r="J13" s="21" t="n">
        <f aca="false">MIN(H13*$R$2,$R$3)</f>
        <v>0.5</v>
      </c>
      <c r="K13" s="20" t="n">
        <f aca="false">I13-J13</f>
        <v>62.75</v>
      </c>
      <c r="L13" s="22" t="str">
        <f aca="false">VLOOKUP(K13,Acuan!$A$2:$C$6,2,TRUE())</f>
        <v>Cukup</v>
      </c>
      <c r="M13" s="23" t="n">
        <f aca="false">VLOOKUP(K13,Acuan!$A$2:$C$6,3,TRUE())</f>
        <v>0.02</v>
      </c>
      <c r="N13" s="24" t="n">
        <f aca="false">ROUND(C13*(1+M13),0)</f>
        <v>9690000</v>
      </c>
      <c r="O13" s="25" t="n">
        <f aca="false">COUNTIFS($B$2:$B$31,B13,$K$2:$K$31,"&gt;"&amp;K13)+1</f>
        <v>7</v>
      </c>
    </row>
    <row r="14" customFormat="false" ht="15" hidden="false" customHeight="false" outlineLevel="0" collapsed="false">
      <c r="A14" s="17" t="s">
        <v>111</v>
      </c>
      <c r="B14" s="17" t="s">
        <v>94</v>
      </c>
      <c r="C14" s="18" t="n">
        <v>11000000</v>
      </c>
      <c r="D14" s="19" t="n">
        <v>74</v>
      </c>
      <c r="E14" s="19" t="n">
        <v>76</v>
      </c>
      <c r="F14" s="19" t="n">
        <v>67</v>
      </c>
      <c r="G14" s="19" t="n">
        <v>76</v>
      </c>
      <c r="H14" s="19" t="n">
        <v>1</v>
      </c>
      <c r="I14" s="20" t="n">
        <f aca="false">AVERAGE(D14,E14,F14,G14)</f>
        <v>73.25</v>
      </c>
      <c r="J14" s="21" t="n">
        <f aca="false">MIN(H14*$R$2,$R$3)</f>
        <v>0.5</v>
      </c>
      <c r="K14" s="20" t="n">
        <f aca="false">I14-J14</f>
        <v>72.75</v>
      </c>
      <c r="L14" s="22" t="str">
        <f aca="false">VLOOKUP(K14,Acuan!$A$2:$C$6,2,TRUE())</f>
        <v>Baik</v>
      </c>
      <c r="M14" s="23" t="n">
        <f aca="false">VLOOKUP(K14,Acuan!$A$2:$C$6,3,TRUE())</f>
        <v>0.04</v>
      </c>
      <c r="N14" s="24" t="n">
        <f aca="false">ROUND(C14*(1+M14),0)</f>
        <v>11440000</v>
      </c>
      <c r="O14" s="25" t="n">
        <f aca="false">COUNTIFS($B$2:$B$31,B14,$K$2:$K$31,"&gt;"&amp;K14)+1</f>
        <v>2</v>
      </c>
    </row>
    <row r="15" customFormat="false" ht="15" hidden="false" customHeight="false" outlineLevel="0" collapsed="false">
      <c r="A15" s="17" t="s">
        <v>112</v>
      </c>
      <c r="B15" s="17" t="s">
        <v>97</v>
      </c>
      <c r="C15" s="18" t="n">
        <v>8500000</v>
      </c>
      <c r="D15" s="19" t="n">
        <v>74</v>
      </c>
      <c r="E15" s="19" t="n">
        <v>72</v>
      </c>
      <c r="F15" s="19" t="n">
        <v>67</v>
      </c>
      <c r="G15" s="19" t="n">
        <v>87</v>
      </c>
      <c r="H15" s="19" t="n">
        <v>3</v>
      </c>
      <c r="I15" s="20" t="n">
        <f aca="false">AVERAGE(D15,E15,F15,G15)</f>
        <v>75</v>
      </c>
      <c r="J15" s="21" t="n">
        <f aca="false">MIN(H15*$R$2,$R$3)</f>
        <v>1.5</v>
      </c>
      <c r="K15" s="20" t="n">
        <f aca="false">I15-J15</f>
        <v>73.5</v>
      </c>
      <c r="L15" s="22" t="str">
        <f aca="false">VLOOKUP(K15,Acuan!$A$2:$C$6,2,TRUE())</f>
        <v>Baik</v>
      </c>
      <c r="M15" s="23" t="n">
        <f aca="false">VLOOKUP(K15,Acuan!$A$2:$C$6,3,TRUE())</f>
        <v>0.04</v>
      </c>
      <c r="N15" s="24" t="n">
        <f aca="false">ROUND(C15*(1+M15),0)</f>
        <v>8840000</v>
      </c>
      <c r="O15" s="25" t="n">
        <f aca="false">COUNTIFS($B$2:$B$31,B15,$K$2:$K$31,"&gt;"&amp;K15)+1</f>
        <v>6</v>
      </c>
    </row>
    <row r="16" customFormat="false" ht="15" hidden="false" customHeight="false" outlineLevel="0" collapsed="false">
      <c r="A16" s="17" t="s">
        <v>113</v>
      </c>
      <c r="B16" s="17" t="s">
        <v>100</v>
      </c>
      <c r="C16" s="18" t="n">
        <v>6500000</v>
      </c>
      <c r="D16" s="19" t="n">
        <v>77</v>
      </c>
      <c r="E16" s="19" t="n">
        <v>62</v>
      </c>
      <c r="F16" s="19" t="n">
        <v>84</v>
      </c>
      <c r="G16" s="19" t="n">
        <v>91</v>
      </c>
      <c r="H16" s="19" t="n">
        <v>0</v>
      </c>
      <c r="I16" s="20" t="n">
        <f aca="false">AVERAGE(D16,E16,F16,G16)</f>
        <v>78.5</v>
      </c>
      <c r="J16" s="21" t="n">
        <f aca="false">MIN(H16*$R$2,$R$3)</f>
        <v>0</v>
      </c>
      <c r="K16" s="20" t="n">
        <f aca="false">I16-J16</f>
        <v>78.5</v>
      </c>
      <c r="L16" s="22" t="str">
        <f aca="false">VLOOKUP(K16,Acuan!$A$2:$C$6,2,TRUE())</f>
        <v>Baik</v>
      </c>
      <c r="M16" s="23" t="n">
        <f aca="false">VLOOKUP(K16,Acuan!$A$2:$C$6,3,TRUE())</f>
        <v>0.04</v>
      </c>
      <c r="N16" s="24" t="n">
        <f aca="false">ROUND(C16*(1+M16),0)</f>
        <v>6760000</v>
      </c>
      <c r="O16" s="25" t="n">
        <f aca="false">COUNTIFS($B$2:$B$31,B16,$K$2:$K$31,"&gt;"&amp;K16)+1</f>
        <v>3</v>
      </c>
    </row>
    <row r="17" customFormat="false" ht="15" hidden="false" customHeight="false" outlineLevel="0" collapsed="false">
      <c r="A17" s="17" t="s">
        <v>114</v>
      </c>
      <c r="B17" s="17" t="s">
        <v>102</v>
      </c>
      <c r="C17" s="18" t="n">
        <v>5500000</v>
      </c>
      <c r="D17" s="19" t="n">
        <v>85</v>
      </c>
      <c r="E17" s="19" t="n">
        <v>96</v>
      </c>
      <c r="F17" s="19" t="n">
        <v>90</v>
      </c>
      <c r="G17" s="19" t="n">
        <v>83</v>
      </c>
      <c r="H17" s="19" t="n">
        <v>3</v>
      </c>
      <c r="I17" s="20" t="n">
        <f aca="false">AVERAGE(D17,E17,F17,G17)</f>
        <v>88.5</v>
      </c>
      <c r="J17" s="21" t="n">
        <f aca="false">MIN(H17*$R$2,$R$3)</f>
        <v>1.5</v>
      </c>
      <c r="K17" s="20" t="n">
        <f aca="false">I17-J17</f>
        <v>87</v>
      </c>
      <c r="L17" s="22" t="str">
        <f aca="false">VLOOKUP(K17,Acuan!$A$2:$C$6,2,TRUE())</f>
        <v>Sangat Baik</v>
      </c>
      <c r="M17" s="23" t="n">
        <f aca="false">VLOOKUP(K17,Acuan!$A$2:$C$6,3,TRUE())</f>
        <v>0.06</v>
      </c>
      <c r="N17" s="24" t="n">
        <f aca="false">ROUND(C17*(1+M17),0)</f>
        <v>5830000</v>
      </c>
      <c r="O17" s="25" t="n">
        <f aca="false">COUNTIFS($B$2:$B$31,B17,$K$2:$K$31,"&gt;"&amp;K17)+1</f>
        <v>2</v>
      </c>
    </row>
    <row r="18" customFormat="false" ht="15" hidden="false" customHeight="false" outlineLevel="0" collapsed="false">
      <c r="A18" s="17" t="s">
        <v>115</v>
      </c>
      <c r="B18" s="17" t="s">
        <v>94</v>
      </c>
      <c r="C18" s="18" t="n">
        <v>11000000</v>
      </c>
      <c r="D18" s="19" t="n">
        <v>62</v>
      </c>
      <c r="E18" s="19" t="n">
        <v>60</v>
      </c>
      <c r="F18" s="19" t="n">
        <v>74</v>
      </c>
      <c r="G18" s="19" t="n">
        <v>61</v>
      </c>
      <c r="H18" s="19" t="n">
        <v>8</v>
      </c>
      <c r="I18" s="20" t="n">
        <f aca="false">AVERAGE(D18,E18,F18,G18)</f>
        <v>64.25</v>
      </c>
      <c r="J18" s="21" t="n">
        <f aca="false">MIN(H18*$R$2,$R$3)</f>
        <v>3</v>
      </c>
      <c r="K18" s="20" t="n">
        <f aca="false">I18-J18</f>
        <v>61.25</v>
      </c>
      <c r="L18" s="22" t="str">
        <f aca="false">VLOOKUP(K18,Acuan!$A$2:$C$6,2,TRUE())</f>
        <v>Cukup</v>
      </c>
      <c r="M18" s="23" t="n">
        <f aca="false">VLOOKUP(K18,Acuan!$A$2:$C$6,3,TRUE())</f>
        <v>0.02</v>
      </c>
      <c r="N18" s="24" t="n">
        <f aca="false">ROUND(C18*(1+M18),0)</f>
        <v>11220000</v>
      </c>
      <c r="O18" s="25" t="n">
        <f aca="false">COUNTIFS($B$2:$B$31,B18,$K$2:$K$31,"&gt;"&amp;K18)+1</f>
        <v>6</v>
      </c>
    </row>
    <row r="19" customFormat="false" ht="15" hidden="false" customHeight="false" outlineLevel="0" collapsed="false">
      <c r="A19" s="17" t="s">
        <v>116</v>
      </c>
      <c r="B19" s="17" t="s">
        <v>97</v>
      </c>
      <c r="C19" s="18" t="n">
        <v>11000000</v>
      </c>
      <c r="D19" s="19" t="n">
        <v>84</v>
      </c>
      <c r="E19" s="19" t="n">
        <v>89</v>
      </c>
      <c r="F19" s="19" t="n">
        <v>91</v>
      </c>
      <c r="G19" s="19" t="n">
        <v>88</v>
      </c>
      <c r="H19" s="19" t="n">
        <v>2</v>
      </c>
      <c r="I19" s="20" t="n">
        <f aca="false">AVERAGE(D19,E19,F19,G19)</f>
        <v>88</v>
      </c>
      <c r="J19" s="21" t="n">
        <f aca="false">MIN(H19*$R$2,$R$3)</f>
        <v>1</v>
      </c>
      <c r="K19" s="20" t="n">
        <f aca="false">I19-J19</f>
        <v>87</v>
      </c>
      <c r="L19" s="22" t="str">
        <f aca="false">VLOOKUP(K19,Acuan!$A$2:$C$6,2,TRUE())</f>
        <v>Sangat Baik</v>
      </c>
      <c r="M19" s="23" t="n">
        <f aca="false">VLOOKUP(K19,Acuan!$A$2:$C$6,3,TRUE())</f>
        <v>0.06</v>
      </c>
      <c r="N19" s="24" t="n">
        <f aca="false">ROUND(C19*(1+M19),0)</f>
        <v>11660000</v>
      </c>
      <c r="O19" s="25" t="n">
        <f aca="false">COUNTIFS($B$2:$B$31,B19,$K$2:$K$31,"&gt;"&amp;K19)+1</f>
        <v>3</v>
      </c>
    </row>
    <row r="20" customFormat="false" ht="15" hidden="false" customHeight="false" outlineLevel="0" collapsed="false">
      <c r="A20" s="17" t="s">
        <v>117</v>
      </c>
      <c r="B20" s="17" t="s">
        <v>100</v>
      </c>
      <c r="C20" s="18" t="n">
        <v>7500000</v>
      </c>
      <c r="D20" s="19" t="n">
        <v>86</v>
      </c>
      <c r="E20" s="19" t="n">
        <v>77</v>
      </c>
      <c r="F20" s="19" t="n">
        <v>81</v>
      </c>
      <c r="G20" s="19" t="n">
        <v>84</v>
      </c>
      <c r="H20" s="19" t="n">
        <v>4</v>
      </c>
      <c r="I20" s="20" t="n">
        <f aca="false">AVERAGE(D20,E20,F20,G20)</f>
        <v>82</v>
      </c>
      <c r="J20" s="21" t="n">
        <f aca="false">MIN(H20*$R$2,$R$3)</f>
        <v>2</v>
      </c>
      <c r="K20" s="20" t="n">
        <f aca="false">I20-J20</f>
        <v>80</v>
      </c>
      <c r="L20" s="22" t="str">
        <f aca="false">VLOOKUP(K20,Acuan!$A$2:$C$6,2,TRUE())</f>
        <v>Sangat Baik</v>
      </c>
      <c r="M20" s="23" t="n">
        <f aca="false">VLOOKUP(K20,Acuan!$A$2:$C$6,3,TRUE())</f>
        <v>0.06</v>
      </c>
      <c r="N20" s="24" t="n">
        <f aca="false">ROUND(C20*(1+M20),0)</f>
        <v>7950000</v>
      </c>
      <c r="O20" s="25" t="n">
        <f aca="false">COUNTIFS($B$2:$B$31,B20,$K$2:$K$31,"&gt;"&amp;K20)+1</f>
        <v>2</v>
      </c>
    </row>
    <row r="21" customFormat="false" ht="15" hidden="false" customHeight="false" outlineLevel="0" collapsed="false">
      <c r="A21" s="17" t="s">
        <v>118</v>
      </c>
      <c r="B21" s="17" t="s">
        <v>102</v>
      </c>
      <c r="C21" s="18" t="n">
        <v>7500000</v>
      </c>
      <c r="D21" s="19" t="n">
        <v>92</v>
      </c>
      <c r="E21" s="19" t="n">
        <v>100</v>
      </c>
      <c r="F21" s="19" t="n">
        <v>94</v>
      </c>
      <c r="G21" s="19" t="n">
        <v>100</v>
      </c>
      <c r="H21" s="19" t="n">
        <v>6</v>
      </c>
      <c r="I21" s="20" t="n">
        <f aca="false">AVERAGE(D21,E21,F21,G21)</f>
        <v>96.5</v>
      </c>
      <c r="J21" s="21" t="n">
        <f aca="false">MIN(H21*$R$2,$R$3)</f>
        <v>3</v>
      </c>
      <c r="K21" s="20" t="n">
        <f aca="false">I21-J21</f>
        <v>93.5</v>
      </c>
      <c r="L21" s="22" t="str">
        <f aca="false">VLOOKUP(K21,Acuan!$A$2:$C$6,2,TRUE())</f>
        <v>Istimewa</v>
      </c>
      <c r="M21" s="23" t="n">
        <f aca="false">VLOOKUP(K21,Acuan!$A$2:$C$6,3,TRUE())</f>
        <v>0.08</v>
      </c>
      <c r="N21" s="24" t="n">
        <f aca="false">ROUND(C21*(1+M21),0)</f>
        <v>8100000</v>
      </c>
      <c r="O21" s="25" t="n">
        <f aca="false">COUNTIFS($B$2:$B$31,B21,$K$2:$K$31,"&gt;"&amp;K21)+1</f>
        <v>1</v>
      </c>
    </row>
    <row r="22" customFormat="false" ht="15" hidden="false" customHeight="false" outlineLevel="0" collapsed="false">
      <c r="A22" s="17" t="s">
        <v>119</v>
      </c>
      <c r="B22" s="17" t="s">
        <v>94</v>
      </c>
      <c r="C22" s="18" t="n">
        <v>5500000</v>
      </c>
      <c r="D22" s="19" t="n">
        <v>75</v>
      </c>
      <c r="E22" s="19" t="n">
        <v>67</v>
      </c>
      <c r="F22" s="19" t="n">
        <v>55</v>
      </c>
      <c r="G22" s="19" t="n">
        <v>69</v>
      </c>
      <c r="H22" s="19" t="n">
        <v>2</v>
      </c>
      <c r="I22" s="20" t="n">
        <f aca="false">AVERAGE(D22,E22,F22,G22)</f>
        <v>66.5</v>
      </c>
      <c r="J22" s="21" t="n">
        <f aca="false">MIN(H22*$R$2,$R$3)</f>
        <v>1</v>
      </c>
      <c r="K22" s="20" t="n">
        <f aca="false">I22-J22</f>
        <v>65.5</v>
      </c>
      <c r="L22" s="22" t="str">
        <f aca="false">VLOOKUP(K22,Acuan!$A$2:$C$6,2,TRUE())</f>
        <v>Cukup</v>
      </c>
      <c r="M22" s="23" t="n">
        <f aca="false">VLOOKUP(K22,Acuan!$A$2:$C$6,3,TRUE())</f>
        <v>0.02</v>
      </c>
      <c r="N22" s="24" t="n">
        <f aca="false">ROUND(C22*(1+M22),0)</f>
        <v>5610000</v>
      </c>
      <c r="O22" s="25" t="n">
        <f aca="false">COUNTIFS($B$2:$B$31,B22,$K$2:$K$31,"&gt;"&amp;K22)+1</f>
        <v>5</v>
      </c>
    </row>
    <row r="23" customFormat="false" ht="15" hidden="false" customHeight="false" outlineLevel="0" collapsed="false">
      <c r="A23" s="17" t="s">
        <v>120</v>
      </c>
      <c r="B23" s="17" t="s">
        <v>97</v>
      </c>
      <c r="C23" s="18" t="n">
        <v>11000000</v>
      </c>
      <c r="D23" s="19" t="n">
        <v>61</v>
      </c>
      <c r="E23" s="19" t="n">
        <v>63</v>
      </c>
      <c r="F23" s="19" t="n">
        <v>52</v>
      </c>
      <c r="G23" s="19" t="n">
        <v>57</v>
      </c>
      <c r="H23" s="19" t="n">
        <v>0</v>
      </c>
      <c r="I23" s="20" t="n">
        <f aca="false">AVERAGE(D23,E23,F23,G23)</f>
        <v>58.25</v>
      </c>
      <c r="J23" s="21" t="n">
        <f aca="false">MIN(H23*$R$2,$R$3)</f>
        <v>0</v>
      </c>
      <c r="K23" s="20" t="n">
        <f aca="false">I23-J23</f>
        <v>58.25</v>
      </c>
      <c r="L23" s="22" t="str">
        <f aca="false">VLOOKUP(K23,Acuan!$A$2:$C$6,2,TRUE())</f>
        <v>Kurang</v>
      </c>
      <c r="M23" s="23" t="n">
        <f aca="false">VLOOKUP(K23,Acuan!$A$2:$C$6,3,TRUE())</f>
        <v>0</v>
      </c>
      <c r="N23" s="24" t="n">
        <f aca="false">ROUND(C23*(1+M23),0)</f>
        <v>11000000</v>
      </c>
      <c r="O23" s="25" t="n">
        <f aca="false">COUNTIFS($B$2:$B$31,B23,$K$2:$K$31,"&gt;"&amp;K23)+1</f>
        <v>8</v>
      </c>
    </row>
    <row r="24" customFormat="false" ht="15" hidden="false" customHeight="false" outlineLevel="0" collapsed="false">
      <c r="A24" s="17" t="s">
        <v>121</v>
      </c>
      <c r="B24" s="17" t="s">
        <v>100</v>
      </c>
      <c r="C24" s="18" t="n">
        <v>9500000</v>
      </c>
      <c r="D24" s="19" t="n">
        <v>61</v>
      </c>
      <c r="E24" s="19" t="n">
        <v>61</v>
      </c>
      <c r="F24" s="19" t="n">
        <v>80</v>
      </c>
      <c r="G24" s="19" t="n">
        <v>78</v>
      </c>
      <c r="H24" s="19" t="n">
        <v>6</v>
      </c>
      <c r="I24" s="20" t="n">
        <f aca="false">AVERAGE(D24,E24,F24,G24)</f>
        <v>70</v>
      </c>
      <c r="J24" s="21" t="n">
        <f aca="false">MIN(H24*$R$2,$R$3)</f>
        <v>3</v>
      </c>
      <c r="K24" s="20" t="n">
        <f aca="false">I24-J24</f>
        <v>67</v>
      </c>
      <c r="L24" s="22" t="str">
        <f aca="false">VLOOKUP(K24,Acuan!$A$2:$C$6,2,TRUE())</f>
        <v>Cukup</v>
      </c>
      <c r="M24" s="23" t="n">
        <f aca="false">VLOOKUP(K24,Acuan!$A$2:$C$6,3,TRUE())</f>
        <v>0.02</v>
      </c>
      <c r="N24" s="24" t="n">
        <f aca="false">ROUND(C24*(1+M24),0)</f>
        <v>9690000</v>
      </c>
      <c r="O24" s="25" t="n">
        <f aca="false">COUNTIFS($B$2:$B$31,B24,$K$2:$K$31,"&gt;"&amp;K24)+1</f>
        <v>6</v>
      </c>
    </row>
    <row r="25" customFormat="false" ht="15" hidden="false" customHeight="false" outlineLevel="0" collapsed="false">
      <c r="A25" s="17" t="s">
        <v>122</v>
      </c>
      <c r="B25" s="17" t="s">
        <v>102</v>
      </c>
      <c r="C25" s="18" t="n">
        <v>5500000</v>
      </c>
      <c r="D25" s="19" t="n">
        <v>60</v>
      </c>
      <c r="E25" s="19" t="n">
        <v>69</v>
      </c>
      <c r="F25" s="19" t="n">
        <v>49</v>
      </c>
      <c r="G25" s="19" t="n">
        <v>84</v>
      </c>
      <c r="H25" s="19" t="n">
        <v>3</v>
      </c>
      <c r="I25" s="20" t="n">
        <f aca="false">AVERAGE(D25,E25,F25,G25)</f>
        <v>65.5</v>
      </c>
      <c r="J25" s="21" t="n">
        <f aca="false">MIN(H25*$R$2,$R$3)</f>
        <v>1.5</v>
      </c>
      <c r="K25" s="20" t="n">
        <f aca="false">I25-J25</f>
        <v>64</v>
      </c>
      <c r="L25" s="22" t="str">
        <f aca="false">VLOOKUP(K25,Acuan!$A$2:$C$6,2,TRUE())</f>
        <v>Cukup</v>
      </c>
      <c r="M25" s="23" t="n">
        <f aca="false">VLOOKUP(K25,Acuan!$A$2:$C$6,3,TRUE())</f>
        <v>0.02</v>
      </c>
      <c r="N25" s="24" t="n">
        <f aca="false">ROUND(C25*(1+M25),0)</f>
        <v>5610000</v>
      </c>
      <c r="O25" s="25" t="n">
        <f aca="false">COUNTIFS($B$2:$B$31,B25,$K$2:$K$31,"&gt;"&amp;K25)+1</f>
        <v>5</v>
      </c>
    </row>
    <row r="26" customFormat="false" ht="15" hidden="false" customHeight="false" outlineLevel="0" collapsed="false">
      <c r="A26" s="17" t="s">
        <v>123</v>
      </c>
      <c r="B26" s="17" t="s">
        <v>94</v>
      </c>
      <c r="C26" s="18" t="n">
        <v>4500000</v>
      </c>
      <c r="D26" s="19" t="n">
        <v>66</v>
      </c>
      <c r="E26" s="19" t="n">
        <v>77</v>
      </c>
      <c r="F26" s="19" t="n">
        <v>73</v>
      </c>
      <c r="G26" s="19" t="n">
        <v>77</v>
      </c>
      <c r="H26" s="19" t="n">
        <v>2</v>
      </c>
      <c r="I26" s="20" t="n">
        <f aca="false">AVERAGE(D26,E26,F26,G26)</f>
        <v>73.25</v>
      </c>
      <c r="J26" s="21" t="n">
        <f aca="false">MIN(H26*$R$2,$R$3)</f>
        <v>1</v>
      </c>
      <c r="K26" s="20" t="n">
        <f aca="false">I26-J26</f>
        <v>72.25</v>
      </c>
      <c r="L26" s="22" t="str">
        <f aca="false">VLOOKUP(K26,Acuan!$A$2:$C$6,2,TRUE())</f>
        <v>Baik</v>
      </c>
      <c r="M26" s="23" t="n">
        <f aca="false">VLOOKUP(K26,Acuan!$A$2:$C$6,3,TRUE())</f>
        <v>0.04</v>
      </c>
      <c r="N26" s="24" t="n">
        <f aca="false">ROUND(C26*(1+M26),0)</f>
        <v>4680000</v>
      </c>
      <c r="O26" s="25" t="n">
        <f aca="false">COUNTIFS($B$2:$B$31,B26,$K$2:$K$31,"&gt;"&amp;K26)+1</f>
        <v>3</v>
      </c>
    </row>
    <row r="27" customFormat="false" ht="15" hidden="false" customHeight="false" outlineLevel="0" collapsed="false">
      <c r="A27" s="17" t="s">
        <v>124</v>
      </c>
      <c r="B27" s="17" t="s">
        <v>97</v>
      </c>
      <c r="C27" s="18" t="n">
        <v>5500000</v>
      </c>
      <c r="D27" s="19" t="n">
        <v>85</v>
      </c>
      <c r="E27" s="19" t="n">
        <v>70</v>
      </c>
      <c r="F27" s="19" t="n">
        <v>83</v>
      </c>
      <c r="G27" s="19" t="n">
        <v>94</v>
      </c>
      <c r="H27" s="19" t="n">
        <v>2</v>
      </c>
      <c r="I27" s="20" t="n">
        <f aca="false">AVERAGE(D27,E27,F27,G27)</f>
        <v>83</v>
      </c>
      <c r="J27" s="21" t="n">
        <f aca="false">MIN(H27*$R$2,$R$3)</f>
        <v>1</v>
      </c>
      <c r="K27" s="20" t="n">
        <f aca="false">I27-J27</f>
        <v>82</v>
      </c>
      <c r="L27" s="22" t="str">
        <f aca="false">VLOOKUP(K27,Acuan!$A$2:$C$6,2,TRUE())</f>
        <v>Sangat Baik</v>
      </c>
      <c r="M27" s="23" t="n">
        <f aca="false">VLOOKUP(K27,Acuan!$A$2:$C$6,3,TRUE())</f>
        <v>0.06</v>
      </c>
      <c r="N27" s="24" t="n">
        <f aca="false">ROUND(C27*(1+M27),0)</f>
        <v>5830000</v>
      </c>
      <c r="O27" s="25" t="n">
        <f aca="false">COUNTIFS($B$2:$B$31,B27,$K$2:$K$31,"&gt;"&amp;K27)+1</f>
        <v>4</v>
      </c>
    </row>
    <row r="28" customFormat="false" ht="15" hidden="false" customHeight="false" outlineLevel="0" collapsed="false">
      <c r="A28" s="17" t="s">
        <v>125</v>
      </c>
      <c r="B28" s="17" t="s">
        <v>100</v>
      </c>
      <c r="C28" s="18" t="n">
        <v>4500000</v>
      </c>
      <c r="D28" s="19" t="n">
        <v>62</v>
      </c>
      <c r="E28" s="19" t="n">
        <v>49</v>
      </c>
      <c r="F28" s="19" t="n">
        <v>48</v>
      </c>
      <c r="G28" s="19" t="n">
        <v>54</v>
      </c>
      <c r="H28" s="19" t="n">
        <v>0</v>
      </c>
      <c r="I28" s="20" t="n">
        <f aca="false">AVERAGE(D28,E28,F28,G28)</f>
        <v>53.25</v>
      </c>
      <c r="J28" s="21" t="n">
        <f aca="false">MIN(H28*$R$2,$R$3)</f>
        <v>0</v>
      </c>
      <c r="K28" s="20" t="n">
        <f aca="false">I28-J28</f>
        <v>53.25</v>
      </c>
      <c r="L28" s="22" t="str">
        <f aca="false">VLOOKUP(K28,Acuan!$A$2:$C$6,2,TRUE())</f>
        <v>Kurang</v>
      </c>
      <c r="M28" s="23" t="n">
        <f aca="false">VLOOKUP(K28,Acuan!$A$2:$C$6,3,TRUE())</f>
        <v>0</v>
      </c>
      <c r="N28" s="24" t="n">
        <f aca="false">ROUND(C28*(1+M28),0)</f>
        <v>4500000</v>
      </c>
      <c r="O28" s="25" t="n">
        <f aca="false">COUNTIFS($B$2:$B$31,B28,$K$2:$K$31,"&gt;"&amp;K28)+1</f>
        <v>8</v>
      </c>
    </row>
    <row r="29" customFormat="false" ht="15" hidden="false" customHeight="false" outlineLevel="0" collapsed="false">
      <c r="A29" s="17" t="s">
        <v>126</v>
      </c>
      <c r="B29" s="17" t="s">
        <v>102</v>
      </c>
      <c r="C29" s="18" t="n">
        <v>11000000</v>
      </c>
      <c r="D29" s="19" t="n">
        <v>60</v>
      </c>
      <c r="E29" s="19" t="n">
        <v>80</v>
      </c>
      <c r="F29" s="19" t="n">
        <v>71</v>
      </c>
      <c r="G29" s="19" t="n">
        <v>56</v>
      </c>
      <c r="H29" s="19" t="n">
        <v>6</v>
      </c>
      <c r="I29" s="20" t="n">
        <f aca="false">AVERAGE(D29,E29,F29,G29)</f>
        <v>66.75</v>
      </c>
      <c r="J29" s="21" t="n">
        <f aca="false">MIN(H29*$R$2,$R$3)</f>
        <v>3</v>
      </c>
      <c r="K29" s="20" t="n">
        <f aca="false">I29-J29</f>
        <v>63.75</v>
      </c>
      <c r="L29" s="22" t="str">
        <f aca="false">VLOOKUP(K29,Acuan!$A$2:$C$6,2,TRUE())</f>
        <v>Cukup</v>
      </c>
      <c r="M29" s="23" t="n">
        <f aca="false">VLOOKUP(K29,Acuan!$A$2:$C$6,3,TRUE())</f>
        <v>0.02</v>
      </c>
      <c r="N29" s="24" t="n">
        <f aca="false">ROUND(C29*(1+M29),0)</f>
        <v>11220000</v>
      </c>
      <c r="O29" s="25" t="n">
        <f aca="false">COUNTIFS($B$2:$B$31,B29,$K$2:$K$31,"&gt;"&amp;K29)+1</f>
        <v>6</v>
      </c>
    </row>
    <row r="30" customFormat="false" ht="15" hidden="false" customHeight="false" outlineLevel="0" collapsed="false">
      <c r="A30" s="17" t="s">
        <v>127</v>
      </c>
      <c r="B30" s="17" t="s">
        <v>100</v>
      </c>
      <c r="C30" s="18" t="n">
        <v>9500000</v>
      </c>
      <c r="D30" s="19" t="n">
        <v>76</v>
      </c>
      <c r="E30" s="19" t="n">
        <v>74</v>
      </c>
      <c r="F30" s="19" t="n">
        <v>68</v>
      </c>
      <c r="G30" s="19" t="n">
        <v>75</v>
      </c>
      <c r="H30" s="19" t="n">
        <v>2</v>
      </c>
      <c r="I30" s="20" t="n">
        <f aca="false">AVERAGE(D30,E30,F30,G30)</f>
        <v>73.25</v>
      </c>
      <c r="J30" s="21" t="n">
        <f aca="false">MIN(H30*$R$2,$R$3)</f>
        <v>1</v>
      </c>
      <c r="K30" s="20" t="n">
        <f aca="false">I30-J30</f>
        <v>72.25</v>
      </c>
      <c r="L30" s="22" t="str">
        <f aca="false">VLOOKUP(K30,Acuan!$A$2:$C$6,2,TRUE())</f>
        <v>Baik</v>
      </c>
      <c r="M30" s="23" t="n">
        <f aca="false">VLOOKUP(K30,Acuan!$A$2:$C$6,3,TRUE())</f>
        <v>0.04</v>
      </c>
      <c r="N30" s="24" t="n">
        <f aca="false">ROUND(C30*(1+M30),0)</f>
        <v>9880000</v>
      </c>
      <c r="O30" s="25" t="n">
        <f aca="false">COUNTIFS($B$2:$B$31,B30,$K$2:$K$31,"&gt;"&amp;K30)+1</f>
        <v>4</v>
      </c>
    </row>
    <row r="31" customFormat="false" ht="15" hidden="false" customHeight="false" outlineLevel="0" collapsed="false">
      <c r="A31" s="17" t="s">
        <v>128</v>
      </c>
      <c r="B31" s="17" t="s">
        <v>97</v>
      </c>
      <c r="C31" s="18" t="n">
        <v>9500000</v>
      </c>
      <c r="D31" s="19" t="n">
        <v>96</v>
      </c>
      <c r="E31" s="19" t="n">
        <v>89</v>
      </c>
      <c r="F31" s="19" t="n">
        <v>95</v>
      </c>
      <c r="G31" s="19" t="n">
        <v>83</v>
      </c>
      <c r="H31" s="19" t="n">
        <v>0</v>
      </c>
      <c r="I31" s="20" t="n">
        <f aca="false">AVERAGE(D31,E31,F31,G31)</f>
        <v>90.75</v>
      </c>
      <c r="J31" s="21" t="n">
        <f aca="false">MIN(H31*$R$2,$R$3)</f>
        <v>0</v>
      </c>
      <c r="K31" s="20" t="n">
        <f aca="false">I31-J31</f>
        <v>90.75</v>
      </c>
      <c r="L31" s="22" t="str">
        <f aca="false">VLOOKUP(K31,Acuan!$A$2:$C$6,2,TRUE())</f>
        <v>Istimewa</v>
      </c>
      <c r="M31" s="23" t="n">
        <f aca="false">VLOOKUP(K31,Acuan!$A$2:$C$6,3,TRUE())</f>
        <v>0.08</v>
      </c>
      <c r="N31" s="24" t="n">
        <f aca="false">ROUND(C31*(1+M31),0)</f>
        <v>10260000</v>
      </c>
      <c r="O31" s="25" t="n">
        <f aca="false">COUNTIFS($B$2:$B$31,B31,$K$2:$K$31,"&gt;"&amp;K31)+1</f>
        <v>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3" min="1" style="0" width="13"/>
    <col collapsed="false" customWidth="true" hidden="false" outlineLevel="0" max="4" min="4" style="0" width="16"/>
  </cols>
  <sheetData>
    <row r="1" customFormat="false" ht="33.75" hidden="false" customHeight="true" outlineLevel="0" collapsed="false">
      <c r="A1" s="11" t="s">
        <v>129</v>
      </c>
      <c r="B1" s="11" t="s">
        <v>86</v>
      </c>
      <c r="C1" s="11" t="s">
        <v>87</v>
      </c>
      <c r="D1" s="15" t="s">
        <v>130</v>
      </c>
    </row>
    <row r="2" customFormat="false" ht="15" hidden="false" customHeight="false" outlineLevel="0" collapsed="false">
      <c r="A2" s="19" t="n">
        <v>0</v>
      </c>
      <c r="B2" s="17" t="s">
        <v>131</v>
      </c>
      <c r="C2" s="29" t="n">
        <v>0</v>
      </c>
      <c r="D2" s="25" t="n">
        <f aca="false">COUNTIF(Data!$L$2:$L$31,B2)</f>
        <v>4</v>
      </c>
    </row>
    <row r="3" customFormat="false" ht="15" hidden="false" customHeight="false" outlineLevel="0" collapsed="false">
      <c r="A3" s="19" t="n">
        <v>60</v>
      </c>
      <c r="B3" s="17" t="s">
        <v>132</v>
      </c>
      <c r="C3" s="29" t="n">
        <v>0.02</v>
      </c>
      <c r="D3" s="25" t="n">
        <f aca="false">COUNTIF(Data!$L$2:$L$31,B3)</f>
        <v>9</v>
      </c>
    </row>
    <row r="4" customFormat="false" ht="15" hidden="false" customHeight="false" outlineLevel="0" collapsed="false">
      <c r="A4" s="19" t="n">
        <v>70</v>
      </c>
      <c r="B4" s="17" t="s">
        <v>133</v>
      </c>
      <c r="C4" s="29" t="n">
        <v>0.04</v>
      </c>
      <c r="D4" s="25" t="n">
        <f aca="false">COUNTIF(Data!$L$2:$L$31,B4)</f>
        <v>8</v>
      </c>
    </row>
    <row r="5" customFormat="false" ht="15" hidden="false" customHeight="false" outlineLevel="0" collapsed="false">
      <c r="A5" s="19" t="n">
        <v>80</v>
      </c>
      <c r="B5" s="17" t="s">
        <v>134</v>
      </c>
      <c r="C5" s="29" t="n">
        <v>0.06</v>
      </c>
      <c r="D5" s="25" t="n">
        <f aca="false">COUNTIF(Data!$L$2:$L$31,B5)</f>
        <v>6</v>
      </c>
    </row>
    <row r="6" customFormat="false" ht="15" hidden="false" customHeight="false" outlineLevel="0" collapsed="false">
      <c r="A6" s="19" t="n">
        <v>90</v>
      </c>
      <c r="B6" s="17" t="s">
        <v>135</v>
      </c>
      <c r="C6" s="29" t="n">
        <v>0.08</v>
      </c>
      <c r="D6" s="25" t="n">
        <f aca="false">COUNTIF(Data!$L$2:$L$31,B6)</f>
        <v>3</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30" t="s">
        <v>136</v>
      </c>
      <c r="B1" s="30"/>
      <c r="C1" s="30"/>
      <c r="D1" s="30"/>
    </row>
    <row r="2" customFormat="false" ht="15" hidden="false" customHeight="false" outlineLevel="0" collapsed="false">
      <c r="A2" s="31" t="s">
        <v>137</v>
      </c>
      <c r="B2" s="31"/>
      <c r="C2" s="31"/>
      <c r="D2" s="31"/>
    </row>
    <row r="3" customFormat="false" ht="15" hidden="false" customHeight="false" outlineLevel="0" collapsed="false">
      <c r="A3" s="11" t="s">
        <v>19</v>
      </c>
      <c r="B3" s="11" t="s">
        <v>138</v>
      </c>
      <c r="C3" s="11" t="s">
        <v>139</v>
      </c>
      <c r="D3" s="11" t="s">
        <v>140</v>
      </c>
    </row>
    <row r="4" customFormat="false" ht="15" hidden="false" customHeight="false" outlineLevel="0" collapsed="false">
      <c r="A4" s="32" t="s">
        <v>141</v>
      </c>
      <c r="B4" s="33" t="s">
        <v>142</v>
      </c>
      <c r="C4" s="20" t="n">
        <f aca="false">AVERAGE(Data!$K$2:$K$31)</f>
        <v>72.5166666666667</v>
      </c>
      <c r="D4" s="34" t="s">
        <v>143</v>
      </c>
    </row>
    <row r="5" customFormat="false" ht="15" hidden="false" customHeight="false" outlineLevel="0" collapsed="false">
      <c r="A5" s="32" t="s">
        <v>144</v>
      </c>
      <c r="B5" s="33" t="s">
        <v>145</v>
      </c>
      <c r="C5" s="25" t="n">
        <f aca="false">COUNTIF(Data!$L$2:$L$31,"Istimewa")</f>
        <v>3</v>
      </c>
      <c r="D5" s="34" t="s">
        <v>146</v>
      </c>
    </row>
    <row r="6" customFormat="false" ht="15" hidden="false" customHeight="false" outlineLevel="0" collapsed="false">
      <c r="A6" s="32" t="s">
        <v>147</v>
      </c>
      <c r="B6" s="33" t="s">
        <v>148</v>
      </c>
      <c r="C6" s="24" t="n">
        <f aca="false">SUM(Data!$C$2:$C$31)</f>
        <v>232000000</v>
      </c>
      <c r="D6" s="34" t="s">
        <v>149</v>
      </c>
    </row>
    <row r="7" customFormat="false" ht="15" hidden="false" customHeight="false" outlineLevel="0" collapsed="false">
      <c r="A7" s="32" t="s">
        <v>150</v>
      </c>
      <c r="B7" s="33" t="s">
        <v>151</v>
      </c>
      <c r="C7" s="24" t="n">
        <f aca="false">SUM(Data!$N$2:$N$31)</f>
        <v>240580000</v>
      </c>
      <c r="D7" s="34" t="s">
        <v>152</v>
      </c>
    </row>
    <row r="8" customFormat="false" ht="15" hidden="false" customHeight="false" outlineLevel="0" collapsed="false">
      <c r="A8" s="32" t="s">
        <v>153</v>
      </c>
      <c r="B8" s="33" t="s">
        <v>154</v>
      </c>
      <c r="C8" s="24" t="n">
        <f aca="false">C7-C6</f>
        <v>8580000</v>
      </c>
      <c r="D8" s="34" t="s">
        <v>155</v>
      </c>
    </row>
    <row r="9" customFormat="false" ht="15" hidden="false" customHeight="false" outlineLevel="0" collapsed="false">
      <c r="A9" s="32" t="s">
        <v>156</v>
      </c>
      <c r="B9" s="33" t="s">
        <v>157</v>
      </c>
      <c r="C9" s="22" t="str">
        <f aca="false">INDEX(Data!$A$2:$A$31,MATCH(MAX(Data!$K$2:$K$31),Data!$K$2:$K$31,0))</f>
        <v>Rina Sari</v>
      </c>
      <c r="D9" s="34" t="s">
        <v>158</v>
      </c>
    </row>
    <row r="10" customFormat="false" ht="15" hidden="false" customHeight="false" outlineLevel="0" collapsed="false">
      <c r="A10" s="32" t="s">
        <v>159</v>
      </c>
      <c r="B10" s="33" t="s">
        <v>160</v>
      </c>
      <c r="C10" s="22" t="str">
        <f aca="false">INDEX(Data!$A$2:$A$31,MATCH(MAX(Data!$N$2:$N$31),Data!$N$2:$N$31,0))</f>
        <v>Prasetyo Hartono</v>
      </c>
      <c r="D10" s="34" t="s">
        <v>158</v>
      </c>
    </row>
    <row r="11" customFormat="false" ht="15" hidden="false" customHeight="false" outlineLevel="0" collapsed="false">
      <c r="A11" s="32" t="s">
        <v>161</v>
      </c>
      <c r="B11" s="33" t="s">
        <v>162</v>
      </c>
      <c r="C11" s="20" t="n">
        <f aca="false">AVERAGEIF(Data!$B$2:$B$31,"Produksi",Data!$K$2:$K$31)</f>
        <v>67.1785714285714</v>
      </c>
      <c r="D11" s="34" t="s">
        <v>163</v>
      </c>
    </row>
    <row r="12" customFormat="false" ht="15" hidden="false" customHeight="false" outlineLevel="0" collapsed="false">
      <c r="A12" s="32" t="s">
        <v>164</v>
      </c>
      <c r="B12" s="33" t="s">
        <v>165</v>
      </c>
      <c r="C12" s="25" t="n">
        <f aca="false">COUNTIFS(Data!$B$2:$B$31,"Pemasaran",Data!$K$2:$K$31,"&gt;=70")</f>
        <v>4</v>
      </c>
      <c r="D12" s="34" t="s">
        <v>166</v>
      </c>
    </row>
    <row r="13" customFormat="false" ht="15" hidden="false" customHeight="false" outlineLevel="0" collapsed="false">
      <c r="A13" s="32" t="s">
        <v>167</v>
      </c>
      <c r="B13" s="33" t="s">
        <v>168</v>
      </c>
      <c r="C13" s="25" t="n">
        <f aca="false">COUNTIF(Data!$J$2:$J$31,Data!$R$3)</f>
        <v>9</v>
      </c>
      <c r="D13" s="34" t="s">
        <v>169</v>
      </c>
    </row>
    <row r="14" customFormat="false" ht="15" hidden="false" customHeight="false" outlineLevel="0" collapsed="false">
      <c r="A14" s="32" t="s">
        <v>170</v>
      </c>
      <c r="B14" s="33" t="s">
        <v>171</v>
      </c>
      <c r="C14" s="25" t="n">
        <f aca="false">SUM(Data!$H$2:$H$31)</f>
        <v>96</v>
      </c>
      <c r="D14" s="34" t="s">
        <v>172</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2026-10-14T23:34:09Z</dcterms:created>
  <dc:creator>PushExcel</dc:creator>
  <dc:description/>
  <dc:language>en-US</dc:language>
  <cp:lastModifiedBy/>
  <dcterms:modified xsi:type="dcterms:W3CDTF">2026-10-14T23:34:09Z</dcterms:modified>
  <cp:revision>0</cp:revision>
  <dc:subject/>
  <dc:title>Penilaian Kinerja Karyawan dan Kenaikan Gaji - Kunci</dc:title>
</cp:coreProperties>
</file>

<file path=docProps/custom.xml><?xml version="1.0" encoding="utf-8"?>
<Properties xmlns="http://schemas.openxmlformats.org/officeDocument/2006/custom-properties" xmlns:vt="http://schemas.openxmlformats.org/officeDocument/2006/docPropsVTypes"/>
</file>