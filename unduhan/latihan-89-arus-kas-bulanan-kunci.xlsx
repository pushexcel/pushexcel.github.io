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<sst xmlns="http://schemas.openxmlformats.org/spreadsheetml/2006/main" count="228" uniqueCount="173">
  <si>
    <t xml:space="preserve">Kunci Jawaban: Arus Kas Bulanan Usaha Roti</t>
  </si>
  <si>
    <t xml:space="preserve">Latihan 89 dari 40  |  Tingkat: Lanjutan  |  Perkiraan waktu: 65 menit  |  pushexcel.github.io/Pushexcel</t>
  </si>
  <si>
    <t xml:space="preserve">Skenario</t>
  </si>
  <si>
    <t xml:space="preserve">Kamu pemegang kas UD Sumber Rejeki, usaha roti rumahan, yang mencatat 33 transaksi kas selama November 2026. Setiap transaksi punya nomor urut, tanggal, keterangan, kategori, dan jumlah. Jenis transaksi (Masuk atau Keluar) ditentukan dari tabel kategori di sheet Acuan. Saldo awal bulan Rp 12.000.000 dan saldo minimum yang dianggap aman Rp 10.000.000 (keduanya ada di blok Parameter). Saldo berjalan adalah saldo awal ditambah semua kas masuk dan dikurangi semua kas keluar sampai nomor transaksi itu. Minggu ke dihitung dari tanggal: tanggal 1 sampai 7 minggu ke-1, 8 sampai 14 minggu ke-2, dan seterusnya.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</si>
  <si>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</si>
  <si>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</si>
  <si>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</si>
  <si>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</si>
  <si>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</si>
  <si>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</si>
  <si>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</si>
  <si>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</si>
  <si>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</si>
  <si>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</si>
  <si>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</si>
  <si>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</si>
  <si>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</si>
  <si>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</si>
  <si>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</si>
  <si>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</si>
  <si>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</si>
  <si>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</si>
  <si>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</si>
  <si>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</si>
  <si>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jenis transaksi (Masuk atau Keluar) tiap baris dari tabel kategori di sheet Acuan, dengan pencocokan persis.</t>
  </si>
  <si>
    <t xml:space="preserve">Sheet Data, kolom F (Jenis), baris 2 sampai 34</t>
  </si>
  <si>
    <t xml:space="preserve">=VLOOKUP(D2;Acuan!$A$2:$B$8;2;FALSE)</t>
  </si>
  <si>
    <t xml:space="preserve">2</t>
  </si>
  <si>
    <t xml:space="preserve">Isi Kas Masuk dengan jumlah transaksi bila jenisnya Masuk. Selain itu isi 0.</t>
  </si>
  <si>
    <t xml:space="preserve">Sheet Data, kolom G (Kas Masuk), baris 2 sampai 34</t>
  </si>
  <si>
    <t xml:space="preserve">=IF(F2="Masuk";E2;0)</t>
  </si>
  <si>
    <t xml:space="preserve">3</t>
  </si>
  <si>
    <t xml:space="preserve">Isi Kas Keluar dengan jumlah transaksi bila jenisnya Keluar. Selain itu isi 0.</t>
  </si>
  <si>
    <t xml:space="preserve">Sheet Data, kolom H (Kas Keluar), baris 2 sampai 34</t>
  </si>
  <si>
    <t xml:space="preserve">=IF(F2="Keluar";E2;0)</t>
  </si>
  <si>
    <t xml:space="preserve">4</t>
  </si>
  <si>
    <t xml:space="preserve">Hitung saldo berjalan: saldo awal ditambah total Kas Masuk dan dikurangi total Kas Keluar dari nomor 1 sampai nomor baris ini. Pakai kolom No sebagai syarat.</t>
  </si>
  <si>
    <t xml:space="preserve">Sheet Data, kolom I (Saldo Berjalan), baris 2 sampai 34</t>
  </si>
  <si>
    <t xml:space="preserve">=$N$2+SUMIF($A$2:$A$34;"&lt;="&amp;A2;$G$2:$G$34)-SUMIF($A$2:$A$34;"&lt;="&amp;A2;$H$2:$H$34)</t>
  </si>
  <si>
    <t xml:space="preserve">5</t>
  </si>
  <si>
    <t xml:space="preserve">Tentukan minggu ke berapa transaksi terjadi: tanggal 1 sampai 7 minggu ke-1, tanggal 8 sampai 14 minggu ke-2, dan seterusnya.</t>
  </si>
  <si>
    <t xml:space="preserve">Sheet Data, kolom J (Minggu Ke), baris 2 sampai 34</t>
  </si>
  <si>
    <t xml:space="preserve">=INT((B2-DATE(2026;11;1))/7)+1</t>
  </si>
  <si>
    <t xml:space="preserve">6</t>
  </si>
  <si>
    <t xml:space="preserve">Beri status Di Bawah Minimum bila saldo berjalan lebih kecil dari saldo minimum. Selain itu Aman.</t>
  </si>
  <si>
    <t xml:space="preserve">Sheet Data, kolom K (Status Saldo), baris 2 sampai 34</t>
  </si>
  <si>
    <t xml:space="preserve">=IF(I2&lt;$N$3;"Di Bawah Minimum";"Aman")</t>
  </si>
  <si>
    <t xml:space="preserve">7</t>
  </si>
  <si>
    <t xml:space="preserve">Pada sheet Acuan, hitung jumlah transaksi tiap kategori.</t>
  </si>
  <si>
    <t xml:space="preserve">Sheet Acuan, kolom C (Jumlah Transaksi), baris 2 sampai 8</t>
  </si>
  <si>
    <t xml:space="preserve">=COUNTIF(Data!$D$2:$D$34;A2)</t>
  </si>
  <si>
    <t xml:space="preserve">8</t>
  </si>
  <si>
    <t xml:space="preserve">Pada sheet Acuan, hitung total kas masuk tiap kategori. Kategori pengeluaran akan bernilai 0.</t>
  </si>
  <si>
    <t xml:space="preserve">Sheet Acuan, kolom D (Total Masuk), baris 2 sampai 8</t>
  </si>
  <si>
    <t xml:space="preserve">=SUMIF(Data!$D$2:$D$34;A2;Data!$G$2:$G$34)</t>
  </si>
  <si>
    <t xml:space="preserve">9</t>
  </si>
  <si>
    <t xml:space="preserve">Pada sheet Acuan, hitung total kas keluar tiap kategori. Kategori penerimaan akan bernilai 0.</t>
  </si>
  <si>
    <t xml:space="preserve">Sheet Acuan, kolom E (Total Keluar), baris 2 sampai 8</t>
  </si>
  <si>
    <t xml:space="preserve">=SUMIF(Data!$D$2:$D$34;A2;Data!$H$2:$H$34)</t>
  </si>
  <si>
    <t xml:space="preserve">10</t>
  </si>
  <si>
    <t xml:space="preserve">Pada sheet Acuan, hitung porsi tiap kategori terhadap seluruh kas keluar.</t>
  </si>
  <si>
    <t xml:space="preserve">Sheet Acuan, kolom F (Persen Pengeluaran), baris 2 sampai 8</t>
  </si>
  <si>
    <t xml:space="preserve">=E2/SUM($E$2:$E$8)</t>
  </si>
  <si>
    <t xml:space="preserve">11</t>
  </si>
  <si>
    <t xml:space="preserve">Berapa total kas masuk, total kas keluar, dan saldo akhir bulan?</t>
  </si>
  <si>
    <t xml:space="preserve">Sheet Ringkasan, sel C4 sampai C6</t>
  </si>
  <si>
    <t xml:space="preserve">=SUM(Data!$G$2:$G$34)
=SUM(Data!$H$2:$H$34)
=Data!$N$2+C4-C5</t>
  </si>
  <si>
    <t xml:space="preserve">12</t>
  </si>
  <si>
    <t xml:space="preserve">Berapa saldo berjalan tertinggi dan terendah, dan pada tanggal berapa saldo tertinggi terjadi?</t>
  </si>
  <si>
    <t xml:space="preserve">Sheet Ringkasan, sel C7 sampai C9</t>
  </si>
  <si>
    <t xml:space="preserve">=MAX(Data!$I$2:$I$34)
=MIN(Data!$I$2:$I$34)
=INDEX(Data!$B$2:$B$34;MATCH(MAX(Data!$I$2:$I$34);Data!$I$2:$I$34;0))</t>
  </si>
  <si>
    <t xml:space="preserve">13</t>
  </si>
  <si>
    <t xml:space="preserve">Berapa transaksi yang saldonya Di Bawah Minimum, dan kategori apa yang pengeluarannya terbesar?</t>
  </si>
  <si>
    <t xml:space="preserve">Sheet Ringkasan, sel C10 sampai C11</t>
  </si>
  <si>
    <t xml:space="preserve">=COUNTIF(Data!$K$2:$K$34;"Di Bawah Minimum")
=INDEX(Acuan!$A$2:$A$8;MATCH(MAX(Acuan!$E$2:$E$8);Acuan!$E$2:$E$8;0))</t>
  </si>
  <si>
    <t xml:space="preserve">14</t>
  </si>
  <si>
    <t xml:space="preserve">Berapa total kas masuk dan total kas keluar pada minggu ke-2?</t>
  </si>
  <si>
    <t xml:space="preserve">Sheet Ringkasan, sel C12 sampai C13</t>
  </si>
  <si>
    <t xml:space="preserve">=SUMIF(Data!$J$2:$J$34;2;Data!$G$2:$G$34)
=SUMIF(Data!$J$2:$J$34;2;Data!$H$2:$H$34)</t>
  </si>
  <si>
    <t xml:space="preserve">15</t>
  </si>
  <si>
    <t xml:space="preserve">Berapa rata-rata nilai satu transaksi pengeluaran, dan berapa transaksi penerimaan yang nilainya Rp 5.000.000 ke atas?</t>
  </si>
  <si>
    <t xml:space="preserve">Sheet Ringkasan, sel C14 sampai C15</t>
  </si>
  <si>
    <t xml:space="preserve">=AVERAGEIF(Data!$H$2:$H$34;"&gt;0")
=COUNTIFS(Data!$F$2:$F$34;"Masuk";Data!$E$2:$E$34;"&gt;=5000000")</t>
  </si>
  <si>
    <t xml:space="preserve">Tanggal</t>
  </si>
  <si>
    <t xml:space="preserve">Keterangan</t>
  </si>
  <si>
    <t xml:space="preserve">Kategori</t>
  </si>
  <si>
    <t xml:space="preserve">Jumlah</t>
  </si>
  <si>
    <t xml:space="preserve">Jenis</t>
  </si>
  <si>
    <t xml:space="preserve">Kas Masuk</t>
  </si>
  <si>
    <t xml:space="preserve">Kas Keluar</t>
  </si>
  <si>
    <t xml:space="preserve">Saldo Berjalan</t>
  </si>
  <si>
    <t xml:space="preserve">Minggu Ke</t>
  </si>
  <si>
    <t xml:space="preserve">Status Saldo</t>
  </si>
  <si>
    <t xml:space="preserve">Parameter</t>
  </si>
  <si>
    <t xml:space="preserve">Nilai</t>
  </si>
  <si>
    <t xml:space="preserve">Upah pekan ini kurir</t>
  </si>
  <si>
    <t xml:space="preserve">Gaji dan Upah</t>
  </si>
  <si>
    <t xml:space="preserve">Saldo awal</t>
  </si>
  <si>
    <t xml:space="preserve">Penjualan etalase toko</t>
  </si>
  <si>
    <t xml:space="preserve">Penjualan Tunai</t>
  </si>
  <si>
    <t xml:space="preserve">Saldo minimum</t>
  </si>
  <si>
    <t xml:space="preserve">Saldo di bawah angka ini dianggap tidak aman</t>
  </si>
  <si>
    <t xml:space="preserve">Penjualan paket snack</t>
  </si>
  <si>
    <t xml:space="preserve">Beli gula dan mentega</t>
  </si>
  <si>
    <t xml:space="preserve">Pembelian Bahan</t>
  </si>
  <si>
    <t xml:space="preserve">Bunga tabungan</t>
  </si>
  <si>
    <t xml:space="preserve">Pendapatan Lain</t>
  </si>
  <si>
    <t xml:space="preserve">Bensin kendaraan antar</t>
  </si>
  <si>
    <t xml:space="preserve">Biaya Operasional</t>
  </si>
  <si>
    <t xml:space="preserve">Pelunasan Kantin Mentari</t>
  </si>
  <si>
    <t xml:space="preserve">Tagihan Pelanggan</t>
  </si>
  <si>
    <t xml:space="preserve">Upah pekan ini karyawan</t>
  </si>
  <si>
    <t xml:space="preserve">Pelunasan Katering Harmoni</t>
  </si>
  <si>
    <t xml:space="preserve">Beli cokelat dan keju</t>
  </si>
  <si>
    <t xml:space="preserve">Bayar listrik toko</t>
  </si>
  <si>
    <t xml:space="preserve">Sewa dan Listrik</t>
  </si>
  <si>
    <t xml:space="preserve">Servis mixer</t>
  </si>
  <si>
    <t xml:space="preserve">Beli kemasan</t>
  </si>
  <si>
    <t xml:space="preserve">Penjualan kue pesanan</t>
  </si>
  <si>
    <t xml:space="preserve">Beli gas elpiji</t>
  </si>
  <si>
    <t xml:space="preserve">Penjualan roti harian</t>
  </si>
  <si>
    <t xml:space="preserve">Beli tepung terigu</t>
  </si>
  <si>
    <t xml:space="preserve">Beli telur</t>
  </si>
  <si>
    <t xml:space="preserve">Bayar air dan kebersihan</t>
  </si>
  <si>
    <t xml:space="preserve">Jasa titip oven</t>
  </si>
  <si>
    <t xml:space="preserve">Biaya parkir dan kebersihan</t>
  </si>
  <si>
    <t xml:space="preserve">Jumlah Transaksi</t>
  </si>
  <si>
    <t xml:space="preserve">Total Masuk</t>
  </si>
  <si>
    <t xml:space="preserve">Total Keluar</t>
  </si>
  <si>
    <t xml:space="preserve">Persen Pengeluaran</t>
  </si>
  <si>
    <t xml:space="preserve">Masuk</t>
  </si>
  <si>
    <t xml:space="preserve">Keluar</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</si>
  <si>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</si>
  <si>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</si>
  <si>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</si>
  <si>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</si>
  <si>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</si>
  <si>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</si>
  <si>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kas masuk</t>
  </si>
  <si>
    <t xml:space="preserve">Rupiah, mis. Rp 150.000.000</t>
  </si>
  <si>
    <t xml:space="preserve">11b</t>
  </si>
  <si>
    <t xml:space="preserve">Total kas keluar</t>
  </si>
  <si>
    <t xml:space="preserve">Rupiah, mis. Rp 140.000.000</t>
  </si>
  <si>
    <t xml:space="preserve">11c</t>
  </si>
  <si>
    <t xml:space="preserve">Saldo akhir bulan</t>
  </si>
  <si>
    <t xml:space="preserve">Rupiah, mis. Rp 21.000.000</t>
  </si>
  <si>
    <t xml:space="preserve">12a</t>
  </si>
  <si>
    <t xml:space="preserve">Saldo tertinggi</t>
  </si>
  <si>
    <t xml:space="preserve">Rupiah, mis. Rp 30.000.000</t>
  </si>
  <si>
    <t xml:space="preserve">12b</t>
  </si>
  <si>
    <t xml:space="preserve">Saldo terendah</t>
  </si>
  <si>
    <t xml:space="preserve">Rupiah, mis. Rp 8.000.000</t>
  </si>
  <si>
    <t xml:space="preserve">12c</t>
  </si>
  <si>
    <t xml:space="preserve">Tanggal saldo tertinggi</t>
  </si>
  <si>
    <t xml:space="preserve">Tanggal, mis. 21/11/2026</t>
  </si>
  <si>
    <t xml:space="preserve">13a</t>
  </si>
  <si>
    <t xml:space="preserve">Transaksi Di Bawah Minimum</t>
  </si>
  <si>
    <t xml:space="preserve">Angka bulat, mis. 7</t>
  </si>
  <si>
    <t xml:space="preserve">13b</t>
  </si>
  <si>
    <t xml:space="preserve">Kategori pengeluaran terbesar</t>
  </si>
  <si>
    <t xml:space="preserve">Teks: nama kategori</t>
  </si>
  <si>
    <t xml:space="preserve">14a</t>
  </si>
  <si>
    <t xml:space="preserve">Kas masuk minggu ke-2</t>
  </si>
  <si>
    <t xml:space="preserve">Rupiah, mis. Rp 26.000.000</t>
  </si>
  <si>
    <t xml:space="preserve">14b</t>
  </si>
  <si>
    <t xml:space="preserve">Kas keluar minggu ke-2</t>
  </si>
  <si>
    <t xml:space="preserve">Rupiah, mis. Rp 18.000.000</t>
  </si>
  <si>
    <t xml:space="preserve">15a</t>
  </si>
  <si>
    <t xml:space="preserve">Rata-rata satu transaksi pengeluaran</t>
  </si>
  <si>
    <t xml:space="preserve">Rupiah, mis. Rp 3.200.000</t>
  </si>
  <si>
    <t xml:space="preserve">15b</t>
  </si>
  <si>
    <t xml:space="preserve">Penerimaan Rp 5.000.000 ke atas</t>
  </si>
  <si>
    <t xml:space="preserve">Angka bulat, mis. 11</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</si>
</sst>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43.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26"/>
    <col collapsed="false" customWidth="true" hidden="false" outlineLevel="0" max="4" min="4" style="0" width="18"/>
    <col collapsed="false" customWidth="true" hidden="false" outlineLevel="0" max="5" min="5" style="0" width="15"/>
    <col collapsed="false" customWidth="true" hidden="false" outlineLevel="0" max="6" min="6" style="0" width="9"/>
    <col collapsed="false" customWidth="true" hidden="false" outlineLevel="0" max="8" min="7" style="0" width="15"/>
    <col collapsed="false" customWidth="true" hidden="false" outlineLevel="0" max="9" min="9" style="0" width="16"/>
    <col collapsed="false" customWidth="true" hidden="false" outlineLevel="0" max="10" min="10" style="0" width="10"/>
    <col collapsed="false" customWidth="true" hidden="false" outlineLevel="0" max="11" min="11" style="0" width="17"/>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19</v>
      </c>
      <c r="B1" s="11" t="s">
        <v>83</v>
      </c>
      <c r="C1" s="11" t="s">
        <v>84</v>
      </c>
      <c r="D1" s="11" t="s">
        <v>85</v>
      </c>
      <c r="E1" s="11" t="s">
        <v>86</v>
      </c>
      <c r="F1" s="15" t="s">
        <v>87</v>
      </c>
      <c r="G1" s="15" t="s">
        <v>88</v>
      </c>
      <c r="H1" s="15" t="s">
        <v>89</v>
      </c>
      <c r="I1" s="15" t="s">
        <v>90</v>
      </c>
      <c r="J1" s="15" t="s">
        <v>91</v>
      </c>
      <c r="K1" s="15" t="s">
        <v>92</v>
      </c>
      <c r="M1" s="16" t="s">
        <v>93</v>
      </c>
      <c r="N1" s="16" t="s">
        <v>94</v>
      </c>
      <c r="O1" s="16" t="s">
        <v>84</v>
      </c>
    </row>
    <row r="2" customFormat="false" ht="15" hidden="false" customHeight="false" outlineLevel="0" collapsed="false">
      <c r="A2" s="17" t="n">
        <v>1</v>
      </c>
      <c r="B2" s="18" t="n">
        <v>46327</v>
      </c>
      <c r="C2" s="19" t="s">
        <v>95</v>
      </c>
      <c r="D2" s="19" t="s">
        <v>96</v>
      </c>
      <c r="E2" s="20" t="n">
        <v>4500000</v>
      </c>
      <c r="F2" s="21" t="str">
        <f aca="false">VLOOKUP(D2,Acuan!$A$2:$B$8,2,FALSE())</f>
        <v>Keluar</v>
      </c>
      <c r="G2" s="22" t="n">
        <f aca="false">IF(F2="Masuk",E2,0)</f>
        <v>0</v>
      </c>
      <c r="H2" s="22" t="n">
        <f aca="false">IF(F2="Keluar",E2,0)</f>
        <v>4500000</v>
      </c>
      <c r="I2" s="22" t="n">
        <f aca="false">$N$2+SUMIF($A$2:$A$34,"&lt;="&amp;A2,$G$2:$G$34)-SUMIF($A$2:$A$34,"&lt;="&amp;A2,$H$2:$H$34)</f>
        <v>7500000</v>
      </c>
      <c r="J2" s="23" t="n">
        <f aca="false">INT((B2-DATE(2026,11,1))/7)+1</f>
        <v>1</v>
      </c>
      <c r="K2" s="21" t="str">
        <f aca="false">IF(I2&lt;$N$3,"Di Bawah Minimum","Aman")</f>
        <v>Di Bawah Minimum</v>
      </c>
      <c r="M2" s="24" t="s">
        <v>97</v>
      </c>
      <c r="N2" s="25" t="n">
        <v>12000000</v>
      </c>
      <c r="O2" s="24"/>
    </row>
    <row r="3" customFormat="false" ht="15" hidden="false" customHeight="false" outlineLevel="0" collapsed="false">
      <c r="A3" s="17" t="n">
        <v>2</v>
      </c>
      <c r="B3" s="18" t="n">
        <v>46328</v>
      </c>
      <c r="C3" s="19" t="s">
        <v>98</v>
      </c>
      <c r="D3" s="19" t="s">
        <v>99</v>
      </c>
      <c r="E3" s="20" t="n">
        <v>3500000</v>
      </c>
      <c r="F3" s="21" t="str">
        <f aca="false">VLOOKUP(D3,Acuan!$A$2:$B$8,2,FALSE())</f>
        <v>Masuk</v>
      </c>
      <c r="G3" s="22" t="n">
        <f aca="false">IF(F3="Masuk",E3,0)</f>
        <v>3500000</v>
      </c>
      <c r="H3" s="22" t="n">
        <f aca="false">IF(F3="Keluar",E3,0)</f>
        <v>0</v>
      </c>
      <c r="I3" s="22" t="n">
        <f aca="false">$N$2+SUMIF($A$2:$A$34,"&lt;="&amp;A3,$G$2:$G$34)-SUMIF($A$2:$A$34,"&lt;="&amp;A3,$H$2:$H$34)</f>
        <v>11000000</v>
      </c>
      <c r="J3" s="23" t="n">
        <f aca="false">INT((B3-DATE(2026,11,1))/7)+1</f>
        <v>1</v>
      </c>
      <c r="K3" s="21" t="str">
        <f aca="false">IF(I3&lt;$N$3,"Di Bawah Minimum","Aman")</f>
        <v>Aman</v>
      </c>
      <c r="M3" s="24" t="s">
        <v>100</v>
      </c>
      <c r="N3" s="25" t="n">
        <v>10000000</v>
      </c>
      <c r="O3" s="24" t="s">
        <v>101</v>
      </c>
    </row>
    <row r="4" customFormat="false" ht="15" hidden="false" customHeight="false" outlineLevel="0" collapsed="false">
      <c r="A4" s="17" t="n">
        <v>3</v>
      </c>
      <c r="B4" s="18" t="n">
        <v>46329</v>
      </c>
      <c r="C4" s="19" t="s">
        <v>102</v>
      </c>
      <c r="D4" s="19" t="s">
        <v>99</v>
      </c>
      <c r="E4" s="20" t="n">
        <v>5000000</v>
      </c>
      <c r="F4" s="21" t="str">
        <f aca="false">VLOOKUP(D4,Acuan!$A$2:$B$8,2,FALSE())</f>
        <v>Masuk</v>
      </c>
      <c r="G4" s="22" t="n">
        <f aca="false">IF(F4="Masuk",E4,0)</f>
        <v>5000000</v>
      </c>
      <c r="H4" s="22" t="n">
        <f aca="false">IF(F4="Keluar",E4,0)</f>
        <v>0</v>
      </c>
      <c r="I4" s="22" t="n">
        <f aca="false">$N$2+SUMIF($A$2:$A$34,"&lt;="&amp;A4,$G$2:$G$34)-SUMIF($A$2:$A$34,"&lt;="&amp;A4,$H$2:$H$34)</f>
        <v>16000000</v>
      </c>
      <c r="J4" s="23" t="n">
        <f aca="false">INT((B4-DATE(2026,11,1))/7)+1</f>
        <v>1</v>
      </c>
      <c r="K4" s="21" t="str">
        <f aca="false">IF(I4&lt;$N$3,"Di Bawah Minimum","Aman")</f>
        <v>Aman</v>
      </c>
    </row>
    <row r="5" customFormat="false" ht="15" hidden="false" customHeight="false" outlineLevel="0" collapsed="false">
      <c r="A5" s="17" t="n">
        <v>4</v>
      </c>
      <c r="B5" s="18" t="n">
        <v>46329</v>
      </c>
      <c r="C5" s="19" t="s">
        <v>103</v>
      </c>
      <c r="D5" s="19" t="s">
        <v>104</v>
      </c>
      <c r="E5" s="20" t="n">
        <v>3000000</v>
      </c>
      <c r="F5" s="21" t="str">
        <f aca="false">VLOOKUP(D5,Acuan!$A$2:$B$8,2,FALSE())</f>
        <v>Keluar</v>
      </c>
      <c r="G5" s="22" t="n">
        <f aca="false">IF(F5="Masuk",E5,0)</f>
        <v>0</v>
      </c>
      <c r="H5" s="22" t="n">
        <f aca="false">IF(F5="Keluar",E5,0)</f>
        <v>3000000</v>
      </c>
      <c r="I5" s="22" t="n">
        <f aca="false">$N$2+SUMIF($A$2:$A$34,"&lt;="&amp;A5,$G$2:$G$34)-SUMIF($A$2:$A$34,"&lt;="&amp;A5,$H$2:$H$34)</f>
        <v>13000000</v>
      </c>
      <c r="J5" s="23" t="n">
        <f aca="false">INT((B5-DATE(2026,11,1))/7)+1</f>
        <v>1</v>
      </c>
      <c r="K5" s="21" t="str">
        <f aca="false">IF(I5&lt;$N$3,"Di Bawah Minimum","Aman")</f>
        <v>Aman</v>
      </c>
    </row>
    <row r="6" customFormat="false" ht="15" hidden="false" customHeight="false" outlineLevel="0" collapsed="false">
      <c r="A6" s="17" t="n">
        <v>5</v>
      </c>
      <c r="B6" s="18" t="n">
        <v>46330</v>
      </c>
      <c r="C6" s="19" t="s">
        <v>103</v>
      </c>
      <c r="D6" s="19" t="s">
        <v>104</v>
      </c>
      <c r="E6" s="20" t="n">
        <v>7000000</v>
      </c>
      <c r="F6" s="21" t="str">
        <f aca="false">VLOOKUP(D6,Acuan!$A$2:$B$8,2,FALSE())</f>
        <v>Keluar</v>
      </c>
      <c r="G6" s="22" t="n">
        <f aca="false">IF(F6="Masuk",E6,0)</f>
        <v>0</v>
      </c>
      <c r="H6" s="22" t="n">
        <f aca="false">IF(F6="Keluar",E6,0)</f>
        <v>7000000</v>
      </c>
      <c r="I6" s="22" t="n">
        <f aca="false">$N$2+SUMIF($A$2:$A$34,"&lt;="&amp;A6,$G$2:$G$34)-SUMIF($A$2:$A$34,"&lt;="&amp;A6,$H$2:$H$34)</f>
        <v>6000000</v>
      </c>
      <c r="J6" s="23" t="n">
        <f aca="false">INT((B6-DATE(2026,11,1))/7)+1</f>
        <v>1</v>
      </c>
      <c r="K6" s="21" t="str">
        <f aca="false">IF(I6&lt;$N$3,"Di Bawah Minimum","Aman")</f>
        <v>Di Bawah Minimum</v>
      </c>
    </row>
    <row r="7" customFormat="false" ht="15" hidden="false" customHeight="false" outlineLevel="0" collapsed="false">
      <c r="A7" s="17" t="n">
        <v>6</v>
      </c>
      <c r="B7" s="18" t="n">
        <v>46331</v>
      </c>
      <c r="C7" s="19" t="s">
        <v>102</v>
      </c>
      <c r="D7" s="19" t="s">
        <v>99</v>
      </c>
      <c r="E7" s="20" t="n">
        <v>6000000</v>
      </c>
      <c r="F7" s="21" t="str">
        <f aca="false">VLOOKUP(D7,Acuan!$A$2:$B$8,2,FALSE())</f>
        <v>Masuk</v>
      </c>
      <c r="G7" s="22" t="n">
        <f aca="false">IF(F7="Masuk",E7,0)</f>
        <v>6000000</v>
      </c>
      <c r="H7" s="22" t="n">
        <f aca="false">IF(F7="Keluar",E7,0)</f>
        <v>0</v>
      </c>
      <c r="I7" s="22" t="n">
        <f aca="false">$N$2+SUMIF($A$2:$A$34,"&lt;="&amp;A7,$G$2:$G$34)-SUMIF($A$2:$A$34,"&lt;="&amp;A7,$H$2:$H$34)</f>
        <v>12000000</v>
      </c>
      <c r="J7" s="23" t="n">
        <f aca="false">INT((B7-DATE(2026,11,1))/7)+1</f>
        <v>1</v>
      </c>
      <c r="K7" s="21" t="str">
        <f aca="false">IF(I7&lt;$N$3,"Di Bawah Minimum","Aman")</f>
        <v>Aman</v>
      </c>
    </row>
    <row r="8" customFormat="false" ht="15" hidden="false" customHeight="false" outlineLevel="0" collapsed="false">
      <c r="A8" s="17" t="n">
        <v>7</v>
      </c>
      <c r="B8" s="18" t="n">
        <v>46331</v>
      </c>
      <c r="C8" s="19" t="s">
        <v>102</v>
      </c>
      <c r="D8" s="19" t="s">
        <v>99</v>
      </c>
      <c r="E8" s="20" t="n">
        <v>4500000</v>
      </c>
      <c r="F8" s="21" t="str">
        <f aca="false">VLOOKUP(D8,Acuan!$A$2:$B$8,2,FALSE())</f>
        <v>Masuk</v>
      </c>
      <c r="G8" s="22" t="n">
        <f aca="false">IF(F8="Masuk",E8,0)</f>
        <v>4500000</v>
      </c>
      <c r="H8" s="22" t="n">
        <f aca="false">IF(F8="Keluar",E8,0)</f>
        <v>0</v>
      </c>
      <c r="I8" s="22" t="n">
        <f aca="false">$N$2+SUMIF($A$2:$A$34,"&lt;="&amp;A8,$G$2:$G$34)-SUMIF($A$2:$A$34,"&lt;="&amp;A8,$H$2:$H$34)</f>
        <v>16500000</v>
      </c>
      <c r="J8" s="23" t="n">
        <f aca="false">INT((B8-DATE(2026,11,1))/7)+1</f>
        <v>1</v>
      </c>
      <c r="K8" s="21" t="str">
        <f aca="false">IF(I8&lt;$N$3,"Di Bawah Minimum","Aman")</f>
        <v>Aman</v>
      </c>
    </row>
    <row r="9" customFormat="false" ht="15" hidden="false" customHeight="false" outlineLevel="0" collapsed="false">
      <c r="A9" s="17" t="n">
        <v>8</v>
      </c>
      <c r="B9" s="18" t="n">
        <v>46331</v>
      </c>
      <c r="C9" s="19" t="s">
        <v>105</v>
      </c>
      <c r="D9" s="19" t="s">
        <v>106</v>
      </c>
      <c r="E9" s="20" t="n">
        <v>1200000</v>
      </c>
      <c r="F9" s="21" t="str">
        <f aca="false">VLOOKUP(D9,Acuan!$A$2:$B$8,2,FALSE())</f>
        <v>Masuk</v>
      </c>
      <c r="G9" s="22" t="n">
        <f aca="false">IF(F9="Masuk",E9,0)</f>
        <v>1200000</v>
      </c>
      <c r="H9" s="22" t="n">
        <f aca="false">IF(F9="Keluar",E9,0)</f>
        <v>0</v>
      </c>
      <c r="I9" s="22" t="n">
        <f aca="false">$N$2+SUMIF($A$2:$A$34,"&lt;="&amp;A9,$G$2:$G$34)-SUMIF($A$2:$A$34,"&lt;="&amp;A9,$H$2:$H$34)</f>
        <v>17700000</v>
      </c>
      <c r="J9" s="23" t="n">
        <f aca="false">INT((B9-DATE(2026,11,1))/7)+1</f>
        <v>1</v>
      </c>
      <c r="K9" s="21" t="str">
        <f aca="false">IF(I9&lt;$N$3,"Di Bawah Minimum","Aman")</f>
        <v>Aman</v>
      </c>
    </row>
    <row r="10" customFormat="false" ht="15" hidden="false" customHeight="false" outlineLevel="0" collapsed="false">
      <c r="A10" s="17" t="n">
        <v>9</v>
      </c>
      <c r="B10" s="18" t="n">
        <v>46334</v>
      </c>
      <c r="C10" s="19" t="s">
        <v>107</v>
      </c>
      <c r="D10" s="19" t="s">
        <v>108</v>
      </c>
      <c r="E10" s="20" t="n">
        <v>900000</v>
      </c>
      <c r="F10" s="21" t="str">
        <f aca="false">VLOOKUP(D10,Acuan!$A$2:$B$8,2,FALSE())</f>
        <v>Keluar</v>
      </c>
      <c r="G10" s="22" t="n">
        <f aca="false">IF(F10="Masuk",E10,0)</f>
        <v>0</v>
      </c>
      <c r="H10" s="22" t="n">
        <f aca="false">IF(F10="Keluar",E10,0)</f>
        <v>900000</v>
      </c>
      <c r="I10" s="22" t="n">
        <f aca="false">$N$2+SUMIF($A$2:$A$34,"&lt;="&amp;A10,$G$2:$G$34)-SUMIF($A$2:$A$34,"&lt;="&amp;A10,$H$2:$H$34)</f>
        <v>16800000</v>
      </c>
      <c r="J10" s="23" t="n">
        <f aca="false">INT((B10-DATE(2026,11,1))/7)+1</f>
        <v>2</v>
      </c>
      <c r="K10" s="21" t="str">
        <f aca="false">IF(I10&lt;$N$3,"Di Bawah Minimum","Aman")</f>
        <v>Aman</v>
      </c>
    </row>
    <row r="11" customFormat="false" ht="15" hidden="false" customHeight="false" outlineLevel="0" collapsed="false">
      <c r="A11" s="17" t="n">
        <v>10</v>
      </c>
      <c r="B11" s="18" t="n">
        <v>46336</v>
      </c>
      <c r="C11" s="19" t="s">
        <v>109</v>
      </c>
      <c r="D11" s="19" t="s">
        <v>110</v>
      </c>
      <c r="E11" s="20" t="n">
        <v>11000000</v>
      </c>
      <c r="F11" s="21" t="str">
        <f aca="false">VLOOKUP(D11,Acuan!$A$2:$B$8,2,FALSE())</f>
        <v>Masuk</v>
      </c>
      <c r="G11" s="22" t="n">
        <f aca="false">IF(F11="Masuk",E11,0)</f>
        <v>11000000</v>
      </c>
      <c r="H11" s="22" t="n">
        <f aca="false">IF(F11="Keluar",E11,0)</f>
        <v>0</v>
      </c>
      <c r="I11" s="22" t="n">
        <f aca="false">$N$2+SUMIF($A$2:$A$34,"&lt;="&amp;A11,$G$2:$G$34)-SUMIF($A$2:$A$34,"&lt;="&amp;A11,$H$2:$H$34)</f>
        <v>27800000</v>
      </c>
      <c r="J11" s="23" t="n">
        <f aca="false">INT((B11-DATE(2026,11,1))/7)+1</f>
        <v>2</v>
      </c>
      <c r="K11" s="21" t="str">
        <f aca="false">IF(I11&lt;$N$3,"Di Bawah Minimum","Aman")</f>
        <v>Aman</v>
      </c>
    </row>
    <row r="12" customFormat="false" ht="15" hidden="false" customHeight="false" outlineLevel="0" collapsed="false">
      <c r="A12" s="17" t="n">
        <v>11</v>
      </c>
      <c r="B12" s="18" t="n">
        <v>46336</v>
      </c>
      <c r="C12" s="19" t="s">
        <v>111</v>
      </c>
      <c r="D12" s="19" t="s">
        <v>96</v>
      </c>
      <c r="E12" s="20" t="n">
        <v>6000000</v>
      </c>
      <c r="F12" s="21" t="str">
        <f aca="false">VLOOKUP(D12,Acuan!$A$2:$B$8,2,FALSE())</f>
        <v>Keluar</v>
      </c>
      <c r="G12" s="22" t="n">
        <f aca="false">IF(F12="Masuk",E12,0)</f>
        <v>0</v>
      </c>
      <c r="H12" s="22" t="n">
        <f aca="false">IF(F12="Keluar",E12,0)</f>
        <v>6000000</v>
      </c>
      <c r="I12" s="22" t="n">
        <f aca="false">$N$2+SUMIF($A$2:$A$34,"&lt;="&amp;A12,$G$2:$G$34)-SUMIF($A$2:$A$34,"&lt;="&amp;A12,$H$2:$H$34)</f>
        <v>21800000</v>
      </c>
      <c r="J12" s="23" t="n">
        <f aca="false">INT((B12-DATE(2026,11,1))/7)+1</f>
        <v>2</v>
      </c>
      <c r="K12" s="21" t="str">
        <f aca="false">IF(I12&lt;$N$3,"Di Bawah Minimum","Aman")</f>
        <v>Aman</v>
      </c>
    </row>
    <row r="13" customFormat="false" ht="15" hidden="false" customHeight="false" outlineLevel="0" collapsed="false">
      <c r="A13" s="17" t="n">
        <v>12</v>
      </c>
      <c r="B13" s="18" t="n">
        <v>46340</v>
      </c>
      <c r="C13" s="19" t="s">
        <v>109</v>
      </c>
      <c r="D13" s="19" t="s">
        <v>110</v>
      </c>
      <c r="E13" s="20" t="n">
        <v>5500000</v>
      </c>
      <c r="F13" s="21" t="str">
        <f aca="false">VLOOKUP(D13,Acuan!$A$2:$B$8,2,FALSE())</f>
        <v>Masuk</v>
      </c>
      <c r="G13" s="22" t="n">
        <f aca="false">IF(F13="Masuk",E13,0)</f>
        <v>5500000</v>
      </c>
      <c r="H13" s="22" t="n">
        <f aca="false">IF(F13="Keluar",E13,0)</f>
        <v>0</v>
      </c>
      <c r="I13" s="22" t="n">
        <f aca="false">$N$2+SUMIF($A$2:$A$34,"&lt;="&amp;A13,$G$2:$G$34)-SUMIF($A$2:$A$34,"&lt;="&amp;A13,$H$2:$H$34)</f>
        <v>27300000</v>
      </c>
      <c r="J13" s="23" t="n">
        <f aca="false">INT((B13-DATE(2026,11,1))/7)+1</f>
        <v>2</v>
      </c>
      <c r="K13" s="21" t="str">
        <f aca="false">IF(I13&lt;$N$3,"Di Bawah Minimum","Aman")</f>
        <v>Aman</v>
      </c>
    </row>
    <row r="14" customFormat="false" ht="15" hidden="false" customHeight="false" outlineLevel="0" collapsed="false">
      <c r="A14" s="17" t="n">
        <v>13</v>
      </c>
      <c r="B14" s="18" t="n">
        <v>46340</v>
      </c>
      <c r="C14" s="19" t="s">
        <v>112</v>
      </c>
      <c r="D14" s="19" t="s">
        <v>110</v>
      </c>
      <c r="E14" s="20" t="n">
        <v>4000000</v>
      </c>
      <c r="F14" s="21" t="str">
        <f aca="false">VLOOKUP(D14,Acuan!$A$2:$B$8,2,FALSE())</f>
        <v>Masuk</v>
      </c>
      <c r="G14" s="22" t="n">
        <f aca="false">IF(F14="Masuk",E14,0)</f>
        <v>4000000</v>
      </c>
      <c r="H14" s="22" t="n">
        <f aca="false">IF(F14="Keluar",E14,0)</f>
        <v>0</v>
      </c>
      <c r="I14" s="22" t="n">
        <f aca="false">$N$2+SUMIF($A$2:$A$34,"&lt;="&amp;A14,$G$2:$G$34)-SUMIF($A$2:$A$34,"&lt;="&amp;A14,$H$2:$H$34)</f>
        <v>31300000</v>
      </c>
      <c r="J14" s="23" t="n">
        <f aca="false">INT((B14-DATE(2026,11,1))/7)+1</f>
        <v>2</v>
      </c>
      <c r="K14" s="21" t="str">
        <f aca="false">IF(I14&lt;$N$3,"Di Bawah Minimum","Aman")</f>
        <v>Aman</v>
      </c>
    </row>
    <row r="15" customFormat="false" ht="15" hidden="false" customHeight="false" outlineLevel="0" collapsed="false">
      <c r="A15" s="17" t="n">
        <v>14</v>
      </c>
      <c r="B15" s="18" t="n">
        <v>46340</v>
      </c>
      <c r="C15" s="19" t="s">
        <v>113</v>
      </c>
      <c r="D15" s="19" t="s">
        <v>104</v>
      </c>
      <c r="E15" s="20" t="n">
        <v>2500000</v>
      </c>
      <c r="F15" s="21" t="str">
        <f aca="false">VLOOKUP(D15,Acuan!$A$2:$B$8,2,FALSE())</f>
        <v>Keluar</v>
      </c>
      <c r="G15" s="22" t="n">
        <f aca="false">IF(F15="Masuk",E15,0)</f>
        <v>0</v>
      </c>
      <c r="H15" s="22" t="n">
        <f aca="false">IF(F15="Keluar",E15,0)</f>
        <v>2500000</v>
      </c>
      <c r="I15" s="22" t="n">
        <f aca="false">$N$2+SUMIF($A$2:$A$34,"&lt;="&amp;A15,$G$2:$G$34)-SUMIF($A$2:$A$34,"&lt;="&amp;A15,$H$2:$H$34)</f>
        <v>28800000</v>
      </c>
      <c r="J15" s="23" t="n">
        <f aca="false">INT((B15-DATE(2026,11,1))/7)+1</f>
        <v>2</v>
      </c>
      <c r="K15" s="21" t="str">
        <f aca="false">IF(I15&lt;$N$3,"Di Bawah Minimum","Aman")</f>
        <v>Aman</v>
      </c>
    </row>
    <row r="16" customFormat="false" ht="15" hidden="false" customHeight="false" outlineLevel="0" collapsed="false">
      <c r="A16" s="17" t="n">
        <v>15</v>
      </c>
      <c r="B16" s="18" t="n">
        <v>46340</v>
      </c>
      <c r="C16" s="19" t="s">
        <v>114</v>
      </c>
      <c r="D16" s="19" t="s">
        <v>115</v>
      </c>
      <c r="E16" s="20" t="n">
        <v>3000000</v>
      </c>
      <c r="F16" s="21" t="str">
        <f aca="false">VLOOKUP(D16,Acuan!$A$2:$B$8,2,FALSE())</f>
        <v>Keluar</v>
      </c>
      <c r="G16" s="22" t="n">
        <f aca="false">IF(F16="Masuk",E16,0)</f>
        <v>0</v>
      </c>
      <c r="H16" s="22" t="n">
        <f aca="false">IF(F16="Keluar",E16,0)</f>
        <v>3000000</v>
      </c>
      <c r="I16" s="22" t="n">
        <f aca="false">$N$2+SUMIF($A$2:$A$34,"&lt;="&amp;A16,$G$2:$G$34)-SUMIF($A$2:$A$34,"&lt;="&amp;A16,$H$2:$H$34)</f>
        <v>25800000</v>
      </c>
      <c r="J16" s="23" t="n">
        <f aca="false">INT((B16-DATE(2026,11,1))/7)+1</f>
        <v>2</v>
      </c>
      <c r="K16" s="21" t="str">
        <f aca="false">IF(I16&lt;$N$3,"Di Bawah Minimum","Aman")</f>
        <v>Aman</v>
      </c>
    </row>
    <row r="17" customFormat="false" ht="15" hidden="false" customHeight="false" outlineLevel="0" collapsed="false">
      <c r="A17" s="17" t="n">
        <v>16</v>
      </c>
      <c r="B17" s="18" t="n">
        <v>46340</v>
      </c>
      <c r="C17" s="19" t="s">
        <v>116</v>
      </c>
      <c r="D17" s="19" t="s">
        <v>108</v>
      </c>
      <c r="E17" s="20" t="n">
        <v>700000</v>
      </c>
      <c r="F17" s="21" t="str">
        <f aca="false">VLOOKUP(D17,Acuan!$A$2:$B$8,2,FALSE())</f>
        <v>Keluar</v>
      </c>
      <c r="G17" s="22" t="n">
        <f aca="false">IF(F17="Masuk",E17,0)</f>
        <v>0</v>
      </c>
      <c r="H17" s="22" t="n">
        <f aca="false">IF(F17="Keluar",E17,0)</f>
        <v>700000</v>
      </c>
      <c r="I17" s="22" t="n">
        <f aca="false">$N$2+SUMIF($A$2:$A$34,"&lt;="&amp;A17,$G$2:$G$34)-SUMIF($A$2:$A$34,"&lt;="&amp;A17,$H$2:$H$34)</f>
        <v>25100000</v>
      </c>
      <c r="J17" s="23" t="n">
        <f aca="false">INT((B17-DATE(2026,11,1))/7)+1</f>
        <v>2</v>
      </c>
      <c r="K17" s="21" t="str">
        <f aca="false">IF(I17&lt;$N$3,"Di Bawah Minimum","Aman")</f>
        <v>Aman</v>
      </c>
    </row>
    <row r="18" customFormat="false" ht="15" hidden="false" customHeight="false" outlineLevel="0" collapsed="false">
      <c r="A18" s="17" t="n">
        <v>17</v>
      </c>
      <c r="B18" s="18" t="n">
        <v>46341</v>
      </c>
      <c r="C18" s="19" t="s">
        <v>117</v>
      </c>
      <c r="D18" s="19" t="s">
        <v>104</v>
      </c>
      <c r="E18" s="20" t="n">
        <v>7500000</v>
      </c>
      <c r="F18" s="21" t="str">
        <f aca="false">VLOOKUP(D18,Acuan!$A$2:$B$8,2,FALSE())</f>
        <v>Keluar</v>
      </c>
      <c r="G18" s="22" t="n">
        <f aca="false">IF(F18="Masuk",E18,0)</f>
        <v>0</v>
      </c>
      <c r="H18" s="22" t="n">
        <f aca="false">IF(F18="Keluar",E18,0)</f>
        <v>7500000</v>
      </c>
      <c r="I18" s="22" t="n">
        <f aca="false">$N$2+SUMIF($A$2:$A$34,"&lt;="&amp;A18,$G$2:$G$34)-SUMIF($A$2:$A$34,"&lt;="&amp;A18,$H$2:$H$34)</f>
        <v>17600000</v>
      </c>
      <c r="J18" s="23" t="n">
        <f aca="false">INT((B18-DATE(2026,11,1))/7)+1</f>
        <v>3</v>
      </c>
      <c r="K18" s="21" t="str">
        <f aca="false">IF(I18&lt;$N$3,"Di Bawah Minimum","Aman")</f>
        <v>Aman</v>
      </c>
    </row>
    <row r="19" customFormat="false" ht="15" hidden="false" customHeight="false" outlineLevel="0" collapsed="false">
      <c r="A19" s="17" t="n">
        <v>18</v>
      </c>
      <c r="B19" s="18" t="n">
        <v>46342</v>
      </c>
      <c r="C19" s="19" t="s">
        <v>118</v>
      </c>
      <c r="D19" s="19" t="s">
        <v>99</v>
      </c>
      <c r="E19" s="20" t="n">
        <v>3500000</v>
      </c>
      <c r="F19" s="21" t="str">
        <f aca="false">VLOOKUP(D19,Acuan!$A$2:$B$8,2,FALSE())</f>
        <v>Masuk</v>
      </c>
      <c r="G19" s="22" t="n">
        <f aca="false">IF(F19="Masuk",E19,0)</f>
        <v>3500000</v>
      </c>
      <c r="H19" s="22" t="n">
        <f aca="false">IF(F19="Keluar",E19,0)</f>
        <v>0</v>
      </c>
      <c r="I19" s="22" t="n">
        <f aca="false">$N$2+SUMIF($A$2:$A$34,"&lt;="&amp;A19,$G$2:$G$34)-SUMIF($A$2:$A$34,"&lt;="&amp;A19,$H$2:$H$34)</f>
        <v>21100000</v>
      </c>
      <c r="J19" s="23" t="n">
        <f aca="false">INT((B19-DATE(2026,11,1))/7)+1</f>
        <v>3</v>
      </c>
      <c r="K19" s="21" t="str">
        <f aca="false">IF(I19&lt;$N$3,"Di Bawah Minimum","Aman")</f>
        <v>Aman</v>
      </c>
    </row>
    <row r="20" customFormat="false" ht="15" hidden="false" customHeight="false" outlineLevel="0" collapsed="false">
      <c r="A20" s="17" t="n">
        <v>19</v>
      </c>
      <c r="B20" s="18" t="n">
        <v>46343</v>
      </c>
      <c r="C20" s="19" t="s">
        <v>119</v>
      </c>
      <c r="D20" s="19" t="s">
        <v>108</v>
      </c>
      <c r="E20" s="20" t="n">
        <v>900000</v>
      </c>
      <c r="F20" s="21" t="str">
        <f aca="false">VLOOKUP(D20,Acuan!$A$2:$B$8,2,FALSE())</f>
        <v>Keluar</v>
      </c>
      <c r="G20" s="22" t="n">
        <f aca="false">IF(F20="Masuk",E20,0)</f>
        <v>0</v>
      </c>
      <c r="H20" s="22" t="n">
        <f aca="false">IF(F20="Keluar",E20,0)</f>
        <v>900000</v>
      </c>
      <c r="I20" s="22" t="n">
        <f aca="false">$N$2+SUMIF($A$2:$A$34,"&lt;="&amp;A20,$G$2:$G$34)-SUMIF($A$2:$A$34,"&lt;="&amp;A20,$H$2:$H$34)</f>
        <v>20200000</v>
      </c>
      <c r="J20" s="23" t="n">
        <f aca="false">INT((B20-DATE(2026,11,1))/7)+1</f>
        <v>3</v>
      </c>
      <c r="K20" s="21" t="str">
        <f aca="false">IF(I20&lt;$N$3,"Di Bawah Minimum","Aman")</f>
        <v>Aman</v>
      </c>
    </row>
    <row r="21" customFormat="false" ht="15" hidden="false" customHeight="false" outlineLevel="0" collapsed="false">
      <c r="A21" s="17" t="n">
        <v>20</v>
      </c>
      <c r="B21" s="18" t="n">
        <v>46345</v>
      </c>
      <c r="C21" s="19" t="s">
        <v>117</v>
      </c>
      <c r="D21" s="19" t="s">
        <v>104</v>
      </c>
      <c r="E21" s="20" t="n">
        <v>6500000</v>
      </c>
      <c r="F21" s="21" t="str">
        <f aca="false">VLOOKUP(D21,Acuan!$A$2:$B$8,2,FALSE())</f>
        <v>Keluar</v>
      </c>
      <c r="G21" s="22" t="n">
        <f aca="false">IF(F21="Masuk",E21,0)</f>
        <v>0</v>
      </c>
      <c r="H21" s="22" t="n">
        <f aca="false">IF(F21="Keluar",E21,0)</f>
        <v>6500000</v>
      </c>
      <c r="I21" s="22" t="n">
        <f aca="false">$N$2+SUMIF($A$2:$A$34,"&lt;="&amp;A21,$G$2:$G$34)-SUMIF($A$2:$A$34,"&lt;="&amp;A21,$H$2:$H$34)</f>
        <v>13700000</v>
      </c>
      <c r="J21" s="23" t="n">
        <f aca="false">INT((B21-DATE(2026,11,1))/7)+1</f>
        <v>3</v>
      </c>
      <c r="K21" s="21" t="str">
        <f aca="false">IF(I21&lt;$N$3,"Di Bawah Minimum","Aman")</f>
        <v>Aman</v>
      </c>
    </row>
    <row r="22" customFormat="false" ht="15" hidden="false" customHeight="false" outlineLevel="0" collapsed="false">
      <c r="A22" s="17" t="n">
        <v>21</v>
      </c>
      <c r="B22" s="18" t="n">
        <v>46346</v>
      </c>
      <c r="C22" s="19" t="s">
        <v>120</v>
      </c>
      <c r="D22" s="19" t="s">
        <v>99</v>
      </c>
      <c r="E22" s="20" t="n">
        <v>3000000</v>
      </c>
      <c r="F22" s="21" t="str">
        <f aca="false">VLOOKUP(D22,Acuan!$A$2:$B$8,2,FALSE())</f>
        <v>Masuk</v>
      </c>
      <c r="G22" s="22" t="n">
        <f aca="false">IF(F22="Masuk",E22,0)</f>
        <v>3000000</v>
      </c>
      <c r="H22" s="22" t="n">
        <f aca="false">IF(F22="Keluar",E22,0)</f>
        <v>0</v>
      </c>
      <c r="I22" s="22" t="n">
        <f aca="false">$N$2+SUMIF($A$2:$A$34,"&lt;="&amp;A22,$G$2:$G$34)-SUMIF($A$2:$A$34,"&lt;="&amp;A22,$H$2:$H$34)</f>
        <v>16700000</v>
      </c>
      <c r="J22" s="23" t="n">
        <f aca="false">INT((B22-DATE(2026,11,1))/7)+1</f>
        <v>3</v>
      </c>
      <c r="K22" s="21" t="str">
        <f aca="false">IF(I22&lt;$N$3,"Di Bawah Minimum","Aman")</f>
        <v>Aman</v>
      </c>
    </row>
    <row r="23" customFormat="false" ht="15" hidden="false" customHeight="false" outlineLevel="0" collapsed="false">
      <c r="A23" s="17" t="n">
        <v>22</v>
      </c>
      <c r="B23" s="18" t="n">
        <v>46346</v>
      </c>
      <c r="C23" s="19" t="s">
        <v>118</v>
      </c>
      <c r="D23" s="19" t="s">
        <v>99</v>
      </c>
      <c r="E23" s="20" t="n">
        <v>2500000</v>
      </c>
      <c r="F23" s="21" t="str">
        <f aca="false">VLOOKUP(D23,Acuan!$A$2:$B$8,2,FALSE())</f>
        <v>Masuk</v>
      </c>
      <c r="G23" s="22" t="n">
        <f aca="false">IF(F23="Masuk",E23,0)</f>
        <v>2500000</v>
      </c>
      <c r="H23" s="22" t="n">
        <f aca="false">IF(F23="Keluar",E23,0)</f>
        <v>0</v>
      </c>
      <c r="I23" s="22" t="n">
        <f aca="false">$N$2+SUMIF($A$2:$A$34,"&lt;="&amp;A23,$G$2:$G$34)-SUMIF($A$2:$A$34,"&lt;="&amp;A23,$H$2:$H$34)</f>
        <v>19200000</v>
      </c>
      <c r="J23" s="23" t="n">
        <f aca="false">INT((B23-DATE(2026,11,1))/7)+1</f>
        <v>3</v>
      </c>
      <c r="K23" s="21" t="str">
        <f aca="false">IF(I23&lt;$N$3,"Di Bawah Minimum","Aman")</f>
        <v>Aman</v>
      </c>
    </row>
    <row r="24" customFormat="false" ht="15" hidden="false" customHeight="false" outlineLevel="0" collapsed="false">
      <c r="A24" s="17" t="n">
        <v>23</v>
      </c>
      <c r="B24" s="18" t="n">
        <v>46346</v>
      </c>
      <c r="C24" s="19" t="s">
        <v>121</v>
      </c>
      <c r="D24" s="19" t="s">
        <v>104</v>
      </c>
      <c r="E24" s="20" t="n">
        <v>6000000</v>
      </c>
      <c r="F24" s="21" t="str">
        <f aca="false">VLOOKUP(D24,Acuan!$A$2:$B$8,2,FALSE())</f>
        <v>Keluar</v>
      </c>
      <c r="G24" s="22" t="n">
        <f aca="false">IF(F24="Masuk",E24,0)</f>
        <v>0</v>
      </c>
      <c r="H24" s="22" t="n">
        <f aca="false">IF(F24="Keluar",E24,0)</f>
        <v>6000000</v>
      </c>
      <c r="I24" s="22" t="n">
        <f aca="false">$N$2+SUMIF($A$2:$A$34,"&lt;="&amp;A24,$G$2:$G$34)-SUMIF($A$2:$A$34,"&lt;="&amp;A24,$H$2:$H$34)</f>
        <v>13200000</v>
      </c>
      <c r="J24" s="23" t="n">
        <f aca="false">INT((B24-DATE(2026,11,1))/7)+1</f>
        <v>3</v>
      </c>
      <c r="K24" s="21" t="str">
        <f aca="false">IF(I24&lt;$N$3,"Di Bawah Minimum","Aman")</f>
        <v>Aman</v>
      </c>
    </row>
    <row r="25" customFormat="false" ht="15" hidden="false" customHeight="false" outlineLevel="0" collapsed="false">
      <c r="A25" s="17" t="n">
        <v>24</v>
      </c>
      <c r="B25" s="18" t="n">
        <v>46346</v>
      </c>
      <c r="C25" s="19" t="s">
        <v>122</v>
      </c>
      <c r="D25" s="19" t="s">
        <v>104</v>
      </c>
      <c r="E25" s="20" t="n">
        <v>3500000</v>
      </c>
      <c r="F25" s="21" t="str">
        <f aca="false">VLOOKUP(D25,Acuan!$A$2:$B$8,2,FALSE())</f>
        <v>Keluar</v>
      </c>
      <c r="G25" s="22" t="n">
        <f aca="false">IF(F25="Masuk",E25,0)</f>
        <v>0</v>
      </c>
      <c r="H25" s="22" t="n">
        <f aca="false">IF(F25="Keluar",E25,0)</f>
        <v>3500000</v>
      </c>
      <c r="I25" s="22" t="n">
        <f aca="false">$N$2+SUMIF($A$2:$A$34,"&lt;="&amp;A25,$G$2:$G$34)-SUMIF($A$2:$A$34,"&lt;="&amp;A25,$H$2:$H$34)</f>
        <v>9700000</v>
      </c>
      <c r="J25" s="23" t="n">
        <f aca="false">INT((B25-DATE(2026,11,1))/7)+1</f>
        <v>3</v>
      </c>
      <c r="K25" s="21" t="str">
        <f aca="false">IF(I25&lt;$N$3,"Di Bawah Minimum","Aman")</f>
        <v>Di Bawah Minimum</v>
      </c>
    </row>
    <row r="26" customFormat="false" ht="15" hidden="false" customHeight="false" outlineLevel="0" collapsed="false">
      <c r="A26" s="17" t="n">
        <v>25</v>
      </c>
      <c r="B26" s="18" t="n">
        <v>46347</v>
      </c>
      <c r="C26" s="19" t="s">
        <v>123</v>
      </c>
      <c r="D26" s="19" t="s">
        <v>115</v>
      </c>
      <c r="E26" s="20" t="n">
        <v>2500000</v>
      </c>
      <c r="F26" s="21" t="str">
        <f aca="false">VLOOKUP(D26,Acuan!$A$2:$B$8,2,FALSE())</f>
        <v>Keluar</v>
      </c>
      <c r="G26" s="22" t="n">
        <f aca="false">IF(F26="Masuk",E26,0)</f>
        <v>0</v>
      </c>
      <c r="H26" s="22" t="n">
        <f aca="false">IF(F26="Keluar",E26,0)</f>
        <v>2500000</v>
      </c>
      <c r="I26" s="22" t="n">
        <f aca="false">$N$2+SUMIF($A$2:$A$34,"&lt;="&amp;A26,$G$2:$G$34)-SUMIF($A$2:$A$34,"&lt;="&amp;A26,$H$2:$H$34)</f>
        <v>7200000</v>
      </c>
      <c r="J26" s="23" t="n">
        <f aca="false">INT((B26-DATE(2026,11,1))/7)+1</f>
        <v>3</v>
      </c>
      <c r="K26" s="21" t="str">
        <f aca="false">IF(I26&lt;$N$3,"Di Bawah Minimum","Aman")</f>
        <v>Di Bawah Minimum</v>
      </c>
    </row>
    <row r="27" customFormat="false" ht="15" hidden="false" customHeight="false" outlineLevel="0" collapsed="false">
      <c r="A27" s="17" t="n">
        <v>26</v>
      </c>
      <c r="B27" s="18" t="n">
        <v>46348</v>
      </c>
      <c r="C27" s="19" t="s">
        <v>111</v>
      </c>
      <c r="D27" s="19" t="s">
        <v>96</v>
      </c>
      <c r="E27" s="20" t="n">
        <v>4500000</v>
      </c>
      <c r="F27" s="21" t="str">
        <f aca="false">VLOOKUP(D27,Acuan!$A$2:$B$8,2,FALSE())</f>
        <v>Keluar</v>
      </c>
      <c r="G27" s="22" t="n">
        <f aca="false">IF(F27="Masuk",E27,0)</f>
        <v>0</v>
      </c>
      <c r="H27" s="22" t="n">
        <f aca="false">IF(F27="Keluar",E27,0)</f>
        <v>4500000</v>
      </c>
      <c r="I27" s="22" t="n">
        <f aca="false">$N$2+SUMIF($A$2:$A$34,"&lt;="&amp;A27,$G$2:$G$34)-SUMIF($A$2:$A$34,"&lt;="&amp;A27,$H$2:$H$34)</f>
        <v>2700000</v>
      </c>
      <c r="J27" s="23" t="n">
        <f aca="false">INT((B27-DATE(2026,11,1))/7)+1</f>
        <v>4</v>
      </c>
      <c r="K27" s="21" t="str">
        <f aca="false">IF(I27&lt;$N$3,"Di Bawah Minimum","Aman")</f>
        <v>Di Bawah Minimum</v>
      </c>
    </row>
    <row r="28" customFormat="false" ht="15" hidden="false" customHeight="false" outlineLevel="0" collapsed="false">
      <c r="A28" s="17" t="n">
        <v>27</v>
      </c>
      <c r="B28" s="18" t="n">
        <v>46351</v>
      </c>
      <c r="C28" s="19" t="s">
        <v>124</v>
      </c>
      <c r="D28" s="19" t="s">
        <v>106</v>
      </c>
      <c r="E28" s="20" t="n">
        <v>900000</v>
      </c>
      <c r="F28" s="21" t="str">
        <f aca="false">VLOOKUP(D28,Acuan!$A$2:$B$8,2,FALSE())</f>
        <v>Masuk</v>
      </c>
      <c r="G28" s="22" t="n">
        <f aca="false">IF(F28="Masuk",E28,0)</f>
        <v>900000</v>
      </c>
      <c r="H28" s="22" t="n">
        <f aca="false">IF(F28="Keluar",E28,0)</f>
        <v>0</v>
      </c>
      <c r="I28" s="22" t="n">
        <f aca="false">$N$2+SUMIF($A$2:$A$34,"&lt;="&amp;A28,$G$2:$G$34)-SUMIF($A$2:$A$34,"&lt;="&amp;A28,$H$2:$H$34)</f>
        <v>3600000</v>
      </c>
      <c r="J28" s="23" t="n">
        <f aca="false">INT((B28-DATE(2026,11,1))/7)+1</f>
        <v>4</v>
      </c>
      <c r="K28" s="21" t="str">
        <f aca="false">IF(I28&lt;$N$3,"Di Bawah Minimum","Aman")</f>
        <v>Di Bawah Minimum</v>
      </c>
    </row>
    <row r="29" customFormat="false" ht="15" hidden="false" customHeight="false" outlineLevel="0" collapsed="false">
      <c r="A29" s="17" t="n">
        <v>28</v>
      </c>
      <c r="B29" s="18" t="n">
        <v>46351</v>
      </c>
      <c r="C29" s="19" t="s">
        <v>125</v>
      </c>
      <c r="D29" s="19" t="s">
        <v>108</v>
      </c>
      <c r="E29" s="20" t="n">
        <v>500000</v>
      </c>
      <c r="F29" s="21" t="str">
        <f aca="false">VLOOKUP(D29,Acuan!$A$2:$B$8,2,FALSE())</f>
        <v>Keluar</v>
      </c>
      <c r="G29" s="22" t="n">
        <f aca="false">IF(F29="Masuk",E29,0)</f>
        <v>0</v>
      </c>
      <c r="H29" s="22" t="n">
        <f aca="false">IF(F29="Keluar",E29,0)</f>
        <v>500000</v>
      </c>
      <c r="I29" s="22" t="n">
        <f aca="false">$N$2+SUMIF($A$2:$A$34,"&lt;="&amp;A29,$G$2:$G$34)-SUMIF($A$2:$A$34,"&lt;="&amp;A29,$H$2:$H$34)</f>
        <v>3100000</v>
      </c>
      <c r="J29" s="23" t="n">
        <f aca="false">INT((B29-DATE(2026,11,1))/7)+1</f>
        <v>4</v>
      </c>
      <c r="K29" s="21" t="str">
        <f aca="false">IF(I29&lt;$N$3,"Di Bawah Minimum","Aman")</f>
        <v>Di Bawah Minimum</v>
      </c>
    </row>
    <row r="30" customFormat="false" ht="15" hidden="false" customHeight="false" outlineLevel="0" collapsed="false">
      <c r="A30" s="17" t="n">
        <v>29</v>
      </c>
      <c r="B30" s="18" t="n">
        <v>46352</v>
      </c>
      <c r="C30" s="19" t="s">
        <v>98</v>
      </c>
      <c r="D30" s="19" t="s">
        <v>99</v>
      </c>
      <c r="E30" s="20" t="n">
        <v>3000000</v>
      </c>
      <c r="F30" s="21" t="str">
        <f aca="false">VLOOKUP(D30,Acuan!$A$2:$B$8,2,FALSE())</f>
        <v>Masuk</v>
      </c>
      <c r="G30" s="22" t="n">
        <f aca="false">IF(F30="Masuk",E30,0)</f>
        <v>3000000</v>
      </c>
      <c r="H30" s="22" t="n">
        <f aca="false">IF(F30="Keluar",E30,0)</f>
        <v>0</v>
      </c>
      <c r="I30" s="22" t="n">
        <f aca="false">$N$2+SUMIF($A$2:$A$34,"&lt;="&amp;A30,$G$2:$G$34)-SUMIF($A$2:$A$34,"&lt;="&amp;A30,$H$2:$H$34)</f>
        <v>6100000</v>
      </c>
      <c r="J30" s="23" t="n">
        <f aca="false">INT((B30-DATE(2026,11,1))/7)+1</f>
        <v>4</v>
      </c>
      <c r="K30" s="21" t="str">
        <f aca="false">IF(I30&lt;$N$3,"Di Bawah Minimum","Aman")</f>
        <v>Di Bawah Minimum</v>
      </c>
    </row>
    <row r="31" customFormat="false" ht="15" hidden="false" customHeight="false" outlineLevel="0" collapsed="false">
      <c r="A31" s="17" t="n">
        <v>30</v>
      </c>
      <c r="B31" s="18" t="n">
        <v>46352</v>
      </c>
      <c r="C31" s="19" t="s">
        <v>112</v>
      </c>
      <c r="D31" s="19" t="s">
        <v>110</v>
      </c>
      <c r="E31" s="20" t="n">
        <v>9500000</v>
      </c>
      <c r="F31" s="21" t="str">
        <f aca="false">VLOOKUP(D31,Acuan!$A$2:$B$8,2,FALSE())</f>
        <v>Masuk</v>
      </c>
      <c r="G31" s="22" t="n">
        <f aca="false">IF(F31="Masuk",E31,0)</f>
        <v>9500000</v>
      </c>
      <c r="H31" s="22" t="n">
        <f aca="false">IF(F31="Keluar",E31,0)</f>
        <v>0</v>
      </c>
      <c r="I31" s="22" t="n">
        <f aca="false">$N$2+SUMIF($A$2:$A$34,"&lt;="&amp;A31,$G$2:$G$34)-SUMIF($A$2:$A$34,"&lt;="&amp;A31,$H$2:$H$34)</f>
        <v>15600000</v>
      </c>
      <c r="J31" s="23" t="n">
        <f aca="false">INT((B31-DATE(2026,11,1))/7)+1</f>
        <v>4</v>
      </c>
      <c r="K31" s="21" t="str">
        <f aca="false">IF(I31&lt;$N$3,"Di Bawah Minimum","Aman")</f>
        <v>Aman</v>
      </c>
    </row>
    <row r="32" customFormat="false" ht="15" hidden="false" customHeight="false" outlineLevel="0" collapsed="false">
      <c r="A32" s="17" t="n">
        <v>31</v>
      </c>
      <c r="B32" s="18" t="n">
        <v>46355</v>
      </c>
      <c r="C32" s="19" t="s">
        <v>98</v>
      </c>
      <c r="D32" s="19" t="s">
        <v>99</v>
      </c>
      <c r="E32" s="20" t="n">
        <v>5000000</v>
      </c>
      <c r="F32" s="21" t="str">
        <f aca="false">VLOOKUP(D32,Acuan!$A$2:$B$8,2,FALSE())</f>
        <v>Masuk</v>
      </c>
      <c r="G32" s="22" t="n">
        <f aca="false">IF(F32="Masuk",E32,0)</f>
        <v>5000000</v>
      </c>
      <c r="H32" s="22" t="n">
        <f aca="false">IF(F32="Keluar",E32,0)</f>
        <v>0</v>
      </c>
      <c r="I32" s="22" t="n">
        <f aca="false">$N$2+SUMIF($A$2:$A$34,"&lt;="&amp;A32,$G$2:$G$34)-SUMIF($A$2:$A$34,"&lt;="&amp;A32,$H$2:$H$34)</f>
        <v>20600000</v>
      </c>
      <c r="J32" s="23" t="n">
        <f aca="false">INT((B32-DATE(2026,11,1))/7)+1</f>
        <v>5</v>
      </c>
      <c r="K32" s="21" t="str">
        <f aca="false">IF(I32&lt;$N$3,"Di Bawah Minimum","Aman")</f>
        <v>Aman</v>
      </c>
    </row>
    <row r="33" customFormat="false" ht="15" hidden="false" customHeight="false" outlineLevel="0" collapsed="false">
      <c r="A33" s="17" t="n">
        <v>32</v>
      </c>
      <c r="B33" s="18" t="n">
        <v>46355</v>
      </c>
      <c r="C33" s="19" t="s">
        <v>121</v>
      </c>
      <c r="D33" s="19" t="s">
        <v>104</v>
      </c>
      <c r="E33" s="20" t="n">
        <v>7500000</v>
      </c>
      <c r="F33" s="21" t="str">
        <f aca="false">VLOOKUP(D33,Acuan!$A$2:$B$8,2,FALSE())</f>
        <v>Keluar</v>
      </c>
      <c r="G33" s="22" t="n">
        <f aca="false">IF(F33="Masuk",E33,0)</f>
        <v>0</v>
      </c>
      <c r="H33" s="22" t="n">
        <f aca="false">IF(F33="Keluar",E33,0)</f>
        <v>7500000</v>
      </c>
      <c r="I33" s="22" t="n">
        <f aca="false">$N$2+SUMIF($A$2:$A$34,"&lt;="&amp;A33,$G$2:$G$34)-SUMIF($A$2:$A$34,"&lt;="&amp;A33,$H$2:$H$34)</f>
        <v>13100000</v>
      </c>
      <c r="J33" s="23" t="n">
        <f aca="false">INT((B33-DATE(2026,11,1))/7)+1</f>
        <v>5</v>
      </c>
      <c r="K33" s="21" t="str">
        <f aca="false">IF(I33&lt;$N$3,"Di Bawah Minimum","Aman")</f>
        <v>Aman</v>
      </c>
    </row>
    <row r="34" customFormat="false" ht="15" hidden="false" customHeight="false" outlineLevel="0" collapsed="false">
      <c r="A34" s="17" t="n">
        <v>33</v>
      </c>
      <c r="B34" s="18" t="n">
        <v>46356</v>
      </c>
      <c r="C34" s="19" t="s">
        <v>102</v>
      </c>
      <c r="D34" s="19" t="s">
        <v>99</v>
      </c>
      <c r="E34" s="20" t="n">
        <v>4000000</v>
      </c>
      <c r="F34" s="21" t="str">
        <f aca="false">VLOOKUP(D34,Acuan!$A$2:$B$8,2,FALSE())</f>
        <v>Masuk</v>
      </c>
      <c r="G34" s="22" t="n">
        <f aca="false">IF(F34="Masuk",E34,0)</f>
        <v>4000000</v>
      </c>
      <c r="H34" s="22" t="n">
        <f aca="false">IF(F34="Keluar",E34,0)</f>
        <v>0</v>
      </c>
      <c r="I34" s="22" t="n">
        <f aca="false">$N$2+SUMIF($A$2:$A$34,"&lt;="&amp;A34,$G$2:$G$34)-SUMIF($A$2:$A$34,"&lt;="&amp;A34,$H$2:$H$34)</f>
        <v>17100000</v>
      </c>
      <c r="J34" s="23" t="n">
        <f aca="false">INT((B34-DATE(2026,11,1))/7)+1</f>
        <v>5</v>
      </c>
      <c r="K34" s="21" t="str">
        <f aca="false">IF(I34&lt;$N$3,"Di Bawah Minimum","Aman")</f>
        <v>Aman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7"/>
    <col collapsed="false" customWidth="true" hidden="false" outlineLevel="0" max="5" min="4" style="0" width="16"/>
    <col collapsed="false" customWidth="true" hidden="false" outlineLevel="0" max="6" min="6" style="0" width="19"/>
  </cols>
  <sheetData>
    <row r="1" customFormat="false" ht="33.75" hidden="false" customHeight="true" outlineLevel="0" collapsed="false">
      <c r="A1" s="11" t="s">
        <v>85</v>
      </c>
      <c r="B1" s="11" t="s">
        <v>87</v>
      </c>
      <c r="C1" s="15" t="s">
        <v>126</v>
      </c>
      <c r="D1" s="15" t="s">
        <v>127</v>
      </c>
      <c r="E1" s="15" t="s">
        <v>128</v>
      </c>
      <c r="F1" s="15" t="s">
        <v>129</v>
      </c>
    </row>
    <row r="2" customFormat="false" ht="15" hidden="false" customHeight="false" outlineLevel="0" collapsed="false">
      <c r="A2" s="19" t="s">
        <v>99</v>
      </c>
      <c r="B2" s="19" t="s">
        <v>130</v>
      </c>
      <c r="C2" s="23" t="n">
        <f aca="false">COUNTIF(Data!$D$2:$D$34,A2)</f>
        <v>10</v>
      </c>
      <c r="D2" s="22" t="n">
        <f aca="false">SUMIF(Data!$D$2:$D$34,A2,Data!$G$2:$G$34)</f>
        <v>40000000</v>
      </c>
      <c r="E2" s="22" t="n">
        <f aca="false">SUMIF(Data!$D$2:$D$34,A2,Data!$H$2:$H$34)</f>
        <v>0</v>
      </c>
      <c r="F2" s="26" t="n">
        <f aca="false">E2/SUM($E$2:$E$8)</f>
        <v>0</v>
      </c>
    </row>
    <row r="3" customFormat="false" ht="15" hidden="false" customHeight="false" outlineLevel="0" collapsed="false">
      <c r="A3" s="19" t="s">
        <v>110</v>
      </c>
      <c r="B3" s="19" t="s">
        <v>130</v>
      </c>
      <c r="C3" s="23" t="n">
        <f aca="false">COUNTIF(Data!$D$2:$D$34,A3)</f>
        <v>4</v>
      </c>
      <c r="D3" s="22" t="n">
        <f aca="false">SUMIF(Data!$D$2:$D$34,A3,Data!$G$2:$G$34)</f>
        <v>30000000</v>
      </c>
      <c r="E3" s="22" t="n">
        <f aca="false">SUMIF(Data!$D$2:$D$34,A3,Data!$H$2:$H$34)</f>
        <v>0</v>
      </c>
      <c r="F3" s="26" t="n">
        <f aca="false">E3/SUM($E$2:$E$8)</f>
        <v>0</v>
      </c>
    </row>
    <row r="4" customFormat="false" ht="15" hidden="false" customHeight="false" outlineLevel="0" collapsed="false">
      <c r="A4" s="19" t="s">
        <v>106</v>
      </c>
      <c r="B4" s="19" t="s">
        <v>130</v>
      </c>
      <c r="C4" s="23" t="n">
        <f aca="false">COUNTIF(Data!$D$2:$D$34,A4)</f>
        <v>2</v>
      </c>
      <c r="D4" s="22" t="n">
        <f aca="false">SUMIF(Data!$D$2:$D$34,A4,Data!$G$2:$G$34)</f>
        <v>2100000</v>
      </c>
      <c r="E4" s="22" t="n">
        <f aca="false">SUMIF(Data!$D$2:$D$34,A4,Data!$H$2:$H$34)</f>
        <v>0</v>
      </c>
      <c r="F4" s="26" t="n">
        <f aca="false">E4/SUM($E$2:$E$8)</f>
        <v>0</v>
      </c>
    </row>
    <row r="5" customFormat="false" ht="15" hidden="false" customHeight="false" outlineLevel="0" collapsed="false">
      <c r="A5" s="19" t="s">
        <v>104</v>
      </c>
      <c r="B5" s="19" t="s">
        <v>131</v>
      </c>
      <c r="C5" s="23" t="n">
        <f aca="false">COUNTIF(Data!$D$2:$D$34,A5)</f>
        <v>8</v>
      </c>
      <c r="D5" s="22" t="n">
        <f aca="false">SUMIF(Data!$D$2:$D$34,A5,Data!$G$2:$G$34)</f>
        <v>0</v>
      </c>
      <c r="E5" s="22" t="n">
        <f aca="false">SUMIF(Data!$D$2:$D$34,A5,Data!$H$2:$H$34)</f>
        <v>43500000</v>
      </c>
      <c r="F5" s="26" t="n">
        <f aca="false">E5/SUM($E$2:$E$8)</f>
        <v>0.649253731343284</v>
      </c>
    </row>
    <row r="6" customFormat="false" ht="15" hidden="false" customHeight="false" outlineLevel="0" collapsed="false">
      <c r="A6" s="19" t="s">
        <v>96</v>
      </c>
      <c r="B6" s="19" t="s">
        <v>131</v>
      </c>
      <c r="C6" s="23" t="n">
        <f aca="false">COUNTIF(Data!$D$2:$D$34,A6)</f>
        <v>3</v>
      </c>
      <c r="D6" s="22" t="n">
        <f aca="false">SUMIF(Data!$D$2:$D$34,A6,Data!$G$2:$G$34)</f>
        <v>0</v>
      </c>
      <c r="E6" s="22" t="n">
        <f aca="false">SUMIF(Data!$D$2:$D$34,A6,Data!$H$2:$H$34)</f>
        <v>15000000</v>
      </c>
      <c r="F6" s="26" t="n">
        <f aca="false">E6/SUM($E$2:$E$8)</f>
        <v>0.223880597014925</v>
      </c>
    </row>
    <row r="7" customFormat="false" ht="15" hidden="false" customHeight="false" outlineLevel="0" collapsed="false">
      <c r="A7" s="19" t="s">
        <v>115</v>
      </c>
      <c r="B7" s="19" t="s">
        <v>131</v>
      </c>
      <c r="C7" s="23" t="n">
        <f aca="false">COUNTIF(Data!$D$2:$D$34,A7)</f>
        <v>2</v>
      </c>
      <c r="D7" s="22" t="n">
        <f aca="false">SUMIF(Data!$D$2:$D$34,A7,Data!$G$2:$G$34)</f>
        <v>0</v>
      </c>
      <c r="E7" s="22" t="n">
        <f aca="false">SUMIF(Data!$D$2:$D$34,A7,Data!$H$2:$H$34)</f>
        <v>5500000</v>
      </c>
      <c r="F7" s="26" t="n">
        <f aca="false">E7/SUM($E$2:$E$8)</f>
        <v>0.082089552238806</v>
      </c>
    </row>
    <row r="8" customFormat="false" ht="15" hidden="false" customHeight="false" outlineLevel="0" collapsed="false">
      <c r="A8" s="19" t="s">
        <v>108</v>
      </c>
      <c r="B8" s="19" t="s">
        <v>131</v>
      </c>
      <c r="C8" s="23" t="n">
        <f aca="false">COUNTIF(Data!$D$2:$D$34,A8)</f>
        <v>4</v>
      </c>
      <c r="D8" s="22" t="n">
        <f aca="false">SUMIF(Data!$D$2:$D$34,A8,Data!$G$2:$G$34)</f>
        <v>0</v>
      </c>
      <c r="E8" s="22" t="n">
        <f aca="false">SUMIF(Data!$D$2:$D$34,A8,Data!$H$2:$H$34)</f>
        <v>3000000</v>
      </c>
      <c r="F8" s="26" t="n">
        <f aca="false">E8/SUM($E$2:$E$8)</f>
        <v>0.0447761194029851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132</v>
      </c>
      <c r="B1" s="27"/>
      <c r="C1" s="27"/>
      <c r="D1" s="27"/>
    </row>
    <row r="2" customFormat="false" ht="15" hidden="false" customHeight="false" outlineLevel="0" collapsed="false">
      <c r="A2" s="28" t="s">
        <v>133</v>
      </c>
      <c r="B2" s="28"/>
      <c r="C2" s="28"/>
      <c r="D2" s="28"/>
    </row>
    <row r="3" customFormat="false" ht="15" hidden="false" customHeight="false" outlineLevel="0" collapsed="false">
      <c r="A3" s="11" t="s">
        <v>19</v>
      </c>
      <c r="B3" s="11" t="s">
        <v>134</v>
      </c>
      <c r="C3" s="11" t="s">
        <v>135</v>
      </c>
      <c r="D3" s="11" t="s">
        <v>136</v>
      </c>
    </row>
    <row r="4" customFormat="false" ht="15" hidden="false" customHeight="false" outlineLevel="0" collapsed="false">
      <c r="A4" s="29" t="s">
        <v>137</v>
      </c>
      <c r="B4" s="30" t="s">
        <v>138</v>
      </c>
      <c r="C4" s="22" t="n">
        <f aca="false">SUM(Data!$G$2:$G$34)</f>
        <v>72100000</v>
      </c>
      <c r="D4" s="31" t="s">
        <v>139</v>
      </c>
    </row>
    <row r="5" customFormat="false" ht="15" hidden="false" customHeight="false" outlineLevel="0" collapsed="false">
      <c r="A5" s="29" t="s">
        <v>140</v>
      </c>
      <c r="B5" s="30" t="s">
        <v>141</v>
      </c>
      <c r="C5" s="22" t="n">
        <f aca="false">SUM(Data!$H$2:$H$34)</f>
        <v>67000000</v>
      </c>
      <c r="D5" s="31" t="s">
        <v>142</v>
      </c>
    </row>
    <row r="6" customFormat="false" ht="15" hidden="false" customHeight="false" outlineLevel="0" collapsed="false">
      <c r="A6" s="29" t="s">
        <v>143</v>
      </c>
      <c r="B6" s="30" t="s">
        <v>144</v>
      </c>
      <c r="C6" s="22" t="n">
        <f aca="false">Data!$N$2+C4-C5</f>
        <v>17100000</v>
      </c>
      <c r="D6" s="31" t="s">
        <v>145</v>
      </c>
    </row>
    <row r="7" customFormat="false" ht="15" hidden="false" customHeight="false" outlineLevel="0" collapsed="false">
      <c r="A7" s="29" t="s">
        <v>146</v>
      </c>
      <c r="B7" s="30" t="s">
        <v>147</v>
      </c>
      <c r="C7" s="22" t="n">
        <f aca="false">MAX(Data!$I$2:$I$34)</f>
        <v>31300000</v>
      </c>
      <c r="D7" s="31" t="s">
        <v>148</v>
      </c>
    </row>
    <row r="8" customFormat="false" ht="15" hidden="false" customHeight="false" outlineLevel="0" collapsed="false">
      <c r="A8" s="29" t="s">
        <v>149</v>
      </c>
      <c r="B8" s="30" t="s">
        <v>150</v>
      </c>
      <c r="C8" s="22" t="n">
        <f aca="false">MIN(Data!$I$2:$I$34)</f>
        <v>2700000</v>
      </c>
      <c r="D8" s="31" t="s">
        <v>151</v>
      </c>
    </row>
    <row r="9" customFormat="false" ht="15" hidden="false" customHeight="false" outlineLevel="0" collapsed="false">
      <c r="A9" s="29" t="s">
        <v>152</v>
      </c>
      <c r="B9" s="30" t="s">
        <v>153</v>
      </c>
      <c r="C9" s="32" t="n">
        <f aca="false">INDEX(Data!$B$2:$B$34,MATCH(MAX(Data!$I$2:$I$34),Data!$I$2:$I$34,0))</f>
        <v>46340</v>
      </c>
      <c r="D9" s="31" t="s">
        <v>154</v>
      </c>
    </row>
    <row r="10" customFormat="false" ht="15" hidden="false" customHeight="false" outlineLevel="0" collapsed="false">
      <c r="A10" s="29" t="s">
        <v>155</v>
      </c>
      <c r="B10" s="30" t="s">
        <v>156</v>
      </c>
      <c r="C10" s="23" t="n">
        <f aca="false">COUNTIF(Data!$K$2:$K$34,"Di Bawah Minimum")</f>
        <v>8</v>
      </c>
      <c r="D10" s="31" t="s">
        <v>157</v>
      </c>
    </row>
    <row r="11" customFormat="false" ht="15" hidden="false" customHeight="false" outlineLevel="0" collapsed="false">
      <c r="A11" s="29" t="s">
        <v>158</v>
      </c>
      <c r="B11" s="30" t="s">
        <v>159</v>
      </c>
      <c r="C11" s="21" t="str">
        <f aca="false">INDEX(Acuan!$A$2:$A$8,MATCH(MAX(Acuan!$E$2:$E$8),Acuan!$E$2:$E$8,0))</f>
        <v>Pembelian Bahan</v>
      </c>
      <c r="D11" s="31" t="s">
        <v>160</v>
      </c>
    </row>
    <row r="12" customFormat="false" ht="15" hidden="false" customHeight="false" outlineLevel="0" collapsed="false">
      <c r="A12" s="29" t="s">
        <v>161</v>
      </c>
      <c r="B12" s="30" t="s">
        <v>162</v>
      </c>
      <c r="C12" s="22" t="n">
        <f aca="false">SUMIF(Data!$J$2:$J$34,2,Data!$G$2:$G$34)</f>
        <v>20500000</v>
      </c>
      <c r="D12" s="31" t="s">
        <v>163</v>
      </c>
    </row>
    <row r="13" customFormat="false" ht="15" hidden="false" customHeight="false" outlineLevel="0" collapsed="false">
      <c r="A13" s="29" t="s">
        <v>164</v>
      </c>
      <c r="B13" s="30" t="s">
        <v>165</v>
      </c>
      <c r="C13" s="22" t="n">
        <f aca="false">SUMIF(Data!$J$2:$J$34,2,Data!$H$2:$H$34)</f>
        <v>13100000</v>
      </c>
      <c r="D13" s="31" t="s">
        <v>166</v>
      </c>
    </row>
    <row r="14" customFormat="false" ht="15" hidden="false" customHeight="false" outlineLevel="0" collapsed="false">
      <c r="A14" s="29" t="s">
        <v>167</v>
      </c>
      <c r="B14" s="30" t="s">
        <v>168</v>
      </c>
      <c r="C14" s="22" t="n">
        <f aca="false">AVERAGEIF(Data!$H$2:$H$34,"&gt;0")</f>
        <v>3941176.47058824</v>
      </c>
      <c r="D14" s="31" t="s">
        <v>169</v>
      </c>
    </row>
    <row r="15" customFormat="false" ht="15" hidden="false" customHeight="false" outlineLevel="0" collapsed="false">
      <c r="A15" s="29" t="s">
        <v>170</v>
      </c>
      <c r="B15" s="30" t="s">
        <v>171</v>
      </c>
      <c r="C15" s="23" t="n">
        <f aca="false">COUNTIFS(Data!$F$2:$F$34,"Masuk",Data!$E$2:$E$34,"&gt;=5000000")</f>
        <v>6</v>
      </c>
      <c r="D15" s="31" t="s">
        <v>172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2026-10-17T07:49:32Z</dcterms:created>
  <dc:creator>PushExcel</dc:creator>
  <dc:description/>
  <dc:language>en-US</dc:language>
  <cp:lastModifiedBy/>
  <dcterms:modified xsi:type="dcterms:W3CDTF">2026-10-17T07:49:32Z</dcterms:modified>
  <cp:revision>0</cp:revision>
  <dc:subject/>
  <dc:title>Arus Kas Bulanan Usaha Roti - Kunci</dc:title>
</cp:coreProperties>
</file>

<file path=docProps/custom.xml><?xml version="1.0" encoding="utf-8"?>
<Properties xmlns="http://schemas.openxmlformats.org/officeDocument/2006/custom-properties" xmlns:vt="http://schemas.openxmlformats.org/officeDocument/2006/docPropsVTypes"/>
</file>