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<sst xmlns="http://schemas.openxmlformats.org/spreadsheetml/2006/main" count="334" uniqueCount="181">
  <si>
    <t xml:space="preserve">Kunci Jawaban: Iuran Warga RT dan Rekap Tunggakan</t>
  </si>
  <si>
    <t xml:space="preserve">Latihan 57 dari 40  |  Tingkat: Pemula  |  Perkiraan waktu: 35 menit  |  pushexcel.github.io/Pushexcel</t>
  </si>
  <si>
    <t xml:space="preserve">Skenario</t>
  </si>
  <si>
    <t xml:space="preserve">Kamu bendahara RT 05 Perumahan Griya Asri yang mencatat iuran warga untuk empat bulan, yaitu Juli sampai Oktober 2026. Ada 30 rumah. Iuran rumah berstatus Tetap Rp 50.000 per bulan dan Kontrak Rp 30.000 per bulan. Warga yang menunggak dikenai denda Rp 5.000 untuk setiap bulan tunggakan. Status warga: Lunas bila tidak ada tunggakan, Tunggakan Berat bila menunggak 3 bulan atau lebih, selain itu Tunggakan. Semua angka tetap ada di blok Parameter.</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</si>
  <si>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</si>
  <si>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</si>
  <si>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</si>
  <si>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</si>
  <si>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</si>
  <si>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</si>
  <si>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</si>
  <si>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</si>
  <si>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</si>
  <si>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</si>
  <si>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</si>
  <si>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</si>
  <si>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</si>
  <si>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</si>
  <si>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</si>
  <si>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</si>
  <si>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</si>
  <si>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</si>
  <si>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</si>
  <si>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</si>
  <si>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Tentukan iuran per bulan tiap rumah: Rp 50.000 untuk hunian Tetap dan Rp 30.000 untuk hunian Kontrak (ambil dari blok Parameter).</t>
  </si>
  <si>
    <t xml:space="preserve">Sheet Data, kolom H (Iuran per Bulan), baris 2 sampai 31</t>
  </si>
  <si>
    <t xml:space="preserve">=IF(C2="Tetap";$P$2;$P$3)</t>
  </si>
  <si>
    <t xml:space="preserve">2</t>
  </si>
  <si>
    <t xml:space="preserve">Hitung berapa bulan yang berstatus Lunas pada empat kolom bulan (Juli sampai Oktober) untuk tiap rumah.</t>
  </si>
  <si>
    <t xml:space="preserve">Sheet Data, kolom I (Bulan Lunas), baris 2 sampai 31</t>
  </si>
  <si>
    <t xml:space="preserve">=COUNTIF(D2:G2;"Lunas")</t>
  </si>
  <si>
    <t xml:space="preserve">3</t>
  </si>
  <si>
    <t xml:space="preserve">Hitung bulan tunggakan: jumlah bulan ditagih dikurangi bulan lunas.</t>
  </si>
  <si>
    <t xml:space="preserve">Sheet Data, kolom J (Bulan Tunggakan), baris 2 sampai 31</t>
  </si>
  <si>
    <t xml:space="preserve">=$P$5-I2</t>
  </si>
  <si>
    <t xml:space="preserve">4</t>
  </si>
  <si>
    <t xml:space="preserve">Hitung total iuran yang sudah dibayar: bulan lunas dikali iuran per bulan.</t>
  </si>
  <si>
    <t xml:space="preserve">Sheet Data, kolom K (Total Dibayar), baris 2 sampai 31</t>
  </si>
  <si>
    <t xml:space="preserve">=I2*H2</t>
  </si>
  <si>
    <t xml:space="preserve">5</t>
  </si>
  <si>
    <t xml:space="preserve">Hitung total tunggakan: bulan tunggakan dikali (iuran per bulan ditambah denda per bulan tunggakan).</t>
  </si>
  <si>
    <t xml:space="preserve">Sheet Data, kolom L (Total Tunggakan), baris 2 sampai 31</t>
  </si>
  <si>
    <t xml:space="preserve">=J2*(H2+$P$4)</t>
  </si>
  <si>
    <t xml:space="preserve">6</t>
  </si>
  <si>
    <t xml:space="preserve">Beri status: Lunas bila bulan tunggakan 0, Tunggakan Berat bila sama dengan atau lebih dari batas tunggakan berat, selain itu Tunggakan.</t>
  </si>
  <si>
    <t xml:space="preserve">Sheet Data, kolom M (Status Warga), baris 2 sampai 31</t>
  </si>
  <si>
    <t xml:space="preserve">=IF(J2=0;"Lunas";IF(J2&gt;=$P$6;"Tunggakan Berat";"Tunggakan"))</t>
  </si>
  <si>
    <t xml:space="preserve">7</t>
  </si>
  <si>
    <t xml:space="preserve">Pada sheet Acuan, hitung jumlah rumah untuk tiap jenis hunian.</t>
  </si>
  <si>
    <t xml:space="preserve">Sheet Acuan, kolom B (Jumlah Rumah), baris 2 sampai 3</t>
  </si>
  <si>
    <t xml:space="preserve">=COUNTIF(Data!$C$2:$C$31;A2)</t>
  </si>
  <si>
    <t xml:space="preserve">8</t>
  </si>
  <si>
    <t xml:space="preserve">Pada sheet Acuan, hitung total iuran yang sudah terkumpul dari tiap jenis hunian.</t>
  </si>
  <si>
    <t xml:space="preserve">Sheet Acuan, kolom C (Iuran Terkumpul), baris 2 sampai 3</t>
  </si>
  <si>
    <t xml:space="preserve">=SUMIF(Data!$C$2:$C$31;A2;Data!$K$2:$K$31)</t>
  </si>
  <si>
    <t xml:space="preserve">9</t>
  </si>
  <si>
    <t xml:space="preserve">Berapa total iuran yang terkumpul pada bulan Juli, Agustus, September, dan Oktober? Jumlahkan iuran per bulan hanya untuk rumah yang berstatus Lunas pada bulan itu.</t>
  </si>
  <si>
    <t xml:space="preserve">Sheet Ringkasan, sel C4 sampai C7</t>
  </si>
  <si>
    <t xml:space="preserve">=SUMIF(Data!$D$2:$D$31;"Lunas";Data!$H$2:$H$31)
=SUMIF(Data!$E$2:$E$31;"Lunas";Data!$H$2:$H$31)
=SUMIF(Data!$F$2:$F$31;"Lunas";Data!$H$2:$H$31)
=SUMIF(Data!$G$2:$G$31;"Lunas";Data!$H$2:$H$31)</t>
  </si>
  <si>
    <t xml:space="preserve">10</t>
  </si>
  <si>
    <t xml:space="preserve">Berapa rumah yang berstatus Lunas, dan berapa yang Tunggakan Berat?</t>
  </si>
  <si>
    <t xml:space="preserve">Sheet Ringkasan, sel C8 sampai C9</t>
  </si>
  <si>
    <t xml:space="preserve">=COUNTIF(Data!$M$2:$M$31;"Lunas")
=COUNTIF(Data!$M$2:$M$31;"Tunggakan Berat")</t>
  </si>
  <si>
    <t xml:space="preserve">11</t>
  </si>
  <si>
    <t xml:space="preserve">Berapa total tunggakan seluruh warga, dan siapa kepala keluarga dengan total tunggakan terbesar?</t>
  </si>
  <si>
    <t xml:space="preserve">Sheet Ringkasan, sel C10 sampai C11</t>
  </si>
  <si>
    <t xml:space="preserve">=SUM(Data!$L$2:$L$31)
=INDEX(Data!$B$2:$B$31;MATCH(MAX(Data!$L$2:$L$31);Data!$L$2:$L$31;0))</t>
  </si>
  <si>
    <t xml:space="preserve">No Rumah</t>
  </si>
  <si>
    <t xml:space="preserve">Nama Kepala Keluarga</t>
  </si>
  <si>
    <t xml:space="preserve">Jenis Hunian</t>
  </si>
  <si>
    <t xml:space="preserve">Juli</t>
  </si>
  <si>
    <t xml:space="preserve">Agustus</t>
  </si>
  <si>
    <t xml:space="preserve">September</t>
  </si>
  <si>
    <t xml:space="preserve">Oktober</t>
  </si>
  <si>
    <t xml:space="preserve">Iuran per Bulan</t>
  </si>
  <si>
    <t xml:space="preserve">Bulan Lunas</t>
  </si>
  <si>
    <t xml:space="preserve">Bulan Tunggakan</t>
  </si>
  <si>
    <t xml:space="preserve">Total Dibayar</t>
  </si>
  <si>
    <t xml:space="preserve">Total Tunggakan</t>
  </si>
  <si>
    <t xml:space="preserve">Status Warga</t>
  </si>
  <si>
    <t xml:space="preserve">Parameter</t>
  </si>
  <si>
    <t xml:space="preserve">Nilai</t>
  </si>
  <si>
    <t xml:space="preserve">Keterangan</t>
  </si>
  <si>
    <t xml:space="preserve">A-01</t>
  </si>
  <si>
    <t xml:space="preserve">Hesti Utomo</t>
  </si>
  <si>
    <t xml:space="preserve">Kontrak</t>
  </si>
  <si>
    <t xml:space="preserve">Lunas</t>
  </si>
  <si>
    <t xml:space="preserve">Iuran hunian Tetap</t>
  </si>
  <si>
    <t xml:space="preserve">A-02</t>
  </si>
  <si>
    <t xml:space="preserve">Ayu Amalia</t>
  </si>
  <si>
    <t xml:space="preserve">Iuran hunian Kontrak</t>
  </si>
  <si>
    <t xml:space="preserve">A-03</t>
  </si>
  <si>
    <t xml:space="preserve">Siti Setiawan</t>
  </si>
  <si>
    <t xml:space="preserve">Tetap</t>
  </si>
  <si>
    <t xml:space="preserve">Belum</t>
  </si>
  <si>
    <t xml:space="preserve">Denda per bulan tunggakan</t>
  </si>
  <si>
    <t xml:space="preserve">A-04</t>
  </si>
  <si>
    <t xml:space="preserve">Dian Handayani</t>
  </si>
  <si>
    <t xml:space="preserve">Jumlah bulan ditagih</t>
  </si>
  <si>
    <t xml:space="preserve">A-05</t>
  </si>
  <si>
    <t xml:space="preserve">Utami Hidayat</t>
  </si>
  <si>
    <t xml:space="preserve">Batas tunggakan berat</t>
  </si>
  <si>
    <t xml:space="preserve">Bulan tunggakan sama dengan atau lebih dari angka ini</t>
  </si>
  <si>
    <t xml:space="preserve">A-06</t>
  </si>
  <si>
    <t xml:space="preserve">Rizki Lestari</t>
  </si>
  <si>
    <t xml:space="preserve">A-07</t>
  </si>
  <si>
    <t xml:space="preserve">Agus Maharani</t>
  </si>
  <si>
    <t xml:space="preserve">A-08</t>
  </si>
  <si>
    <t xml:space="preserve">Mulyadi Lestari</t>
  </si>
  <si>
    <t xml:space="preserve">A-09</t>
  </si>
  <si>
    <t xml:space="preserve">Vivi Utomo</t>
  </si>
  <si>
    <t xml:space="preserve">A-10</t>
  </si>
  <si>
    <t xml:space="preserve">Yoga Rahayu</t>
  </si>
  <si>
    <t xml:space="preserve">B-01</t>
  </si>
  <si>
    <t xml:space="preserve">Oki Saputra</t>
  </si>
  <si>
    <t xml:space="preserve">B-02</t>
  </si>
  <si>
    <t xml:space="preserve">Tono Hidayat</t>
  </si>
  <si>
    <t xml:space="preserve">B-03</t>
  </si>
  <si>
    <t xml:space="preserve">Gita Yulianto</t>
  </si>
  <si>
    <t xml:space="preserve">B-04</t>
  </si>
  <si>
    <t xml:space="preserve">Bayu Hidayat</t>
  </si>
  <si>
    <t xml:space="preserve">B-05</t>
  </si>
  <si>
    <t xml:space="preserve">Tono Maharani</t>
  </si>
  <si>
    <t xml:space="preserve">B-06</t>
  </si>
  <si>
    <t xml:space="preserve">Zainal Santoso</t>
  </si>
  <si>
    <t xml:space="preserve">B-07</t>
  </si>
  <si>
    <t xml:space="preserve">Rizki Ramadhan</t>
  </si>
  <si>
    <t xml:space="preserve">B-08</t>
  </si>
  <si>
    <t xml:space="preserve">Oki Lestari</t>
  </si>
  <si>
    <t xml:space="preserve">B-09</t>
  </si>
  <si>
    <t xml:space="preserve">Fajar Putra</t>
  </si>
  <si>
    <t xml:space="preserve">B-10</t>
  </si>
  <si>
    <t xml:space="preserve">Lina Yulianto</t>
  </si>
  <si>
    <t xml:space="preserve">C-01</t>
  </si>
  <si>
    <t xml:space="preserve">Ayu Permana</t>
  </si>
  <si>
    <t xml:space="preserve">C-02</t>
  </si>
  <si>
    <t xml:space="preserve">Rina Susanto</t>
  </si>
  <si>
    <t xml:space="preserve">C-03</t>
  </si>
  <si>
    <t xml:space="preserve">Gita Wibowo</t>
  </si>
  <si>
    <t xml:space="preserve">C-04</t>
  </si>
  <si>
    <t xml:space="preserve">Prasetyo Yulianto</t>
  </si>
  <si>
    <t xml:space="preserve">C-05</t>
  </si>
  <si>
    <t xml:space="preserve">Zainal Rahayu</t>
  </si>
  <si>
    <t xml:space="preserve">C-06</t>
  </si>
  <si>
    <t xml:space="preserve">Utami Pratama</t>
  </si>
  <si>
    <t xml:space="preserve">C-07</t>
  </si>
  <si>
    <t xml:space="preserve">Novi Ramadhan</t>
  </si>
  <si>
    <t xml:space="preserve">C-08</t>
  </si>
  <si>
    <t xml:space="preserve">Yoga Amalia</t>
  </si>
  <si>
    <t xml:space="preserve">C-09</t>
  </si>
  <si>
    <t xml:space="preserve">Dian Amalia</t>
  </si>
  <si>
    <t xml:space="preserve">C-10</t>
  </si>
  <si>
    <t xml:space="preserve">Dewi Fauzi</t>
  </si>
  <si>
    <t xml:space="preserve">Jumlah Rumah</t>
  </si>
  <si>
    <t xml:space="preserve">Iuran Terkumpul</t>
  </si>
  <si>
    <t xml:space="preserve">Ringkasan: lembar jawaban soal berjenis ringkasan</t>
  </si>
  <si>
    <t xml:space="preserve">Sel hijau berisi rumus kunci.</t>
  </si>
  <si>
    <t xml:space="preserve">Pertanyaan</t>
  </si>
  <si>
    <t xml:space="preserve">Jawaban</t>
  </si>
  <si>
    <t xml:space="preserve">Contoh format hasil</t>
  </si>
  <si>
    <t xml:space="preserve">9a</t>
  </si>
  <si>
    <t xml:space="preserve">Terkumpul bulan Juli</t>
  </si>
  <si>
    <t xml:space="preserve">Rupiah, mis. Rp 900.000</t>
  </si>
  <si>
    <t xml:space="preserve">9b</t>
  </si>
  <si>
    <t xml:space="preserve">Terkumpul bulan Agustus</t>
  </si>
  <si>
    <t xml:space="preserve">9c</t>
  </si>
  <si>
    <t xml:space="preserve">Terkumpul bulan September</t>
  </si>
  <si>
    <t xml:space="preserve">9d</t>
  </si>
  <si>
    <t xml:space="preserve">Terkumpul bulan Oktober</t>
  </si>
  <si>
    <t xml:space="preserve">10a</t>
  </si>
  <si>
    <t xml:space="preserve">Rumah Lunas</t>
  </si>
  <si>
    <t xml:space="preserve">Angka bulat, mis. 10</t>
  </si>
  <si>
    <t xml:space="preserve">10b</t>
  </si>
  <si>
    <t xml:space="preserve">Rumah Tunggakan Berat</t>
  </si>
  <si>
    <t xml:space="preserve">Angka bulat, mis. 5</t>
  </si>
  <si>
    <t xml:space="preserve">11a</t>
  </si>
  <si>
    <t xml:space="preserve">Total tunggakan seluruh warga</t>
  </si>
  <si>
    <t xml:space="preserve">Rupiah, mis. Rp 1.200.000</t>
  </si>
  <si>
    <t xml:space="preserve">11b</t>
  </si>
  <si>
    <t xml:space="preserve">Kepala keluarga dengan tunggakan terbesar</t>
  </si>
  <si>
    <t xml:space="preserve">Teks: nama kepala keluarga</t>
  </si>
</sst>
</file>

<file path=xl/styles.xml><?xml version="1.0" encoding="utf-8"?>
<styleSheet xmlns="http://schemas.openxmlformats.org/spreadsheetml/2006/main">
  <numFmts count="3">
    <numFmt numFmtId="164" formatCode="General"/>
    <numFmt numFmtId="165" formatCode="&quot;Rp &quot;#,##0"/>
    <numFmt numFmtId="166" formatCode="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right" vertical="center" textRotation="0" wrapText="fals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42"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42"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84" hidden="false" customHeight="true" outlineLevel="0" collapsed="false">
      <c r="A29" s="12" t="s">
        <v>55</v>
      </c>
      <c r="B29" s="13" t="s">
        <v>56</v>
      </c>
      <c r="C29" s="13" t="s">
        <v>57</v>
      </c>
      <c r="D29" s="14" t="s">
        <v>58</v>
      </c>
    </row>
    <row r="30" customFormat="false" ht="43.5" hidden="false" customHeight="true" outlineLevel="0" collapsed="false">
      <c r="A30" s="12" t="s">
        <v>59</v>
      </c>
      <c r="B30" s="13" t="s">
        <v>60</v>
      </c>
      <c r="C30" s="13" t="s">
        <v>61</v>
      </c>
      <c r="D30" s="14" t="s">
        <v>62</v>
      </c>
    </row>
    <row r="31" customFormat="false" ht="43.5" hidden="false" customHeight="true" outlineLevel="0" collapsed="false">
      <c r="A31" s="12" t="s">
        <v>63</v>
      </c>
      <c r="B31" s="13" t="s">
        <v>64</v>
      </c>
      <c r="C31" s="13" t="s">
        <v>65</v>
      </c>
      <c r="D31" s="14" t="s">
        <v>66</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13"/>
    <col collapsed="false" customWidth="true" hidden="false" outlineLevel="0" max="4" min="4" style="0" width="9"/>
    <col collapsed="false" customWidth="true" hidden="false" outlineLevel="0" max="5" min="5" style="0" width="10"/>
    <col collapsed="false" customWidth="true" hidden="false" outlineLevel="0" max="6" min="6" style="0" width="11"/>
    <col collapsed="false" customWidth="true" hidden="false" outlineLevel="0" max="7" min="7" style="0" width="10"/>
    <col collapsed="false" customWidth="true" hidden="false" outlineLevel="0" max="8" min="8" style="0" width="15"/>
    <col collapsed="false" customWidth="true" hidden="false" outlineLevel="0" max="9" min="9" style="0" width="12"/>
    <col collapsed="false" customWidth="true" hidden="false" outlineLevel="0" max="10" min="10" style="0" width="15"/>
    <col collapsed="false" customWidth="true" hidden="false" outlineLevel="0" max="11" min="11" style="0" width="14"/>
    <col collapsed="false" customWidth="true" hidden="false" outlineLevel="0" max="13" min="12" style="0" width="16"/>
    <col collapsed="false" customWidth="true" hidden="false" outlineLevel="0" max="14" min="14" style="0" width="3"/>
    <col collapsed="false" customWidth="true" hidden="false" outlineLevel="0" max="15" min="15" style="0" width="30"/>
    <col collapsed="false" customWidth="true" hidden="false" outlineLevel="0" max="16" min="16" style="0" width="16"/>
    <col collapsed="false" customWidth="true" hidden="false" outlineLevel="0" max="17" min="17" style="0" width="42"/>
  </cols>
  <sheetData>
    <row r="1" customFormat="false" ht="33.75" hidden="false" customHeight="true" outlineLevel="0" collapsed="false">
      <c r="A1" s="11" t="s">
        <v>67</v>
      </c>
      <c r="B1" s="11" t="s">
        <v>68</v>
      </c>
      <c r="C1" s="11" t="s">
        <v>69</v>
      </c>
      <c r="D1" s="11" t="s">
        <v>70</v>
      </c>
      <c r="E1" s="11" t="s">
        <v>71</v>
      </c>
      <c r="F1" s="11" t="s">
        <v>72</v>
      </c>
      <c r="G1" s="11" t="s">
        <v>73</v>
      </c>
      <c r="H1" s="15" t="s">
        <v>74</v>
      </c>
      <c r="I1" s="15" t="s">
        <v>75</v>
      </c>
      <c r="J1" s="15" t="s">
        <v>76</v>
      </c>
      <c r="K1" s="15" t="s">
        <v>77</v>
      </c>
      <c r="L1" s="15" t="s">
        <v>78</v>
      </c>
      <c r="M1" s="15" t="s">
        <v>79</v>
      </c>
      <c r="O1" s="16" t="s">
        <v>80</v>
      </c>
      <c r="P1" s="16" t="s">
        <v>81</v>
      </c>
      <c r="Q1" s="16" t="s">
        <v>82</v>
      </c>
    </row>
    <row r="2" customFormat="false" ht="15" hidden="false" customHeight="false" outlineLevel="0" collapsed="false">
      <c r="A2" s="17" t="s">
        <v>83</v>
      </c>
      <c r="B2" s="17" t="s">
        <v>84</v>
      </c>
      <c r="C2" s="17" t="s">
        <v>85</v>
      </c>
      <c r="D2" s="17" t="s">
        <v>86</v>
      </c>
      <c r="E2" s="17" t="s">
        <v>86</v>
      </c>
      <c r="F2" s="17" t="s">
        <v>86</v>
      </c>
      <c r="G2" s="17" t="s">
        <v>86</v>
      </c>
      <c r="H2" s="18" t="n">
        <f aca="false">IF(C2="Tetap",$P$2,$P$3)</f>
        <v>30000</v>
      </c>
      <c r="I2" s="19" t="n">
        <f aca="false">COUNTIF(D2:G2,"Lunas")</f>
        <v>4</v>
      </c>
      <c r="J2" s="19" t="n">
        <f aca="false">$P$5-I2</f>
        <v>0</v>
      </c>
      <c r="K2" s="18" t="n">
        <f aca="false">I2*H2</f>
        <v>120000</v>
      </c>
      <c r="L2" s="18" t="n">
        <f aca="false">J2*(H2+$P$4)</f>
        <v>0</v>
      </c>
      <c r="M2" s="20" t="str">
        <f aca="false">IF(J2=0,"Lunas",IF(J2&gt;=$P$6,"Tunggakan Berat","Tunggakan"))</f>
        <v>Lunas</v>
      </c>
      <c r="O2" s="21" t="s">
        <v>87</v>
      </c>
      <c r="P2" s="22" t="n">
        <v>50000</v>
      </c>
      <c r="Q2" s="21"/>
    </row>
    <row r="3" customFormat="false" ht="15" hidden="false" customHeight="false" outlineLevel="0" collapsed="false">
      <c r="A3" s="17" t="s">
        <v>88</v>
      </c>
      <c r="B3" s="17" t="s">
        <v>89</v>
      </c>
      <c r="C3" s="17" t="s">
        <v>85</v>
      </c>
      <c r="D3" s="17" t="s">
        <v>86</v>
      </c>
      <c r="E3" s="17" t="s">
        <v>86</v>
      </c>
      <c r="F3" s="17" t="s">
        <v>86</v>
      </c>
      <c r="G3" s="17" t="s">
        <v>86</v>
      </c>
      <c r="H3" s="18" t="n">
        <f aca="false">IF(C3="Tetap",$P$2,$P$3)</f>
        <v>30000</v>
      </c>
      <c r="I3" s="19" t="n">
        <f aca="false">COUNTIF(D3:G3,"Lunas")</f>
        <v>4</v>
      </c>
      <c r="J3" s="19" t="n">
        <f aca="false">$P$5-I3</f>
        <v>0</v>
      </c>
      <c r="K3" s="18" t="n">
        <f aca="false">I3*H3</f>
        <v>120000</v>
      </c>
      <c r="L3" s="18" t="n">
        <f aca="false">J3*(H3+$P$4)</f>
        <v>0</v>
      </c>
      <c r="M3" s="20" t="str">
        <f aca="false">IF(J3=0,"Lunas",IF(J3&gt;=$P$6,"Tunggakan Berat","Tunggakan"))</f>
        <v>Lunas</v>
      </c>
      <c r="O3" s="21" t="s">
        <v>90</v>
      </c>
      <c r="P3" s="22" t="n">
        <v>30000</v>
      </c>
      <c r="Q3" s="21"/>
    </row>
    <row r="4" customFormat="false" ht="15" hidden="false" customHeight="false" outlineLevel="0" collapsed="false">
      <c r="A4" s="17" t="s">
        <v>91</v>
      </c>
      <c r="B4" s="17" t="s">
        <v>92</v>
      </c>
      <c r="C4" s="17" t="s">
        <v>93</v>
      </c>
      <c r="D4" s="17" t="s">
        <v>86</v>
      </c>
      <c r="E4" s="17" t="s">
        <v>86</v>
      </c>
      <c r="F4" s="17" t="s">
        <v>94</v>
      </c>
      <c r="G4" s="17" t="s">
        <v>94</v>
      </c>
      <c r="H4" s="18" t="n">
        <f aca="false">IF(C4="Tetap",$P$2,$P$3)</f>
        <v>50000</v>
      </c>
      <c r="I4" s="19" t="n">
        <f aca="false">COUNTIF(D4:G4,"Lunas")</f>
        <v>2</v>
      </c>
      <c r="J4" s="19" t="n">
        <f aca="false">$P$5-I4</f>
        <v>2</v>
      </c>
      <c r="K4" s="18" t="n">
        <f aca="false">I4*H4</f>
        <v>100000</v>
      </c>
      <c r="L4" s="18" t="n">
        <f aca="false">J4*(H4+$P$4)</f>
        <v>110000</v>
      </c>
      <c r="M4" s="20" t="str">
        <f aca="false">IF(J4=0,"Lunas",IF(J4&gt;=$P$6,"Tunggakan Berat","Tunggakan"))</f>
        <v>Tunggakan</v>
      </c>
      <c r="O4" s="21" t="s">
        <v>95</v>
      </c>
      <c r="P4" s="22" t="n">
        <v>5000</v>
      </c>
      <c r="Q4" s="21"/>
    </row>
    <row r="5" customFormat="false" ht="15" hidden="false" customHeight="false" outlineLevel="0" collapsed="false">
      <c r="A5" s="17" t="s">
        <v>96</v>
      </c>
      <c r="B5" s="17" t="s">
        <v>97</v>
      </c>
      <c r="C5" s="17" t="s">
        <v>85</v>
      </c>
      <c r="D5" s="17" t="s">
        <v>86</v>
      </c>
      <c r="E5" s="17" t="s">
        <v>86</v>
      </c>
      <c r="F5" s="17" t="s">
        <v>86</v>
      </c>
      <c r="G5" s="17" t="s">
        <v>94</v>
      </c>
      <c r="H5" s="18" t="n">
        <f aca="false">IF(C5="Tetap",$P$2,$P$3)</f>
        <v>30000</v>
      </c>
      <c r="I5" s="19" t="n">
        <f aca="false">COUNTIF(D5:G5,"Lunas")</f>
        <v>3</v>
      </c>
      <c r="J5" s="19" t="n">
        <f aca="false">$P$5-I5</f>
        <v>1</v>
      </c>
      <c r="K5" s="18" t="n">
        <f aca="false">I5*H5</f>
        <v>90000</v>
      </c>
      <c r="L5" s="18" t="n">
        <f aca="false">J5*(H5+$P$4)</f>
        <v>35000</v>
      </c>
      <c r="M5" s="20" t="str">
        <f aca="false">IF(J5=0,"Lunas",IF(J5&gt;=$P$6,"Tunggakan Berat","Tunggakan"))</f>
        <v>Tunggakan</v>
      </c>
      <c r="O5" s="21" t="s">
        <v>98</v>
      </c>
      <c r="P5" s="23" t="n">
        <v>4</v>
      </c>
      <c r="Q5" s="21"/>
    </row>
    <row r="6" customFormat="false" ht="15" hidden="false" customHeight="false" outlineLevel="0" collapsed="false">
      <c r="A6" s="17" t="s">
        <v>99</v>
      </c>
      <c r="B6" s="17" t="s">
        <v>100</v>
      </c>
      <c r="C6" s="17" t="s">
        <v>93</v>
      </c>
      <c r="D6" s="17" t="s">
        <v>94</v>
      </c>
      <c r="E6" s="17" t="s">
        <v>86</v>
      </c>
      <c r="F6" s="17" t="s">
        <v>86</v>
      </c>
      <c r="G6" s="17" t="s">
        <v>86</v>
      </c>
      <c r="H6" s="18" t="n">
        <f aca="false">IF(C6="Tetap",$P$2,$P$3)</f>
        <v>50000</v>
      </c>
      <c r="I6" s="19" t="n">
        <f aca="false">COUNTIF(D6:G6,"Lunas")</f>
        <v>3</v>
      </c>
      <c r="J6" s="19" t="n">
        <f aca="false">$P$5-I6</f>
        <v>1</v>
      </c>
      <c r="K6" s="18" t="n">
        <f aca="false">I6*H6</f>
        <v>150000</v>
      </c>
      <c r="L6" s="18" t="n">
        <f aca="false">J6*(H6+$P$4)</f>
        <v>55000</v>
      </c>
      <c r="M6" s="20" t="str">
        <f aca="false">IF(J6=0,"Lunas",IF(J6&gt;=$P$6,"Tunggakan Berat","Tunggakan"))</f>
        <v>Tunggakan</v>
      </c>
      <c r="O6" s="21" t="s">
        <v>101</v>
      </c>
      <c r="P6" s="23" t="n">
        <v>3</v>
      </c>
      <c r="Q6" s="21" t="s">
        <v>102</v>
      </c>
    </row>
    <row r="7" customFormat="false" ht="15" hidden="false" customHeight="false" outlineLevel="0" collapsed="false">
      <c r="A7" s="17" t="s">
        <v>103</v>
      </c>
      <c r="B7" s="17" t="s">
        <v>104</v>
      </c>
      <c r="C7" s="17" t="s">
        <v>93</v>
      </c>
      <c r="D7" s="17" t="s">
        <v>86</v>
      </c>
      <c r="E7" s="17" t="s">
        <v>86</v>
      </c>
      <c r="F7" s="17" t="s">
        <v>94</v>
      </c>
      <c r="G7" s="17" t="s">
        <v>94</v>
      </c>
      <c r="H7" s="18" t="n">
        <f aca="false">IF(C7="Tetap",$P$2,$P$3)</f>
        <v>50000</v>
      </c>
      <c r="I7" s="19" t="n">
        <f aca="false">COUNTIF(D7:G7,"Lunas")</f>
        <v>2</v>
      </c>
      <c r="J7" s="19" t="n">
        <f aca="false">$P$5-I7</f>
        <v>2</v>
      </c>
      <c r="K7" s="18" t="n">
        <f aca="false">I7*H7</f>
        <v>100000</v>
      </c>
      <c r="L7" s="18" t="n">
        <f aca="false">J7*(H7+$P$4)</f>
        <v>110000</v>
      </c>
      <c r="M7" s="20" t="str">
        <f aca="false">IF(J7=0,"Lunas",IF(J7&gt;=$P$6,"Tunggakan Berat","Tunggakan"))</f>
        <v>Tunggakan</v>
      </c>
    </row>
    <row r="8" customFormat="false" ht="15" hidden="false" customHeight="false" outlineLevel="0" collapsed="false">
      <c r="A8" s="17" t="s">
        <v>105</v>
      </c>
      <c r="B8" s="17" t="s">
        <v>106</v>
      </c>
      <c r="C8" s="17" t="s">
        <v>85</v>
      </c>
      <c r="D8" s="17" t="s">
        <v>86</v>
      </c>
      <c r="E8" s="17" t="s">
        <v>86</v>
      </c>
      <c r="F8" s="17" t="s">
        <v>86</v>
      </c>
      <c r="G8" s="17" t="s">
        <v>86</v>
      </c>
      <c r="H8" s="18" t="n">
        <f aca="false">IF(C8="Tetap",$P$2,$P$3)</f>
        <v>30000</v>
      </c>
      <c r="I8" s="19" t="n">
        <f aca="false">COUNTIF(D8:G8,"Lunas")</f>
        <v>4</v>
      </c>
      <c r="J8" s="19" t="n">
        <f aca="false">$P$5-I8</f>
        <v>0</v>
      </c>
      <c r="K8" s="18" t="n">
        <f aca="false">I8*H8</f>
        <v>120000</v>
      </c>
      <c r="L8" s="18" t="n">
        <f aca="false">J8*(H8+$P$4)</f>
        <v>0</v>
      </c>
      <c r="M8" s="20" t="str">
        <f aca="false">IF(J8=0,"Lunas",IF(J8&gt;=$P$6,"Tunggakan Berat","Tunggakan"))</f>
        <v>Lunas</v>
      </c>
    </row>
    <row r="9" customFormat="false" ht="15" hidden="false" customHeight="false" outlineLevel="0" collapsed="false">
      <c r="A9" s="17" t="s">
        <v>107</v>
      </c>
      <c r="B9" s="17" t="s">
        <v>108</v>
      </c>
      <c r="C9" s="17" t="s">
        <v>93</v>
      </c>
      <c r="D9" s="17" t="s">
        <v>86</v>
      </c>
      <c r="E9" s="17" t="s">
        <v>86</v>
      </c>
      <c r="F9" s="17" t="s">
        <v>86</v>
      </c>
      <c r="G9" s="17" t="s">
        <v>94</v>
      </c>
      <c r="H9" s="18" t="n">
        <f aca="false">IF(C9="Tetap",$P$2,$P$3)</f>
        <v>50000</v>
      </c>
      <c r="I9" s="19" t="n">
        <f aca="false">COUNTIF(D9:G9,"Lunas")</f>
        <v>3</v>
      </c>
      <c r="J9" s="19" t="n">
        <f aca="false">$P$5-I9</f>
        <v>1</v>
      </c>
      <c r="K9" s="18" t="n">
        <f aca="false">I9*H9</f>
        <v>150000</v>
      </c>
      <c r="L9" s="18" t="n">
        <f aca="false">J9*(H9+$P$4)</f>
        <v>55000</v>
      </c>
      <c r="M9" s="20" t="str">
        <f aca="false">IF(J9=0,"Lunas",IF(J9&gt;=$P$6,"Tunggakan Berat","Tunggakan"))</f>
        <v>Tunggakan</v>
      </c>
    </row>
    <row r="10" customFormat="false" ht="15" hidden="false" customHeight="false" outlineLevel="0" collapsed="false">
      <c r="A10" s="17" t="s">
        <v>109</v>
      </c>
      <c r="B10" s="17" t="s">
        <v>110</v>
      </c>
      <c r="C10" s="17" t="s">
        <v>93</v>
      </c>
      <c r="D10" s="17" t="s">
        <v>94</v>
      </c>
      <c r="E10" s="17" t="s">
        <v>94</v>
      </c>
      <c r="F10" s="17" t="s">
        <v>86</v>
      </c>
      <c r="G10" s="17" t="s">
        <v>94</v>
      </c>
      <c r="H10" s="18" t="n">
        <f aca="false">IF(C10="Tetap",$P$2,$P$3)</f>
        <v>50000</v>
      </c>
      <c r="I10" s="19" t="n">
        <f aca="false">COUNTIF(D10:G10,"Lunas")</f>
        <v>1</v>
      </c>
      <c r="J10" s="19" t="n">
        <f aca="false">$P$5-I10</f>
        <v>3</v>
      </c>
      <c r="K10" s="18" t="n">
        <f aca="false">I10*H10</f>
        <v>50000</v>
      </c>
      <c r="L10" s="18" t="n">
        <f aca="false">J10*(H10+$P$4)</f>
        <v>165000</v>
      </c>
      <c r="M10" s="20" t="str">
        <f aca="false">IF(J10=0,"Lunas",IF(J10&gt;=$P$6,"Tunggakan Berat","Tunggakan"))</f>
        <v>Tunggakan Berat</v>
      </c>
    </row>
    <row r="11" customFormat="false" ht="15" hidden="false" customHeight="false" outlineLevel="0" collapsed="false">
      <c r="A11" s="17" t="s">
        <v>111</v>
      </c>
      <c r="B11" s="17" t="s">
        <v>112</v>
      </c>
      <c r="C11" s="17" t="s">
        <v>93</v>
      </c>
      <c r="D11" s="17" t="s">
        <v>86</v>
      </c>
      <c r="E11" s="17" t="s">
        <v>86</v>
      </c>
      <c r="F11" s="17" t="s">
        <v>94</v>
      </c>
      <c r="G11" s="17" t="s">
        <v>94</v>
      </c>
      <c r="H11" s="18" t="n">
        <f aca="false">IF(C11="Tetap",$P$2,$P$3)</f>
        <v>50000</v>
      </c>
      <c r="I11" s="19" t="n">
        <f aca="false">COUNTIF(D11:G11,"Lunas")</f>
        <v>2</v>
      </c>
      <c r="J11" s="19" t="n">
        <f aca="false">$P$5-I11</f>
        <v>2</v>
      </c>
      <c r="K11" s="18" t="n">
        <f aca="false">I11*H11</f>
        <v>100000</v>
      </c>
      <c r="L11" s="18" t="n">
        <f aca="false">J11*(H11+$P$4)</f>
        <v>110000</v>
      </c>
      <c r="M11" s="20" t="str">
        <f aca="false">IF(J11=0,"Lunas",IF(J11&gt;=$P$6,"Tunggakan Berat","Tunggakan"))</f>
        <v>Tunggakan</v>
      </c>
    </row>
    <row r="12" customFormat="false" ht="15" hidden="false" customHeight="false" outlineLevel="0" collapsed="false">
      <c r="A12" s="17" t="s">
        <v>113</v>
      </c>
      <c r="B12" s="17" t="s">
        <v>114</v>
      </c>
      <c r="C12" s="17" t="s">
        <v>85</v>
      </c>
      <c r="D12" s="17" t="s">
        <v>94</v>
      </c>
      <c r="E12" s="17" t="s">
        <v>94</v>
      </c>
      <c r="F12" s="17" t="s">
        <v>94</v>
      </c>
      <c r="G12" s="17" t="s">
        <v>94</v>
      </c>
      <c r="H12" s="18" t="n">
        <f aca="false">IF(C12="Tetap",$P$2,$P$3)</f>
        <v>30000</v>
      </c>
      <c r="I12" s="19" t="n">
        <f aca="false">COUNTIF(D12:G12,"Lunas")</f>
        <v>0</v>
      </c>
      <c r="J12" s="19" t="n">
        <f aca="false">$P$5-I12</f>
        <v>4</v>
      </c>
      <c r="K12" s="18" t="n">
        <f aca="false">I12*H12</f>
        <v>0</v>
      </c>
      <c r="L12" s="18" t="n">
        <f aca="false">J12*(H12+$P$4)</f>
        <v>140000</v>
      </c>
      <c r="M12" s="20" t="str">
        <f aca="false">IF(J12=0,"Lunas",IF(J12&gt;=$P$6,"Tunggakan Berat","Tunggakan"))</f>
        <v>Tunggakan Berat</v>
      </c>
    </row>
    <row r="13" customFormat="false" ht="15" hidden="false" customHeight="false" outlineLevel="0" collapsed="false">
      <c r="A13" s="17" t="s">
        <v>115</v>
      </c>
      <c r="B13" s="17" t="s">
        <v>116</v>
      </c>
      <c r="C13" s="17" t="s">
        <v>93</v>
      </c>
      <c r="D13" s="17" t="s">
        <v>86</v>
      </c>
      <c r="E13" s="17" t="s">
        <v>86</v>
      </c>
      <c r="F13" s="17" t="s">
        <v>86</v>
      </c>
      <c r="G13" s="17" t="s">
        <v>86</v>
      </c>
      <c r="H13" s="18" t="n">
        <f aca="false">IF(C13="Tetap",$P$2,$P$3)</f>
        <v>50000</v>
      </c>
      <c r="I13" s="19" t="n">
        <f aca="false">COUNTIF(D13:G13,"Lunas")</f>
        <v>4</v>
      </c>
      <c r="J13" s="19" t="n">
        <f aca="false">$P$5-I13</f>
        <v>0</v>
      </c>
      <c r="K13" s="18" t="n">
        <f aca="false">I13*H13</f>
        <v>200000</v>
      </c>
      <c r="L13" s="18" t="n">
        <f aca="false">J13*(H13+$P$4)</f>
        <v>0</v>
      </c>
      <c r="M13" s="20" t="str">
        <f aca="false">IF(J13=0,"Lunas",IF(J13&gt;=$P$6,"Tunggakan Berat","Tunggakan"))</f>
        <v>Lunas</v>
      </c>
    </row>
    <row r="14" customFormat="false" ht="15" hidden="false" customHeight="false" outlineLevel="0" collapsed="false">
      <c r="A14" s="17" t="s">
        <v>117</v>
      </c>
      <c r="B14" s="17" t="s">
        <v>118</v>
      </c>
      <c r="C14" s="17" t="s">
        <v>85</v>
      </c>
      <c r="D14" s="17" t="s">
        <v>94</v>
      </c>
      <c r="E14" s="17" t="s">
        <v>94</v>
      </c>
      <c r="F14" s="17" t="s">
        <v>86</v>
      </c>
      <c r="G14" s="17" t="s">
        <v>86</v>
      </c>
      <c r="H14" s="18" t="n">
        <f aca="false">IF(C14="Tetap",$P$2,$P$3)</f>
        <v>30000</v>
      </c>
      <c r="I14" s="19" t="n">
        <f aca="false">COUNTIF(D14:G14,"Lunas")</f>
        <v>2</v>
      </c>
      <c r="J14" s="19" t="n">
        <f aca="false">$P$5-I14</f>
        <v>2</v>
      </c>
      <c r="K14" s="18" t="n">
        <f aca="false">I14*H14</f>
        <v>60000</v>
      </c>
      <c r="L14" s="18" t="n">
        <f aca="false">J14*(H14+$P$4)</f>
        <v>70000</v>
      </c>
      <c r="M14" s="20" t="str">
        <f aca="false">IF(J14=0,"Lunas",IF(J14&gt;=$P$6,"Tunggakan Berat","Tunggakan"))</f>
        <v>Tunggakan</v>
      </c>
    </row>
    <row r="15" customFormat="false" ht="15" hidden="false" customHeight="false" outlineLevel="0" collapsed="false">
      <c r="A15" s="17" t="s">
        <v>119</v>
      </c>
      <c r="B15" s="17" t="s">
        <v>120</v>
      </c>
      <c r="C15" s="17" t="s">
        <v>85</v>
      </c>
      <c r="D15" s="17" t="s">
        <v>86</v>
      </c>
      <c r="E15" s="17" t="s">
        <v>86</v>
      </c>
      <c r="F15" s="17" t="s">
        <v>86</v>
      </c>
      <c r="G15" s="17" t="s">
        <v>94</v>
      </c>
      <c r="H15" s="18" t="n">
        <f aca="false">IF(C15="Tetap",$P$2,$P$3)</f>
        <v>30000</v>
      </c>
      <c r="I15" s="19" t="n">
        <f aca="false">COUNTIF(D15:G15,"Lunas")</f>
        <v>3</v>
      </c>
      <c r="J15" s="19" t="n">
        <f aca="false">$P$5-I15</f>
        <v>1</v>
      </c>
      <c r="K15" s="18" t="n">
        <f aca="false">I15*H15</f>
        <v>90000</v>
      </c>
      <c r="L15" s="18" t="n">
        <f aca="false">J15*(H15+$P$4)</f>
        <v>35000</v>
      </c>
      <c r="M15" s="20" t="str">
        <f aca="false">IF(J15=0,"Lunas",IF(J15&gt;=$P$6,"Tunggakan Berat","Tunggakan"))</f>
        <v>Tunggakan</v>
      </c>
    </row>
    <row r="16" customFormat="false" ht="15" hidden="false" customHeight="false" outlineLevel="0" collapsed="false">
      <c r="A16" s="17" t="s">
        <v>121</v>
      </c>
      <c r="B16" s="17" t="s">
        <v>122</v>
      </c>
      <c r="C16" s="17" t="s">
        <v>85</v>
      </c>
      <c r="D16" s="17" t="s">
        <v>94</v>
      </c>
      <c r="E16" s="17" t="s">
        <v>86</v>
      </c>
      <c r="F16" s="17" t="s">
        <v>86</v>
      </c>
      <c r="G16" s="17" t="s">
        <v>94</v>
      </c>
      <c r="H16" s="18" t="n">
        <f aca="false">IF(C16="Tetap",$P$2,$P$3)</f>
        <v>30000</v>
      </c>
      <c r="I16" s="19" t="n">
        <f aca="false">COUNTIF(D16:G16,"Lunas")</f>
        <v>2</v>
      </c>
      <c r="J16" s="19" t="n">
        <f aca="false">$P$5-I16</f>
        <v>2</v>
      </c>
      <c r="K16" s="18" t="n">
        <f aca="false">I16*H16</f>
        <v>60000</v>
      </c>
      <c r="L16" s="18" t="n">
        <f aca="false">J16*(H16+$P$4)</f>
        <v>70000</v>
      </c>
      <c r="M16" s="20" t="str">
        <f aca="false">IF(J16=0,"Lunas",IF(J16&gt;=$P$6,"Tunggakan Berat","Tunggakan"))</f>
        <v>Tunggakan</v>
      </c>
    </row>
    <row r="17" customFormat="false" ht="15" hidden="false" customHeight="false" outlineLevel="0" collapsed="false">
      <c r="A17" s="17" t="s">
        <v>123</v>
      </c>
      <c r="B17" s="17" t="s">
        <v>124</v>
      </c>
      <c r="C17" s="17" t="s">
        <v>85</v>
      </c>
      <c r="D17" s="17" t="s">
        <v>86</v>
      </c>
      <c r="E17" s="17" t="s">
        <v>86</v>
      </c>
      <c r="F17" s="17" t="s">
        <v>86</v>
      </c>
      <c r="G17" s="17" t="s">
        <v>94</v>
      </c>
      <c r="H17" s="18" t="n">
        <f aca="false">IF(C17="Tetap",$P$2,$P$3)</f>
        <v>30000</v>
      </c>
      <c r="I17" s="19" t="n">
        <f aca="false">COUNTIF(D17:G17,"Lunas")</f>
        <v>3</v>
      </c>
      <c r="J17" s="19" t="n">
        <f aca="false">$P$5-I17</f>
        <v>1</v>
      </c>
      <c r="K17" s="18" t="n">
        <f aca="false">I17*H17</f>
        <v>90000</v>
      </c>
      <c r="L17" s="18" t="n">
        <f aca="false">J17*(H17+$P$4)</f>
        <v>35000</v>
      </c>
      <c r="M17" s="20" t="str">
        <f aca="false">IF(J17=0,"Lunas",IF(J17&gt;=$P$6,"Tunggakan Berat","Tunggakan"))</f>
        <v>Tunggakan</v>
      </c>
    </row>
    <row r="18" customFormat="false" ht="15" hidden="false" customHeight="false" outlineLevel="0" collapsed="false">
      <c r="A18" s="17" t="s">
        <v>125</v>
      </c>
      <c r="B18" s="17" t="s">
        <v>126</v>
      </c>
      <c r="C18" s="17" t="s">
        <v>85</v>
      </c>
      <c r="D18" s="17" t="s">
        <v>86</v>
      </c>
      <c r="E18" s="17" t="s">
        <v>86</v>
      </c>
      <c r="F18" s="17" t="s">
        <v>86</v>
      </c>
      <c r="G18" s="17" t="s">
        <v>86</v>
      </c>
      <c r="H18" s="18" t="n">
        <f aca="false">IF(C18="Tetap",$P$2,$P$3)</f>
        <v>30000</v>
      </c>
      <c r="I18" s="19" t="n">
        <f aca="false">COUNTIF(D18:G18,"Lunas")</f>
        <v>4</v>
      </c>
      <c r="J18" s="19" t="n">
        <f aca="false">$P$5-I18</f>
        <v>0</v>
      </c>
      <c r="K18" s="18" t="n">
        <f aca="false">I18*H18</f>
        <v>120000</v>
      </c>
      <c r="L18" s="18" t="n">
        <f aca="false">J18*(H18+$P$4)</f>
        <v>0</v>
      </c>
      <c r="M18" s="20" t="str">
        <f aca="false">IF(J18=0,"Lunas",IF(J18&gt;=$P$6,"Tunggakan Berat","Tunggakan"))</f>
        <v>Lunas</v>
      </c>
    </row>
    <row r="19" customFormat="false" ht="15" hidden="false" customHeight="false" outlineLevel="0" collapsed="false">
      <c r="A19" s="17" t="s">
        <v>127</v>
      </c>
      <c r="B19" s="17" t="s">
        <v>128</v>
      </c>
      <c r="C19" s="17" t="s">
        <v>85</v>
      </c>
      <c r="D19" s="17" t="s">
        <v>94</v>
      </c>
      <c r="E19" s="17" t="s">
        <v>86</v>
      </c>
      <c r="F19" s="17" t="s">
        <v>86</v>
      </c>
      <c r="G19" s="17" t="s">
        <v>86</v>
      </c>
      <c r="H19" s="18" t="n">
        <f aca="false">IF(C19="Tetap",$P$2,$P$3)</f>
        <v>30000</v>
      </c>
      <c r="I19" s="19" t="n">
        <f aca="false">COUNTIF(D19:G19,"Lunas")</f>
        <v>3</v>
      </c>
      <c r="J19" s="19" t="n">
        <f aca="false">$P$5-I19</f>
        <v>1</v>
      </c>
      <c r="K19" s="18" t="n">
        <f aca="false">I19*H19</f>
        <v>90000</v>
      </c>
      <c r="L19" s="18" t="n">
        <f aca="false">J19*(H19+$P$4)</f>
        <v>35000</v>
      </c>
      <c r="M19" s="20" t="str">
        <f aca="false">IF(J19=0,"Lunas",IF(J19&gt;=$P$6,"Tunggakan Berat","Tunggakan"))</f>
        <v>Tunggakan</v>
      </c>
    </row>
    <row r="20" customFormat="false" ht="15" hidden="false" customHeight="false" outlineLevel="0" collapsed="false">
      <c r="A20" s="17" t="s">
        <v>129</v>
      </c>
      <c r="B20" s="17" t="s">
        <v>130</v>
      </c>
      <c r="C20" s="17" t="s">
        <v>93</v>
      </c>
      <c r="D20" s="17" t="s">
        <v>86</v>
      </c>
      <c r="E20" s="17" t="s">
        <v>94</v>
      </c>
      <c r="F20" s="17" t="s">
        <v>94</v>
      </c>
      <c r="G20" s="17" t="s">
        <v>94</v>
      </c>
      <c r="H20" s="18" t="n">
        <f aca="false">IF(C20="Tetap",$P$2,$P$3)</f>
        <v>50000</v>
      </c>
      <c r="I20" s="19" t="n">
        <f aca="false">COUNTIF(D20:G20,"Lunas")</f>
        <v>1</v>
      </c>
      <c r="J20" s="19" t="n">
        <f aca="false">$P$5-I20</f>
        <v>3</v>
      </c>
      <c r="K20" s="18" t="n">
        <f aca="false">I20*H20</f>
        <v>50000</v>
      </c>
      <c r="L20" s="18" t="n">
        <f aca="false">J20*(H20+$P$4)</f>
        <v>165000</v>
      </c>
      <c r="M20" s="20" t="str">
        <f aca="false">IF(J20=0,"Lunas",IF(J20&gt;=$P$6,"Tunggakan Berat","Tunggakan"))</f>
        <v>Tunggakan Berat</v>
      </c>
    </row>
    <row r="21" customFormat="false" ht="15" hidden="false" customHeight="false" outlineLevel="0" collapsed="false">
      <c r="A21" s="17" t="s">
        <v>131</v>
      </c>
      <c r="B21" s="17" t="s">
        <v>132</v>
      </c>
      <c r="C21" s="17" t="s">
        <v>93</v>
      </c>
      <c r="D21" s="17" t="s">
        <v>94</v>
      </c>
      <c r="E21" s="17" t="s">
        <v>94</v>
      </c>
      <c r="F21" s="17" t="s">
        <v>86</v>
      </c>
      <c r="G21" s="17" t="s">
        <v>94</v>
      </c>
      <c r="H21" s="18" t="n">
        <f aca="false">IF(C21="Tetap",$P$2,$P$3)</f>
        <v>50000</v>
      </c>
      <c r="I21" s="19" t="n">
        <f aca="false">COUNTIF(D21:G21,"Lunas")</f>
        <v>1</v>
      </c>
      <c r="J21" s="19" t="n">
        <f aca="false">$P$5-I21</f>
        <v>3</v>
      </c>
      <c r="K21" s="18" t="n">
        <f aca="false">I21*H21</f>
        <v>50000</v>
      </c>
      <c r="L21" s="18" t="n">
        <f aca="false">J21*(H21+$P$4)</f>
        <v>165000</v>
      </c>
      <c r="M21" s="20" t="str">
        <f aca="false">IF(J21=0,"Lunas",IF(J21&gt;=$P$6,"Tunggakan Berat","Tunggakan"))</f>
        <v>Tunggakan Berat</v>
      </c>
    </row>
    <row r="22" customFormat="false" ht="15" hidden="false" customHeight="false" outlineLevel="0" collapsed="false">
      <c r="A22" s="17" t="s">
        <v>133</v>
      </c>
      <c r="B22" s="17" t="s">
        <v>134</v>
      </c>
      <c r="C22" s="17" t="s">
        <v>85</v>
      </c>
      <c r="D22" s="17" t="s">
        <v>86</v>
      </c>
      <c r="E22" s="17" t="s">
        <v>86</v>
      </c>
      <c r="F22" s="17" t="s">
        <v>86</v>
      </c>
      <c r="G22" s="17" t="s">
        <v>94</v>
      </c>
      <c r="H22" s="18" t="n">
        <f aca="false">IF(C22="Tetap",$P$2,$P$3)</f>
        <v>30000</v>
      </c>
      <c r="I22" s="19" t="n">
        <f aca="false">COUNTIF(D22:G22,"Lunas")</f>
        <v>3</v>
      </c>
      <c r="J22" s="19" t="n">
        <f aca="false">$P$5-I22</f>
        <v>1</v>
      </c>
      <c r="K22" s="18" t="n">
        <f aca="false">I22*H22</f>
        <v>90000</v>
      </c>
      <c r="L22" s="18" t="n">
        <f aca="false">J22*(H22+$P$4)</f>
        <v>35000</v>
      </c>
      <c r="M22" s="20" t="str">
        <f aca="false">IF(J22=0,"Lunas",IF(J22&gt;=$P$6,"Tunggakan Berat","Tunggakan"))</f>
        <v>Tunggakan</v>
      </c>
    </row>
    <row r="23" customFormat="false" ht="15" hidden="false" customHeight="false" outlineLevel="0" collapsed="false">
      <c r="A23" s="17" t="s">
        <v>135</v>
      </c>
      <c r="B23" s="17" t="s">
        <v>136</v>
      </c>
      <c r="C23" s="17" t="s">
        <v>93</v>
      </c>
      <c r="D23" s="17" t="s">
        <v>86</v>
      </c>
      <c r="E23" s="17" t="s">
        <v>94</v>
      </c>
      <c r="F23" s="17" t="s">
        <v>94</v>
      </c>
      <c r="G23" s="17" t="s">
        <v>94</v>
      </c>
      <c r="H23" s="18" t="n">
        <f aca="false">IF(C23="Tetap",$P$2,$P$3)</f>
        <v>50000</v>
      </c>
      <c r="I23" s="19" t="n">
        <f aca="false">COUNTIF(D23:G23,"Lunas")</f>
        <v>1</v>
      </c>
      <c r="J23" s="19" t="n">
        <f aca="false">$P$5-I23</f>
        <v>3</v>
      </c>
      <c r="K23" s="18" t="n">
        <f aca="false">I23*H23</f>
        <v>50000</v>
      </c>
      <c r="L23" s="18" t="n">
        <f aca="false">J23*(H23+$P$4)</f>
        <v>165000</v>
      </c>
      <c r="M23" s="20" t="str">
        <f aca="false">IF(J23=0,"Lunas",IF(J23&gt;=$P$6,"Tunggakan Berat","Tunggakan"))</f>
        <v>Tunggakan Berat</v>
      </c>
    </row>
    <row r="24" customFormat="false" ht="15" hidden="false" customHeight="false" outlineLevel="0" collapsed="false">
      <c r="A24" s="17" t="s">
        <v>137</v>
      </c>
      <c r="B24" s="17" t="s">
        <v>138</v>
      </c>
      <c r="C24" s="17" t="s">
        <v>85</v>
      </c>
      <c r="D24" s="17" t="s">
        <v>86</v>
      </c>
      <c r="E24" s="17" t="s">
        <v>86</v>
      </c>
      <c r="F24" s="17" t="s">
        <v>86</v>
      </c>
      <c r="G24" s="17" t="s">
        <v>86</v>
      </c>
      <c r="H24" s="18" t="n">
        <f aca="false">IF(C24="Tetap",$P$2,$P$3)</f>
        <v>30000</v>
      </c>
      <c r="I24" s="19" t="n">
        <f aca="false">COUNTIF(D24:G24,"Lunas")</f>
        <v>4</v>
      </c>
      <c r="J24" s="19" t="n">
        <f aca="false">$P$5-I24</f>
        <v>0</v>
      </c>
      <c r="K24" s="18" t="n">
        <f aca="false">I24*H24</f>
        <v>120000</v>
      </c>
      <c r="L24" s="18" t="n">
        <f aca="false">J24*(H24+$P$4)</f>
        <v>0</v>
      </c>
      <c r="M24" s="20" t="str">
        <f aca="false">IF(J24=0,"Lunas",IF(J24&gt;=$P$6,"Tunggakan Berat","Tunggakan"))</f>
        <v>Lunas</v>
      </c>
    </row>
    <row r="25" customFormat="false" ht="15" hidden="false" customHeight="false" outlineLevel="0" collapsed="false">
      <c r="A25" s="17" t="s">
        <v>139</v>
      </c>
      <c r="B25" s="17" t="s">
        <v>140</v>
      </c>
      <c r="C25" s="17" t="s">
        <v>93</v>
      </c>
      <c r="D25" s="17" t="s">
        <v>86</v>
      </c>
      <c r="E25" s="17" t="s">
        <v>86</v>
      </c>
      <c r="F25" s="17" t="s">
        <v>86</v>
      </c>
      <c r="G25" s="17" t="s">
        <v>94</v>
      </c>
      <c r="H25" s="18" t="n">
        <f aca="false">IF(C25="Tetap",$P$2,$P$3)</f>
        <v>50000</v>
      </c>
      <c r="I25" s="19" t="n">
        <f aca="false">COUNTIF(D25:G25,"Lunas")</f>
        <v>3</v>
      </c>
      <c r="J25" s="19" t="n">
        <f aca="false">$P$5-I25</f>
        <v>1</v>
      </c>
      <c r="K25" s="18" t="n">
        <f aca="false">I25*H25</f>
        <v>150000</v>
      </c>
      <c r="L25" s="18" t="n">
        <f aca="false">J25*(H25+$P$4)</f>
        <v>55000</v>
      </c>
      <c r="M25" s="20" t="str">
        <f aca="false">IF(J25=0,"Lunas",IF(J25&gt;=$P$6,"Tunggakan Berat","Tunggakan"))</f>
        <v>Tunggakan</v>
      </c>
    </row>
    <row r="26" customFormat="false" ht="15" hidden="false" customHeight="false" outlineLevel="0" collapsed="false">
      <c r="A26" s="17" t="s">
        <v>141</v>
      </c>
      <c r="B26" s="17" t="s">
        <v>142</v>
      </c>
      <c r="C26" s="17" t="s">
        <v>93</v>
      </c>
      <c r="D26" s="17" t="s">
        <v>94</v>
      </c>
      <c r="E26" s="17" t="s">
        <v>94</v>
      </c>
      <c r="F26" s="17" t="s">
        <v>94</v>
      </c>
      <c r="G26" s="17" t="s">
        <v>94</v>
      </c>
      <c r="H26" s="18" t="n">
        <f aca="false">IF(C26="Tetap",$P$2,$P$3)</f>
        <v>50000</v>
      </c>
      <c r="I26" s="19" t="n">
        <f aca="false">COUNTIF(D26:G26,"Lunas")</f>
        <v>0</v>
      </c>
      <c r="J26" s="19" t="n">
        <f aca="false">$P$5-I26</f>
        <v>4</v>
      </c>
      <c r="K26" s="18" t="n">
        <f aca="false">I26*H26</f>
        <v>0</v>
      </c>
      <c r="L26" s="18" t="n">
        <f aca="false">J26*(H26+$P$4)</f>
        <v>220000</v>
      </c>
      <c r="M26" s="20" t="str">
        <f aca="false">IF(J26=0,"Lunas",IF(J26&gt;=$P$6,"Tunggakan Berat","Tunggakan"))</f>
        <v>Tunggakan Berat</v>
      </c>
    </row>
    <row r="27" customFormat="false" ht="15" hidden="false" customHeight="false" outlineLevel="0" collapsed="false">
      <c r="A27" s="17" t="s">
        <v>143</v>
      </c>
      <c r="B27" s="17" t="s">
        <v>144</v>
      </c>
      <c r="C27" s="17" t="s">
        <v>93</v>
      </c>
      <c r="D27" s="17" t="s">
        <v>86</v>
      </c>
      <c r="E27" s="17" t="s">
        <v>86</v>
      </c>
      <c r="F27" s="17" t="s">
        <v>94</v>
      </c>
      <c r="G27" s="17" t="s">
        <v>94</v>
      </c>
      <c r="H27" s="18" t="n">
        <f aca="false">IF(C27="Tetap",$P$2,$P$3)</f>
        <v>50000</v>
      </c>
      <c r="I27" s="19" t="n">
        <f aca="false">COUNTIF(D27:G27,"Lunas")</f>
        <v>2</v>
      </c>
      <c r="J27" s="19" t="n">
        <f aca="false">$P$5-I27</f>
        <v>2</v>
      </c>
      <c r="K27" s="18" t="n">
        <f aca="false">I27*H27</f>
        <v>100000</v>
      </c>
      <c r="L27" s="18" t="n">
        <f aca="false">J27*(H27+$P$4)</f>
        <v>110000</v>
      </c>
      <c r="M27" s="20" t="str">
        <f aca="false">IF(J27=0,"Lunas",IF(J27&gt;=$P$6,"Tunggakan Berat","Tunggakan"))</f>
        <v>Tunggakan</v>
      </c>
    </row>
    <row r="28" customFormat="false" ht="15" hidden="false" customHeight="false" outlineLevel="0" collapsed="false">
      <c r="A28" s="17" t="s">
        <v>145</v>
      </c>
      <c r="B28" s="17" t="s">
        <v>146</v>
      </c>
      <c r="C28" s="17" t="s">
        <v>93</v>
      </c>
      <c r="D28" s="17" t="s">
        <v>86</v>
      </c>
      <c r="E28" s="17" t="s">
        <v>86</v>
      </c>
      <c r="F28" s="17" t="s">
        <v>86</v>
      </c>
      <c r="G28" s="17" t="s">
        <v>94</v>
      </c>
      <c r="H28" s="18" t="n">
        <f aca="false">IF(C28="Tetap",$P$2,$P$3)</f>
        <v>50000</v>
      </c>
      <c r="I28" s="19" t="n">
        <f aca="false">COUNTIF(D28:G28,"Lunas")</f>
        <v>3</v>
      </c>
      <c r="J28" s="19" t="n">
        <f aca="false">$P$5-I28</f>
        <v>1</v>
      </c>
      <c r="K28" s="18" t="n">
        <f aca="false">I28*H28</f>
        <v>150000</v>
      </c>
      <c r="L28" s="18" t="n">
        <f aca="false">J28*(H28+$P$4)</f>
        <v>55000</v>
      </c>
      <c r="M28" s="20" t="str">
        <f aca="false">IF(J28=0,"Lunas",IF(J28&gt;=$P$6,"Tunggakan Berat","Tunggakan"))</f>
        <v>Tunggakan</v>
      </c>
    </row>
    <row r="29" customFormat="false" ht="15" hidden="false" customHeight="false" outlineLevel="0" collapsed="false">
      <c r="A29" s="17" t="s">
        <v>147</v>
      </c>
      <c r="B29" s="17" t="s">
        <v>148</v>
      </c>
      <c r="C29" s="17" t="s">
        <v>93</v>
      </c>
      <c r="D29" s="17" t="s">
        <v>86</v>
      </c>
      <c r="E29" s="17" t="s">
        <v>86</v>
      </c>
      <c r="F29" s="17" t="s">
        <v>94</v>
      </c>
      <c r="G29" s="17" t="s">
        <v>94</v>
      </c>
      <c r="H29" s="18" t="n">
        <f aca="false">IF(C29="Tetap",$P$2,$P$3)</f>
        <v>50000</v>
      </c>
      <c r="I29" s="19" t="n">
        <f aca="false">COUNTIF(D29:G29,"Lunas")</f>
        <v>2</v>
      </c>
      <c r="J29" s="19" t="n">
        <f aca="false">$P$5-I29</f>
        <v>2</v>
      </c>
      <c r="K29" s="18" t="n">
        <f aca="false">I29*H29</f>
        <v>100000</v>
      </c>
      <c r="L29" s="18" t="n">
        <f aca="false">J29*(H29+$P$4)</f>
        <v>110000</v>
      </c>
      <c r="M29" s="20" t="str">
        <f aca="false">IF(J29=0,"Lunas",IF(J29&gt;=$P$6,"Tunggakan Berat","Tunggakan"))</f>
        <v>Tunggakan</v>
      </c>
    </row>
    <row r="30" customFormat="false" ht="15" hidden="false" customHeight="false" outlineLevel="0" collapsed="false">
      <c r="A30" s="17" t="s">
        <v>149</v>
      </c>
      <c r="B30" s="17" t="s">
        <v>150</v>
      </c>
      <c r="C30" s="17" t="s">
        <v>93</v>
      </c>
      <c r="D30" s="17" t="s">
        <v>86</v>
      </c>
      <c r="E30" s="17" t="s">
        <v>86</v>
      </c>
      <c r="F30" s="17" t="s">
        <v>86</v>
      </c>
      <c r="G30" s="17" t="s">
        <v>94</v>
      </c>
      <c r="H30" s="18" t="n">
        <f aca="false">IF(C30="Tetap",$P$2,$P$3)</f>
        <v>50000</v>
      </c>
      <c r="I30" s="19" t="n">
        <f aca="false">COUNTIF(D30:G30,"Lunas")</f>
        <v>3</v>
      </c>
      <c r="J30" s="19" t="n">
        <f aca="false">$P$5-I30</f>
        <v>1</v>
      </c>
      <c r="K30" s="18" t="n">
        <f aca="false">I30*H30</f>
        <v>150000</v>
      </c>
      <c r="L30" s="18" t="n">
        <f aca="false">J30*(H30+$P$4)</f>
        <v>55000</v>
      </c>
      <c r="M30" s="20" t="str">
        <f aca="false">IF(J30=0,"Lunas",IF(J30&gt;=$P$6,"Tunggakan Berat","Tunggakan"))</f>
        <v>Tunggakan</v>
      </c>
    </row>
    <row r="31" customFormat="false" ht="15" hidden="false" customHeight="false" outlineLevel="0" collapsed="false">
      <c r="A31" s="17" t="s">
        <v>151</v>
      </c>
      <c r="B31" s="17" t="s">
        <v>152</v>
      </c>
      <c r="C31" s="17" t="s">
        <v>93</v>
      </c>
      <c r="D31" s="17" t="s">
        <v>86</v>
      </c>
      <c r="E31" s="17" t="s">
        <v>86</v>
      </c>
      <c r="F31" s="17" t="s">
        <v>94</v>
      </c>
      <c r="G31" s="17" t="s">
        <v>94</v>
      </c>
      <c r="H31" s="18" t="n">
        <f aca="false">IF(C31="Tetap",$P$2,$P$3)</f>
        <v>50000</v>
      </c>
      <c r="I31" s="19" t="n">
        <f aca="false">COUNTIF(D31:G31,"Lunas")</f>
        <v>2</v>
      </c>
      <c r="J31" s="19" t="n">
        <f aca="false">$P$5-I31</f>
        <v>2</v>
      </c>
      <c r="K31" s="18" t="n">
        <f aca="false">I31*H31</f>
        <v>100000</v>
      </c>
      <c r="L31" s="18" t="n">
        <f aca="false">J31*(H31+$P$4)</f>
        <v>110000</v>
      </c>
      <c r="M31" s="20" t="str">
        <f aca="false">IF(J31=0,"Lunas",IF(J31&gt;=$P$6,"Tunggakan Berat","Tunggakan"))</f>
        <v>Tunggakan</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16"/>
  </cols>
  <sheetData>
    <row r="1" customFormat="false" ht="33.75" hidden="false" customHeight="true" outlineLevel="0" collapsed="false">
      <c r="A1" s="11" t="s">
        <v>69</v>
      </c>
      <c r="B1" s="15" t="s">
        <v>153</v>
      </c>
      <c r="C1" s="15" t="s">
        <v>154</v>
      </c>
    </row>
    <row r="2" customFormat="false" ht="15" hidden="false" customHeight="false" outlineLevel="0" collapsed="false">
      <c r="A2" s="17" t="s">
        <v>93</v>
      </c>
      <c r="B2" s="19" t="n">
        <f aca="false">COUNTIF(Data!$C$2:$C$31,A2)</f>
        <v>17</v>
      </c>
      <c r="C2" s="18" t="n">
        <f aca="false">SUMIF(Data!$C$2:$C$31,A2,Data!$K$2:$K$31)</f>
        <v>1750000</v>
      </c>
    </row>
    <row r="3" customFormat="false" ht="15" hidden="false" customHeight="false" outlineLevel="0" collapsed="false">
      <c r="A3" s="17" t="s">
        <v>85</v>
      </c>
      <c r="B3" s="19" t="n">
        <f aca="false">COUNTIF(Data!$C$2:$C$31,A3)</f>
        <v>13</v>
      </c>
      <c r="C3" s="18" t="n">
        <f aca="false">SUMIF(Data!$C$2:$C$31,A3,Data!$K$2:$K$31)</f>
        <v>1170000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4" t="s">
        <v>155</v>
      </c>
      <c r="B1" s="24"/>
      <c r="C1" s="24"/>
      <c r="D1" s="24"/>
    </row>
    <row r="2" customFormat="false" ht="15" hidden="false" customHeight="false" outlineLevel="0" collapsed="false">
      <c r="A2" s="25" t="s">
        <v>156</v>
      </c>
      <c r="B2" s="25"/>
      <c r="C2" s="25"/>
      <c r="D2" s="25"/>
    </row>
    <row r="3" customFormat="false" ht="15" hidden="false" customHeight="false" outlineLevel="0" collapsed="false">
      <c r="A3" s="11" t="s">
        <v>19</v>
      </c>
      <c r="B3" s="11" t="s">
        <v>157</v>
      </c>
      <c r="C3" s="11" t="s">
        <v>158</v>
      </c>
      <c r="D3" s="11" t="s">
        <v>159</v>
      </c>
    </row>
    <row r="4" customFormat="false" ht="15" hidden="false" customHeight="false" outlineLevel="0" collapsed="false">
      <c r="A4" s="26" t="s">
        <v>160</v>
      </c>
      <c r="B4" s="27" t="s">
        <v>161</v>
      </c>
      <c r="C4" s="18" t="n">
        <f aca="false">SUMIF(Data!$D$2:$D$31,"Lunas",Data!$H$2:$H$31)</f>
        <v>920000</v>
      </c>
      <c r="D4" s="28" t="s">
        <v>162</v>
      </c>
    </row>
    <row r="5" customFormat="false" ht="15" hidden="false" customHeight="false" outlineLevel="0" collapsed="false">
      <c r="A5" s="26" t="s">
        <v>163</v>
      </c>
      <c r="B5" s="27" t="s">
        <v>164</v>
      </c>
      <c r="C5" s="18" t="n">
        <f aca="false">SUMIF(Data!$E$2:$E$31,"Lunas",Data!$H$2:$H$31)</f>
        <v>930000</v>
      </c>
      <c r="D5" s="28" t="s">
        <v>162</v>
      </c>
    </row>
    <row r="6" customFormat="false" ht="15" hidden="false" customHeight="false" outlineLevel="0" collapsed="false">
      <c r="A6" s="26" t="s">
        <v>165</v>
      </c>
      <c r="B6" s="27" t="s">
        <v>166</v>
      </c>
      <c r="C6" s="18" t="n">
        <f aca="false">SUMIF(Data!$F$2:$F$31,"Lunas",Data!$H$2:$H$31)</f>
        <v>760000</v>
      </c>
      <c r="D6" s="28" t="s">
        <v>162</v>
      </c>
    </row>
    <row r="7" customFormat="false" ht="15" hidden="false" customHeight="false" outlineLevel="0" collapsed="false">
      <c r="A7" s="26" t="s">
        <v>167</v>
      </c>
      <c r="B7" s="27" t="s">
        <v>168</v>
      </c>
      <c r="C7" s="18" t="n">
        <f aca="false">SUMIF(Data!$G$2:$G$31,"Lunas",Data!$H$2:$H$31)</f>
        <v>310000</v>
      </c>
      <c r="D7" s="28" t="s">
        <v>162</v>
      </c>
    </row>
    <row r="8" customFormat="false" ht="15" hidden="false" customHeight="false" outlineLevel="0" collapsed="false">
      <c r="A8" s="26" t="s">
        <v>169</v>
      </c>
      <c r="B8" s="27" t="s">
        <v>170</v>
      </c>
      <c r="C8" s="19" t="n">
        <f aca="false">COUNTIF(Data!$M$2:$M$31,"Lunas")</f>
        <v>6</v>
      </c>
      <c r="D8" s="28" t="s">
        <v>171</v>
      </c>
    </row>
    <row r="9" customFormat="false" ht="15" hidden="false" customHeight="false" outlineLevel="0" collapsed="false">
      <c r="A9" s="26" t="s">
        <v>172</v>
      </c>
      <c r="B9" s="27" t="s">
        <v>173</v>
      </c>
      <c r="C9" s="19" t="n">
        <f aca="false">COUNTIF(Data!$M$2:$M$31,"Tunggakan Berat")</f>
        <v>6</v>
      </c>
      <c r="D9" s="28" t="s">
        <v>174</v>
      </c>
    </row>
    <row r="10" customFormat="false" ht="15" hidden="false" customHeight="false" outlineLevel="0" collapsed="false">
      <c r="A10" s="26" t="s">
        <v>175</v>
      </c>
      <c r="B10" s="27" t="s">
        <v>176</v>
      </c>
      <c r="C10" s="18" t="n">
        <f aca="false">SUM(Data!$L$2:$L$31)</f>
        <v>2270000</v>
      </c>
      <c r="D10" s="28" t="s">
        <v>177</v>
      </c>
    </row>
    <row r="11" customFormat="false" ht="15" hidden="false" customHeight="false" outlineLevel="0" collapsed="false">
      <c r="A11" s="26" t="s">
        <v>178</v>
      </c>
      <c r="B11" s="27" t="s">
        <v>179</v>
      </c>
      <c r="C11" s="20" t="str">
        <f aca="false">INDEX(Data!$B$2:$B$31,MATCH(MAX(Data!$L$2:$L$31),Data!$L$2:$L$31,0))</f>
        <v>Zainal Rahayu</v>
      </c>
      <c r="D11" s="28" t="s">
        <v>180</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2026-10-15T23:39:03Z</dcterms:created>
  <dc:creator>PushExcel</dc:creator>
  <dc:description/>
  <dc:language>en-US</dc:language>
  <cp:lastModifiedBy/>
  <dcterms:modified xsi:type="dcterms:W3CDTF">2026-10-15T23:39:03Z</dcterms:modified>
  <cp:revision>0</cp:revision>
  <dc:subject/>
  <dc:title>Iuran Warga RT dan Rekap Tunggakan - Kunci</dc:title>
</cp:coreProperties>
</file>

<file path=docProps/custom.xml><?xml version="1.0" encoding="utf-8"?>
<Properties xmlns="http://schemas.openxmlformats.org/officeDocument/2006/custom-properties" xmlns:vt="http://schemas.openxmlformats.org/officeDocument/2006/docPropsVTypes"/>
</file>