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<sst xmlns="http://schemas.openxmlformats.org/spreadsheetml/2006/main" count="258" uniqueCount="191">
  <si>
    <t xml:space="preserve">Kunci Jawaban: Pembelian Bahan Baku, Konversi Satuan, dan Diskon</t>
  </si>
  <si>
    <t xml:space="preserve">Latihan 79 dari 40  |  Tingkat: Menengah  |  Perkiraan waktu: 55 menit  |  pushexcel.github.io/Pushexcel</t>
  </si>
  <si>
    <t xml:space="preserve">Skenario</t>
  </si>
  <si>
    <t xml:space="preserve">Kamu staf pembelian PT Roti Mentari Sejahtera yang merekap 30 pesanan bahan baku. Data pemasok mencatat jumlah yang dibeli dalam satuan beli (karung, jerigen, atau dus). Sheet Acuan memuat satuan beli, isi tiap satuan dalam satuan dasar (kg atau liter), dan harga per satuan beli. Subtotal adalah jumlah beli dikali harga per satuan beli. Diskon bertingkat dihitung dari subtotal: 3 persen bila subtotal Rp 8.000.000 atau lebih, dan 6 persen bila Rp 20.000.000 atau lebih (batas dan persennya ada di blok Parameter). Harga efektif per satuan dasar adalah total bayar dibagi total kuantitas, dibulatkan ke rupiah.</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</si>
  <si>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</si>
  <si>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</si>
  <si>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</si>
  <si>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</si>
  <si>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</si>
  <si>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</si>
  <si>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</si>
  <si>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</si>
  <si>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</si>
  <si>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</si>
  <si>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</si>
  <si>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</si>
  <si>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</si>
  <si>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</si>
  <si>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</si>
  <si>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</si>
  <si>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</si>
  <si>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</si>
  <si>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</si>
  <si>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</si>
  <si>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Ambil satuan beli tiap bahan dari tabel di sheet Acuan.</t>
  </si>
  <si>
    <t xml:space="preserve">Sheet Data, kolom E (Satuan Beli), baris 2 sampai 31</t>
  </si>
  <si>
    <t xml:space="preserve">=VLOOKUP(B2;Acuan!$A$2:$E$7;2;FALSE)</t>
  </si>
  <si>
    <t xml:space="preserve">2</t>
  </si>
  <si>
    <t xml:space="preserve">Ambil isi per satuan beli (dalam kg atau liter) dari tabel Acuan.</t>
  </si>
  <si>
    <t xml:space="preserve">Sheet Data, kolom F (Isi per Satuan), baris 2 sampai 31</t>
  </si>
  <si>
    <t xml:space="preserve">=VLOOKUP(B2;Acuan!$A$2:$E$7;3;FALSE)</t>
  </si>
  <si>
    <t xml:space="preserve">3</t>
  </si>
  <si>
    <t xml:space="preserve">Hitung total kuantitas dalam satuan dasar: jumlah beli dikali isi per satuan.</t>
  </si>
  <si>
    <t xml:space="preserve">Sheet Data, kolom G (Total Kuantitas), baris 2 sampai 31</t>
  </si>
  <si>
    <t xml:space="preserve">=D2*F2</t>
  </si>
  <si>
    <t xml:space="preserve">4</t>
  </si>
  <si>
    <t xml:space="preserve">Ambil harga per satuan beli dari tabel Acuan.</t>
  </si>
  <si>
    <t xml:space="preserve">Sheet Data, kolom H (Harga per Satuan), baris 2 sampai 31</t>
  </si>
  <si>
    <t xml:space="preserve">=VLOOKUP(B2;Acuan!$A$2:$E$7;5;FALSE)</t>
  </si>
  <si>
    <t xml:space="preserve">5</t>
  </si>
  <si>
    <t xml:space="preserve">Hitung subtotal sebelum diskon: jumlah beli dikali harga per satuan.</t>
  </si>
  <si>
    <t xml:space="preserve">Sheet Data, kolom I (Subtotal), baris 2 sampai 31</t>
  </si>
  <si>
    <t xml:space="preserve">=D2*H2</t>
  </si>
  <si>
    <t xml:space="preserve">6</t>
  </si>
  <si>
    <t xml:space="preserve">Tentukan persen diskon bertingkat dari subtotal: Diskon 2 bila subtotal sampai batas diskon 2, Diskon 1 bila sampai batas diskon 1, selain itu 0.</t>
  </si>
  <si>
    <t xml:space="preserve">Sheet Data, kolom J (Persen Diskon), baris 2 sampai 31</t>
  </si>
  <si>
    <t xml:space="preserve">=IF(I2&gt;=$O$4;$O$5;IF(I2&gt;=$O$2;$O$3;0))</t>
  </si>
  <si>
    <t xml:space="preserve">7</t>
  </si>
  <si>
    <t xml:space="preserve">Hitung total bayar: subtotal dikurangi diskon, dibulatkan ke rupiah.</t>
  </si>
  <si>
    <t xml:space="preserve">Sheet Data, kolom K (Total Bayar), baris 2 sampai 31</t>
  </si>
  <si>
    <t xml:space="preserve">=ROUND(I2*(1-J2);0)</t>
  </si>
  <si>
    <t xml:space="preserve">8</t>
  </si>
  <si>
    <t xml:space="preserve">Hitung harga efektif per satuan dasar (per kg atau per liter): total bayar dibagi total kuantitas, dibulatkan ke rupiah.</t>
  </si>
  <si>
    <t xml:space="preserve">Sheet Data, kolom L (Harga Efektif Dasar), baris 2 sampai 31</t>
  </si>
  <si>
    <t xml:space="preserve">=ROUND(K2/G2;0)</t>
  </si>
  <si>
    <t xml:space="preserve">9</t>
  </si>
  <si>
    <t xml:space="preserve">Pada sheet Acuan, hitung jumlah pesanan (PO) tiap bahan.</t>
  </si>
  <si>
    <t xml:space="preserve">Sheet Acuan, kolom F (Jumlah PO), baris 2 sampai 7</t>
  </si>
  <si>
    <t xml:space="preserve">=COUNTIF(Data!$B$2:$B$31;A2)</t>
  </si>
  <si>
    <t xml:space="preserve">10</t>
  </si>
  <si>
    <t xml:space="preserve">Pada sheet Acuan, hitung total bayar seluruh pesanan tiap bahan.</t>
  </si>
  <si>
    <t xml:space="preserve">Sheet Acuan, kolom G (Total Pembelian), baris 2 sampai 7</t>
  </si>
  <si>
    <t xml:space="preserve">=SUMIF(Data!$B$2:$B$31;A2;Data!$K$2:$K$31)</t>
  </si>
  <si>
    <t xml:space="preserve">11</t>
  </si>
  <si>
    <t xml:space="preserve">Berapa total subtotal, total bayar, dan total diskon yang diperoleh seluruh pesanan?</t>
  </si>
  <si>
    <t xml:space="preserve">Sheet Ringkasan, sel C4 sampai C6</t>
  </si>
  <si>
    <t xml:space="preserve">=SUM(Data!$I$2:$I$31)
=SUM(Data!$K$2:$K$31)
=C4-C5</t>
  </si>
  <si>
    <t xml:space="preserve">12</t>
  </si>
  <si>
    <t xml:space="preserve">Berapa pesanan yang mendapat diskon 6 persen, dan berapa pesanan Tepung Terigu yang mendapat diskon 3 persen?</t>
  </si>
  <si>
    <t xml:space="preserve">Sheet Ringkasan, sel C7 sampai C8</t>
  </si>
  <si>
    <t xml:space="preserve">=COUNTIF(Data!$J$2:$J$31;Data!$O$5)
=COUNTIFS(Data!$B$2:$B$31;"Gula Pasir";Data!$J$2:$J$31;Data!$O$3)</t>
  </si>
  <si>
    <t xml:space="preserve">13</t>
  </si>
  <si>
    <t xml:space="preserve">Bahan apa yang total pembeliannya terbesar, dan siapa pemasok pada pesanan dengan total kuantitas terbesar?</t>
  </si>
  <si>
    <t xml:space="preserve">Sheet Ringkasan, sel C9 sampai C10</t>
  </si>
  <si>
    <t xml:space="preserve">=INDEX(Acuan!$A$2:$A$7;MATCH(MAX(Acuan!$G$2:$G$7);Acuan!$G$2:$G$7;0))
=INDEX(Data!$C$2:$C$31;MATCH(MAX(Data!$G$2:$G$31);Data!$G$2:$G$31;0))</t>
  </si>
  <si>
    <t xml:space="preserve">14</t>
  </si>
  <si>
    <t xml:space="preserve">Berapa total kuantitas Minyak Goreng yang dibeli (dalam liter), dan berapa total bayar ke pemasok CV Agro Mulia?</t>
  </si>
  <si>
    <t xml:space="preserve">Sheet Ringkasan, sel C11 sampai C12</t>
  </si>
  <si>
    <t xml:space="preserve">=SUMIF(Data!$B$2:$B$31;"Minyak Goreng";Data!$G$2:$G$31)
=SUMIF(Data!$C$2:$C$31;"CV Agro Mulia";Data!$K$2:$K$31)</t>
  </si>
  <si>
    <t xml:space="preserve">15</t>
  </si>
  <si>
    <t xml:space="preserve">Berapa rata-rata total bayar seluruh pesanan, dan berapa harga efektif per satuan dasar tertinggi?</t>
  </si>
  <si>
    <t xml:space="preserve">Sheet Ringkasan, sel C13 sampai C14</t>
  </si>
  <si>
    <t xml:space="preserve">=AVERAGE(Data!$K$2:$K$31)
=MAX(Data!$L$2:$L$31)</t>
  </si>
  <si>
    <t xml:space="preserve">No PO</t>
  </si>
  <si>
    <t xml:space="preserve">Bahan</t>
  </si>
  <si>
    <t xml:space="preserve">Pemasok</t>
  </si>
  <si>
    <t xml:space="preserve">Jumlah Beli</t>
  </si>
  <si>
    <t xml:space="preserve">Satuan Beli</t>
  </si>
  <si>
    <t xml:space="preserve">Isi per Satuan</t>
  </si>
  <si>
    <t xml:space="preserve">Total Kuantitas</t>
  </si>
  <si>
    <t xml:space="preserve">Harga per Satuan</t>
  </si>
  <si>
    <t xml:space="preserve">Subtotal</t>
  </si>
  <si>
    <t xml:space="preserve">Persen Diskon</t>
  </si>
  <si>
    <t xml:space="preserve">Total Bayar</t>
  </si>
  <si>
    <t xml:space="preserve">Harga Efektif Dasar</t>
  </si>
  <si>
    <t xml:space="preserve">Parameter</t>
  </si>
  <si>
    <t xml:space="preserve">Nilai</t>
  </si>
  <si>
    <t xml:space="preserve">Keterangan</t>
  </si>
  <si>
    <t xml:space="preserve">PO-001</t>
  </si>
  <si>
    <t xml:space="preserve">Cokelat Batang</t>
  </si>
  <si>
    <t xml:space="preserve">PT Tirta Boga</t>
  </si>
  <si>
    <t xml:space="preserve">Batas diskon 1</t>
  </si>
  <si>
    <t xml:space="preserve">Subtotal sama dengan atau di atas batas ini mendapat Diskon 1</t>
  </si>
  <si>
    <t xml:space="preserve">PO-002</t>
  </si>
  <si>
    <t xml:space="preserve">Tepung Terigu</t>
  </si>
  <si>
    <t xml:space="preserve">UD Sumber Pangan</t>
  </si>
  <si>
    <t xml:space="preserve">Diskon 1</t>
  </si>
  <si>
    <t xml:space="preserve">PO-003</t>
  </si>
  <si>
    <t xml:space="preserve">Minyak Goreng</t>
  </si>
  <si>
    <t xml:space="preserve">Batas diskon 2</t>
  </si>
  <si>
    <t xml:space="preserve">Subtotal sama dengan atau di atas batas ini mendapat Diskon 2</t>
  </si>
  <si>
    <t xml:space="preserve">PO-004</t>
  </si>
  <si>
    <t xml:space="preserve">Susu Bubuk</t>
  </si>
  <si>
    <t xml:space="preserve">CV Karya Niaga</t>
  </si>
  <si>
    <t xml:space="preserve">Diskon 2</t>
  </si>
  <si>
    <t xml:space="preserve">PO-005</t>
  </si>
  <si>
    <t xml:space="preserve">Gula Pasir</t>
  </si>
  <si>
    <t xml:space="preserve">PO-006</t>
  </si>
  <si>
    <t xml:space="preserve">PO-007</t>
  </si>
  <si>
    <t xml:space="preserve">Mentega</t>
  </si>
  <si>
    <t xml:space="preserve">PO-008</t>
  </si>
  <si>
    <t xml:space="preserve">PO-009</t>
  </si>
  <si>
    <t xml:space="preserve">CV Agro Mulia</t>
  </si>
  <si>
    <t xml:space="preserve">PO-010</t>
  </si>
  <si>
    <t xml:space="preserve">PO-011</t>
  </si>
  <si>
    <t xml:space="preserve">PO-012</t>
  </si>
  <si>
    <t xml:space="preserve">PO-013</t>
  </si>
  <si>
    <t xml:space="preserve">PO-014</t>
  </si>
  <si>
    <t xml:space="preserve">PO-015</t>
  </si>
  <si>
    <t xml:space="preserve">PO-016</t>
  </si>
  <si>
    <t xml:space="preserve">PO-017</t>
  </si>
  <si>
    <t xml:space="preserve">PO-018</t>
  </si>
  <si>
    <t xml:space="preserve">PO-019</t>
  </si>
  <si>
    <t xml:space="preserve">PO-020</t>
  </si>
  <si>
    <t xml:space="preserve">PO-021</t>
  </si>
  <si>
    <t xml:space="preserve">PO-022</t>
  </si>
  <si>
    <t xml:space="preserve">PO-023</t>
  </si>
  <si>
    <t xml:space="preserve">PO-024</t>
  </si>
  <si>
    <t xml:space="preserve">PO-025</t>
  </si>
  <si>
    <t xml:space="preserve">PO-026</t>
  </si>
  <si>
    <t xml:space="preserve">PO-027</t>
  </si>
  <si>
    <t xml:space="preserve">PO-028</t>
  </si>
  <si>
    <t xml:space="preserve">PO-029</t>
  </si>
  <si>
    <t xml:space="preserve">PO-030</t>
  </si>
  <si>
    <t xml:space="preserve">Satuan Dasar</t>
  </si>
  <si>
    <t xml:space="preserve">Harga per Satuan Beli</t>
  </si>
  <si>
    <t xml:space="preserve">Jumlah PO</t>
  </si>
  <si>
    <t xml:space="preserve">Total Pembelian</t>
  </si>
  <si>
    <t xml:space="preserve">Karung</t>
  </si>
  <si>
    <t xml:space="preserve">kg</t>
  </si>
  <si>
    <t xml:space="preserve">Jerigen</t>
  </si>
  <si>
    <t xml:space="preserve">liter</t>
  </si>
  <si>
    <t xml:space="preserve">Dus</t>
  </si>
  <si>
    <t xml:space="preserve">Ringkasan: lembar jawaban soal berjenis ringkasan</t>
  </si>
  <si>
    <t xml:space="preserve">Sel hijau berisi rumus kunci.</t>
  </si>
  <si>
    <t xml:space="preserve">Pertanyaan</t>
  </si>
  <si>
    <t xml:space="preserve">Jawaban</t>
  </si>
  <si>
    <t xml:space="preserve">Contoh format hasil</t>
  </si>
  <si>
    <t xml:space="preserve">11a</t>
  </si>
  <si>
    <t xml:space="preserve">Total subtotal</t>
  </si>
  <si>
    <t xml:space="preserve">Rupiah, mis. Rp 250.000.000</t>
  </si>
  <si>
    <t xml:space="preserve">11b</t>
  </si>
  <si>
    <t xml:space="preserve">Total bayar</t>
  </si>
  <si>
    <t xml:space="preserve">Rupiah, mis. Rp 240.000.000</t>
  </si>
  <si>
    <t xml:space="preserve">11c</t>
  </si>
  <si>
    <t xml:space="preserve">Total diskon</t>
  </si>
  <si>
    <t xml:space="preserve">Rupiah, mis. Rp 10.000.000</t>
  </si>
  <si>
    <t xml:space="preserve">12a</t>
  </si>
  <si>
    <t xml:space="preserve">Pesanan diskon 6 persen</t>
  </si>
  <si>
    <t xml:space="preserve">Angka bulat, mis. 7</t>
  </si>
  <si>
    <t xml:space="preserve">12b</t>
  </si>
  <si>
    <t xml:space="preserve">Pesanan Gula Pasir diskon 3 persen</t>
  </si>
  <si>
    <t xml:space="preserve">Angka bulat, mis. 3</t>
  </si>
  <si>
    <t xml:space="preserve">13a</t>
  </si>
  <si>
    <t xml:space="preserve">Bahan dengan total pembelian terbesar</t>
  </si>
  <si>
    <t xml:space="preserve">Teks: nama bahan</t>
  </si>
  <si>
    <t xml:space="preserve">13b</t>
  </si>
  <si>
    <t xml:space="preserve">Pemasok pada kuantitas terbesar</t>
  </si>
  <si>
    <t xml:space="preserve">Teks: nama pemasok</t>
  </si>
  <si>
    <t xml:space="preserve">14a</t>
  </si>
  <si>
    <t xml:space="preserve">Total liter Minyak Goreng</t>
  </si>
  <si>
    <t xml:space="preserve">Angka bulat, mis. 900</t>
  </si>
  <si>
    <t xml:space="preserve">14b</t>
  </si>
  <si>
    <t xml:space="preserve">Total bayar ke CV Agro Mulia</t>
  </si>
  <si>
    <t xml:space="preserve">Rupiah, mis. Rp 60.000.000</t>
  </si>
  <si>
    <t xml:space="preserve">15a</t>
  </si>
  <si>
    <t xml:space="preserve">Rata-rata total bayar</t>
  </si>
  <si>
    <t xml:space="preserve">Rupiah, mis. Rp 8.000.000</t>
  </si>
  <si>
    <t xml:space="preserve">15b</t>
  </si>
  <si>
    <t xml:space="preserve">Harga efektif tertinggi</t>
  </si>
  <si>
    <t xml:space="preserve">Rupiah, mis. Rp 70.000</t>
  </si>
</sst>
</file>

<file path=xl/styles.xml><?xml version="1.0" encoding="utf-8"?>
<styleSheet xmlns="http://schemas.openxmlformats.org/spreadsheetml/2006/main">
  <numFmts count="4">
    <numFmt numFmtId="164" formatCode="General"/>
    <numFmt numFmtId="165" formatCode="0"/>
    <numFmt numFmtId="166" formatCode="&quot;Rp &quot;#,##0"/>
    <numFmt numFmtId="167" formatCode="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right" vertical="center" textRotation="0" wrapText="false" indent="0" shrinkToFit="false"/>
      <protection locked="true" hidden="false"/>
    </xf>
    <xf numFmtId="167" fontId="10"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81"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42"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30" hidden="false" customHeight="true" outlineLevel="0" collapsed="false">
      <c r="A29" s="12" t="s">
        <v>55</v>
      </c>
      <c r="B29" s="13" t="s">
        <v>56</v>
      </c>
      <c r="C29" s="13" t="s">
        <v>57</v>
      </c>
      <c r="D29" s="14" t="s">
        <v>58</v>
      </c>
    </row>
    <row r="30" customFormat="false" ht="30" hidden="false" customHeight="true" outlineLevel="0" collapsed="false">
      <c r="A30" s="12" t="s">
        <v>59</v>
      </c>
      <c r="B30" s="13" t="s">
        <v>60</v>
      </c>
      <c r="C30" s="13" t="s">
        <v>61</v>
      </c>
      <c r="D30" s="14" t="s">
        <v>62</v>
      </c>
    </row>
    <row r="31" customFormat="false" ht="57.75" hidden="false" customHeight="true" outlineLevel="0" collapsed="false">
      <c r="A31" s="12" t="s">
        <v>63</v>
      </c>
      <c r="B31" s="13" t="s">
        <v>64</v>
      </c>
      <c r="C31" s="13" t="s">
        <v>65</v>
      </c>
      <c r="D31" s="14" t="s">
        <v>66</v>
      </c>
    </row>
    <row r="32" customFormat="false" ht="43.5" hidden="false" customHeight="true" outlineLevel="0" collapsed="false">
      <c r="A32" s="12" t="s">
        <v>67</v>
      </c>
      <c r="B32" s="13" t="s">
        <v>68</v>
      </c>
      <c r="C32" s="13" t="s">
        <v>69</v>
      </c>
      <c r="D32" s="14" t="s">
        <v>70</v>
      </c>
    </row>
    <row r="33" customFormat="false" ht="55.5" hidden="false" customHeight="true" outlineLevel="0" collapsed="false">
      <c r="A33" s="12" t="s">
        <v>71</v>
      </c>
      <c r="B33" s="13" t="s">
        <v>72</v>
      </c>
      <c r="C33" s="13" t="s">
        <v>73</v>
      </c>
      <c r="D33" s="14" t="s">
        <v>74</v>
      </c>
    </row>
    <row r="34" customFormat="false" ht="43.5" hidden="false" customHeight="true" outlineLevel="0" collapsed="false">
      <c r="A34" s="12" t="s">
        <v>75</v>
      </c>
      <c r="B34" s="13" t="s">
        <v>76</v>
      </c>
      <c r="C34" s="13" t="s">
        <v>77</v>
      </c>
      <c r="D34" s="14" t="s">
        <v>78</v>
      </c>
    </row>
    <row r="35" customFormat="false" ht="43.5" hidden="false" customHeight="true" outlineLevel="0" collapsed="false">
      <c r="A35" s="12" t="s">
        <v>79</v>
      </c>
      <c r="B35" s="13" t="s">
        <v>80</v>
      </c>
      <c r="C35" s="13" t="s">
        <v>81</v>
      </c>
      <c r="D35" s="14" t="s">
        <v>82</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7"/>
    <col collapsed="false" customWidth="true" hidden="false" outlineLevel="0" max="3" min="3" style="0" width="18"/>
    <col collapsed="false" customWidth="true" hidden="false" outlineLevel="0" max="4" min="4" style="0" width="12"/>
    <col collapsed="false" customWidth="true" hidden="false" outlineLevel="0" max="5" min="5" style="0" width="11"/>
    <col collapsed="false" customWidth="true" hidden="false" outlineLevel="0" max="6" min="6" style="0" width="13"/>
    <col collapsed="false" customWidth="true" hidden="false" outlineLevel="0" max="7" min="7" style="0" width="14"/>
    <col collapsed="false" customWidth="true" hidden="false" outlineLevel="0" max="9" min="8" style="0" width="15"/>
    <col collapsed="false" customWidth="true" hidden="false" outlineLevel="0" max="10" min="10" style="0" width="13"/>
    <col collapsed="false" customWidth="true" hidden="false" outlineLevel="0" max="11" min="11" style="0" width="15"/>
    <col collapsed="false" customWidth="true" hidden="false" outlineLevel="0" max="12" min="12" style="0" width="17"/>
    <col collapsed="false" customWidth="true" hidden="false" outlineLevel="0" max="13" min="13" style="0" width="3"/>
    <col collapsed="false" customWidth="true" hidden="false" outlineLevel="0" max="14" min="14" style="0" width="30"/>
    <col collapsed="false" customWidth="true" hidden="false" outlineLevel="0" max="15" min="15" style="0" width="16"/>
    <col collapsed="false" customWidth="true" hidden="false" outlineLevel="0" max="16" min="16" style="0" width="42"/>
  </cols>
  <sheetData>
    <row r="1" customFormat="false" ht="33.75" hidden="false" customHeight="true" outlineLevel="0" collapsed="false">
      <c r="A1" s="11" t="s">
        <v>83</v>
      </c>
      <c r="B1" s="11" t="s">
        <v>84</v>
      </c>
      <c r="C1" s="11" t="s">
        <v>85</v>
      </c>
      <c r="D1" s="11" t="s">
        <v>86</v>
      </c>
      <c r="E1" s="15" t="s">
        <v>87</v>
      </c>
      <c r="F1" s="15" t="s">
        <v>88</v>
      </c>
      <c r="G1" s="15" t="s">
        <v>89</v>
      </c>
      <c r="H1" s="15" t="s">
        <v>90</v>
      </c>
      <c r="I1" s="15" t="s">
        <v>91</v>
      </c>
      <c r="J1" s="15" t="s">
        <v>92</v>
      </c>
      <c r="K1" s="15" t="s">
        <v>93</v>
      </c>
      <c r="L1" s="15" t="s">
        <v>94</v>
      </c>
      <c r="N1" s="16" t="s">
        <v>95</v>
      </c>
      <c r="O1" s="16" t="s">
        <v>96</v>
      </c>
      <c r="P1" s="16" t="s">
        <v>97</v>
      </c>
    </row>
    <row r="2" customFormat="false" ht="15" hidden="false" customHeight="false" outlineLevel="0" collapsed="false">
      <c r="A2" s="17" t="s">
        <v>98</v>
      </c>
      <c r="B2" s="17" t="s">
        <v>99</v>
      </c>
      <c r="C2" s="17" t="s">
        <v>100</v>
      </c>
      <c r="D2" s="18" t="n">
        <v>30</v>
      </c>
      <c r="E2" s="19" t="str">
        <f aca="false">VLOOKUP(B2,Acuan!$A$2:$E$7,2,FALSE())</f>
        <v>Dus</v>
      </c>
      <c r="F2" s="20" t="n">
        <f aca="false">VLOOKUP(B2,Acuan!$A$2:$E$7,3,FALSE())</f>
        <v>12</v>
      </c>
      <c r="G2" s="20" t="n">
        <f aca="false">D2*F2</f>
        <v>360</v>
      </c>
      <c r="H2" s="21" t="n">
        <f aca="false">VLOOKUP(B2,Acuan!$A$2:$E$7,5,FALSE())</f>
        <v>760000</v>
      </c>
      <c r="I2" s="21" t="n">
        <f aca="false">D2*H2</f>
        <v>22800000</v>
      </c>
      <c r="J2" s="22" t="n">
        <f aca="false">IF(I2&gt;=$O$4,$O$5,IF(I2&gt;=$O$2,$O$3,0))</f>
        <v>0.06</v>
      </c>
      <c r="K2" s="21" t="n">
        <f aca="false">ROUND(I2*(1-J2),0)</f>
        <v>21432000</v>
      </c>
      <c r="L2" s="21" t="n">
        <f aca="false">ROUND(K2/G2,0)</f>
        <v>59533</v>
      </c>
      <c r="N2" s="23" t="s">
        <v>101</v>
      </c>
      <c r="O2" s="24" t="n">
        <v>8000000</v>
      </c>
      <c r="P2" s="23" t="s">
        <v>102</v>
      </c>
    </row>
    <row r="3" customFormat="false" ht="15" hidden="false" customHeight="false" outlineLevel="0" collapsed="false">
      <c r="A3" s="17" t="s">
        <v>103</v>
      </c>
      <c r="B3" s="17" t="s">
        <v>104</v>
      </c>
      <c r="C3" s="17" t="s">
        <v>105</v>
      </c>
      <c r="D3" s="18" t="n">
        <v>6</v>
      </c>
      <c r="E3" s="19" t="str">
        <f aca="false">VLOOKUP(B3,Acuan!$A$2:$E$7,2,FALSE())</f>
        <v>Karung</v>
      </c>
      <c r="F3" s="20" t="n">
        <f aca="false">VLOOKUP(B3,Acuan!$A$2:$E$7,3,FALSE())</f>
        <v>25</v>
      </c>
      <c r="G3" s="20" t="n">
        <f aca="false">D3*F3</f>
        <v>150</v>
      </c>
      <c r="H3" s="21" t="n">
        <f aca="false">VLOOKUP(B3,Acuan!$A$2:$E$7,5,FALSE())</f>
        <v>285000</v>
      </c>
      <c r="I3" s="21" t="n">
        <f aca="false">D3*H3</f>
        <v>1710000</v>
      </c>
      <c r="J3" s="22" t="n">
        <f aca="false">IF(I3&gt;=$O$4,$O$5,IF(I3&gt;=$O$2,$O$3,0))</f>
        <v>0</v>
      </c>
      <c r="K3" s="21" t="n">
        <f aca="false">ROUND(I3*(1-J3),0)</f>
        <v>1710000</v>
      </c>
      <c r="L3" s="21" t="n">
        <f aca="false">ROUND(K3/G3,0)</f>
        <v>11400</v>
      </c>
      <c r="N3" s="23" t="s">
        <v>106</v>
      </c>
      <c r="O3" s="25" t="n">
        <v>0.03</v>
      </c>
      <c r="P3" s="23"/>
    </row>
    <row r="4" customFormat="false" ht="15" hidden="false" customHeight="false" outlineLevel="0" collapsed="false">
      <c r="A4" s="17" t="s">
        <v>107</v>
      </c>
      <c r="B4" s="17" t="s">
        <v>108</v>
      </c>
      <c r="C4" s="17" t="s">
        <v>105</v>
      </c>
      <c r="D4" s="18" t="n">
        <v>20</v>
      </c>
      <c r="E4" s="19" t="str">
        <f aca="false">VLOOKUP(B4,Acuan!$A$2:$E$7,2,FALSE())</f>
        <v>Jerigen</v>
      </c>
      <c r="F4" s="20" t="n">
        <f aca="false">VLOOKUP(B4,Acuan!$A$2:$E$7,3,FALSE())</f>
        <v>18</v>
      </c>
      <c r="G4" s="20" t="n">
        <f aca="false">D4*F4</f>
        <v>360</v>
      </c>
      <c r="H4" s="21" t="n">
        <f aca="false">VLOOKUP(B4,Acuan!$A$2:$E$7,5,FALSE())</f>
        <v>345000</v>
      </c>
      <c r="I4" s="21" t="n">
        <f aca="false">D4*H4</f>
        <v>6900000</v>
      </c>
      <c r="J4" s="22" t="n">
        <f aca="false">IF(I4&gt;=$O$4,$O$5,IF(I4&gt;=$O$2,$O$3,0))</f>
        <v>0</v>
      </c>
      <c r="K4" s="21" t="n">
        <f aca="false">ROUND(I4*(1-J4),0)</f>
        <v>6900000</v>
      </c>
      <c r="L4" s="21" t="n">
        <f aca="false">ROUND(K4/G4,0)</f>
        <v>19167</v>
      </c>
      <c r="N4" s="23" t="s">
        <v>109</v>
      </c>
      <c r="O4" s="24" t="n">
        <v>20000000</v>
      </c>
      <c r="P4" s="23" t="s">
        <v>110</v>
      </c>
    </row>
    <row r="5" customFormat="false" ht="15" hidden="false" customHeight="false" outlineLevel="0" collapsed="false">
      <c r="A5" s="17" t="s">
        <v>111</v>
      </c>
      <c r="B5" s="17" t="s">
        <v>112</v>
      </c>
      <c r="C5" s="17" t="s">
        <v>113</v>
      </c>
      <c r="D5" s="18" t="n">
        <v>12</v>
      </c>
      <c r="E5" s="19" t="str">
        <f aca="false">VLOOKUP(B5,Acuan!$A$2:$E$7,2,FALSE())</f>
        <v>Karung</v>
      </c>
      <c r="F5" s="20" t="n">
        <f aca="false">VLOOKUP(B5,Acuan!$A$2:$E$7,3,FALSE())</f>
        <v>20</v>
      </c>
      <c r="G5" s="20" t="n">
        <f aca="false">D5*F5</f>
        <v>240</v>
      </c>
      <c r="H5" s="21" t="n">
        <f aca="false">VLOOKUP(B5,Acuan!$A$2:$E$7,5,FALSE())</f>
        <v>1180000</v>
      </c>
      <c r="I5" s="21" t="n">
        <f aca="false">D5*H5</f>
        <v>14160000</v>
      </c>
      <c r="J5" s="22" t="n">
        <f aca="false">IF(I5&gt;=$O$4,$O$5,IF(I5&gt;=$O$2,$O$3,0))</f>
        <v>0.03</v>
      </c>
      <c r="K5" s="21" t="n">
        <f aca="false">ROUND(I5*(1-J5),0)</f>
        <v>13735200</v>
      </c>
      <c r="L5" s="21" t="n">
        <f aca="false">ROUND(K5/G5,0)</f>
        <v>57230</v>
      </c>
      <c r="N5" s="23" t="s">
        <v>114</v>
      </c>
      <c r="O5" s="25" t="n">
        <v>0.06</v>
      </c>
      <c r="P5" s="23"/>
    </row>
    <row r="6" customFormat="false" ht="15" hidden="false" customHeight="false" outlineLevel="0" collapsed="false">
      <c r="A6" s="17" t="s">
        <v>115</v>
      </c>
      <c r="B6" s="17" t="s">
        <v>116</v>
      </c>
      <c r="C6" s="17" t="s">
        <v>100</v>
      </c>
      <c r="D6" s="18" t="n">
        <v>12</v>
      </c>
      <c r="E6" s="19" t="str">
        <f aca="false">VLOOKUP(B6,Acuan!$A$2:$E$7,2,FALSE())</f>
        <v>Karung</v>
      </c>
      <c r="F6" s="20" t="n">
        <f aca="false">VLOOKUP(B6,Acuan!$A$2:$E$7,3,FALSE())</f>
        <v>50</v>
      </c>
      <c r="G6" s="20" t="n">
        <f aca="false">D6*F6</f>
        <v>600</v>
      </c>
      <c r="H6" s="21" t="n">
        <f aca="false">VLOOKUP(B6,Acuan!$A$2:$E$7,5,FALSE())</f>
        <v>640000</v>
      </c>
      <c r="I6" s="21" t="n">
        <f aca="false">D6*H6</f>
        <v>7680000</v>
      </c>
      <c r="J6" s="22" t="n">
        <f aca="false">IF(I6&gt;=$O$4,$O$5,IF(I6&gt;=$O$2,$O$3,0))</f>
        <v>0</v>
      </c>
      <c r="K6" s="21" t="n">
        <f aca="false">ROUND(I6*(1-J6),0)</f>
        <v>7680000</v>
      </c>
      <c r="L6" s="21" t="n">
        <f aca="false">ROUND(K6/G6,0)</f>
        <v>12800</v>
      </c>
    </row>
    <row r="7" customFormat="false" ht="15" hidden="false" customHeight="false" outlineLevel="0" collapsed="false">
      <c r="A7" s="17" t="s">
        <v>117</v>
      </c>
      <c r="B7" s="17" t="s">
        <v>99</v>
      </c>
      <c r="C7" s="17" t="s">
        <v>113</v>
      </c>
      <c r="D7" s="18" t="n">
        <v>15</v>
      </c>
      <c r="E7" s="19" t="str">
        <f aca="false">VLOOKUP(B7,Acuan!$A$2:$E$7,2,FALSE())</f>
        <v>Dus</v>
      </c>
      <c r="F7" s="20" t="n">
        <f aca="false">VLOOKUP(B7,Acuan!$A$2:$E$7,3,FALSE())</f>
        <v>12</v>
      </c>
      <c r="G7" s="20" t="n">
        <f aca="false">D7*F7</f>
        <v>180</v>
      </c>
      <c r="H7" s="21" t="n">
        <f aca="false">VLOOKUP(B7,Acuan!$A$2:$E$7,5,FALSE())</f>
        <v>760000</v>
      </c>
      <c r="I7" s="21" t="n">
        <f aca="false">D7*H7</f>
        <v>11400000</v>
      </c>
      <c r="J7" s="22" t="n">
        <f aca="false">IF(I7&gt;=$O$4,$O$5,IF(I7&gt;=$O$2,$O$3,0))</f>
        <v>0.03</v>
      </c>
      <c r="K7" s="21" t="n">
        <f aca="false">ROUND(I7*(1-J7),0)</f>
        <v>11058000</v>
      </c>
      <c r="L7" s="21" t="n">
        <f aca="false">ROUND(K7/G7,0)</f>
        <v>61433</v>
      </c>
    </row>
    <row r="8" customFormat="false" ht="15" hidden="false" customHeight="false" outlineLevel="0" collapsed="false">
      <c r="A8" s="17" t="s">
        <v>118</v>
      </c>
      <c r="B8" s="17" t="s">
        <v>119</v>
      </c>
      <c r="C8" s="17" t="s">
        <v>113</v>
      </c>
      <c r="D8" s="18" t="n">
        <v>12</v>
      </c>
      <c r="E8" s="19" t="str">
        <f aca="false">VLOOKUP(B8,Acuan!$A$2:$E$7,2,FALSE())</f>
        <v>Dus</v>
      </c>
      <c r="F8" s="20" t="n">
        <f aca="false">VLOOKUP(B8,Acuan!$A$2:$E$7,3,FALSE())</f>
        <v>10</v>
      </c>
      <c r="G8" s="20" t="n">
        <f aca="false">D8*F8</f>
        <v>120</v>
      </c>
      <c r="H8" s="21" t="n">
        <f aca="false">VLOOKUP(B8,Acuan!$A$2:$E$7,5,FALSE())</f>
        <v>520000</v>
      </c>
      <c r="I8" s="21" t="n">
        <f aca="false">D8*H8</f>
        <v>6240000</v>
      </c>
      <c r="J8" s="22" t="n">
        <f aca="false">IF(I8&gt;=$O$4,$O$5,IF(I8&gt;=$O$2,$O$3,0))</f>
        <v>0</v>
      </c>
      <c r="K8" s="21" t="n">
        <f aca="false">ROUND(I8*(1-J8),0)</f>
        <v>6240000</v>
      </c>
      <c r="L8" s="21" t="n">
        <f aca="false">ROUND(K8/G8,0)</f>
        <v>52000</v>
      </c>
    </row>
    <row r="9" customFormat="false" ht="15" hidden="false" customHeight="false" outlineLevel="0" collapsed="false">
      <c r="A9" s="17" t="s">
        <v>120</v>
      </c>
      <c r="B9" s="17" t="s">
        <v>116</v>
      </c>
      <c r="C9" s="17" t="s">
        <v>113</v>
      </c>
      <c r="D9" s="18" t="n">
        <v>20</v>
      </c>
      <c r="E9" s="19" t="str">
        <f aca="false">VLOOKUP(B9,Acuan!$A$2:$E$7,2,FALSE())</f>
        <v>Karung</v>
      </c>
      <c r="F9" s="20" t="n">
        <f aca="false">VLOOKUP(B9,Acuan!$A$2:$E$7,3,FALSE())</f>
        <v>50</v>
      </c>
      <c r="G9" s="20" t="n">
        <f aca="false">D9*F9</f>
        <v>1000</v>
      </c>
      <c r="H9" s="21" t="n">
        <f aca="false">VLOOKUP(B9,Acuan!$A$2:$E$7,5,FALSE())</f>
        <v>640000</v>
      </c>
      <c r="I9" s="21" t="n">
        <f aca="false">D9*H9</f>
        <v>12800000</v>
      </c>
      <c r="J9" s="22" t="n">
        <f aca="false">IF(I9&gt;=$O$4,$O$5,IF(I9&gt;=$O$2,$O$3,0))</f>
        <v>0.03</v>
      </c>
      <c r="K9" s="21" t="n">
        <f aca="false">ROUND(I9*(1-J9),0)</f>
        <v>12416000</v>
      </c>
      <c r="L9" s="21" t="n">
        <f aca="false">ROUND(K9/G9,0)</f>
        <v>12416</v>
      </c>
    </row>
    <row r="10" customFormat="false" ht="15" hidden="false" customHeight="false" outlineLevel="0" collapsed="false">
      <c r="A10" s="17" t="s">
        <v>121</v>
      </c>
      <c r="B10" s="17" t="s">
        <v>104</v>
      </c>
      <c r="C10" s="17" t="s">
        <v>122</v>
      </c>
      <c r="D10" s="18" t="n">
        <v>12</v>
      </c>
      <c r="E10" s="19" t="str">
        <f aca="false">VLOOKUP(B10,Acuan!$A$2:$E$7,2,FALSE())</f>
        <v>Karung</v>
      </c>
      <c r="F10" s="20" t="n">
        <f aca="false">VLOOKUP(B10,Acuan!$A$2:$E$7,3,FALSE())</f>
        <v>25</v>
      </c>
      <c r="G10" s="20" t="n">
        <f aca="false">D10*F10</f>
        <v>300</v>
      </c>
      <c r="H10" s="21" t="n">
        <f aca="false">VLOOKUP(B10,Acuan!$A$2:$E$7,5,FALSE())</f>
        <v>285000</v>
      </c>
      <c r="I10" s="21" t="n">
        <f aca="false">D10*H10</f>
        <v>3420000</v>
      </c>
      <c r="J10" s="22" t="n">
        <f aca="false">IF(I10&gt;=$O$4,$O$5,IF(I10&gt;=$O$2,$O$3,0))</f>
        <v>0</v>
      </c>
      <c r="K10" s="21" t="n">
        <f aca="false">ROUND(I10*(1-J10),0)</f>
        <v>3420000</v>
      </c>
      <c r="L10" s="21" t="n">
        <f aca="false">ROUND(K10/G10,0)</f>
        <v>11400</v>
      </c>
    </row>
    <row r="11" customFormat="false" ht="15" hidden="false" customHeight="false" outlineLevel="0" collapsed="false">
      <c r="A11" s="17" t="s">
        <v>123</v>
      </c>
      <c r="B11" s="17" t="s">
        <v>108</v>
      </c>
      <c r="C11" s="17" t="s">
        <v>122</v>
      </c>
      <c r="D11" s="18" t="n">
        <v>12</v>
      </c>
      <c r="E11" s="19" t="str">
        <f aca="false">VLOOKUP(B11,Acuan!$A$2:$E$7,2,FALSE())</f>
        <v>Jerigen</v>
      </c>
      <c r="F11" s="20" t="n">
        <f aca="false">VLOOKUP(B11,Acuan!$A$2:$E$7,3,FALSE())</f>
        <v>18</v>
      </c>
      <c r="G11" s="20" t="n">
        <f aca="false">D11*F11</f>
        <v>216</v>
      </c>
      <c r="H11" s="21" t="n">
        <f aca="false">VLOOKUP(B11,Acuan!$A$2:$E$7,5,FALSE())</f>
        <v>345000</v>
      </c>
      <c r="I11" s="21" t="n">
        <f aca="false">D11*H11</f>
        <v>4140000</v>
      </c>
      <c r="J11" s="22" t="n">
        <f aca="false">IF(I11&gt;=$O$4,$O$5,IF(I11&gt;=$O$2,$O$3,0))</f>
        <v>0</v>
      </c>
      <c r="K11" s="21" t="n">
        <f aca="false">ROUND(I11*(1-J11),0)</f>
        <v>4140000</v>
      </c>
      <c r="L11" s="21" t="n">
        <f aca="false">ROUND(K11/G11,0)</f>
        <v>19167</v>
      </c>
    </row>
    <row r="12" customFormat="false" ht="15" hidden="false" customHeight="false" outlineLevel="0" collapsed="false">
      <c r="A12" s="17" t="s">
        <v>124</v>
      </c>
      <c r="B12" s="17" t="s">
        <v>108</v>
      </c>
      <c r="C12" s="17" t="s">
        <v>122</v>
      </c>
      <c r="D12" s="18" t="n">
        <v>25</v>
      </c>
      <c r="E12" s="19" t="str">
        <f aca="false">VLOOKUP(B12,Acuan!$A$2:$E$7,2,FALSE())</f>
        <v>Jerigen</v>
      </c>
      <c r="F12" s="20" t="n">
        <f aca="false">VLOOKUP(B12,Acuan!$A$2:$E$7,3,FALSE())</f>
        <v>18</v>
      </c>
      <c r="G12" s="20" t="n">
        <f aca="false">D12*F12</f>
        <v>450</v>
      </c>
      <c r="H12" s="21" t="n">
        <f aca="false">VLOOKUP(B12,Acuan!$A$2:$E$7,5,FALSE())</f>
        <v>345000</v>
      </c>
      <c r="I12" s="21" t="n">
        <f aca="false">D12*H12</f>
        <v>8625000</v>
      </c>
      <c r="J12" s="22" t="n">
        <f aca="false">IF(I12&gt;=$O$4,$O$5,IF(I12&gt;=$O$2,$O$3,0))</f>
        <v>0.03</v>
      </c>
      <c r="K12" s="21" t="n">
        <f aca="false">ROUND(I12*(1-J12),0)</f>
        <v>8366250</v>
      </c>
      <c r="L12" s="21" t="n">
        <f aca="false">ROUND(K12/G12,0)</f>
        <v>18592</v>
      </c>
    </row>
    <row r="13" customFormat="false" ht="15" hidden="false" customHeight="false" outlineLevel="0" collapsed="false">
      <c r="A13" s="17" t="s">
        <v>125</v>
      </c>
      <c r="B13" s="17" t="s">
        <v>104</v>
      </c>
      <c r="C13" s="17" t="s">
        <v>122</v>
      </c>
      <c r="D13" s="18" t="n">
        <v>6</v>
      </c>
      <c r="E13" s="19" t="str">
        <f aca="false">VLOOKUP(B13,Acuan!$A$2:$E$7,2,FALSE())</f>
        <v>Karung</v>
      </c>
      <c r="F13" s="20" t="n">
        <f aca="false">VLOOKUP(B13,Acuan!$A$2:$E$7,3,FALSE())</f>
        <v>25</v>
      </c>
      <c r="G13" s="20" t="n">
        <f aca="false">D13*F13</f>
        <v>150</v>
      </c>
      <c r="H13" s="21" t="n">
        <f aca="false">VLOOKUP(B13,Acuan!$A$2:$E$7,5,FALSE())</f>
        <v>285000</v>
      </c>
      <c r="I13" s="21" t="n">
        <f aca="false">D13*H13</f>
        <v>1710000</v>
      </c>
      <c r="J13" s="22" t="n">
        <f aca="false">IF(I13&gt;=$O$4,$O$5,IF(I13&gt;=$O$2,$O$3,0))</f>
        <v>0</v>
      </c>
      <c r="K13" s="21" t="n">
        <f aca="false">ROUND(I13*(1-J13),0)</f>
        <v>1710000</v>
      </c>
      <c r="L13" s="21" t="n">
        <f aca="false">ROUND(K13/G13,0)</f>
        <v>11400</v>
      </c>
    </row>
    <row r="14" customFormat="false" ht="15" hidden="false" customHeight="false" outlineLevel="0" collapsed="false">
      <c r="A14" s="17" t="s">
        <v>126</v>
      </c>
      <c r="B14" s="17" t="s">
        <v>116</v>
      </c>
      <c r="C14" s="17" t="s">
        <v>100</v>
      </c>
      <c r="D14" s="18" t="n">
        <v>4</v>
      </c>
      <c r="E14" s="19" t="str">
        <f aca="false">VLOOKUP(B14,Acuan!$A$2:$E$7,2,FALSE())</f>
        <v>Karung</v>
      </c>
      <c r="F14" s="20" t="n">
        <f aca="false">VLOOKUP(B14,Acuan!$A$2:$E$7,3,FALSE())</f>
        <v>50</v>
      </c>
      <c r="G14" s="20" t="n">
        <f aca="false">D14*F14</f>
        <v>200</v>
      </c>
      <c r="H14" s="21" t="n">
        <f aca="false">VLOOKUP(B14,Acuan!$A$2:$E$7,5,FALSE())</f>
        <v>640000</v>
      </c>
      <c r="I14" s="21" t="n">
        <f aca="false">D14*H14</f>
        <v>2560000</v>
      </c>
      <c r="J14" s="22" t="n">
        <f aca="false">IF(I14&gt;=$O$4,$O$5,IF(I14&gt;=$O$2,$O$3,0))</f>
        <v>0</v>
      </c>
      <c r="K14" s="21" t="n">
        <f aca="false">ROUND(I14*(1-J14),0)</f>
        <v>2560000</v>
      </c>
      <c r="L14" s="21" t="n">
        <f aca="false">ROUND(K14/G14,0)</f>
        <v>12800</v>
      </c>
    </row>
    <row r="15" customFormat="false" ht="15" hidden="false" customHeight="false" outlineLevel="0" collapsed="false">
      <c r="A15" s="17" t="s">
        <v>127</v>
      </c>
      <c r="B15" s="17" t="s">
        <v>99</v>
      </c>
      <c r="C15" s="17" t="s">
        <v>113</v>
      </c>
      <c r="D15" s="18" t="n">
        <v>25</v>
      </c>
      <c r="E15" s="19" t="str">
        <f aca="false">VLOOKUP(B15,Acuan!$A$2:$E$7,2,FALSE())</f>
        <v>Dus</v>
      </c>
      <c r="F15" s="20" t="n">
        <f aca="false">VLOOKUP(B15,Acuan!$A$2:$E$7,3,FALSE())</f>
        <v>12</v>
      </c>
      <c r="G15" s="20" t="n">
        <f aca="false">D15*F15</f>
        <v>300</v>
      </c>
      <c r="H15" s="21" t="n">
        <f aca="false">VLOOKUP(B15,Acuan!$A$2:$E$7,5,FALSE())</f>
        <v>760000</v>
      </c>
      <c r="I15" s="21" t="n">
        <f aca="false">D15*H15</f>
        <v>19000000</v>
      </c>
      <c r="J15" s="22" t="n">
        <f aca="false">IF(I15&gt;=$O$4,$O$5,IF(I15&gt;=$O$2,$O$3,0))</f>
        <v>0.03</v>
      </c>
      <c r="K15" s="21" t="n">
        <f aca="false">ROUND(I15*(1-J15),0)</f>
        <v>18430000</v>
      </c>
      <c r="L15" s="21" t="n">
        <f aca="false">ROUND(K15/G15,0)</f>
        <v>61433</v>
      </c>
    </row>
    <row r="16" customFormat="false" ht="15" hidden="false" customHeight="false" outlineLevel="0" collapsed="false">
      <c r="A16" s="17" t="s">
        <v>128</v>
      </c>
      <c r="B16" s="17" t="s">
        <v>108</v>
      </c>
      <c r="C16" s="17" t="s">
        <v>100</v>
      </c>
      <c r="D16" s="18" t="n">
        <v>8</v>
      </c>
      <c r="E16" s="19" t="str">
        <f aca="false">VLOOKUP(B16,Acuan!$A$2:$E$7,2,FALSE())</f>
        <v>Jerigen</v>
      </c>
      <c r="F16" s="20" t="n">
        <f aca="false">VLOOKUP(B16,Acuan!$A$2:$E$7,3,FALSE())</f>
        <v>18</v>
      </c>
      <c r="G16" s="20" t="n">
        <f aca="false">D16*F16</f>
        <v>144</v>
      </c>
      <c r="H16" s="21" t="n">
        <f aca="false">VLOOKUP(B16,Acuan!$A$2:$E$7,5,FALSE())</f>
        <v>345000</v>
      </c>
      <c r="I16" s="21" t="n">
        <f aca="false">D16*H16</f>
        <v>2760000</v>
      </c>
      <c r="J16" s="22" t="n">
        <f aca="false">IF(I16&gt;=$O$4,$O$5,IF(I16&gt;=$O$2,$O$3,0))</f>
        <v>0</v>
      </c>
      <c r="K16" s="21" t="n">
        <f aca="false">ROUND(I16*(1-J16),0)</f>
        <v>2760000</v>
      </c>
      <c r="L16" s="21" t="n">
        <f aca="false">ROUND(K16/G16,0)</f>
        <v>19167</v>
      </c>
    </row>
    <row r="17" customFormat="false" ht="15" hidden="false" customHeight="false" outlineLevel="0" collapsed="false">
      <c r="A17" s="17" t="s">
        <v>129</v>
      </c>
      <c r="B17" s="17" t="s">
        <v>104</v>
      </c>
      <c r="C17" s="17" t="s">
        <v>100</v>
      </c>
      <c r="D17" s="18" t="n">
        <v>12</v>
      </c>
      <c r="E17" s="19" t="str">
        <f aca="false">VLOOKUP(B17,Acuan!$A$2:$E$7,2,FALSE())</f>
        <v>Karung</v>
      </c>
      <c r="F17" s="20" t="n">
        <f aca="false">VLOOKUP(B17,Acuan!$A$2:$E$7,3,FALSE())</f>
        <v>25</v>
      </c>
      <c r="G17" s="20" t="n">
        <f aca="false">D17*F17</f>
        <v>300</v>
      </c>
      <c r="H17" s="21" t="n">
        <f aca="false">VLOOKUP(B17,Acuan!$A$2:$E$7,5,FALSE())</f>
        <v>285000</v>
      </c>
      <c r="I17" s="21" t="n">
        <f aca="false">D17*H17</f>
        <v>3420000</v>
      </c>
      <c r="J17" s="22" t="n">
        <f aca="false">IF(I17&gt;=$O$4,$O$5,IF(I17&gt;=$O$2,$O$3,0))</f>
        <v>0</v>
      </c>
      <c r="K17" s="21" t="n">
        <f aca="false">ROUND(I17*(1-J17),0)</f>
        <v>3420000</v>
      </c>
      <c r="L17" s="21" t="n">
        <f aca="false">ROUND(K17/G17,0)</f>
        <v>11400</v>
      </c>
    </row>
    <row r="18" customFormat="false" ht="15" hidden="false" customHeight="false" outlineLevel="0" collapsed="false">
      <c r="A18" s="17" t="s">
        <v>130</v>
      </c>
      <c r="B18" s="17" t="s">
        <v>99</v>
      </c>
      <c r="C18" s="17" t="s">
        <v>100</v>
      </c>
      <c r="D18" s="18" t="n">
        <v>8</v>
      </c>
      <c r="E18" s="19" t="str">
        <f aca="false">VLOOKUP(B18,Acuan!$A$2:$E$7,2,FALSE())</f>
        <v>Dus</v>
      </c>
      <c r="F18" s="20" t="n">
        <f aca="false">VLOOKUP(B18,Acuan!$A$2:$E$7,3,FALSE())</f>
        <v>12</v>
      </c>
      <c r="G18" s="20" t="n">
        <f aca="false">D18*F18</f>
        <v>96</v>
      </c>
      <c r="H18" s="21" t="n">
        <f aca="false">VLOOKUP(B18,Acuan!$A$2:$E$7,5,FALSE())</f>
        <v>760000</v>
      </c>
      <c r="I18" s="21" t="n">
        <f aca="false">D18*H18</f>
        <v>6080000</v>
      </c>
      <c r="J18" s="22" t="n">
        <f aca="false">IF(I18&gt;=$O$4,$O$5,IF(I18&gt;=$O$2,$O$3,0))</f>
        <v>0</v>
      </c>
      <c r="K18" s="21" t="n">
        <f aca="false">ROUND(I18*(1-J18),0)</f>
        <v>6080000</v>
      </c>
      <c r="L18" s="21" t="n">
        <f aca="false">ROUND(K18/G18,0)</f>
        <v>63333</v>
      </c>
    </row>
    <row r="19" customFormat="false" ht="15" hidden="false" customHeight="false" outlineLevel="0" collapsed="false">
      <c r="A19" s="17" t="s">
        <v>131</v>
      </c>
      <c r="B19" s="17" t="s">
        <v>119</v>
      </c>
      <c r="C19" s="17" t="s">
        <v>100</v>
      </c>
      <c r="D19" s="18" t="n">
        <v>25</v>
      </c>
      <c r="E19" s="19" t="str">
        <f aca="false">VLOOKUP(B19,Acuan!$A$2:$E$7,2,FALSE())</f>
        <v>Dus</v>
      </c>
      <c r="F19" s="20" t="n">
        <f aca="false">VLOOKUP(B19,Acuan!$A$2:$E$7,3,FALSE())</f>
        <v>10</v>
      </c>
      <c r="G19" s="20" t="n">
        <f aca="false">D19*F19</f>
        <v>250</v>
      </c>
      <c r="H19" s="21" t="n">
        <f aca="false">VLOOKUP(B19,Acuan!$A$2:$E$7,5,FALSE())</f>
        <v>520000</v>
      </c>
      <c r="I19" s="21" t="n">
        <f aca="false">D19*H19</f>
        <v>13000000</v>
      </c>
      <c r="J19" s="22" t="n">
        <f aca="false">IF(I19&gt;=$O$4,$O$5,IF(I19&gt;=$O$2,$O$3,0))</f>
        <v>0.03</v>
      </c>
      <c r="K19" s="21" t="n">
        <f aca="false">ROUND(I19*(1-J19),0)</f>
        <v>12610000</v>
      </c>
      <c r="L19" s="21" t="n">
        <f aca="false">ROUND(K19/G19,0)</f>
        <v>50440</v>
      </c>
    </row>
    <row r="20" customFormat="false" ht="15" hidden="false" customHeight="false" outlineLevel="0" collapsed="false">
      <c r="A20" s="17" t="s">
        <v>132</v>
      </c>
      <c r="B20" s="17" t="s">
        <v>112</v>
      </c>
      <c r="C20" s="17" t="s">
        <v>105</v>
      </c>
      <c r="D20" s="18" t="n">
        <v>30</v>
      </c>
      <c r="E20" s="19" t="str">
        <f aca="false">VLOOKUP(B20,Acuan!$A$2:$E$7,2,FALSE())</f>
        <v>Karung</v>
      </c>
      <c r="F20" s="20" t="n">
        <f aca="false">VLOOKUP(B20,Acuan!$A$2:$E$7,3,FALSE())</f>
        <v>20</v>
      </c>
      <c r="G20" s="20" t="n">
        <f aca="false">D20*F20</f>
        <v>600</v>
      </c>
      <c r="H20" s="21" t="n">
        <f aca="false">VLOOKUP(B20,Acuan!$A$2:$E$7,5,FALSE())</f>
        <v>1180000</v>
      </c>
      <c r="I20" s="21" t="n">
        <f aca="false">D20*H20</f>
        <v>35400000</v>
      </c>
      <c r="J20" s="22" t="n">
        <f aca="false">IF(I20&gt;=$O$4,$O$5,IF(I20&gt;=$O$2,$O$3,0))</f>
        <v>0.06</v>
      </c>
      <c r="K20" s="21" t="n">
        <f aca="false">ROUND(I20*(1-J20),0)</f>
        <v>33276000</v>
      </c>
      <c r="L20" s="21" t="n">
        <f aca="false">ROUND(K20/G20,0)</f>
        <v>55460</v>
      </c>
    </row>
    <row r="21" customFormat="false" ht="15" hidden="false" customHeight="false" outlineLevel="0" collapsed="false">
      <c r="A21" s="17" t="s">
        <v>133</v>
      </c>
      <c r="B21" s="17" t="s">
        <v>119</v>
      </c>
      <c r="C21" s="17" t="s">
        <v>122</v>
      </c>
      <c r="D21" s="18" t="n">
        <v>10</v>
      </c>
      <c r="E21" s="19" t="str">
        <f aca="false">VLOOKUP(B21,Acuan!$A$2:$E$7,2,FALSE())</f>
        <v>Dus</v>
      </c>
      <c r="F21" s="20" t="n">
        <f aca="false">VLOOKUP(B21,Acuan!$A$2:$E$7,3,FALSE())</f>
        <v>10</v>
      </c>
      <c r="G21" s="20" t="n">
        <f aca="false">D21*F21</f>
        <v>100</v>
      </c>
      <c r="H21" s="21" t="n">
        <f aca="false">VLOOKUP(B21,Acuan!$A$2:$E$7,5,FALSE())</f>
        <v>520000</v>
      </c>
      <c r="I21" s="21" t="n">
        <f aca="false">D21*H21</f>
        <v>5200000</v>
      </c>
      <c r="J21" s="22" t="n">
        <f aca="false">IF(I21&gt;=$O$4,$O$5,IF(I21&gt;=$O$2,$O$3,0))</f>
        <v>0</v>
      </c>
      <c r="K21" s="21" t="n">
        <f aca="false">ROUND(I21*(1-J21),0)</f>
        <v>5200000</v>
      </c>
      <c r="L21" s="21" t="n">
        <f aca="false">ROUND(K21/G21,0)</f>
        <v>52000</v>
      </c>
    </row>
    <row r="22" customFormat="false" ht="15" hidden="false" customHeight="false" outlineLevel="0" collapsed="false">
      <c r="A22" s="17" t="s">
        <v>134</v>
      </c>
      <c r="B22" s="17" t="s">
        <v>116</v>
      </c>
      <c r="C22" s="17" t="s">
        <v>100</v>
      </c>
      <c r="D22" s="18" t="n">
        <v>15</v>
      </c>
      <c r="E22" s="19" t="str">
        <f aca="false">VLOOKUP(B22,Acuan!$A$2:$E$7,2,FALSE())</f>
        <v>Karung</v>
      </c>
      <c r="F22" s="20" t="n">
        <f aca="false">VLOOKUP(B22,Acuan!$A$2:$E$7,3,FALSE())</f>
        <v>50</v>
      </c>
      <c r="G22" s="20" t="n">
        <f aca="false">D22*F22</f>
        <v>750</v>
      </c>
      <c r="H22" s="21" t="n">
        <f aca="false">VLOOKUP(B22,Acuan!$A$2:$E$7,5,FALSE())</f>
        <v>640000</v>
      </c>
      <c r="I22" s="21" t="n">
        <f aca="false">D22*H22</f>
        <v>9600000</v>
      </c>
      <c r="J22" s="22" t="n">
        <f aca="false">IF(I22&gt;=$O$4,$O$5,IF(I22&gt;=$O$2,$O$3,0))</f>
        <v>0.03</v>
      </c>
      <c r="K22" s="21" t="n">
        <f aca="false">ROUND(I22*(1-J22),0)</f>
        <v>9312000</v>
      </c>
      <c r="L22" s="21" t="n">
        <f aca="false">ROUND(K22/G22,0)</f>
        <v>12416</v>
      </c>
    </row>
    <row r="23" customFormat="false" ht="15" hidden="false" customHeight="false" outlineLevel="0" collapsed="false">
      <c r="A23" s="17" t="s">
        <v>135</v>
      </c>
      <c r="B23" s="17" t="s">
        <v>116</v>
      </c>
      <c r="C23" s="17" t="s">
        <v>105</v>
      </c>
      <c r="D23" s="18" t="n">
        <v>40</v>
      </c>
      <c r="E23" s="19" t="str">
        <f aca="false">VLOOKUP(B23,Acuan!$A$2:$E$7,2,FALSE())</f>
        <v>Karung</v>
      </c>
      <c r="F23" s="20" t="n">
        <f aca="false">VLOOKUP(B23,Acuan!$A$2:$E$7,3,FALSE())</f>
        <v>50</v>
      </c>
      <c r="G23" s="20" t="n">
        <f aca="false">D23*F23</f>
        <v>2000</v>
      </c>
      <c r="H23" s="21" t="n">
        <f aca="false">VLOOKUP(B23,Acuan!$A$2:$E$7,5,FALSE())</f>
        <v>640000</v>
      </c>
      <c r="I23" s="21" t="n">
        <f aca="false">D23*H23</f>
        <v>25600000</v>
      </c>
      <c r="J23" s="22" t="n">
        <f aca="false">IF(I23&gt;=$O$4,$O$5,IF(I23&gt;=$O$2,$O$3,0))</f>
        <v>0.06</v>
      </c>
      <c r="K23" s="21" t="n">
        <f aca="false">ROUND(I23*(1-J23),0)</f>
        <v>24064000</v>
      </c>
      <c r="L23" s="21" t="n">
        <f aca="false">ROUND(K23/G23,0)</f>
        <v>12032</v>
      </c>
    </row>
    <row r="24" customFormat="false" ht="15" hidden="false" customHeight="false" outlineLevel="0" collapsed="false">
      <c r="A24" s="17" t="s">
        <v>136</v>
      </c>
      <c r="B24" s="17" t="s">
        <v>119</v>
      </c>
      <c r="C24" s="17" t="s">
        <v>113</v>
      </c>
      <c r="D24" s="18" t="n">
        <v>8</v>
      </c>
      <c r="E24" s="19" t="str">
        <f aca="false">VLOOKUP(B24,Acuan!$A$2:$E$7,2,FALSE())</f>
        <v>Dus</v>
      </c>
      <c r="F24" s="20" t="n">
        <f aca="false">VLOOKUP(B24,Acuan!$A$2:$E$7,3,FALSE())</f>
        <v>10</v>
      </c>
      <c r="G24" s="20" t="n">
        <f aca="false">D24*F24</f>
        <v>80</v>
      </c>
      <c r="H24" s="21" t="n">
        <f aca="false">VLOOKUP(B24,Acuan!$A$2:$E$7,5,FALSE())</f>
        <v>520000</v>
      </c>
      <c r="I24" s="21" t="n">
        <f aca="false">D24*H24</f>
        <v>4160000</v>
      </c>
      <c r="J24" s="22" t="n">
        <f aca="false">IF(I24&gt;=$O$4,$O$5,IF(I24&gt;=$O$2,$O$3,0))</f>
        <v>0</v>
      </c>
      <c r="K24" s="21" t="n">
        <f aca="false">ROUND(I24*(1-J24),0)</f>
        <v>4160000</v>
      </c>
      <c r="L24" s="21" t="n">
        <f aca="false">ROUND(K24/G24,0)</f>
        <v>52000</v>
      </c>
    </row>
    <row r="25" customFormat="false" ht="15" hidden="false" customHeight="false" outlineLevel="0" collapsed="false">
      <c r="A25" s="17" t="s">
        <v>137</v>
      </c>
      <c r="B25" s="17" t="s">
        <v>119</v>
      </c>
      <c r="C25" s="17" t="s">
        <v>122</v>
      </c>
      <c r="D25" s="18" t="n">
        <v>20</v>
      </c>
      <c r="E25" s="19" t="str">
        <f aca="false">VLOOKUP(B25,Acuan!$A$2:$E$7,2,FALSE())</f>
        <v>Dus</v>
      </c>
      <c r="F25" s="20" t="n">
        <f aca="false">VLOOKUP(B25,Acuan!$A$2:$E$7,3,FALSE())</f>
        <v>10</v>
      </c>
      <c r="G25" s="20" t="n">
        <f aca="false">D25*F25</f>
        <v>200</v>
      </c>
      <c r="H25" s="21" t="n">
        <f aca="false">VLOOKUP(B25,Acuan!$A$2:$E$7,5,FALSE())</f>
        <v>520000</v>
      </c>
      <c r="I25" s="21" t="n">
        <f aca="false">D25*H25</f>
        <v>10400000</v>
      </c>
      <c r="J25" s="22" t="n">
        <f aca="false">IF(I25&gt;=$O$4,$O$5,IF(I25&gt;=$O$2,$O$3,0))</f>
        <v>0.03</v>
      </c>
      <c r="K25" s="21" t="n">
        <f aca="false">ROUND(I25*(1-J25),0)</f>
        <v>10088000</v>
      </c>
      <c r="L25" s="21" t="n">
        <f aca="false">ROUND(K25/G25,0)</f>
        <v>50440</v>
      </c>
    </row>
    <row r="26" customFormat="false" ht="15" hidden="false" customHeight="false" outlineLevel="0" collapsed="false">
      <c r="A26" s="17" t="s">
        <v>138</v>
      </c>
      <c r="B26" s="17" t="s">
        <v>112</v>
      </c>
      <c r="C26" s="17" t="s">
        <v>122</v>
      </c>
      <c r="D26" s="18" t="n">
        <v>20</v>
      </c>
      <c r="E26" s="19" t="str">
        <f aca="false">VLOOKUP(B26,Acuan!$A$2:$E$7,2,FALSE())</f>
        <v>Karung</v>
      </c>
      <c r="F26" s="20" t="n">
        <f aca="false">VLOOKUP(B26,Acuan!$A$2:$E$7,3,FALSE())</f>
        <v>20</v>
      </c>
      <c r="G26" s="20" t="n">
        <f aca="false">D26*F26</f>
        <v>400</v>
      </c>
      <c r="H26" s="21" t="n">
        <f aca="false">VLOOKUP(B26,Acuan!$A$2:$E$7,5,FALSE())</f>
        <v>1180000</v>
      </c>
      <c r="I26" s="21" t="n">
        <f aca="false">D26*H26</f>
        <v>23600000</v>
      </c>
      <c r="J26" s="22" t="n">
        <f aca="false">IF(I26&gt;=$O$4,$O$5,IF(I26&gt;=$O$2,$O$3,0))</f>
        <v>0.06</v>
      </c>
      <c r="K26" s="21" t="n">
        <f aca="false">ROUND(I26*(1-J26),0)</f>
        <v>22184000</v>
      </c>
      <c r="L26" s="21" t="n">
        <f aca="false">ROUND(K26/G26,0)</f>
        <v>55460</v>
      </c>
    </row>
    <row r="27" customFormat="false" ht="15" hidden="false" customHeight="false" outlineLevel="0" collapsed="false">
      <c r="A27" s="17" t="s">
        <v>139</v>
      </c>
      <c r="B27" s="17" t="s">
        <v>99</v>
      </c>
      <c r="C27" s="17" t="s">
        <v>105</v>
      </c>
      <c r="D27" s="18" t="n">
        <v>30</v>
      </c>
      <c r="E27" s="19" t="str">
        <f aca="false">VLOOKUP(B27,Acuan!$A$2:$E$7,2,FALSE())</f>
        <v>Dus</v>
      </c>
      <c r="F27" s="20" t="n">
        <f aca="false">VLOOKUP(B27,Acuan!$A$2:$E$7,3,FALSE())</f>
        <v>12</v>
      </c>
      <c r="G27" s="20" t="n">
        <f aca="false">D27*F27</f>
        <v>360</v>
      </c>
      <c r="H27" s="21" t="n">
        <f aca="false">VLOOKUP(B27,Acuan!$A$2:$E$7,5,FALSE())</f>
        <v>760000</v>
      </c>
      <c r="I27" s="21" t="n">
        <f aca="false">D27*H27</f>
        <v>22800000</v>
      </c>
      <c r="J27" s="22" t="n">
        <f aca="false">IF(I27&gt;=$O$4,$O$5,IF(I27&gt;=$O$2,$O$3,0))</f>
        <v>0.06</v>
      </c>
      <c r="K27" s="21" t="n">
        <f aca="false">ROUND(I27*(1-J27),0)</f>
        <v>21432000</v>
      </c>
      <c r="L27" s="21" t="n">
        <f aca="false">ROUND(K27/G27,0)</f>
        <v>59533</v>
      </c>
    </row>
    <row r="28" customFormat="false" ht="15" hidden="false" customHeight="false" outlineLevel="0" collapsed="false">
      <c r="A28" s="17" t="s">
        <v>140</v>
      </c>
      <c r="B28" s="17" t="s">
        <v>104</v>
      </c>
      <c r="C28" s="17" t="s">
        <v>122</v>
      </c>
      <c r="D28" s="18" t="n">
        <v>10</v>
      </c>
      <c r="E28" s="19" t="str">
        <f aca="false">VLOOKUP(B28,Acuan!$A$2:$E$7,2,FALSE())</f>
        <v>Karung</v>
      </c>
      <c r="F28" s="20" t="n">
        <f aca="false">VLOOKUP(B28,Acuan!$A$2:$E$7,3,FALSE())</f>
        <v>25</v>
      </c>
      <c r="G28" s="20" t="n">
        <f aca="false">D28*F28</f>
        <v>250</v>
      </c>
      <c r="H28" s="21" t="n">
        <f aca="false">VLOOKUP(B28,Acuan!$A$2:$E$7,5,FALSE())</f>
        <v>285000</v>
      </c>
      <c r="I28" s="21" t="n">
        <f aca="false">D28*H28</f>
        <v>2850000</v>
      </c>
      <c r="J28" s="22" t="n">
        <f aca="false">IF(I28&gt;=$O$4,$O$5,IF(I28&gt;=$O$2,$O$3,0))</f>
        <v>0</v>
      </c>
      <c r="K28" s="21" t="n">
        <f aca="false">ROUND(I28*(1-J28),0)</f>
        <v>2850000</v>
      </c>
      <c r="L28" s="21" t="n">
        <f aca="false">ROUND(K28/G28,0)</f>
        <v>11400</v>
      </c>
    </row>
    <row r="29" customFormat="false" ht="15" hidden="false" customHeight="false" outlineLevel="0" collapsed="false">
      <c r="A29" s="17" t="s">
        <v>141</v>
      </c>
      <c r="B29" s="17" t="s">
        <v>112</v>
      </c>
      <c r="C29" s="17" t="s">
        <v>100</v>
      </c>
      <c r="D29" s="18" t="n">
        <v>25</v>
      </c>
      <c r="E29" s="19" t="str">
        <f aca="false">VLOOKUP(B29,Acuan!$A$2:$E$7,2,FALSE())</f>
        <v>Karung</v>
      </c>
      <c r="F29" s="20" t="n">
        <f aca="false">VLOOKUP(B29,Acuan!$A$2:$E$7,3,FALSE())</f>
        <v>20</v>
      </c>
      <c r="G29" s="20" t="n">
        <f aca="false">D29*F29</f>
        <v>500</v>
      </c>
      <c r="H29" s="21" t="n">
        <f aca="false">VLOOKUP(B29,Acuan!$A$2:$E$7,5,FALSE())</f>
        <v>1180000</v>
      </c>
      <c r="I29" s="21" t="n">
        <f aca="false">D29*H29</f>
        <v>29500000</v>
      </c>
      <c r="J29" s="22" t="n">
        <f aca="false">IF(I29&gt;=$O$4,$O$5,IF(I29&gt;=$O$2,$O$3,0))</f>
        <v>0.06</v>
      </c>
      <c r="K29" s="21" t="n">
        <f aca="false">ROUND(I29*(1-J29),0)</f>
        <v>27730000</v>
      </c>
      <c r="L29" s="21" t="n">
        <f aca="false">ROUND(K29/G29,0)</f>
        <v>55460</v>
      </c>
    </row>
    <row r="30" customFormat="false" ht="15" hidden="false" customHeight="false" outlineLevel="0" collapsed="false">
      <c r="A30" s="17" t="s">
        <v>142</v>
      </c>
      <c r="B30" s="17" t="s">
        <v>112</v>
      </c>
      <c r="C30" s="17" t="s">
        <v>105</v>
      </c>
      <c r="D30" s="18" t="n">
        <v>6</v>
      </c>
      <c r="E30" s="19" t="str">
        <f aca="false">VLOOKUP(B30,Acuan!$A$2:$E$7,2,FALSE())</f>
        <v>Karung</v>
      </c>
      <c r="F30" s="20" t="n">
        <f aca="false">VLOOKUP(B30,Acuan!$A$2:$E$7,3,FALSE())</f>
        <v>20</v>
      </c>
      <c r="G30" s="20" t="n">
        <f aca="false">D30*F30</f>
        <v>120</v>
      </c>
      <c r="H30" s="21" t="n">
        <f aca="false">VLOOKUP(B30,Acuan!$A$2:$E$7,5,FALSE())</f>
        <v>1180000</v>
      </c>
      <c r="I30" s="21" t="n">
        <f aca="false">D30*H30</f>
        <v>7080000</v>
      </c>
      <c r="J30" s="22" t="n">
        <f aca="false">IF(I30&gt;=$O$4,$O$5,IF(I30&gt;=$O$2,$O$3,0))</f>
        <v>0</v>
      </c>
      <c r="K30" s="21" t="n">
        <f aca="false">ROUND(I30*(1-J30),0)</f>
        <v>7080000</v>
      </c>
      <c r="L30" s="21" t="n">
        <f aca="false">ROUND(K30/G30,0)</f>
        <v>59000</v>
      </c>
    </row>
    <row r="31" customFormat="false" ht="15" hidden="false" customHeight="false" outlineLevel="0" collapsed="false">
      <c r="A31" s="17" t="s">
        <v>143</v>
      </c>
      <c r="B31" s="17" t="s">
        <v>108</v>
      </c>
      <c r="C31" s="17" t="s">
        <v>122</v>
      </c>
      <c r="D31" s="18" t="n">
        <v>4</v>
      </c>
      <c r="E31" s="19" t="str">
        <f aca="false">VLOOKUP(B31,Acuan!$A$2:$E$7,2,FALSE())</f>
        <v>Jerigen</v>
      </c>
      <c r="F31" s="20" t="n">
        <f aca="false">VLOOKUP(B31,Acuan!$A$2:$E$7,3,FALSE())</f>
        <v>18</v>
      </c>
      <c r="G31" s="20" t="n">
        <f aca="false">D31*F31</f>
        <v>72</v>
      </c>
      <c r="H31" s="21" t="n">
        <f aca="false">VLOOKUP(B31,Acuan!$A$2:$E$7,5,FALSE())</f>
        <v>345000</v>
      </c>
      <c r="I31" s="21" t="n">
        <f aca="false">D31*H31</f>
        <v>1380000</v>
      </c>
      <c r="J31" s="22" t="n">
        <f aca="false">IF(I31&gt;=$O$4,$O$5,IF(I31&gt;=$O$2,$O$3,0))</f>
        <v>0</v>
      </c>
      <c r="K31" s="21" t="n">
        <f aca="false">ROUND(I31*(1-J31),0)</f>
        <v>1380000</v>
      </c>
      <c r="L31" s="21" t="n">
        <f aca="false">ROUND(K31/G31,0)</f>
        <v>19167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12"/>
    <col collapsed="false" customWidth="true" hidden="false" outlineLevel="0" max="3" min="3" style="0" width="14"/>
    <col collapsed="false" customWidth="true" hidden="false" outlineLevel="0" max="4" min="4" style="0" width="13"/>
    <col collapsed="false" customWidth="true" hidden="false" outlineLevel="0" max="5" min="5" style="0" width="21"/>
    <col collapsed="false" customWidth="true" hidden="false" outlineLevel="0" max="6" min="6" style="0" width="11"/>
    <col collapsed="false" customWidth="true" hidden="false" outlineLevel="0" max="7" min="7" style="0" width="16"/>
  </cols>
  <sheetData>
    <row r="1" customFormat="false" ht="33.75" hidden="false" customHeight="true" outlineLevel="0" collapsed="false">
      <c r="A1" s="11" t="s">
        <v>84</v>
      </c>
      <c r="B1" s="11" t="s">
        <v>87</v>
      </c>
      <c r="C1" s="11" t="s">
        <v>88</v>
      </c>
      <c r="D1" s="11" t="s">
        <v>144</v>
      </c>
      <c r="E1" s="11" t="s">
        <v>145</v>
      </c>
      <c r="F1" s="15" t="s">
        <v>146</v>
      </c>
      <c r="G1" s="15" t="s">
        <v>147</v>
      </c>
    </row>
    <row r="2" customFormat="false" ht="15" hidden="false" customHeight="false" outlineLevel="0" collapsed="false">
      <c r="A2" s="17" t="s">
        <v>104</v>
      </c>
      <c r="B2" s="17" t="s">
        <v>148</v>
      </c>
      <c r="C2" s="18" t="n">
        <v>25</v>
      </c>
      <c r="D2" s="17" t="s">
        <v>149</v>
      </c>
      <c r="E2" s="26" t="n">
        <v>285000</v>
      </c>
      <c r="F2" s="20" t="n">
        <f aca="false">COUNTIF(Data!$B$2:$B$31,A2)</f>
        <v>5</v>
      </c>
      <c r="G2" s="21" t="n">
        <f aca="false">SUMIF(Data!$B$2:$B$31,A2,Data!$K$2:$K$31)</f>
        <v>13110000</v>
      </c>
    </row>
    <row r="3" customFormat="false" ht="15" hidden="false" customHeight="false" outlineLevel="0" collapsed="false">
      <c r="A3" s="17" t="s">
        <v>116</v>
      </c>
      <c r="B3" s="17" t="s">
        <v>148</v>
      </c>
      <c r="C3" s="18" t="n">
        <v>50</v>
      </c>
      <c r="D3" s="17" t="s">
        <v>149</v>
      </c>
      <c r="E3" s="26" t="n">
        <v>640000</v>
      </c>
      <c r="F3" s="20" t="n">
        <f aca="false">COUNTIF(Data!$B$2:$B$31,A3)</f>
        <v>5</v>
      </c>
      <c r="G3" s="21" t="n">
        <f aca="false">SUMIF(Data!$B$2:$B$31,A3,Data!$K$2:$K$31)</f>
        <v>56032000</v>
      </c>
    </row>
    <row r="4" customFormat="false" ht="15" hidden="false" customHeight="false" outlineLevel="0" collapsed="false">
      <c r="A4" s="17" t="s">
        <v>108</v>
      </c>
      <c r="B4" s="17" t="s">
        <v>150</v>
      </c>
      <c r="C4" s="18" t="n">
        <v>18</v>
      </c>
      <c r="D4" s="17" t="s">
        <v>151</v>
      </c>
      <c r="E4" s="26" t="n">
        <v>345000</v>
      </c>
      <c r="F4" s="20" t="n">
        <f aca="false">COUNTIF(Data!$B$2:$B$31,A4)</f>
        <v>5</v>
      </c>
      <c r="G4" s="21" t="n">
        <f aca="false">SUMIF(Data!$B$2:$B$31,A4,Data!$K$2:$K$31)</f>
        <v>23546250</v>
      </c>
    </row>
    <row r="5" customFormat="false" ht="15" hidden="false" customHeight="false" outlineLevel="0" collapsed="false">
      <c r="A5" s="17" t="s">
        <v>119</v>
      </c>
      <c r="B5" s="17" t="s">
        <v>152</v>
      </c>
      <c r="C5" s="18" t="n">
        <v>10</v>
      </c>
      <c r="D5" s="17" t="s">
        <v>149</v>
      </c>
      <c r="E5" s="26" t="n">
        <v>520000</v>
      </c>
      <c r="F5" s="20" t="n">
        <f aca="false">COUNTIF(Data!$B$2:$B$31,A5)</f>
        <v>5</v>
      </c>
      <c r="G5" s="21" t="n">
        <f aca="false">SUMIF(Data!$B$2:$B$31,A5,Data!$K$2:$K$31)</f>
        <v>38298000</v>
      </c>
    </row>
    <row r="6" customFormat="false" ht="15" hidden="false" customHeight="false" outlineLevel="0" collapsed="false">
      <c r="A6" s="17" t="s">
        <v>112</v>
      </c>
      <c r="B6" s="17" t="s">
        <v>148</v>
      </c>
      <c r="C6" s="18" t="n">
        <v>20</v>
      </c>
      <c r="D6" s="17" t="s">
        <v>149</v>
      </c>
      <c r="E6" s="26" t="n">
        <v>1180000</v>
      </c>
      <c r="F6" s="20" t="n">
        <f aca="false">COUNTIF(Data!$B$2:$B$31,A6)</f>
        <v>5</v>
      </c>
      <c r="G6" s="21" t="n">
        <f aca="false">SUMIF(Data!$B$2:$B$31,A6,Data!$K$2:$K$31)</f>
        <v>104005200</v>
      </c>
    </row>
    <row r="7" customFormat="false" ht="15" hidden="false" customHeight="false" outlineLevel="0" collapsed="false">
      <c r="A7" s="17" t="s">
        <v>99</v>
      </c>
      <c r="B7" s="17" t="s">
        <v>152</v>
      </c>
      <c r="C7" s="18" t="n">
        <v>12</v>
      </c>
      <c r="D7" s="17" t="s">
        <v>149</v>
      </c>
      <c r="E7" s="26" t="n">
        <v>760000</v>
      </c>
      <c r="F7" s="20" t="n">
        <f aca="false">COUNTIF(Data!$B$2:$B$31,A7)</f>
        <v>5</v>
      </c>
      <c r="G7" s="21" t="n">
        <f aca="false">SUMIF(Data!$B$2:$B$31,A7,Data!$K$2:$K$31)</f>
        <v>78432000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7" t="s">
        <v>153</v>
      </c>
      <c r="B1" s="27"/>
      <c r="C1" s="27"/>
      <c r="D1" s="27"/>
    </row>
    <row r="2" customFormat="false" ht="15" hidden="false" customHeight="false" outlineLevel="0" collapsed="false">
      <c r="A2" s="28" t="s">
        <v>154</v>
      </c>
      <c r="B2" s="28"/>
      <c r="C2" s="28"/>
      <c r="D2" s="28"/>
    </row>
    <row r="3" customFormat="false" ht="15" hidden="false" customHeight="false" outlineLevel="0" collapsed="false">
      <c r="A3" s="11" t="s">
        <v>19</v>
      </c>
      <c r="B3" s="11" t="s">
        <v>155</v>
      </c>
      <c r="C3" s="11" t="s">
        <v>156</v>
      </c>
      <c r="D3" s="11" t="s">
        <v>157</v>
      </c>
    </row>
    <row r="4" customFormat="false" ht="15" hidden="false" customHeight="false" outlineLevel="0" collapsed="false">
      <c r="A4" s="29" t="s">
        <v>158</v>
      </c>
      <c r="B4" s="30" t="s">
        <v>159</v>
      </c>
      <c r="C4" s="21" t="n">
        <f aca="false">SUM(Data!$I$2:$I$31)</f>
        <v>325975000</v>
      </c>
      <c r="D4" s="31" t="s">
        <v>160</v>
      </c>
    </row>
    <row r="5" customFormat="false" ht="15" hidden="false" customHeight="false" outlineLevel="0" collapsed="false">
      <c r="A5" s="29" t="s">
        <v>161</v>
      </c>
      <c r="B5" s="30" t="s">
        <v>162</v>
      </c>
      <c r="C5" s="21" t="n">
        <f aca="false">SUM(Data!$K$2:$K$31)</f>
        <v>313423450</v>
      </c>
      <c r="D5" s="31" t="s">
        <v>163</v>
      </c>
    </row>
    <row r="6" customFormat="false" ht="15" hidden="false" customHeight="false" outlineLevel="0" collapsed="false">
      <c r="A6" s="29" t="s">
        <v>164</v>
      </c>
      <c r="B6" s="30" t="s">
        <v>165</v>
      </c>
      <c r="C6" s="21" t="n">
        <f aca="false">C4-C5</f>
        <v>12551550</v>
      </c>
      <c r="D6" s="31" t="s">
        <v>166</v>
      </c>
    </row>
    <row r="7" customFormat="false" ht="15" hidden="false" customHeight="false" outlineLevel="0" collapsed="false">
      <c r="A7" s="29" t="s">
        <v>167</v>
      </c>
      <c r="B7" s="30" t="s">
        <v>168</v>
      </c>
      <c r="C7" s="20" t="n">
        <f aca="false">COUNTIF(Data!$J$2:$J$31,Data!$O$5)</f>
        <v>6</v>
      </c>
      <c r="D7" s="31" t="s">
        <v>169</v>
      </c>
    </row>
    <row r="8" customFormat="false" ht="15" hidden="false" customHeight="false" outlineLevel="0" collapsed="false">
      <c r="A8" s="29" t="s">
        <v>170</v>
      </c>
      <c r="B8" s="30" t="s">
        <v>171</v>
      </c>
      <c r="C8" s="20" t="n">
        <f aca="false">COUNTIFS(Data!$B$2:$B$31,"Gula Pasir",Data!$J$2:$J$31,Data!$O$3)</f>
        <v>2</v>
      </c>
      <c r="D8" s="31" t="s">
        <v>172</v>
      </c>
    </row>
    <row r="9" customFormat="false" ht="15" hidden="false" customHeight="false" outlineLevel="0" collapsed="false">
      <c r="A9" s="29" t="s">
        <v>173</v>
      </c>
      <c r="B9" s="30" t="s">
        <v>174</v>
      </c>
      <c r="C9" s="19" t="str">
        <f aca="false">INDEX(Acuan!$A$2:$A$7,MATCH(MAX(Acuan!$G$2:$G$7),Acuan!$G$2:$G$7,0))</f>
        <v>Susu Bubuk</v>
      </c>
      <c r="D9" s="31" t="s">
        <v>175</v>
      </c>
    </row>
    <row r="10" customFormat="false" ht="15" hidden="false" customHeight="false" outlineLevel="0" collapsed="false">
      <c r="A10" s="29" t="s">
        <v>176</v>
      </c>
      <c r="B10" s="30" t="s">
        <v>177</v>
      </c>
      <c r="C10" s="19" t="str">
        <f aca="false">INDEX(Data!$C$2:$C$31,MATCH(MAX(Data!$G$2:$G$31),Data!$G$2:$G$31,0))</f>
        <v>UD Sumber Pangan</v>
      </c>
      <c r="D10" s="31" t="s">
        <v>178</v>
      </c>
    </row>
    <row r="11" customFormat="false" ht="15" hidden="false" customHeight="false" outlineLevel="0" collapsed="false">
      <c r="A11" s="29" t="s">
        <v>179</v>
      </c>
      <c r="B11" s="30" t="s">
        <v>180</v>
      </c>
      <c r="C11" s="20" t="n">
        <f aca="false">SUMIF(Data!$B$2:$B$31,"Minyak Goreng",Data!$G$2:$G$31)</f>
        <v>1242</v>
      </c>
      <c r="D11" s="31" t="s">
        <v>181</v>
      </c>
    </row>
    <row r="12" customFormat="false" ht="15" hidden="false" customHeight="false" outlineLevel="0" collapsed="false">
      <c r="A12" s="29" t="s">
        <v>182</v>
      </c>
      <c r="B12" s="30" t="s">
        <v>183</v>
      </c>
      <c r="C12" s="21" t="n">
        <f aca="false">SUMIF(Data!$C$2:$C$31,"CV Agro Mulia",Data!$K$2:$K$31)</f>
        <v>59338250</v>
      </c>
      <c r="D12" s="31" t="s">
        <v>184</v>
      </c>
    </row>
    <row r="13" customFormat="false" ht="15" hidden="false" customHeight="false" outlineLevel="0" collapsed="false">
      <c r="A13" s="29" t="s">
        <v>185</v>
      </c>
      <c r="B13" s="30" t="s">
        <v>186</v>
      </c>
      <c r="C13" s="21" t="n">
        <f aca="false">AVERAGE(Data!$K$2:$K$31)</f>
        <v>10447448.3333333</v>
      </c>
      <c r="D13" s="31" t="s">
        <v>187</v>
      </c>
    </row>
    <row r="14" customFormat="false" ht="15" hidden="false" customHeight="false" outlineLevel="0" collapsed="false">
      <c r="A14" s="29" t="s">
        <v>188</v>
      </c>
      <c r="B14" s="30" t="s">
        <v>189</v>
      </c>
      <c r="C14" s="21" t="n">
        <f aca="false">MAX(Data!$L$2:$L$31)</f>
        <v>63333</v>
      </c>
      <c r="D14" s="31" t="s">
        <v>190</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2026-10-16T10:35:54Z</dcterms:created>
  <dc:creator>PushExcel</dc:creator>
  <dc:description/>
  <dc:language>en-US</dc:language>
  <cp:lastModifiedBy/>
  <dcterms:modified xsi:type="dcterms:W3CDTF">2026-10-16T10:35:54Z</dcterms:modified>
  <cp:revision>0</cp:revision>
  <dc:subject/>
  <dc:title>Pembelian Bahan Baku, Konversi Satuan, dan Diskon - Kunci</dc:title>
</cp:coreProperties>
</file>

<file path=docProps/custom.xml><?xml version="1.0" encoding="utf-8"?>
<Properties xmlns="http://schemas.openxmlformats.org/officeDocument/2006/custom-properties" xmlns:vt="http://schemas.openxmlformats.org/officeDocument/2006/docPropsVTypes"/>
</file>