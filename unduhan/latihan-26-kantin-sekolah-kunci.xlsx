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<sst xmlns="http://schemas.openxmlformats.org/spreadsheetml/2006/main" count="167" uniqueCount="138">
  <si>
    <t xml:space="preserve">Kunci Jawaban: Rekap Penjualan Harian Kantin Sekolah</t>
  </si>
  <si>
    <t xml:space="preserve">Latihan 26 dari 56  |  Tingkat: Pemula  |  Perkiraan waktu: 35 menit  |  pushexcel.github.io/Pushexcel</t>
  </si>
  <si>
    <t xml:space="preserve">Skenario</t>
  </si>
  <si>
    <t xml:space="preserve">Kamu mengelola pembukuan kantin SMP Harapan Bangsa. Data berisi jumlah terjual empat jenis menu selama 30 hari kerja, dari 7 September sampai 16 Oktober 2026. Harga satuan: nasi Rp 8.000 per porsi, minuman Rp 3.000, gorengan Rp 1.000 per buah, dan jajanan Rp 2.000. Target omzet harian adalah Rp 1.400.000. Kamu menyusun rekap untuk kepala sekolah.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</si>
  <si>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</si>
  <si>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</si>
  <si>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</si>
  <si>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</si>
  <si>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</si>
  <si>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</si>
  <si>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</si>
  <si>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</si>
  <si>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</si>
  <si>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</si>
  <si>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</si>
  <si>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</si>
  <si>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</si>
  <si>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</si>
  <si>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</si>
  <si>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</si>
  <si>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</si>
  <si>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</si>
  <si>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</si>
  <si>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</si>
  <si>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omzet nasi tiap hari: jumlah porsi nasi dikali harga nasi.</t>
  </si>
  <si>
    <t xml:space="preserve">Sheet Data, kolom G (Omzet Nasi), baris 2 sampai 31</t>
  </si>
  <si>
    <t xml:space="preserve">=C2*$N$2</t>
  </si>
  <si>
    <t xml:space="preserve">2</t>
  </si>
  <si>
    <t xml:space="preserve">Hitung omzet minuman tiap hari: jumlah gelas dikali harga minuman.</t>
  </si>
  <si>
    <t xml:space="preserve">Sheet Data, kolom H (Omzet Minuman), baris 2 sampai 31</t>
  </si>
  <si>
    <t xml:space="preserve">=D2*$N$3</t>
  </si>
  <si>
    <t xml:space="preserve">3</t>
  </si>
  <si>
    <t xml:space="preserve">Hitung omzet camilan tiap hari, yaitu gabungan gorengan dan jajanan, masing-masing dikali harganya.</t>
  </si>
  <si>
    <t xml:space="preserve">Sheet Data, kolom I (Omzet Camilan), baris 2 sampai 31</t>
  </si>
  <si>
    <t xml:space="preserve">=E2*$N$4+F2*$N$5</t>
  </si>
  <si>
    <t xml:space="preserve">4</t>
  </si>
  <si>
    <t xml:space="preserve">Hitung total omzet harian dari omzet nasi, omzet minuman, dan omzet camilan.</t>
  </si>
  <si>
    <t xml:space="preserve">Sheet Data, kolom J (Total Omzet), baris 2 sampai 31</t>
  </si>
  <si>
    <t xml:space="preserve">=G2+H2+I2</t>
  </si>
  <si>
    <t xml:space="preserve">5</t>
  </si>
  <si>
    <t xml:space="preserve">Beri status Tercapai bila total omzet sama dengan atau lebih dari target omzet harian. Selain itu tulis Belum.</t>
  </si>
  <si>
    <t xml:space="preserve">Sheet Data, kolom K (Status Target), baris 2 sampai 31</t>
  </si>
  <si>
    <t xml:space="preserve">=IF(J2&gt;=$N$6;"Tercapai";"Belum")</t>
  </si>
  <si>
    <t xml:space="preserve">6</t>
  </si>
  <si>
    <t xml:space="preserve">Berapa total omzet kantin selama 30 hari, dan berapa rata-rata omzet per hari?</t>
  </si>
  <si>
    <t xml:space="preserve">Sheet Ringkasan, sel C4 sampai C5</t>
  </si>
  <si>
    <t xml:space="preserve">=SUM(Data!$J$2:$J$31)
=AVERAGE(Data!$J$2:$J$31)</t>
  </si>
  <si>
    <t xml:space="preserve">7</t>
  </si>
  <si>
    <t xml:space="preserve">Berapa omzet harian tertinggi dan berapa yang terendah?</t>
  </si>
  <si>
    <t xml:space="preserve">Sheet Ringkasan, sel C6 sampai C7</t>
  </si>
  <si>
    <t xml:space="preserve">=MAX(Data!$J$2:$J$31)
=MIN(Data!$J$2:$J$31)</t>
  </si>
  <si>
    <t xml:space="preserve">8</t>
  </si>
  <si>
    <t xml:space="preserve">Pada tanggal berapa omzet harian paling tinggi?</t>
  </si>
  <si>
    <t xml:space="preserve">Sheet Ringkasan, sel C8</t>
  </si>
  <si>
    <t xml:space="preserve">=INDEX(Data!$A$2:$A$31;MATCH(MAX(Data!$J$2:$J$31);Data!$J$2:$J$31;0))</t>
  </si>
  <si>
    <t xml:space="preserve">9</t>
  </si>
  <si>
    <t xml:space="preserve">Berapa hari target tercapai, dan berapa hari yang belum?</t>
  </si>
  <si>
    <t xml:space="preserve">Sheet Ringkasan, sel C9 sampai C10</t>
  </si>
  <si>
    <t xml:space="preserve">=COUNTIF(Data!$K$2:$K$31;"Tercapai")
=COUNTIF(Data!$K$2:$K$31;"Belum")</t>
  </si>
  <si>
    <t xml:space="preserve">10</t>
  </si>
  <si>
    <t xml:space="preserve">Berapa total porsi nasi yang terjual selama 30 hari, dan berapa persen omzet nasi terhadap total omzet?</t>
  </si>
  <si>
    <t xml:space="preserve">Sheet Ringkasan, sel C11 sampai C12</t>
  </si>
  <si>
    <t xml:space="preserve">=SUM(Data!$C$2:$C$31)
=SUM(Data!$G$2:$G$31)/SUM(Data!$J$2:$J$31)</t>
  </si>
  <si>
    <t xml:space="preserve">11</t>
  </si>
  <si>
    <t xml:space="preserve">Berapa hari gorengan terjual lebih dari 150 buah?</t>
  </si>
  <si>
    <t xml:space="preserve">Sheet Ringkasan, sel C13</t>
  </si>
  <si>
    <t xml:space="preserve">=COUNTIF(Data!$E$2:$E$31;"&gt;150")</t>
  </si>
  <si>
    <t xml:space="preserve">12</t>
  </si>
  <si>
    <t xml:space="preserve">Berapa kali omzet harian tercapai pada hari Jumat, dan berapa rata-rata total omzet pada hari Jumat?</t>
  </si>
  <si>
    <t xml:space="preserve">Sheet Ringkasan, sel C14 sampai C15</t>
  </si>
  <si>
    <t xml:space="preserve">=COUNTIFS(Data!$B$2:$B$31;"Jumat";Data!$K$2:$K$31;"Tercapai")
=AVERAGEIF(Data!$B$2:$B$31;"Jumat";Data!$J$2:$J$31)</t>
  </si>
  <si>
    <t xml:space="preserve">Tanggal</t>
  </si>
  <si>
    <t xml:space="preserve">Hari</t>
  </si>
  <si>
    <t xml:space="preserve">Nasi (porsi)</t>
  </si>
  <si>
    <t xml:space="preserve">Minuman (gelas)</t>
  </si>
  <si>
    <t xml:space="preserve">Gorengan (buah)</t>
  </si>
  <si>
    <t xml:space="preserve">Jajanan (bungkus)</t>
  </si>
  <si>
    <t xml:space="preserve">Omzet Nasi</t>
  </si>
  <si>
    <t xml:space="preserve">Omzet Minuman</t>
  </si>
  <si>
    <t xml:space="preserve">Omzet Camilan</t>
  </si>
  <si>
    <t xml:space="preserve">Total Omzet</t>
  </si>
  <si>
    <t xml:space="preserve">Status Target</t>
  </si>
  <si>
    <t xml:space="preserve">Parameter</t>
  </si>
  <si>
    <t xml:space="preserve">Nilai</t>
  </si>
  <si>
    <t xml:space="preserve">Keterangan</t>
  </si>
  <si>
    <t xml:space="preserve">Senin</t>
  </si>
  <si>
    <t xml:space="preserve">Harga nasi</t>
  </si>
  <si>
    <t xml:space="preserve">Per porsi</t>
  </si>
  <si>
    <t xml:space="preserve">Selasa</t>
  </si>
  <si>
    <t xml:space="preserve">Harga minuman</t>
  </si>
  <si>
    <t xml:space="preserve">Per gelas</t>
  </si>
  <si>
    <t xml:space="preserve">Rabu</t>
  </si>
  <si>
    <t xml:space="preserve">Harga gorengan</t>
  </si>
  <si>
    <t xml:space="preserve">Per buah</t>
  </si>
  <si>
    <t xml:space="preserve">Kamis</t>
  </si>
  <si>
    <t xml:space="preserve">Harga jajanan</t>
  </si>
  <si>
    <t xml:space="preserve">Per bungkus</t>
  </si>
  <si>
    <t xml:space="preserve">Jumat</t>
  </si>
  <si>
    <t xml:space="preserve">Target omzet harian</t>
  </si>
  <si>
    <t xml:space="preserve">Omzet sama dengan target atau lebih = Tercapai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</si>
  <si>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</si>
  <si>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</si>
  <si>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</si>
  <si>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</si>
  <si>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</si>
  <si>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6a</t>
  </si>
  <si>
    <t xml:space="preserve">Total omzet 30 hari</t>
  </si>
  <si>
    <t xml:space="preserve">Rupiah, mis. Rp 35.000.000</t>
  </si>
  <si>
    <t xml:space="preserve">6b</t>
  </si>
  <si>
    <t xml:space="preserve">Rata-rata omzet per hari</t>
  </si>
  <si>
    <t xml:space="preserve">Rupiah, mis. Rp 1.250.000</t>
  </si>
  <si>
    <t xml:space="preserve">7a</t>
  </si>
  <si>
    <t xml:space="preserve">Omzet harian tertinggi</t>
  </si>
  <si>
    <t xml:space="preserve">Rupiah, mis. Rp 1.800.000</t>
  </si>
  <si>
    <t xml:space="preserve">7b</t>
  </si>
  <si>
    <t xml:space="preserve">Omzet harian terendah</t>
  </si>
  <si>
    <t xml:space="preserve">Rupiah, mis. Rp 900.000</t>
  </si>
  <si>
    <t xml:space="preserve">Tanggal omzet tertinggi</t>
  </si>
  <si>
    <t xml:space="preserve">Tanggal, mis. 14/10/2026</t>
  </si>
  <si>
    <t xml:space="preserve">9a</t>
  </si>
  <si>
    <t xml:space="preserve">Jumlah hari target tercapai</t>
  </si>
  <si>
    <t xml:space="preserve">Angka bulat, mis. 15</t>
  </si>
  <si>
    <t xml:space="preserve">9b</t>
  </si>
  <si>
    <t xml:space="preserve">Jumlah hari target belum tercapai</t>
  </si>
  <si>
    <t xml:space="preserve">10a</t>
  </si>
  <si>
    <t xml:space="preserve">Total porsi nasi terjual</t>
  </si>
  <si>
    <t xml:space="preserve">Angka bulat, mis. 2500</t>
  </si>
  <si>
    <t xml:space="preserve">10b</t>
  </si>
  <si>
    <t xml:space="preserve">Persentase omzet nasi terhadap total</t>
  </si>
  <si>
    <t xml:space="preserve">Persen, mis. 48,5%</t>
  </si>
  <si>
    <t xml:space="preserve">Jumlah hari gorengan terjual lebih dari 150 buah</t>
  </si>
  <si>
    <t xml:space="preserve">Angka bulat, mis. 9</t>
  </si>
  <si>
    <t xml:space="preserve">12a</t>
  </si>
  <si>
    <t xml:space="preserve">Jumlah hari Jumat dengan target tercapai</t>
  </si>
  <si>
    <t xml:space="preserve">Angka bulat, mis. 2</t>
  </si>
  <si>
    <t xml:space="preserve">12b</t>
  </si>
  <si>
    <t xml:space="preserve">Rata-rata total omzet hari Jumat</t>
  </si>
  <si>
    <t xml:space="preserve">Rupiah, mis. Rp 1.100.000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</si>
</sst>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&quot;Rp &quot;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43.5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43.5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43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30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43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9" min="7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1" t="s">
        <v>71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76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M1" s="16" t="s">
        <v>82</v>
      </c>
      <c r="N1" s="16" t="s">
        <v>83</v>
      </c>
      <c r="O1" s="16" t="s">
        <v>84</v>
      </c>
    </row>
    <row r="2" customFormat="false" ht="15" hidden="false" customHeight="false" outlineLevel="0" collapsed="false">
      <c r="A2" s="17" t="n">
        <v>46272</v>
      </c>
      <c r="B2" s="18" t="s">
        <v>85</v>
      </c>
      <c r="C2" s="19" t="n">
        <v>82</v>
      </c>
      <c r="D2" s="19" t="n">
        <v>162</v>
      </c>
      <c r="E2" s="19" t="n">
        <v>172</v>
      </c>
      <c r="F2" s="19" t="n">
        <v>120</v>
      </c>
      <c r="G2" s="20" t="n">
        <f aca="false">C2*$N$2</f>
        <v>656000</v>
      </c>
      <c r="H2" s="20" t="n">
        <f aca="false">D2*$N$3</f>
        <v>486000</v>
      </c>
      <c r="I2" s="20" t="n">
        <f aca="false">E2*$N$4+F2*$N$5</f>
        <v>412000</v>
      </c>
      <c r="J2" s="20" t="n">
        <f aca="false">G2+H2+I2</f>
        <v>1554000</v>
      </c>
      <c r="K2" s="21" t="str">
        <f aca="false">IF(J2&gt;=$N$6,"Tercapai","Belum")</f>
        <v>Tercapai</v>
      </c>
      <c r="M2" s="22" t="s">
        <v>86</v>
      </c>
      <c r="N2" s="23" t="n">
        <v>8000</v>
      </c>
      <c r="O2" s="22" t="s">
        <v>87</v>
      </c>
    </row>
    <row r="3" customFormat="false" ht="15" hidden="false" customHeight="false" outlineLevel="0" collapsed="false">
      <c r="A3" s="17" t="n">
        <v>46273</v>
      </c>
      <c r="B3" s="18" t="s">
        <v>88</v>
      </c>
      <c r="C3" s="19" t="n">
        <v>109</v>
      </c>
      <c r="D3" s="19" t="n">
        <v>159</v>
      </c>
      <c r="E3" s="19" t="n">
        <v>145</v>
      </c>
      <c r="F3" s="19" t="n">
        <v>119</v>
      </c>
      <c r="G3" s="20" t="n">
        <f aca="false">C3*$N$2</f>
        <v>872000</v>
      </c>
      <c r="H3" s="20" t="n">
        <f aca="false">D3*$N$3</f>
        <v>477000</v>
      </c>
      <c r="I3" s="20" t="n">
        <f aca="false">E3*$N$4+F3*$N$5</f>
        <v>383000</v>
      </c>
      <c r="J3" s="20" t="n">
        <f aca="false">G3+H3+I3</f>
        <v>1732000</v>
      </c>
      <c r="K3" s="21" t="str">
        <f aca="false">IF(J3&gt;=$N$6,"Tercapai","Belum")</f>
        <v>Tercapai</v>
      </c>
      <c r="M3" s="22" t="s">
        <v>89</v>
      </c>
      <c r="N3" s="23" t="n">
        <v>3000</v>
      </c>
      <c r="O3" s="22" t="s">
        <v>90</v>
      </c>
    </row>
    <row r="4" customFormat="false" ht="15" hidden="false" customHeight="false" outlineLevel="0" collapsed="false">
      <c r="A4" s="17" t="n">
        <v>46274</v>
      </c>
      <c r="B4" s="18" t="s">
        <v>91</v>
      </c>
      <c r="C4" s="19" t="n">
        <v>107</v>
      </c>
      <c r="D4" s="19" t="n">
        <v>127</v>
      </c>
      <c r="E4" s="19" t="n">
        <v>171</v>
      </c>
      <c r="F4" s="19" t="n">
        <v>84</v>
      </c>
      <c r="G4" s="20" t="n">
        <f aca="false">C4*$N$2</f>
        <v>856000</v>
      </c>
      <c r="H4" s="20" t="n">
        <f aca="false">D4*$N$3</f>
        <v>381000</v>
      </c>
      <c r="I4" s="20" t="n">
        <f aca="false">E4*$N$4+F4*$N$5</f>
        <v>339000</v>
      </c>
      <c r="J4" s="20" t="n">
        <f aca="false">G4+H4+I4</f>
        <v>1576000</v>
      </c>
      <c r="K4" s="21" t="str">
        <f aca="false">IF(J4&gt;=$N$6,"Tercapai","Belum")</f>
        <v>Tercapai</v>
      </c>
      <c r="M4" s="22" t="s">
        <v>92</v>
      </c>
      <c r="N4" s="23" t="n">
        <v>1000</v>
      </c>
      <c r="O4" s="22" t="s">
        <v>93</v>
      </c>
    </row>
    <row r="5" customFormat="false" ht="15" hidden="false" customHeight="false" outlineLevel="0" collapsed="false">
      <c r="A5" s="17" t="n">
        <v>46275</v>
      </c>
      <c r="B5" s="18" t="s">
        <v>94</v>
      </c>
      <c r="C5" s="19" t="n">
        <v>114</v>
      </c>
      <c r="D5" s="19" t="n">
        <v>127</v>
      </c>
      <c r="E5" s="19" t="n">
        <v>144</v>
      </c>
      <c r="F5" s="19" t="n">
        <v>122</v>
      </c>
      <c r="G5" s="20" t="n">
        <f aca="false">C5*$N$2</f>
        <v>912000</v>
      </c>
      <c r="H5" s="20" t="n">
        <f aca="false">D5*$N$3</f>
        <v>381000</v>
      </c>
      <c r="I5" s="20" t="n">
        <f aca="false">E5*$N$4+F5*$N$5</f>
        <v>388000</v>
      </c>
      <c r="J5" s="20" t="n">
        <f aca="false">G5+H5+I5</f>
        <v>1681000</v>
      </c>
      <c r="K5" s="21" t="str">
        <f aca="false">IF(J5&gt;=$N$6,"Tercapai","Belum")</f>
        <v>Tercapai</v>
      </c>
      <c r="M5" s="22" t="s">
        <v>95</v>
      </c>
      <c r="N5" s="23" t="n">
        <v>2000</v>
      </c>
      <c r="O5" s="22" t="s">
        <v>96</v>
      </c>
    </row>
    <row r="6" customFormat="false" ht="15" hidden="false" customHeight="false" outlineLevel="0" collapsed="false">
      <c r="A6" s="17" t="n">
        <v>46276</v>
      </c>
      <c r="B6" s="18" t="s">
        <v>97</v>
      </c>
      <c r="C6" s="19" t="n">
        <v>67</v>
      </c>
      <c r="D6" s="19" t="n">
        <v>113</v>
      </c>
      <c r="E6" s="19" t="n">
        <v>130</v>
      </c>
      <c r="F6" s="19" t="n">
        <v>84</v>
      </c>
      <c r="G6" s="20" t="n">
        <f aca="false">C6*$N$2</f>
        <v>536000</v>
      </c>
      <c r="H6" s="20" t="n">
        <f aca="false">D6*$N$3</f>
        <v>339000</v>
      </c>
      <c r="I6" s="20" t="n">
        <f aca="false">E6*$N$4+F6*$N$5</f>
        <v>298000</v>
      </c>
      <c r="J6" s="20" t="n">
        <f aca="false">G6+H6+I6</f>
        <v>1173000</v>
      </c>
      <c r="K6" s="21" t="str">
        <f aca="false">IF(J6&gt;=$N$6,"Tercapai","Belum")</f>
        <v>Belum</v>
      </c>
      <c r="M6" s="22" t="s">
        <v>98</v>
      </c>
      <c r="N6" s="23" t="n">
        <v>1400000</v>
      </c>
      <c r="O6" s="22" t="s">
        <v>99</v>
      </c>
    </row>
    <row r="7" customFormat="false" ht="15" hidden="false" customHeight="false" outlineLevel="0" collapsed="false">
      <c r="A7" s="17" t="n">
        <v>46279</v>
      </c>
      <c r="B7" s="18" t="s">
        <v>85</v>
      </c>
      <c r="C7" s="19" t="n">
        <v>87</v>
      </c>
      <c r="D7" s="19" t="n">
        <v>122</v>
      </c>
      <c r="E7" s="19" t="n">
        <v>172</v>
      </c>
      <c r="F7" s="19" t="n">
        <v>92</v>
      </c>
      <c r="G7" s="20" t="n">
        <f aca="false">C7*$N$2</f>
        <v>696000</v>
      </c>
      <c r="H7" s="20" t="n">
        <f aca="false">D7*$N$3</f>
        <v>366000</v>
      </c>
      <c r="I7" s="20" t="n">
        <f aca="false">E7*$N$4+F7*$N$5</f>
        <v>356000</v>
      </c>
      <c r="J7" s="20" t="n">
        <f aca="false">G7+H7+I7</f>
        <v>1418000</v>
      </c>
      <c r="K7" s="21" t="str">
        <f aca="false">IF(J7&gt;=$N$6,"Tercapai","Belum")</f>
        <v>Tercapai</v>
      </c>
    </row>
    <row r="8" customFormat="false" ht="15" hidden="false" customHeight="false" outlineLevel="0" collapsed="false">
      <c r="A8" s="17" t="n">
        <v>46280</v>
      </c>
      <c r="B8" s="18" t="s">
        <v>88</v>
      </c>
      <c r="C8" s="19" t="n">
        <v>91</v>
      </c>
      <c r="D8" s="19" t="n">
        <v>146</v>
      </c>
      <c r="E8" s="19" t="n">
        <v>151</v>
      </c>
      <c r="F8" s="19" t="n">
        <v>83</v>
      </c>
      <c r="G8" s="20" t="n">
        <f aca="false">C8*$N$2</f>
        <v>728000</v>
      </c>
      <c r="H8" s="20" t="n">
        <f aca="false">D8*$N$3</f>
        <v>438000</v>
      </c>
      <c r="I8" s="20" t="n">
        <f aca="false">E8*$N$4+F8*$N$5</f>
        <v>317000</v>
      </c>
      <c r="J8" s="20" t="n">
        <f aca="false">G8+H8+I8</f>
        <v>1483000</v>
      </c>
      <c r="K8" s="21" t="str">
        <f aca="false">IF(J8&gt;=$N$6,"Tercapai","Belum")</f>
        <v>Tercapai</v>
      </c>
    </row>
    <row r="9" customFormat="false" ht="15" hidden="false" customHeight="false" outlineLevel="0" collapsed="false">
      <c r="A9" s="17" t="n">
        <v>46281</v>
      </c>
      <c r="B9" s="18" t="s">
        <v>91</v>
      </c>
      <c r="C9" s="19" t="n">
        <v>94</v>
      </c>
      <c r="D9" s="19" t="n">
        <v>127</v>
      </c>
      <c r="E9" s="19" t="n">
        <v>188</v>
      </c>
      <c r="F9" s="19" t="n">
        <v>81</v>
      </c>
      <c r="G9" s="20" t="n">
        <f aca="false">C9*$N$2</f>
        <v>752000</v>
      </c>
      <c r="H9" s="20" t="n">
        <f aca="false">D9*$N$3</f>
        <v>381000</v>
      </c>
      <c r="I9" s="20" t="n">
        <f aca="false">E9*$N$4+F9*$N$5</f>
        <v>350000</v>
      </c>
      <c r="J9" s="20" t="n">
        <f aca="false">G9+H9+I9</f>
        <v>1483000</v>
      </c>
      <c r="K9" s="21" t="str">
        <f aca="false">IF(J9&gt;=$N$6,"Tercapai","Belum")</f>
        <v>Tercapai</v>
      </c>
    </row>
    <row r="10" customFormat="false" ht="15" hidden="false" customHeight="false" outlineLevel="0" collapsed="false">
      <c r="A10" s="17" t="n">
        <v>46282</v>
      </c>
      <c r="B10" s="18" t="s">
        <v>94</v>
      </c>
      <c r="C10" s="19" t="n">
        <v>92</v>
      </c>
      <c r="D10" s="19" t="n">
        <v>129</v>
      </c>
      <c r="E10" s="19" t="n">
        <v>125</v>
      </c>
      <c r="F10" s="19" t="n">
        <v>83</v>
      </c>
      <c r="G10" s="20" t="n">
        <f aca="false">C10*$N$2</f>
        <v>736000</v>
      </c>
      <c r="H10" s="20" t="n">
        <f aca="false">D10*$N$3</f>
        <v>387000</v>
      </c>
      <c r="I10" s="20" t="n">
        <f aca="false">E10*$N$4+F10*$N$5</f>
        <v>291000</v>
      </c>
      <c r="J10" s="20" t="n">
        <f aca="false">G10+H10+I10</f>
        <v>1414000</v>
      </c>
      <c r="K10" s="21" t="str">
        <f aca="false">IF(J10&gt;=$N$6,"Tercapai","Belum")</f>
        <v>Tercapai</v>
      </c>
    </row>
    <row r="11" customFormat="false" ht="15" hidden="false" customHeight="false" outlineLevel="0" collapsed="false">
      <c r="A11" s="17" t="n">
        <v>46283</v>
      </c>
      <c r="B11" s="18" t="s">
        <v>97</v>
      </c>
      <c r="C11" s="19" t="n">
        <v>70</v>
      </c>
      <c r="D11" s="19" t="n">
        <v>87</v>
      </c>
      <c r="E11" s="19" t="n">
        <v>95</v>
      </c>
      <c r="F11" s="19" t="n">
        <v>62</v>
      </c>
      <c r="G11" s="20" t="n">
        <f aca="false">C11*$N$2</f>
        <v>560000</v>
      </c>
      <c r="H11" s="20" t="n">
        <f aca="false">D11*$N$3</f>
        <v>261000</v>
      </c>
      <c r="I11" s="20" t="n">
        <f aca="false">E11*$N$4+F11*$N$5</f>
        <v>219000</v>
      </c>
      <c r="J11" s="20" t="n">
        <f aca="false">G11+H11+I11</f>
        <v>1040000</v>
      </c>
      <c r="K11" s="21" t="str">
        <f aca="false">IF(J11&gt;=$N$6,"Tercapai","Belum")</f>
        <v>Belum</v>
      </c>
    </row>
    <row r="12" customFormat="false" ht="15" hidden="false" customHeight="false" outlineLevel="0" collapsed="false">
      <c r="A12" s="17" t="n">
        <v>46286</v>
      </c>
      <c r="B12" s="18" t="s">
        <v>85</v>
      </c>
      <c r="C12" s="19" t="n">
        <v>96</v>
      </c>
      <c r="D12" s="19" t="n">
        <v>158</v>
      </c>
      <c r="E12" s="19" t="n">
        <v>170</v>
      </c>
      <c r="F12" s="19" t="n">
        <v>105</v>
      </c>
      <c r="G12" s="20" t="n">
        <f aca="false">C12*$N$2</f>
        <v>768000</v>
      </c>
      <c r="H12" s="20" t="n">
        <f aca="false">D12*$N$3</f>
        <v>474000</v>
      </c>
      <c r="I12" s="20" t="n">
        <f aca="false">E12*$N$4+F12*$N$5</f>
        <v>380000</v>
      </c>
      <c r="J12" s="20" t="n">
        <f aca="false">G12+H12+I12</f>
        <v>1622000</v>
      </c>
      <c r="K12" s="21" t="str">
        <f aca="false">IF(J12&gt;=$N$6,"Tercapai","Belum")</f>
        <v>Tercapai</v>
      </c>
    </row>
    <row r="13" customFormat="false" ht="15" hidden="false" customHeight="false" outlineLevel="0" collapsed="false">
      <c r="A13" s="17" t="n">
        <v>46287</v>
      </c>
      <c r="B13" s="18" t="s">
        <v>88</v>
      </c>
      <c r="C13" s="19" t="n">
        <v>101</v>
      </c>
      <c r="D13" s="19" t="n">
        <v>137</v>
      </c>
      <c r="E13" s="19" t="n">
        <v>148</v>
      </c>
      <c r="F13" s="19" t="n">
        <v>80</v>
      </c>
      <c r="G13" s="20" t="n">
        <f aca="false">C13*$N$2</f>
        <v>808000</v>
      </c>
      <c r="H13" s="20" t="n">
        <f aca="false">D13*$N$3</f>
        <v>411000</v>
      </c>
      <c r="I13" s="20" t="n">
        <f aca="false">E13*$N$4+F13*$N$5</f>
        <v>308000</v>
      </c>
      <c r="J13" s="20" t="n">
        <f aca="false">G13+H13+I13</f>
        <v>1527000</v>
      </c>
      <c r="K13" s="21" t="str">
        <f aca="false">IF(J13&gt;=$N$6,"Tercapai","Belum")</f>
        <v>Tercapai</v>
      </c>
    </row>
    <row r="14" customFormat="false" ht="15" hidden="false" customHeight="false" outlineLevel="0" collapsed="false">
      <c r="A14" s="17" t="n">
        <v>46288</v>
      </c>
      <c r="B14" s="18" t="s">
        <v>91</v>
      </c>
      <c r="C14" s="19" t="n">
        <v>91</v>
      </c>
      <c r="D14" s="19" t="n">
        <v>116</v>
      </c>
      <c r="E14" s="19" t="n">
        <v>187</v>
      </c>
      <c r="F14" s="19" t="n">
        <v>103</v>
      </c>
      <c r="G14" s="20" t="n">
        <f aca="false">C14*$N$2</f>
        <v>728000</v>
      </c>
      <c r="H14" s="20" t="n">
        <f aca="false">D14*$N$3</f>
        <v>348000</v>
      </c>
      <c r="I14" s="20" t="n">
        <f aca="false">E14*$N$4+F14*$N$5</f>
        <v>393000</v>
      </c>
      <c r="J14" s="20" t="n">
        <f aca="false">G14+H14+I14</f>
        <v>1469000</v>
      </c>
      <c r="K14" s="21" t="str">
        <f aca="false">IF(J14&gt;=$N$6,"Tercapai","Belum")</f>
        <v>Tercapai</v>
      </c>
    </row>
    <row r="15" customFormat="false" ht="15" hidden="false" customHeight="false" outlineLevel="0" collapsed="false">
      <c r="A15" s="17" t="n">
        <v>46289</v>
      </c>
      <c r="B15" s="18" t="s">
        <v>94</v>
      </c>
      <c r="C15" s="19" t="n">
        <v>112</v>
      </c>
      <c r="D15" s="19" t="n">
        <v>154</v>
      </c>
      <c r="E15" s="19" t="n">
        <v>144</v>
      </c>
      <c r="F15" s="19" t="n">
        <v>93</v>
      </c>
      <c r="G15" s="20" t="n">
        <f aca="false">C15*$N$2</f>
        <v>896000</v>
      </c>
      <c r="H15" s="20" t="n">
        <f aca="false">D15*$N$3</f>
        <v>462000</v>
      </c>
      <c r="I15" s="20" t="n">
        <f aca="false">E15*$N$4+F15*$N$5</f>
        <v>330000</v>
      </c>
      <c r="J15" s="20" t="n">
        <f aca="false">G15+H15+I15</f>
        <v>1688000</v>
      </c>
      <c r="K15" s="21" t="str">
        <f aca="false">IF(J15&gt;=$N$6,"Tercapai","Belum")</f>
        <v>Tercapai</v>
      </c>
    </row>
    <row r="16" customFormat="false" ht="15" hidden="false" customHeight="false" outlineLevel="0" collapsed="false">
      <c r="A16" s="17" t="n">
        <v>46290</v>
      </c>
      <c r="B16" s="18" t="s">
        <v>97</v>
      </c>
      <c r="C16" s="19" t="n">
        <v>80</v>
      </c>
      <c r="D16" s="19" t="n">
        <v>109</v>
      </c>
      <c r="E16" s="19" t="n">
        <v>104</v>
      </c>
      <c r="F16" s="19" t="n">
        <v>83</v>
      </c>
      <c r="G16" s="20" t="n">
        <f aca="false">C16*$N$2</f>
        <v>640000</v>
      </c>
      <c r="H16" s="20" t="n">
        <f aca="false">D16*$N$3</f>
        <v>327000</v>
      </c>
      <c r="I16" s="20" t="n">
        <f aca="false">E16*$N$4+F16*$N$5</f>
        <v>270000</v>
      </c>
      <c r="J16" s="20" t="n">
        <f aca="false">G16+H16+I16</f>
        <v>1237000</v>
      </c>
      <c r="K16" s="21" t="str">
        <f aca="false">IF(J16&gt;=$N$6,"Tercapai","Belum")</f>
        <v>Belum</v>
      </c>
    </row>
    <row r="17" customFormat="false" ht="15" hidden="false" customHeight="false" outlineLevel="0" collapsed="false">
      <c r="A17" s="17" t="n">
        <v>46293</v>
      </c>
      <c r="B17" s="18" t="s">
        <v>85</v>
      </c>
      <c r="C17" s="19" t="n">
        <v>116</v>
      </c>
      <c r="D17" s="19" t="n">
        <v>142</v>
      </c>
      <c r="E17" s="19" t="n">
        <v>154</v>
      </c>
      <c r="F17" s="19" t="n">
        <v>109</v>
      </c>
      <c r="G17" s="20" t="n">
        <f aca="false">C17*$N$2</f>
        <v>928000</v>
      </c>
      <c r="H17" s="20" t="n">
        <f aca="false">D17*$N$3</f>
        <v>426000</v>
      </c>
      <c r="I17" s="20" t="n">
        <f aca="false">E17*$N$4+F17*$N$5</f>
        <v>372000</v>
      </c>
      <c r="J17" s="20" t="n">
        <f aca="false">G17+H17+I17</f>
        <v>1726000</v>
      </c>
      <c r="K17" s="21" t="str">
        <f aca="false">IF(J17&gt;=$N$6,"Tercapai","Belum")</f>
        <v>Tercapai</v>
      </c>
    </row>
    <row r="18" customFormat="false" ht="15" hidden="false" customHeight="false" outlineLevel="0" collapsed="false">
      <c r="A18" s="17" t="n">
        <v>46294</v>
      </c>
      <c r="B18" s="18" t="s">
        <v>88</v>
      </c>
      <c r="C18" s="19" t="n">
        <v>91</v>
      </c>
      <c r="D18" s="19" t="n">
        <v>124</v>
      </c>
      <c r="E18" s="19" t="n">
        <v>132</v>
      </c>
      <c r="F18" s="19" t="n">
        <v>123</v>
      </c>
      <c r="G18" s="20" t="n">
        <f aca="false">C18*$N$2</f>
        <v>728000</v>
      </c>
      <c r="H18" s="20" t="n">
        <f aca="false">D18*$N$3</f>
        <v>372000</v>
      </c>
      <c r="I18" s="20" t="n">
        <f aca="false">E18*$N$4+F18*$N$5</f>
        <v>378000</v>
      </c>
      <c r="J18" s="20" t="n">
        <f aca="false">G18+H18+I18</f>
        <v>1478000</v>
      </c>
      <c r="K18" s="21" t="str">
        <f aca="false">IF(J18&gt;=$N$6,"Tercapai","Belum")</f>
        <v>Tercapai</v>
      </c>
    </row>
    <row r="19" customFormat="false" ht="15" hidden="false" customHeight="false" outlineLevel="0" collapsed="false">
      <c r="A19" s="17" t="n">
        <v>46295</v>
      </c>
      <c r="B19" s="18" t="s">
        <v>91</v>
      </c>
      <c r="C19" s="19" t="n">
        <v>118</v>
      </c>
      <c r="D19" s="19" t="n">
        <v>152</v>
      </c>
      <c r="E19" s="19" t="n">
        <v>173</v>
      </c>
      <c r="F19" s="19" t="n">
        <v>124</v>
      </c>
      <c r="G19" s="20" t="n">
        <f aca="false">C19*$N$2</f>
        <v>944000</v>
      </c>
      <c r="H19" s="20" t="n">
        <f aca="false">D19*$N$3</f>
        <v>456000</v>
      </c>
      <c r="I19" s="20" t="n">
        <f aca="false">E19*$N$4+F19*$N$5</f>
        <v>421000</v>
      </c>
      <c r="J19" s="20" t="n">
        <f aca="false">G19+H19+I19</f>
        <v>1821000</v>
      </c>
      <c r="K19" s="21" t="str">
        <f aca="false">IF(J19&gt;=$N$6,"Tercapai","Belum")</f>
        <v>Tercapai</v>
      </c>
    </row>
    <row r="20" customFormat="false" ht="15" hidden="false" customHeight="false" outlineLevel="0" collapsed="false">
      <c r="A20" s="17" t="n">
        <v>46296</v>
      </c>
      <c r="B20" s="18" t="s">
        <v>94</v>
      </c>
      <c r="C20" s="19" t="n">
        <v>103</v>
      </c>
      <c r="D20" s="19" t="n">
        <v>141</v>
      </c>
      <c r="E20" s="19" t="n">
        <v>152</v>
      </c>
      <c r="F20" s="19" t="n">
        <v>90</v>
      </c>
      <c r="G20" s="20" t="n">
        <f aca="false">C20*$N$2</f>
        <v>824000</v>
      </c>
      <c r="H20" s="20" t="n">
        <f aca="false">D20*$N$3</f>
        <v>423000</v>
      </c>
      <c r="I20" s="20" t="n">
        <f aca="false">E20*$N$4+F20*$N$5</f>
        <v>332000</v>
      </c>
      <c r="J20" s="20" t="n">
        <f aca="false">G20+H20+I20</f>
        <v>1579000</v>
      </c>
      <c r="K20" s="21" t="str">
        <f aca="false">IF(J20&gt;=$N$6,"Tercapai","Belum")</f>
        <v>Tercapai</v>
      </c>
    </row>
    <row r="21" customFormat="false" ht="15" hidden="false" customHeight="false" outlineLevel="0" collapsed="false">
      <c r="A21" s="17" t="n">
        <v>46297</v>
      </c>
      <c r="B21" s="18" t="s">
        <v>97</v>
      </c>
      <c r="C21" s="19" t="n">
        <v>62</v>
      </c>
      <c r="D21" s="19" t="n">
        <v>96</v>
      </c>
      <c r="E21" s="19" t="n">
        <v>93</v>
      </c>
      <c r="F21" s="19" t="n">
        <v>68</v>
      </c>
      <c r="G21" s="20" t="n">
        <f aca="false">C21*$N$2</f>
        <v>496000</v>
      </c>
      <c r="H21" s="20" t="n">
        <f aca="false">D21*$N$3</f>
        <v>288000</v>
      </c>
      <c r="I21" s="20" t="n">
        <f aca="false">E21*$N$4+F21*$N$5</f>
        <v>229000</v>
      </c>
      <c r="J21" s="20" t="n">
        <f aca="false">G21+H21+I21</f>
        <v>1013000</v>
      </c>
      <c r="K21" s="21" t="str">
        <f aca="false">IF(J21&gt;=$N$6,"Tercapai","Belum")</f>
        <v>Belum</v>
      </c>
    </row>
    <row r="22" customFormat="false" ht="15" hidden="false" customHeight="false" outlineLevel="0" collapsed="false">
      <c r="A22" s="17" t="n">
        <v>46300</v>
      </c>
      <c r="B22" s="18" t="s">
        <v>85</v>
      </c>
      <c r="C22" s="19" t="n">
        <v>102</v>
      </c>
      <c r="D22" s="19" t="n">
        <v>144</v>
      </c>
      <c r="E22" s="19" t="n">
        <v>175</v>
      </c>
      <c r="F22" s="19" t="n">
        <v>121</v>
      </c>
      <c r="G22" s="20" t="n">
        <f aca="false">C22*$N$2</f>
        <v>816000</v>
      </c>
      <c r="H22" s="20" t="n">
        <f aca="false">D22*$N$3</f>
        <v>432000</v>
      </c>
      <c r="I22" s="20" t="n">
        <f aca="false">E22*$N$4+F22*$N$5</f>
        <v>417000</v>
      </c>
      <c r="J22" s="20" t="n">
        <f aca="false">G22+H22+I22</f>
        <v>1665000</v>
      </c>
      <c r="K22" s="21" t="str">
        <f aca="false">IF(J22&gt;=$N$6,"Tercapai","Belum")</f>
        <v>Tercapai</v>
      </c>
    </row>
    <row r="23" customFormat="false" ht="15" hidden="false" customHeight="false" outlineLevel="0" collapsed="false">
      <c r="A23" s="17" t="n">
        <v>46301</v>
      </c>
      <c r="B23" s="18" t="s">
        <v>88</v>
      </c>
      <c r="C23" s="19" t="n">
        <v>114</v>
      </c>
      <c r="D23" s="19" t="n">
        <v>144</v>
      </c>
      <c r="E23" s="19" t="n">
        <v>170</v>
      </c>
      <c r="F23" s="19" t="n">
        <v>101</v>
      </c>
      <c r="G23" s="20" t="n">
        <f aca="false">C23*$N$2</f>
        <v>912000</v>
      </c>
      <c r="H23" s="20" t="n">
        <f aca="false">D23*$N$3</f>
        <v>432000</v>
      </c>
      <c r="I23" s="20" t="n">
        <f aca="false">E23*$N$4+F23*$N$5</f>
        <v>372000</v>
      </c>
      <c r="J23" s="20" t="n">
        <f aca="false">G23+H23+I23</f>
        <v>1716000</v>
      </c>
      <c r="K23" s="21" t="str">
        <f aca="false">IF(J23&gt;=$N$6,"Tercapai","Belum")</f>
        <v>Tercapai</v>
      </c>
    </row>
    <row r="24" customFormat="false" ht="15" hidden="false" customHeight="false" outlineLevel="0" collapsed="false">
      <c r="A24" s="17" t="n">
        <v>46302</v>
      </c>
      <c r="B24" s="18" t="s">
        <v>91</v>
      </c>
      <c r="C24" s="19" t="n">
        <v>111</v>
      </c>
      <c r="D24" s="19" t="n">
        <v>147</v>
      </c>
      <c r="E24" s="19" t="n">
        <v>141</v>
      </c>
      <c r="F24" s="19" t="n">
        <v>96</v>
      </c>
      <c r="G24" s="20" t="n">
        <f aca="false">C24*$N$2</f>
        <v>888000</v>
      </c>
      <c r="H24" s="20" t="n">
        <f aca="false">D24*$N$3</f>
        <v>441000</v>
      </c>
      <c r="I24" s="20" t="n">
        <f aca="false">E24*$N$4+F24*$N$5</f>
        <v>333000</v>
      </c>
      <c r="J24" s="20" t="n">
        <f aca="false">G24+H24+I24</f>
        <v>1662000</v>
      </c>
      <c r="K24" s="21" t="str">
        <f aca="false">IF(J24&gt;=$N$6,"Tercapai","Belum")</f>
        <v>Tercapai</v>
      </c>
    </row>
    <row r="25" customFormat="false" ht="15" hidden="false" customHeight="false" outlineLevel="0" collapsed="false">
      <c r="A25" s="17" t="n">
        <v>46303</v>
      </c>
      <c r="B25" s="18" t="s">
        <v>94</v>
      </c>
      <c r="C25" s="19" t="n">
        <v>95</v>
      </c>
      <c r="D25" s="19" t="n">
        <v>132</v>
      </c>
      <c r="E25" s="19" t="n">
        <v>182</v>
      </c>
      <c r="F25" s="19" t="n">
        <v>95</v>
      </c>
      <c r="G25" s="20" t="n">
        <f aca="false">C25*$N$2</f>
        <v>760000</v>
      </c>
      <c r="H25" s="20" t="n">
        <f aca="false">D25*$N$3</f>
        <v>396000</v>
      </c>
      <c r="I25" s="20" t="n">
        <f aca="false">E25*$N$4+F25*$N$5</f>
        <v>372000</v>
      </c>
      <c r="J25" s="20" t="n">
        <f aca="false">G25+H25+I25</f>
        <v>1528000</v>
      </c>
      <c r="K25" s="21" t="str">
        <f aca="false">IF(J25&gt;=$N$6,"Tercapai","Belum")</f>
        <v>Tercapai</v>
      </c>
    </row>
    <row r="26" customFormat="false" ht="15" hidden="false" customHeight="false" outlineLevel="0" collapsed="false">
      <c r="A26" s="17" t="n">
        <v>46304</v>
      </c>
      <c r="B26" s="18" t="s">
        <v>97</v>
      </c>
      <c r="C26" s="19" t="n">
        <v>66</v>
      </c>
      <c r="D26" s="19" t="n">
        <v>112</v>
      </c>
      <c r="E26" s="19" t="n">
        <v>106</v>
      </c>
      <c r="F26" s="19" t="n">
        <v>66</v>
      </c>
      <c r="G26" s="20" t="n">
        <f aca="false">C26*$N$2</f>
        <v>528000</v>
      </c>
      <c r="H26" s="20" t="n">
        <f aca="false">D26*$N$3</f>
        <v>336000</v>
      </c>
      <c r="I26" s="20" t="n">
        <f aca="false">E26*$N$4+F26*$N$5</f>
        <v>238000</v>
      </c>
      <c r="J26" s="20" t="n">
        <f aca="false">G26+H26+I26</f>
        <v>1102000</v>
      </c>
      <c r="K26" s="21" t="str">
        <f aca="false">IF(J26&gt;=$N$6,"Tercapai","Belum")</f>
        <v>Belum</v>
      </c>
    </row>
    <row r="27" customFormat="false" ht="15" hidden="false" customHeight="false" outlineLevel="0" collapsed="false">
      <c r="A27" s="17" t="n">
        <v>46307</v>
      </c>
      <c r="B27" s="18" t="s">
        <v>85</v>
      </c>
      <c r="C27" s="19" t="n">
        <v>117</v>
      </c>
      <c r="D27" s="19" t="n">
        <v>117</v>
      </c>
      <c r="E27" s="19" t="n">
        <v>142</v>
      </c>
      <c r="F27" s="19" t="n">
        <v>94</v>
      </c>
      <c r="G27" s="20" t="n">
        <f aca="false">C27*$N$2</f>
        <v>936000</v>
      </c>
      <c r="H27" s="20" t="n">
        <f aca="false">D27*$N$3</f>
        <v>351000</v>
      </c>
      <c r="I27" s="20" t="n">
        <f aca="false">E27*$N$4+F27*$N$5</f>
        <v>330000</v>
      </c>
      <c r="J27" s="20" t="n">
        <f aca="false">G27+H27+I27</f>
        <v>1617000</v>
      </c>
      <c r="K27" s="21" t="str">
        <f aca="false">IF(J27&gt;=$N$6,"Tercapai","Belum")</f>
        <v>Tercapai</v>
      </c>
    </row>
    <row r="28" customFormat="false" ht="15" hidden="false" customHeight="false" outlineLevel="0" collapsed="false">
      <c r="A28" s="17" t="n">
        <v>46308</v>
      </c>
      <c r="B28" s="18" t="s">
        <v>88</v>
      </c>
      <c r="C28" s="19" t="n">
        <v>90</v>
      </c>
      <c r="D28" s="19" t="n">
        <v>141</v>
      </c>
      <c r="E28" s="19" t="n">
        <v>145</v>
      </c>
      <c r="F28" s="19" t="n">
        <v>98</v>
      </c>
      <c r="G28" s="20" t="n">
        <f aca="false">C28*$N$2</f>
        <v>720000</v>
      </c>
      <c r="H28" s="20" t="n">
        <f aca="false">D28*$N$3</f>
        <v>423000</v>
      </c>
      <c r="I28" s="20" t="n">
        <f aca="false">E28*$N$4+F28*$N$5</f>
        <v>341000</v>
      </c>
      <c r="J28" s="20" t="n">
        <f aca="false">G28+H28+I28</f>
        <v>1484000</v>
      </c>
      <c r="K28" s="21" t="str">
        <f aca="false">IF(J28&gt;=$N$6,"Tercapai","Belum")</f>
        <v>Tercapai</v>
      </c>
    </row>
    <row r="29" customFormat="false" ht="15" hidden="false" customHeight="false" outlineLevel="0" collapsed="false">
      <c r="A29" s="17" t="n">
        <v>46309</v>
      </c>
      <c r="B29" s="18" t="s">
        <v>91</v>
      </c>
      <c r="C29" s="19" t="n">
        <v>89</v>
      </c>
      <c r="D29" s="19" t="n">
        <v>122</v>
      </c>
      <c r="E29" s="19" t="n">
        <v>189</v>
      </c>
      <c r="F29" s="19" t="n">
        <v>113</v>
      </c>
      <c r="G29" s="20" t="n">
        <f aca="false">C29*$N$2</f>
        <v>712000</v>
      </c>
      <c r="H29" s="20" t="n">
        <f aca="false">D29*$N$3</f>
        <v>366000</v>
      </c>
      <c r="I29" s="20" t="n">
        <f aca="false">E29*$N$4+F29*$N$5</f>
        <v>415000</v>
      </c>
      <c r="J29" s="20" t="n">
        <f aca="false">G29+H29+I29</f>
        <v>1493000</v>
      </c>
      <c r="K29" s="21" t="str">
        <f aca="false">IF(J29&gt;=$N$6,"Tercapai","Belum")</f>
        <v>Tercapai</v>
      </c>
    </row>
    <row r="30" customFormat="false" ht="15" hidden="false" customHeight="false" outlineLevel="0" collapsed="false">
      <c r="A30" s="17" t="n">
        <v>46310</v>
      </c>
      <c r="B30" s="18" t="s">
        <v>94</v>
      </c>
      <c r="C30" s="19" t="n">
        <v>82</v>
      </c>
      <c r="D30" s="19" t="n">
        <v>158</v>
      </c>
      <c r="E30" s="19" t="n">
        <v>135</v>
      </c>
      <c r="F30" s="19" t="n">
        <v>95</v>
      </c>
      <c r="G30" s="20" t="n">
        <f aca="false">C30*$N$2</f>
        <v>656000</v>
      </c>
      <c r="H30" s="20" t="n">
        <f aca="false">D30*$N$3</f>
        <v>474000</v>
      </c>
      <c r="I30" s="20" t="n">
        <f aca="false">E30*$N$4+F30*$N$5</f>
        <v>325000</v>
      </c>
      <c r="J30" s="20" t="n">
        <f aca="false">G30+H30+I30</f>
        <v>1455000</v>
      </c>
      <c r="K30" s="21" t="str">
        <f aca="false">IF(J30&gt;=$N$6,"Tercapai","Belum")</f>
        <v>Tercapai</v>
      </c>
    </row>
    <row r="31" customFormat="false" ht="15" hidden="false" customHeight="false" outlineLevel="0" collapsed="false">
      <c r="A31" s="17" t="n">
        <v>46311</v>
      </c>
      <c r="B31" s="18" t="s">
        <v>97</v>
      </c>
      <c r="C31" s="19" t="n">
        <v>60</v>
      </c>
      <c r="D31" s="19" t="n">
        <v>97</v>
      </c>
      <c r="E31" s="19" t="n">
        <v>123</v>
      </c>
      <c r="F31" s="19" t="n">
        <v>60</v>
      </c>
      <c r="G31" s="20" t="n">
        <f aca="false">C31*$N$2</f>
        <v>480000</v>
      </c>
      <c r="H31" s="20" t="n">
        <f aca="false">D31*$N$3</f>
        <v>291000</v>
      </c>
      <c r="I31" s="20" t="n">
        <f aca="false">E31*$N$4+F31*$N$5</f>
        <v>243000</v>
      </c>
      <c r="J31" s="20" t="n">
        <f aca="false">G31+H31+I31</f>
        <v>1014000</v>
      </c>
      <c r="K31" s="21" t="str">
        <f aca="false">IF(J31&gt;=$N$6,"Tercapai","Belum")</f>
        <v>Belum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4" t="s">
        <v>100</v>
      </c>
      <c r="B1" s="24"/>
      <c r="C1" s="24"/>
      <c r="D1" s="24"/>
    </row>
    <row r="2" customFormat="false" ht="15" hidden="false" customHeight="false" outlineLevel="0" collapsed="false">
      <c r="A2" s="25" t="s">
        <v>101</v>
      </c>
      <c r="B2" s="25"/>
      <c r="C2" s="25"/>
      <c r="D2" s="25"/>
    </row>
    <row r="3" customFormat="false" ht="15" hidden="false" customHeight="false" outlineLevel="0" collapsed="false">
      <c r="A3" s="11" t="s">
        <v>19</v>
      </c>
      <c r="B3" s="11" t="s">
        <v>102</v>
      </c>
      <c r="C3" s="11" t="s">
        <v>103</v>
      </c>
      <c r="D3" s="11" t="s">
        <v>104</v>
      </c>
    </row>
    <row r="4" customFormat="false" ht="15" hidden="false" customHeight="false" outlineLevel="0" collapsed="false">
      <c r="A4" s="26" t="s">
        <v>105</v>
      </c>
      <c r="B4" s="27" t="s">
        <v>106</v>
      </c>
      <c r="C4" s="20" t="n">
        <f aca="false">SUM(Data!$J$2:$J$31)</f>
        <v>44450000</v>
      </c>
      <c r="D4" s="28" t="s">
        <v>107</v>
      </c>
    </row>
    <row r="5" customFormat="false" ht="15" hidden="false" customHeight="false" outlineLevel="0" collapsed="false">
      <c r="A5" s="26" t="s">
        <v>108</v>
      </c>
      <c r="B5" s="27" t="s">
        <v>109</v>
      </c>
      <c r="C5" s="20" t="n">
        <f aca="false">AVERAGE(Data!$J$2:$J$31)</f>
        <v>1481666.66666667</v>
      </c>
      <c r="D5" s="28" t="s">
        <v>110</v>
      </c>
    </row>
    <row r="6" customFormat="false" ht="15" hidden="false" customHeight="false" outlineLevel="0" collapsed="false">
      <c r="A6" s="26" t="s">
        <v>111</v>
      </c>
      <c r="B6" s="27" t="s">
        <v>112</v>
      </c>
      <c r="C6" s="20" t="n">
        <f aca="false">MAX(Data!$J$2:$J$31)</f>
        <v>1821000</v>
      </c>
      <c r="D6" s="28" t="s">
        <v>113</v>
      </c>
    </row>
    <row r="7" customFormat="false" ht="15" hidden="false" customHeight="false" outlineLevel="0" collapsed="false">
      <c r="A7" s="26" t="s">
        <v>114</v>
      </c>
      <c r="B7" s="27" t="s">
        <v>115</v>
      </c>
      <c r="C7" s="20" t="n">
        <f aca="false">MIN(Data!$J$2:$J$31)</f>
        <v>1013000</v>
      </c>
      <c r="D7" s="28" t="s">
        <v>116</v>
      </c>
    </row>
    <row r="8" customFormat="false" ht="15" hidden="false" customHeight="false" outlineLevel="0" collapsed="false">
      <c r="A8" s="26" t="s">
        <v>51</v>
      </c>
      <c r="B8" s="27" t="s">
        <v>117</v>
      </c>
      <c r="C8" s="29" t="n">
        <f aca="false">INDEX(Data!$A$2:$A$31,MATCH(MAX(Data!$J$2:$J$31),Data!$J$2:$J$31,0))</f>
        <v>46295</v>
      </c>
      <c r="D8" s="28" t="s">
        <v>118</v>
      </c>
    </row>
    <row r="9" customFormat="false" ht="15" hidden="false" customHeight="false" outlineLevel="0" collapsed="false">
      <c r="A9" s="26" t="s">
        <v>119</v>
      </c>
      <c r="B9" s="27" t="s">
        <v>120</v>
      </c>
      <c r="C9" s="30" t="n">
        <f aca="false">COUNTIF(Data!$K$2:$K$31,"Tercapai")</f>
        <v>24</v>
      </c>
      <c r="D9" s="28" t="s">
        <v>121</v>
      </c>
    </row>
    <row r="10" customFormat="false" ht="15" hidden="false" customHeight="false" outlineLevel="0" collapsed="false">
      <c r="A10" s="26" t="s">
        <v>122</v>
      </c>
      <c r="B10" s="27" t="s">
        <v>123</v>
      </c>
      <c r="C10" s="30" t="n">
        <f aca="false">COUNTIF(Data!$K$2:$K$31,"Belum")</f>
        <v>6</v>
      </c>
      <c r="D10" s="28" t="s">
        <v>121</v>
      </c>
    </row>
    <row r="11" customFormat="false" ht="15" hidden="false" customHeight="false" outlineLevel="0" collapsed="false">
      <c r="A11" s="26" t="s">
        <v>124</v>
      </c>
      <c r="B11" s="27" t="s">
        <v>125</v>
      </c>
      <c r="C11" s="30" t="n">
        <f aca="false">SUM(Data!$C$2:$C$31)</f>
        <v>2809</v>
      </c>
      <c r="D11" s="28" t="s">
        <v>126</v>
      </c>
    </row>
    <row r="12" customFormat="false" ht="15" hidden="false" customHeight="false" outlineLevel="0" collapsed="false">
      <c r="A12" s="26" t="s">
        <v>127</v>
      </c>
      <c r="B12" s="27" t="s">
        <v>128</v>
      </c>
      <c r="C12" s="31" t="n">
        <f aca="false">SUM(Data!$G$2:$G$31)/SUM(Data!$J$2:$J$31)</f>
        <v>0.505556805399325</v>
      </c>
      <c r="D12" s="28" t="s">
        <v>129</v>
      </c>
    </row>
    <row r="13" customFormat="false" ht="15" hidden="false" customHeight="false" outlineLevel="0" collapsed="false">
      <c r="A13" s="26" t="s">
        <v>63</v>
      </c>
      <c r="B13" s="27" t="s">
        <v>130</v>
      </c>
      <c r="C13" s="30" t="n">
        <f aca="false">COUNTIF(Data!$E$2:$E$31,"&gt;150")</f>
        <v>14</v>
      </c>
      <c r="D13" s="28" t="s">
        <v>131</v>
      </c>
    </row>
    <row r="14" customFormat="false" ht="15" hidden="false" customHeight="false" outlineLevel="0" collapsed="false">
      <c r="A14" s="26" t="s">
        <v>132</v>
      </c>
      <c r="B14" s="27" t="s">
        <v>133</v>
      </c>
      <c r="C14" s="30" t="n">
        <f aca="false">COUNTIFS(Data!$B$2:$B$31,"Jumat",Data!$K$2:$K$31,"Tercapai")</f>
        <v>0</v>
      </c>
      <c r="D14" s="28" t="s">
        <v>134</v>
      </c>
    </row>
    <row r="15" customFormat="false" ht="15" hidden="false" customHeight="false" outlineLevel="0" collapsed="false">
      <c r="A15" s="26" t="s">
        <v>135</v>
      </c>
      <c r="B15" s="27" t="s">
        <v>136</v>
      </c>
      <c r="C15" s="20" t="n">
        <f aca="false">AVERAGEIF(Data!$B$2:$B$31,"Jumat",Data!$J$2:$J$31)</f>
        <v>1096500</v>
      </c>
      <c r="D15" s="28" t="s">
        <v>137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2026-10-14T23:33:38Z</dcterms:created>
  <dc:creator>PushExcel</dc:creator>
  <dc:description/>
  <dc:language>en-US</dc:language>
  <cp:lastModifiedBy/>
  <dcterms:modified xsi:type="dcterms:W3CDTF">2026-10-14T23:33:38Z</dcterms:modified>
  <cp:revision>0</cp:revision>
  <dc:subject/>
  <dc:title>Rekap Penjualan Harian Kantin Sekolah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