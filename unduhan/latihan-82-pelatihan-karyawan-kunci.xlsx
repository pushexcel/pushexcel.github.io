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<sst xmlns="http://schemas.openxmlformats.org/spreadsheetml/2006/main" count="232" uniqueCount="199">
  <si>
    <t xml:space="preserve">Kunci Jawaban: Hasil Pelatihan Karyawan: Kehadiran, Nilai, dan Sertifikat</t>
  </si>
  <si>
    <t xml:space="preserve">Latihan 82 dari 40  |  Tingkat: Menengah  |  Perkiraan waktu: 50 menit  |  pushexcel.github.io/Pushexcel</t>
  </si>
  <si>
    <t xml:space="preserve">Skenario</t>
  </si>
  <si>
    <t xml:space="preserve">Kamu staf pengembangan SDM PT Bahari Nusantara yang merekap pelatihan internal untuk 30 karyawan dalam empat program. Setiap program berjumlah 8 sesi, dan setiap peserta punya jumlah sesi yang dihadiri, nilai pre-test, dan nilai post-test. Peserta dinyatakan Lulus bila nilai post-test sama dengan atau lebih dari nilai kelulusan 70. Sertifikat diberikan bila persen kehadiran minimal 75 persen dan peserta Lulus (semua angka ada di blok Parameter). Kamu juga mengelompokkan kenaikan nilai: Tidak Naik bila 0 atau negatif, Rendah bila di bawah 10 poin, Sedang bila di bawah 20 poin, dan Tinggi bila 20 poin atau lebih.</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</si>
  <si>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</si>
  <si>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</si>
  <si>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</si>
  <si>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</si>
  <si>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</si>
  <si>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</si>
  <si>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</si>
  <si>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</si>
  <si>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</si>
  <si>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</si>
  <si>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</si>
  <si>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</si>
  <si>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</si>
  <si>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</si>
  <si>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</si>
  <si>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</si>
  <si>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</si>
  <si>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</si>
  <si>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</si>
  <si>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</si>
  <si>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persen kehadiran: sesi dihadiri dibagi jumlah sesi.</t>
  </si>
  <si>
    <t xml:space="preserve">Sheet Data, kolom G (Persen Kehadiran), baris 2 sampai 31</t>
  </si>
  <si>
    <t xml:space="preserve">=D2/$N$2</t>
  </si>
  <si>
    <t xml:space="preserve">2</t>
  </si>
  <si>
    <t xml:space="preserve">Hitung kenaikan nilai: nilai post-test dikurangi nilai pre-test. Boleh negatif.</t>
  </si>
  <si>
    <t xml:space="preserve">Sheet Data, kolom H (Kenaikan Nilai), baris 2 sampai 31</t>
  </si>
  <si>
    <t xml:space="preserve">=F2-E2</t>
  </si>
  <si>
    <t xml:space="preserve">3</t>
  </si>
  <si>
    <t xml:space="preserve">Beri status Lulus bila nilai post-test sama dengan atau lebih dari nilai kelulusan, selain itu Remedial.</t>
  </si>
  <si>
    <t xml:space="preserve">Sheet Data, kolom I (Status Nilai), baris 2 sampai 31</t>
  </si>
  <si>
    <t xml:space="preserve">=IF(F2&gt;=$N$3;"Lulus";"Remedial")</t>
  </si>
  <si>
    <t xml:space="preserve">4</t>
  </si>
  <si>
    <t xml:space="preserve">Kelompokkan kenaikan nilai: Tidak Naik bila 0 atau negatif, Rendah bila di bawah 10, Sedang bila di bawah 20, selain itu Tinggi.</t>
  </si>
  <si>
    <t xml:space="preserve">Sheet Data, kolom J (Kategori Kenaikan), baris 2 sampai 31</t>
  </si>
  <si>
    <t xml:space="preserve">=IF(H2&lt;=0;"Tidak Naik";IF(H2&lt;10;"Rendah";IF(H2&lt;20;"Sedang";"Tinggi")))</t>
  </si>
  <si>
    <t xml:space="preserve">5</t>
  </si>
  <si>
    <t xml:space="preserve">Beri sertifikat (tulis Dapat) bila persen kehadiran minimal sama dengan batas kehadiran dan status nilai Lulus. Selain itu Tidak.</t>
  </si>
  <si>
    <t xml:space="preserve">Sheet Data, kolom K (Sertifikat), baris 2 sampai 31</t>
  </si>
  <si>
    <t xml:space="preserve">=IF(AND(G2&gt;=$N$4;I2="Lulus");"Dapat";"Tidak")</t>
  </si>
  <si>
    <t xml:space="preserve">6</t>
  </si>
  <si>
    <t xml:space="preserve">Pada sheet Acuan, hitung jumlah peserta tiap program.</t>
  </si>
  <si>
    <t xml:space="preserve">Sheet Acuan, kolom B (Jumlah Peserta), baris 2 sampai 5</t>
  </si>
  <si>
    <t xml:space="preserve">=COUNTIF(Data!$C$2:$C$31;A2)</t>
  </si>
  <si>
    <t xml:space="preserve">7</t>
  </si>
  <si>
    <t xml:space="preserve">Pada sheet Acuan, hitung rata-rata kenaikan nilai tiap program.</t>
  </si>
  <si>
    <t xml:space="preserve">Sheet Acuan, kolom C (Rata-rata Kenaikan), baris 2 sampai 5</t>
  </si>
  <si>
    <t xml:space="preserve">=AVERAGEIF(Data!$C$2:$C$31;A2;Data!$H$2:$H$31)</t>
  </si>
  <si>
    <t xml:space="preserve">8</t>
  </si>
  <si>
    <t xml:space="preserve">Pada sheet Acuan, hitung jumlah peserta yang mendapat sertifikat di tiap program.</t>
  </si>
  <si>
    <t xml:space="preserve">Sheet Acuan, kolom D (Jumlah Sertifikat), baris 2 sampai 5</t>
  </si>
  <si>
    <t xml:space="preserve">=COUNTIFS(Data!$C$2:$C$31;A2;Data!$K$2:$K$31;"Dapat")</t>
  </si>
  <si>
    <t xml:space="preserve">9</t>
  </si>
  <si>
    <t xml:space="preserve">Berapa rata-rata nilai pre-test dan rata-rata nilai post-test seluruh peserta?</t>
  </si>
  <si>
    <t xml:space="preserve">Sheet Ringkasan, sel C4 sampai C5</t>
  </si>
  <si>
    <t xml:space="preserve">=AVERAGE(Data!$E$2:$E$31)
=AVERAGE(Data!$F$2:$F$31)</t>
  </si>
  <si>
    <t xml:space="preserve">10</t>
  </si>
  <si>
    <t xml:space="preserve">Berapa peserta yang Lulus, berapa yang mendapat sertifikat, dan berapa total sesi yang dihadiri seluruh peserta?</t>
  </si>
  <si>
    <t xml:space="preserve">Sheet Ringkasan, sel C6 sampai C8</t>
  </si>
  <si>
    <t xml:space="preserve">=COUNTIF(Data!$I$2:$I$31;"Lulus")
=COUNTIF(Data!$K$2:$K$31;"Dapat")
=SUM(Data!$D$2:$D$31)</t>
  </si>
  <si>
    <t xml:space="preserve">11</t>
  </si>
  <si>
    <t xml:space="preserve">Siapa peserta dengan kenaikan nilai terbesar, dan siapa yang nilai post-testnya tertinggi?</t>
  </si>
  <si>
    <t xml:space="preserve">Sheet Ringkasan, sel C9 sampai C10</t>
  </si>
  <si>
    <t xml:space="preserve">=INDEX(Data!$B$2:$B$31;MATCH(MAX(Data!$H$2:$H$31);Data!$H$2:$H$31;0))
=INDEX(Data!$B$2:$B$31;MATCH(MAX(Data!$F$2:$F$31);Data!$F$2:$F$31;0))</t>
  </si>
  <si>
    <t xml:space="preserve">12</t>
  </si>
  <si>
    <t xml:space="preserve">Program apa yang jumlah sertifikatnya terbanyak, dan berapa kenaikan nilai terkecil di antara semua peserta?</t>
  </si>
  <si>
    <t xml:space="preserve">Sheet Ringkasan, sel C11 sampai C12</t>
  </si>
  <si>
    <t xml:space="preserve">=INDEX(Acuan!$A$2:$A$5;MATCH(MAX(Acuan!$D$2:$D$5);Acuan!$D$2:$D$5;0))
=MIN(Data!$H$2:$H$31)</t>
  </si>
  <si>
    <t xml:space="preserve">13</t>
  </si>
  <si>
    <t xml:space="preserve">Berapa peserta program Excel Dasar yang berkategori kenaikan Tinggi, dan berapa rata-rata persen kehadiran peserta yang Remedial?</t>
  </si>
  <si>
    <t xml:space="preserve">Sheet Ringkasan, sel C13 sampai C14</t>
  </si>
  <si>
    <t xml:space="preserve">=COUNTIFS(Data!$C$2:$C$31;"Excel Dasar";Data!$J$2:$J$31;"Tinggi")
=AVERAGEIF(Data!$I$2:$I$31;"Remedial";Data!$G$2:$G$31)</t>
  </si>
  <si>
    <t xml:space="preserve">ID Peserta</t>
  </si>
  <si>
    <t xml:space="preserve">Nama Peserta</t>
  </si>
  <si>
    <t xml:space="preserve">Program</t>
  </si>
  <si>
    <t xml:space="preserve">Sesi Dihadiri</t>
  </si>
  <si>
    <t xml:space="preserve">Nilai Pre-test</t>
  </si>
  <si>
    <t xml:space="preserve">Nilai Post-test</t>
  </si>
  <si>
    <t xml:space="preserve">Persen Kehadiran</t>
  </si>
  <si>
    <t xml:space="preserve">Kenaikan Nilai</t>
  </si>
  <si>
    <t xml:space="preserve">Status Nilai</t>
  </si>
  <si>
    <t xml:space="preserve">Kategori Kenaikan</t>
  </si>
  <si>
    <t xml:space="preserve">Sertifikat</t>
  </si>
  <si>
    <t xml:space="preserve">Parameter</t>
  </si>
  <si>
    <t xml:space="preserve">Nilai</t>
  </si>
  <si>
    <t xml:space="preserve">Keterangan</t>
  </si>
  <si>
    <t xml:space="preserve">P-001</t>
  </si>
  <si>
    <t xml:space="preserve">Hadi Amalia</t>
  </si>
  <si>
    <t xml:space="preserve">Layanan Pelanggan</t>
  </si>
  <si>
    <t xml:space="preserve">Jumlah sesi</t>
  </si>
  <si>
    <t xml:space="preserve">Jumlah sesi tiap program</t>
  </si>
  <si>
    <t xml:space="preserve">P-002</t>
  </si>
  <si>
    <t xml:space="preserve">Oki Hartono</t>
  </si>
  <si>
    <t xml:space="preserve">Keselamatan Kerja</t>
  </si>
  <si>
    <t xml:space="preserve">Nilai kelulusan</t>
  </si>
  <si>
    <t xml:space="preserve">Post-test minimal untuk Lulus</t>
  </si>
  <si>
    <t xml:space="preserve">P-003</t>
  </si>
  <si>
    <t xml:space="preserve">Irfan Suryani</t>
  </si>
  <si>
    <t xml:space="preserve">Excel Dasar</t>
  </si>
  <si>
    <t xml:space="preserve">Kehadiran minimal</t>
  </si>
  <si>
    <t xml:space="preserve">Syarat sertifikat</t>
  </si>
  <si>
    <t xml:space="preserve">P-004</t>
  </si>
  <si>
    <t xml:space="preserve">Farida Firmansyah</t>
  </si>
  <si>
    <t xml:space="preserve">Komunikasi Efektif</t>
  </si>
  <si>
    <t xml:space="preserve">P-005</t>
  </si>
  <si>
    <t xml:space="preserve">Mulyadi Rahayu</t>
  </si>
  <si>
    <t xml:space="preserve">P-006</t>
  </si>
  <si>
    <t xml:space="preserve">Ahmad Lestari</t>
  </si>
  <si>
    <t xml:space="preserve">P-007</t>
  </si>
  <si>
    <t xml:space="preserve">Prasetyo Ramadhan</t>
  </si>
  <si>
    <t xml:space="preserve">P-008</t>
  </si>
  <si>
    <t xml:space="preserve">Vina Suryani</t>
  </si>
  <si>
    <t xml:space="preserve">P-009</t>
  </si>
  <si>
    <t xml:space="preserve">Dewi Amalia</t>
  </si>
  <si>
    <t xml:space="preserve">P-010</t>
  </si>
  <si>
    <t xml:space="preserve">Tika Saputra</t>
  </si>
  <si>
    <t xml:space="preserve">P-011</t>
  </si>
  <si>
    <t xml:space="preserve">Vivi Santoso</t>
  </si>
  <si>
    <t xml:space="preserve">P-012</t>
  </si>
  <si>
    <t xml:space="preserve">Dewi Kurniawan</t>
  </si>
  <si>
    <t xml:space="preserve">P-013</t>
  </si>
  <si>
    <t xml:space="preserve">Dian Sari</t>
  </si>
  <si>
    <t xml:space="preserve">P-014</t>
  </si>
  <si>
    <t xml:space="preserve">Dewi Ramadhan</t>
  </si>
  <si>
    <t xml:space="preserve">P-015</t>
  </si>
  <si>
    <t xml:space="preserve">Ayu Anggraini</t>
  </si>
  <si>
    <t xml:space="preserve">P-016</t>
  </si>
  <si>
    <t xml:space="preserve">Wawan Firmansyah</t>
  </si>
  <si>
    <t xml:space="preserve">P-017</t>
  </si>
  <si>
    <t xml:space="preserve">Eko Hidayat</t>
  </si>
  <si>
    <t xml:space="preserve">P-018</t>
  </si>
  <si>
    <t xml:space="preserve">Vivi Fauzi</t>
  </si>
  <si>
    <t xml:space="preserve">P-019</t>
  </si>
  <si>
    <t xml:space="preserve">Irfan Saputra</t>
  </si>
  <si>
    <t xml:space="preserve">P-020</t>
  </si>
  <si>
    <t xml:space="preserve">Budi Permana</t>
  </si>
  <si>
    <t xml:space="preserve">P-021</t>
  </si>
  <si>
    <t xml:space="preserve">Eka Pangestu</t>
  </si>
  <si>
    <t xml:space="preserve">P-022</t>
  </si>
  <si>
    <t xml:space="preserve">Eka Suryani</t>
  </si>
  <si>
    <t xml:space="preserve">P-023</t>
  </si>
  <si>
    <t xml:space="preserve">Dian Wibowo</t>
  </si>
  <si>
    <t xml:space="preserve">P-024</t>
  </si>
  <si>
    <t xml:space="preserve">Citra Putra</t>
  </si>
  <si>
    <t xml:space="preserve">P-025</t>
  </si>
  <si>
    <t xml:space="preserve">Rina Pangestu</t>
  </si>
  <si>
    <t xml:space="preserve">P-026</t>
  </si>
  <si>
    <t xml:space="preserve">Mulyadi Hartono</t>
  </si>
  <si>
    <t xml:space="preserve">P-027</t>
  </si>
  <si>
    <t xml:space="preserve">Edi Santoso</t>
  </si>
  <si>
    <t xml:space="preserve">P-028</t>
  </si>
  <si>
    <t xml:space="preserve">Putri Sari</t>
  </si>
  <si>
    <t xml:space="preserve">P-029</t>
  </si>
  <si>
    <t xml:space="preserve">Ahmad Anggraini</t>
  </si>
  <si>
    <t xml:space="preserve">P-030</t>
  </si>
  <si>
    <t xml:space="preserve">Citra Pangestu</t>
  </si>
  <si>
    <t xml:space="preserve">Jumlah Peserta</t>
  </si>
  <si>
    <t xml:space="preserve">Rata-rata Kenaikan</t>
  </si>
  <si>
    <t xml:space="preserve">Jumlah Sertifikat</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</si>
  <si>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</si>
  <si>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</si>
  <si>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</si>
  <si>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</si>
  <si>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</si>
  <si>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</si>
  <si>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Rata-rata nilai pre-test</t>
  </si>
  <si>
    <t xml:space="preserve">Angka desimal, mis. 55,5</t>
  </si>
  <si>
    <t xml:space="preserve">9b</t>
  </si>
  <si>
    <t xml:space="preserve">Rata-rata nilai post-test</t>
  </si>
  <si>
    <t xml:space="preserve">Angka desimal, mis. 72,5</t>
  </si>
  <si>
    <t xml:space="preserve">10a</t>
  </si>
  <si>
    <t xml:space="preserve">Peserta Lulus</t>
  </si>
  <si>
    <t xml:space="preserve">Angka bulat, mis. 15</t>
  </si>
  <si>
    <t xml:space="preserve">10b</t>
  </si>
  <si>
    <t xml:space="preserve">Peserta yang mendapat sertifikat</t>
  </si>
  <si>
    <t xml:space="preserve">Angka bulat, mis. 11</t>
  </si>
  <si>
    <t xml:space="preserve">10c</t>
  </si>
  <si>
    <t xml:space="preserve">Total sesi dihadiri</t>
  </si>
  <si>
    <t xml:space="preserve">Angka bulat, mis. 180</t>
  </si>
  <si>
    <t xml:space="preserve">11a</t>
  </si>
  <si>
    <t xml:space="preserve">Peserta dengan kenaikan nilai terbesar</t>
  </si>
  <si>
    <t xml:space="preserve">Teks: nama peserta</t>
  </si>
  <si>
    <t xml:space="preserve">11b</t>
  </si>
  <si>
    <t xml:space="preserve">Peserta dengan post-test tertinggi</t>
  </si>
  <si>
    <t xml:space="preserve">12a</t>
  </si>
  <si>
    <t xml:space="preserve">Program dengan sertifikat terbanyak</t>
  </si>
  <si>
    <t xml:space="preserve">Teks: nama program</t>
  </si>
  <si>
    <t xml:space="preserve">12b</t>
  </si>
  <si>
    <t xml:space="preserve">Kenaikan nilai terkecil</t>
  </si>
  <si>
    <t xml:space="preserve">Angka bulat, selisih poin (boleh negatif)</t>
  </si>
  <si>
    <t xml:space="preserve">13a</t>
  </si>
  <si>
    <t xml:space="preserve">Peserta Excel Dasar dengan kenaikan Tinggi</t>
  </si>
  <si>
    <t xml:space="preserve">Angka bulat, mis. 3</t>
  </si>
  <si>
    <t xml:space="preserve">13b</t>
  </si>
  <si>
    <t xml:space="preserve">Rata-rata kehadiran peserta Remedial</t>
  </si>
  <si>
    <t xml:space="preserve">Persen, mis. 70,5%</t>
  </si>
</sst>
</file>

<file path=xl/styles.xml><?xml version="1.0" encoding="utf-8"?>
<styleSheet xmlns="http://schemas.openxmlformats.org/spreadsheetml/2006/main">
  <numFmts count="5">
    <numFmt numFmtId="164" formatCode="General"/>
    <numFmt numFmtId="165" formatCode="0"/>
    <numFmt numFmtId="166" formatCode="0.0%"/>
    <numFmt numFmtId="167" formatCode="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21"/>
    <col collapsed="false" customWidth="true" hidden="false" outlineLevel="0" max="5" min="4" style="0" width="14"/>
    <col collapsed="false" customWidth="true" hidden="false" outlineLevel="0" max="6" min="6" style="0" width="15"/>
    <col collapsed="false" customWidth="true" hidden="false" outlineLevel="0" max="7" min="7" style="0" width="17"/>
    <col collapsed="false" customWidth="true" hidden="false" outlineLevel="0" max="8" min="8" style="0" width="14"/>
    <col collapsed="false" customWidth="true" hidden="false" outlineLevel="0" max="9" min="9" style="0" width="12"/>
    <col collapsed="false" customWidth="true" hidden="false" outlineLevel="0" max="10" min="10" style="0" width="17"/>
    <col collapsed="false" customWidth="true" hidden="false" outlineLevel="0" max="11" min="11" style="0" width="11"/>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75</v>
      </c>
      <c r="B1" s="11" t="s">
        <v>76</v>
      </c>
      <c r="C1" s="11" t="s">
        <v>77</v>
      </c>
      <c r="D1" s="11" t="s">
        <v>78</v>
      </c>
      <c r="E1" s="11" t="s">
        <v>79</v>
      </c>
      <c r="F1" s="11" t="s">
        <v>80</v>
      </c>
      <c r="G1" s="15" t="s">
        <v>81</v>
      </c>
      <c r="H1" s="15" t="s">
        <v>82</v>
      </c>
      <c r="I1" s="15" t="s">
        <v>83</v>
      </c>
      <c r="J1" s="15" t="s">
        <v>84</v>
      </c>
      <c r="K1" s="15" t="s">
        <v>85</v>
      </c>
      <c r="M1" s="16" t="s">
        <v>86</v>
      </c>
      <c r="N1" s="16" t="s">
        <v>87</v>
      </c>
      <c r="O1" s="16" t="s">
        <v>88</v>
      </c>
    </row>
    <row r="2" customFormat="false" ht="15" hidden="false" customHeight="false" outlineLevel="0" collapsed="false">
      <c r="A2" s="17" t="s">
        <v>89</v>
      </c>
      <c r="B2" s="17" t="s">
        <v>90</v>
      </c>
      <c r="C2" s="17" t="s">
        <v>91</v>
      </c>
      <c r="D2" s="18" t="n">
        <v>4</v>
      </c>
      <c r="E2" s="18" t="n">
        <v>54</v>
      </c>
      <c r="F2" s="18" t="n">
        <v>76</v>
      </c>
      <c r="G2" s="19" t="n">
        <f aca="false">D2/$N$2</f>
        <v>0.5</v>
      </c>
      <c r="H2" s="20" t="n">
        <f aca="false">F2-E2</f>
        <v>22</v>
      </c>
      <c r="I2" s="21" t="str">
        <f aca="false">IF(F2&gt;=$N$3,"Lulus","Remedial")</f>
        <v>Lulus</v>
      </c>
      <c r="J2" s="21" t="str">
        <f aca="false">IF(H2&lt;=0,"Tidak Naik",IF(H2&lt;10,"Rendah",IF(H2&lt;20,"Sedang","Tinggi")))</f>
        <v>Tinggi</v>
      </c>
      <c r="K2" s="21" t="str">
        <f aca="false">IF(AND(G2&gt;=$N$4,I2="Lulus"),"Dapat","Tidak")</f>
        <v>Tidak</v>
      </c>
      <c r="M2" s="22" t="s">
        <v>92</v>
      </c>
      <c r="N2" s="23" t="n">
        <v>8</v>
      </c>
      <c r="O2" s="22" t="s">
        <v>93</v>
      </c>
    </row>
    <row r="3" customFormat="false" ht="15" hidden="false" customHeight="false" outlineLevel="0" collapsed="false">
      <c r="A3" s="17" t="s">
        <v>94</v>
      </c>
      <c r="B3" s="17" t="s">
        <v>95</v>
      </c>
      <c r="C3" s="17" t="s">
        <v>96</v>
      </c>
      <c r="D3" s="18" t="n">
        <v>6</v>
      </c>
      <c r="E3" s="18" t="n">
        <v>50</v>
      </c>
      <c r="F3" s="18" t="n">
        <v>48</v>
      </c>
      <c r="G3" s="19" t="n">
        <f aca="false">D3/$N$2</f>
        <v>0.75</v>
      </c>
      <c r="H3" s="20" t="n">
        <f aca="false">F3-E3</f>
        <v>-2</v>
      </c>
      <c r="I3" s="21" t="str">
        <f aca="false">IF(F3&gt;=$N$3,"Lulus","Remedial")</f>
        <v>Remedial</v>
      </c>
      <c r="J3" s="21" t="str">
        <f aca="false">IF(H3&lt;=0,"Tidak Naik",IF(H3&lt;10,"Rendah",IF(H3&lt;20,"Sedang","Tinggi")))</f>
        <v>Tidak Naik</v>
      </c>
      <c r="K3" s="21" t="str">
        <f aca="false">IF(AND(G3&gt;=$N$4,I3="Lulus"),"Dapat","Tidak")</f>
        <v>Tidak</v>
      </c>
      <c r="M3" s="22" t="s">
        <v>97</v>
      </c>
      <c r="N3" s="23" t="n">
        <v>70</v>
      </c>
      <c r="O3" s="22" t="s">
        <v>98</v>
      </c>
    </row>
    <row r="4" customFormat="false" ht="15" hidden="false" customHeight="false" outlineLevel="0" collapsed="false">
      <c r="A4" s="17" t="s">
        <v>99</v>
      </c>
      <c r="B4" s="17" t="s">
        <v>100</v>
      </c>
      <c r="C4" s="17" t="s">
        <v>101</v>
      </c>
      <c r="D4" s="18" t="n">
        <v>7</v>
      </c>
      <c r="E4" s="18" t="n">
        <v>38</v>
      </c>
      <c r="F4" s="18" t="n">
        <v>43</v>
      </c>
      <c r="G4" s="19" t="n">
        <f aca="false">D4/$N$2</f>
        <v>0.875</v>
      </c>
      <c r="H4" s="20" t="n">
        <f aca="false">F4-E4</f>
        <v>5</v>
      </c>
      <c r="I4" s="21" t="str">
        <f aca="false">IF(F4&gt;=$N$3,"Lulus","Remedial")</f>
        <v>Remedial</v>
      </c>
      <c r="J4" s="21" t="str">
        <f aca="false">IF(H4&lt;=0,"Tidak Naik",IF(H4&lt;10,"Rendah",IF(H4&lt;20,"Sedang","Tinggi")))</f>
        <v>Rendah</v>
      </c>
      <c r="K4" s="21" t="str">
        <f aca="false">IF(AND(G4&gt;=$N$4,I4="Lulus"),"Dapat","Tidak")</f>
        <v>Tidak</v>
      </c>
      <c r="M4" s="22" t="s">
        <v>102</v>
      </c>
      <c r="N4" s="24" t="n">
        <v>0.75</v>
      </c>
      <c r="O4" s="22" t="s">
        <v>103</v>
      </c>
    </row>
    <row r="5" customFormat="false" ht="15" hidden="false" customHeight="false" outlineLevel="0" collapsed="false">
      <c r="A5" s="17" t="s">
        <v>104</v>
      </c>
      <c r="B5" s="17" t="s">
        <v>105</v>
      </c>
      <c r="C5" s="17" t="s">
        <v>106</v>
      </c>
      <c r="D5" s="18" t="n">
        <v>5</v>
      </c>
      <c r="E5" s="18" t="n">
        <v>61</v>
      </c>
      <c r="F5" s="18" t="n">
        <v>76</v>
      </c>
      <c r="G5" s="19" t="n">
        <f aca="false">D5/$N$2</f>
        <v>0.625</v>
      </c>
      <c r="H5" s="20" t="n">
        <f aca="false">F5-E5</f>
        <v>15</v>
      </c>
      <c r="I5" s="21" t="str">
        <f aca="false">IF(F5&gt;=$N$3,"Lulus","Remedial")</f>
        <v>Lulus</v>
      </c>
      <c r="J5" s="21" t="str">
        <f aca="false">IF(H5&lt;=0,"Tidak Naik",IF(H5&lt;10,"Rendah",IF(H5&lt;20,"Sedang","Tinggi")))</f>
        <v>Sedang</v>
      </c>
      <c r="K5" s="21" t="str">
        <f aca="false">IF(AND(G5&gt;=$N$4,I5="Lulus"),"Dapat","Tidak")</f>
        <v>Tidak</v>
      </c>
    </row>
    <row r="6" customFormat="false" ht="15" hidden="false" customHeight="false" outlineLevel="0" collapsed="false">
      <c r="A6" s="17" t="s">
        <v>107</v>
      </c>
      <c r="B6" s="17" t="s">
        <v>108</v>
      </c>
      <c r="C6" s="17" t="s">
        <v>91</v>
      </c>
      <c r="D6" s="18" t="n">
        <v>7</v>
      </c>
      <c r="E6" s="18" t="n">
        <v>49</v>
      </c>
      <c r="F6" s="18" t="n">
        <v>61</v>
      </c>
      <c r="G6" s="19" t="n">
        <f aca="false">D6/$N$2</f>
        <v>0.875</v>
      </c>
      <c r="H6" s="20" t="n">
        <f aca="false">F6-E6</f>
        <v>12</v>
      </c>
      <c r="I6" s="21" t="str">
        <f aca="false">IF(F6&gt;=$N$3,"Lulus","Remedial")</f>
        <v>Remedial</v>
      </c>
      <c r="J6" s="21" t="str">
        <f aca="false">IF(H6&lt;=0,"Tidak Naik",IF(H6&lt;10,"Rendah",IF(H6&lt;20,"Sedang","Tinggi")))</f>
        <v>Sedang</v>
      </c>
      <c r="K6" s="21" t="str">
        <f aca="false">IF(AND(G6&gt;=$N$4,I6="Lulus"),"Dapat","Tidak")</f>
        <v>Tidak</v>
      </c>
    </row>
    <row r="7" customFormat="false" ht="15" hidden="false" customHeight="false" outlineLevel="0" collapsed="false">
      <c r="A7" s="17" t="s">
        <v>109</v>
      </c>
      <c r="B7" s="17" t="s">
        <v>110</v>
      </c>
      <c r="C7" s="17" t="s">
        <v>96</v>
      </c>
      <c r="D7" s="18" t="n">
        <v>6</v>
      </c>
      <c r="E7" s="18" t="n">
        <v>52</v>
      </c>
      <c r="F7" s="18" t="n">
        <v>54</v>
      </c>
      <c r="G7" s="19" t="n">
        <f aca="false">D7/$N$2</f>
        <v>0.75</v>
      </c>
      <c r="H7" s="20" t="n">
        <f aca="false">F7-E7</f>
        <v>2</v>
      </c>
      <c r="I7" s="21" t="str">
        <f aca="false">IF(F7&gt;=$N$3,"Lulus","Remedial")</f>
        <v>Remedial</v>
      </c>
      <c r="J7" s="21" t="str">
        <f aca="false">IF(H7&lt;=0,"Tidak Naik",IF(H7&lt;10,"Rendah",IF(H7&lt;20,"Sedang","Tinggi")))</f>
        <v>Rendah</v>
      </c>
      <c r="K7" s="21" t="str">
        <f aca="false">IF(AND(G7&gt;=$N$4,I7="Lulus"),"Dapat","Tidak")</f>
        <v>Tidak</v>
      </c>
    </row>
    <row r="8" customFormat="false" ht="15" hidden="false" customHeight="false" outlineLevel="0" collapsed="false">
      <c r="A8" s="17" t="s">
        <v>111</v>
      </c>
      <c r="B8" s="17" t="s">
        <v>112</v>
      </c>
      <c r="C8" s="17" t="s">
        <v>101</v>
      </c>
      <c r="D8" s="18" t="n">
        <v>6</v>
      </c>
      <c r="E8" s="18" t="n">
        <v>71</v>
      </c>
      <c r="F8" s="18" t="n">
        <v>69</v>
      </c>
      <c r="G8" s="19" t="n">
        <f aca="false">D8/$N$2</f>
        <v>0.75</v>
      </c>
      <c r="H8" s="20" t="n">
        <f aca="false">F8-E8</f>
        <v>-2</v>
      </c>
      <c r="I8" s="21" t="str">
        <f aca="false">IF(F8&gt;=$N$3,"Lulus","Remedial")</f>
        <v>Remedial</v>
      </c>
      <c r="J8" s="21" t="str">
        <f aca="false">IF(H8&lt;=0,"Tidak Naik",IF(H8&lt;10,"Rendah",IF(H8&lt;20,"Sedang","Tinggi")))</f>
        <v>Tidak Naik</v>
      </c>
      <c r="K8" s="21" t="str">
        <f aca="false">IF(AND(G8&gt;=$N$4,I8="Lulus"),"Dapat","Tidak")</f>
        <v>Tidak</v>
      </c>
    </row>
    <row r="9" customFormat="false" ht="15" hidden="false" customHeight="false" outlineLevel="0" collapsed="false">
      <c r="A9" s="17" t="s">
        <v>113</v>
      </c>
      <c r="B9" s="17" t="s">
        <v>114</v>
      </c>
      <c r="C9" s="17" t="s">
        <v>106</v>
      </c>
      <c r="D9" s="18" t="n">
        <v>7</v>
      </c>
      <c r="E9" s="18" t="n">
        <v>75</v>
      </c>
      <c r="F9" s="18" t="n">
        <v>71</v>
      </c>
      <c r="G9" s="19" t="n">
        <f aca="false">D9/$N$2</f>
        <v>0.875</v>
      </c>
      <c r="H9" s="20" t="n">
        <f aca="false">F9-E9</f>
        <v>-4</v>
      </c>
      <c r="I9" s="21" t="str">
        <f aca="false">IF(F9&gt;=$N$3,"Lulus","Remedial")</f>
        <v>Lulus</v>
      </c>
      <c r="J9" s="21" t="str">
        <f aca="false">IF(H9&lt;=0,"Tidak Naik",IF(H9&lt;10,"Rendah",IF(H9&lt;20,"Sedang","Tinggi")))</f>
        <v>Tidak Naik</v>
      </c>
      <c r="K9" s="21" t="str">
        <f aca="false">IF(AND(G9&gt;=$N$4,I9="Lulus"),"Dapat","Tidak")</f>
        <v>Dapat</v>
      </c>
    </row>
    <row r="10" customFormat="false" ht="15" hidden="false" customHeight="false" outlineLevel="0" collapsed="false">
      <c r="A10" s="17" t="s">
        <v>115</v>
      </c>
      <c r="B10" s="17" t="s">
        <v>116</v>
      </c>
      <c r="C10" s="17" t="s">
        <v>91</v>
      </c>
      <c r="D10" s="18" t="n">
        <v>5</v>
      </c>
      <c r="E10" s="18" t="n">
        <v>49</v>
      </c>
      <c r="F10" s="18" t="n">
        <v>51</v>
      </c>
      <c r="G10" s="19" t="n">
        <f aca="false">D10/$N$2</f>
        <v>0.625</v>
      </c>
      <c r="H10" s="20" t="n">
        <f aca="false">F10-E10</f>
        <v>2</v>
      </c>
      <c r="I10" s="21" t="str">
        <f aca="false">IF(F10&gt;=$N$3,"Lulus","Remedial")</f>
        <v>Remedial</v>
      </c>
      <c r="J10" s="21" t="str">
        <f aca="false">IF(H10&lt;=0,"Tidak Naik",IF(H10&lt;10,"Rendah",IF(H10&lt;20,"Sedang","Tinggi")))</f>
        <v>Rendah</v>
      </c>
      <c r="K10" s="21" t="str">
        <f aca="false">IF(AND(G10&gt;=$N$4,I10="Lulus"),"Dapat","Tidak")</f>
        <v>Tidak</v>
      </c>
    </row>
    <row r="11" customFormat="false" ht="15" hidden="false" customHeight="false" outlineLevel="0" collapsed="false">
      <c r="A11" s="17" t="s">
        <v>117</v>
      </c>
      <c r="B11" s="17" t="s">
        <v>118</v>
      </c>
      <c r="C11" s="17" t="s">
        <v>96</v>
      </c>
      <c r="D11" s="18" t="n">
        <v>6</v>
      </c>
      <c r="E11" s="18" t="n">
        <v>65</v>
      </c>
      <c r="F11" s="18" t="n">
        <v>73</v>
      </c>
      <c r="G11" s="19" t="n">
        <f aca="false">D11/$N$2</f>
        <v>0.75</v>
      </c>
      <c r="H11" s="20" t="n">
        <f aca="false">F11-E11</f>
        <v>8</v>
      </c>
      <c r="I11" s="21" t="str">
        <f aca="false">IF(F11&gt;=$N$3,"Lulus","Remedial")</f>
        <v>Lulus</v>
      </c>
      <c r="J11" s="21" t="str">
        <f aca="false">IF(H11&lt;=0,"Tidak Naik",IF(H11&lt;10,"Rendah",IF(H11&lt;20,"Sedang","Tinggi")))</f>
        <v>Rendah</v>
      </c>
      <c r="K11" s="21" t="str">
        <f aca="false">IF(AND(G11&gt;=$N$4,I11="Lulus"),"Dapat","Tidak")</f>
        <v>Dapat</v>
      </c>
    </row>
    <row r="12" customFormat="false" ht="15" hidden="false" customHeight="false" outlineLevel="0" collapsed="false">
      <c r="A12" s="17" t="s">
        <v>119</v>
      </c>
      <c r="B12" s="17" t="s">
        <v>120</v>
      </c>
      <c r="C12" s="17" t="s">
        <v>101</v>
      </c>
      <c r="D12" s="18" t="n">
        <v>8</v>
      </c>
      <c r="E12" s="18" t="n">
        <v>56</v>
      </c>
      <c r="F12" s="18" t="n">
        <v>56</v>
      </c>
      <c r="G12" s="19" t="n">
        <f aca="false">D12/$N$2</f>
        <v>1</v>
      </c>
      <c r="H12" s="20" t="n">
        <f aca="false">F12-E12</f>
        <v>0</v>
      </c>
      <c r="I12" s="21" t="str">
        <f aca="false">IF(F12&gt;=$N$3,"Lulus","Remedial")</f>
        <v>Remedial</v>
      </c>
      <c r="J12" s="21" t="str">
        <f aca="false">IF(H12&lt;=0,"Tidak Naik",IF(H12&lt;10,"Rendah",IF(H12&lt;20,"Sedang","Tinggi")))</f>
        <v>Tidak Naik</v>
      </c>
      <c r="K12" s="21" t="str">
        <f aca="false">IF(AND(G12&gt;=$N$4,I12="Lulus"),"Dapat","Tidak")</f>
        <v>Tidak</v>
      </c>
    </row>
    <row r="13" customFormat="false" ht="15" hidden="false" customHeight="false" outlineLevel="0" collapsed="false">
      <c r="A13" s="17" t="s">
        <v>121</v>
      </c>
      <c r="B13" s="17" t="s">
        <v>122</v>
      </c>
      <c r="C13" s="17" t="s">
        <v>106</v>
      </c>
      <c r="D13" s="18" t="n">
        <v>4</v>
      </c>
      <c r="E13" s="18" t="n">
        <v>53</v>
      </c>
      <c r="F13" s="18" t="n">
        <v>58</v>
      </c>
      <c r="G13" s="19" t="n">
        <f aca="false">D13/$N$2</f>
        <v>0.5</v>
      </c>
      <c r="H13" s="20" t="n">
        <f aca="false">F13-E13</f>
        <v>5</v>
      </c>
      <c r="I13" s="21" t="str">
        <f aca="false">IF(F13&gt;=$N$3,"Lulus","Remedial")</f>
        <v>Remedial</v>
      </c>
      <c r="J13" s="21" t="str">
        <f aca="false">IF(H13&lt;=0,"Tidak Naik",IF(H13&lt;10,"Rendah",IF(H13&lt;20,"Sedang","Tinggi")))</f>
        <v>Rendah</v>
      </c>
      <c r="K13" s="21" t="str">
        <f aca="false">IF(AND(G13&gt;=$N$4,I13="Lulus"),"Dapat","Tidak")</f>
        <v>Tidak</v>
      </c>
    </row>
    <row r="14" customFormat="false" ht="15" hidden="false" customHeight="false" outlineLevel="0" collapsed="false">
      <c r="A14" s="17" t="s">
        <v>123</v>
      </c>
      <c r="B14" s="17" t="s">
        <v>124</v>
      </c>
      <c r="C14" s="17" t="s">
        <v>91</v>
      </c>
      <c r="D14" s="18" t="n">
        <v>7</v>
      </c>
      <c r="E14" s="18" t="n">
        <v>55</v>
      </c>
      <c r="F14" s="18" t="n">
        <v>57</v>
      </c>
      <c r="G14" s="19" t="n">
        <f aca="false">D14/$N$2</f>
        <v>0.875</v>
      </c>
      <c r="H14" s="20" t="n">
        <f aca="false">F14-E14</f>
        <v>2</v>
      </c>
      <c r="I14" s="21" t="str">
        <f aca="false">IF(F14&gt;=$N$3,"Lulus","Remedial")</f>
        <v>Remedial</v>
      </c>
      <c r="J14" s="21" t="str">
        <f aca="false">IF(H14&lt;=0,"Tidak Naik",IF(H14&lt;10,"Rendah",IF(H14&lt;20,"Sedang","Tinggi")))</f>
        <v>Rendah</v>
      </c>
      <c r="K14" s="21" t="str">
        <f aca="false">IF(AND(G14&gt;=$N$4,I14="Lulus"),"Dapat","Tidak")</f>
        <v>Tidak</v>
      </c>
    </row>
    <row r="15" customFormat="false" ht="15" hidden="false" customHeight="false" outlineLevel="0" collapsed="false">
      <c r="A15" s="17" t="s">
        <v>125</v>
      </c>
      <c r="B15" s="17" t="s">
        <v>126</v>
      </c>
      <c r="C15" s="17" t="s">
        <v>96</v>
      </c>
      <c r="D15" s="18" t="n">
        <v>8</v>
      </c>
      <c r="E15" s="18" t="n">
        <v>72</v>
      </c>
      <c r="F15" s="18" t="n">
        <v>84</v>
      </c>
      <c r="G15" s="19" t="n">
        <f aca="false">D15/$N$2</f>
        <v>1</v>
      </c>
      <c r="H15" s="20" t="n">
        <f aca="false">F15-E15</f>
        <v>12</v>
      </c>
      <c r="I15" s="21" t="str">
        <f aca="false">IF(F15&gt;=$N$3,"Lulus","Remedial")</f>
        <v>Lulus</v>
      </c>
      <c r="J15" s="21" t="str">
        <f aca="false">IF(H15&lt;=0,"Tidak Naik",IF(H15&lt;10,"Rendah",IF(H15&lt;20,"Sedang","Tinggi")))</f>
        <v>Sedang</v>
      </c>
      <c r="K15" s="21" t="str">
        <f aca="false">IF(AND(G15&gt;=$N$4,I15="Lulus"),"Dapat","Tidak")</f>
        <v>Dapat</v>
      </c>
    </row>
    <row r="16" customFormat="false" ht="15" hidden="false" customHeight="false" outlineLevel="0" collapsed="false">
      <c r="A16" s="17" t="s">
        <v>127</v>
      </c>
      <c r="B16" s="17" t="s">
        <v>128</v>
      </c>
      <c r="C16" s="17" t="s">
        <v>101</v>
      </c>
      <c r="D16" s="18" t="n">
        <v>5</v>
      </c>
      <c r="E16" s="18" t="n">
        <v>44</v>
      </c>
      <c r="F16" s="18" t="n">
        <v>49</v>
      </c>
      <c r="G16" s="19" t="n">
        <f aca="false">D16/$N$2</f>
        <v>0.625</v>
      </c>
      <c r="H16" s="20" t="n">
        <f aca="false">F16-E16</f>
        <v>5</v>
      </c>
      <c r="I16" s="21" t="str">
        <f aca="false">IF(F16&gt;=$N$3,"Lulus","Remedial")</f>
        <v>Remedial</v>
      </c>
      <c r="J16" s="21" t="str">
        <f aca="false">IF(H16&lt;=0,"Tidak Naik",IF(H16&lt;10,"Rendah",IF(H16&lt;20,"Sedang","Tinggi")))</f>
        <v>Rendah</v>
      </c>
      <c r="K16" s="21" t="str">
        <f aca="false">IF(AND(G16&gt;=$N$4,I16="Lulus"),"Dapat","Tidak")</f>
        <v>Tidak</v>
      </c>
    </row>
    <row r="17" customFormat="false" ht="15" hidden="false" customHeight="false" outlineLevel="0" collapsed="false">
      <c r="A17" s="17" t="s">
        <v>129</v>
      </c>
      <c r="B17" s="17" t="s">
        <v>130</v>
      </c>
      <c r="C17" s="17" t="s">
        <v>106</v>
      </c>
      <c r="D17" s="18" t="n">
        <v>8</v>
      </c>
      <c r="E17" s="18" t="n">
        <v>65</v>
      </c>
      <c r="F17" s="18" t="n">
        <v>95</v>
      </c>
      <c r="G17" s="19" t="n">
        <f aca="false">D17/$N$2</f>
        <v>1</v>
      </c>
      <c r="H17" s="20" t="n">
        <f aca="false">F17-E17</f>
        <v>30</v>
      </c>
      <c r="I17" s="21" t="str">
        <f aca="false">IF(F17&gt;=$N$3,"Lulus","Remedial")</f>
        <v>Lulus</v>
      </c>
      <c r="J17" s="21" t="str">
        <f aca="false">IF(H17&lt;=0,"Tidak Naik",IF(H17&lt;10,"Rendah",IF(H17&lt;20,"Sedang","Tinggi")))</f>
        <v>Tinggi</v>
      </c>
      <c r="K17" s="21" t="str">
        <f aca="false">IF(AND(G17&gt;=$N$4,I17="Lulus"),"Dapat","Tidak")</f>
        <v>Dapat</v>
      </c>
    </row>
    <row r="18" customFormat="false" ht="15" hidden="false" customHeight="false" outlineLevel="0" collapsed="false">
      <c r="A18" s="17" t="s">
        <v>131</v>
      </c>
      <c r="B18" s="17" t="s">
        <v>132</v>
      </c>
      <c r="C18" s="17" t="s">
        <v>91</v>
      </c>
      <c r="D18" s="18" t="n">
        <v>8</v>
      </c>
      <c r="E18" s="18" t="n">
        <v>60</v>
      </c>
      <c r="F18" s="18" t="n">
        <v>68</v>
      </c>
      <c r="G18" s="19" t="n">
        <f aca="false">D18/$N$2</f>
        <v>1</v>
      </c>
      <c r="H18" s="20" t="n">
        <f aca="false">F18-E18</f>
        <v>8</v>
      </c>
      <c r="I18" s="21" t="str">
        <f aca="false">IF(F18&gt;=$N$3,"Lulus","Remedial")</f>
        <v>Remedial</v>
      </c>
      <c r="J18" s="21" t="str">
        <f aca="false">IF(H18&lt;=0,"Tidak Naik",IF(H18&lt;10,"Rendah",IF(H18&lt;20,"Sedang","Tinggi")))</f>
        <v>Rendah</v>
      </c>
      <c r="K18" s="21" t="str">
        <f aca="false">IF(AND(G18&gt;=$N$4,I18="Lulus"),"Dapat","Tidak")</f>
        <v>Tidak</v>
      </c>
    </row>
    <row r="19" customFormat="false" ht="15" hidden="false" customHeight="false" outlineLevel="0" collapsed="false">
      <c r="A19" s="17" t="s">
        <v>133</v>
      </c>
      <c r="B19" s="17" t="s">
        <v>134</v>
      </c>
      <c r="C19" s="17" t="s">
        <v>96</v>
      </c>
      <c r="D19" s="18" t="n">
        <v>7</v>
      </c>
      <c r="E19" s="18" t="n">
        <v>64</v>
      </c>
      <c r="F19" s="18" t="n">
        <v>64</v>
      </c>
      <c r="G19" s="19" t="n">
        <f aca="false">D19/$N$2</f>
        <v>0.875</v>
      </c>
      <c r="H19" s="20" t="n">
        <f aca="false">F19-E19</f>
        <v>0</v>
      </c>
      <c r="I19" s="21" t="str">
        <f aca="false">IF(F19&gt;=$N$3,"Lulus","Remedial")</f>
        <v>Remedial</v>
      </c>
      <c r="J19" s="21" t="str">
        <f aca="false">IF(H19&lt;=0,"Tidak Naik",IF(H19&lt;10,"Rendah",IF(H19&lt;20,"Sedang","Tinggi")))</f>
        <v>Tidak Naik</v>
      </c>
      <c r="K19" s="21" t="str">
        <f aca="false">IF(AND(G19&gt;=$N$4,I19="Lulus"),"Dapat","Tidak")</f>
        <v>Tidak</v>
      </c>
    </row>
    <row r="20" customFormat="false" ht="15" hidden="false" customHeight="false" outlineLevel="0" collapsed="false">
      <c r="A20" s="17" t="s">
        <v>135</v>
      </c>
      <c r="B20" s="17" t="s">
        <v>136</v>
      </c>
      <c r="C20" s="17" t="s">
        <v>101</v>
      </c>
      <c r="D20" s="18" t="n">
        <v>8</v>
      </c>
      <c r="E20" s="18" t="n">
        <v>71</v>
      </c>
      <c r="F20" s="18" t="n">
        <v>76</v>
      </c>
      <c r="G20" s="19" t="n">
        <f aca="false">D20/$N$2</f>
        <v>1</v>
      </c>
      <c r="H20" s="20" t="n">
        <f aca="false">F20-E20</f>
        <v>5</v>
      </c>
      <c r="I20" s="21" t="str">
        <f aca="false">IF(F20&gt;=$N$3,"Lulus","Remedial")</f>
        <v>Lulus</v>
      </c>
      <c r="J20" s="21" t="str">
        <f aca="false">IF(H20&lt;=0,"Tidak Naik",IF(H20&lt;10,"Rendah",IF(H20&lt;20,"Sedang","Tinggi")))</f>
        <v>Rendah</v>
      </c>
      <c r="K20" s="21" t="str">
        <f aca="false">IF(AND(G20&gt;=$N$4,I20="Lulus"),"Dapat","Tidak")</f>
        <v>Dapat</v>
      </c>
    </row>
    <row r="21" customFormat="false" ht="15" hidden="false" customHeight="false" outlineLevel="0" collapsed="false">
      <c r="A21" s="17" t="s">
        <v>137</v>
      </c>
      <c r="B21" s="17" t="s">
        <v>138</v>
      </c>
      <c r="C21" s="17" t="s">
        <v>106</v>
      </c>
      <c r="D21" s="18" t="n">
        <v>4</v>
      </c>
      <c r="E21" s="18" t="n">
        <v>59</v>
      </c>
      <c r="F21" s="18" t="n">
        <v>77</v>
      </c>
      <c r="G21" s="19" t="n">
        <f aca="false">D21/$N$2</f>
        <v>0.5</v>
      </c>
      <c r="H21" s="20" t="n">
        <f aca="false">F21-E21</f>
        <v>18</v>
      </c>
      <c r="I21" s="21" t="str">
        <f aca="false">IF(F21&gt;=$N$3,"Lulus","Remedial")</f>
        <v>Lulus</v>
      </c>
      <c r="J21" s="21" t="str">
        <f aca="false">IF(H21&lt;=0,"Tidak Naik",IF(H21&lt;10,"Rendah",IF(H21&lt;20,"Sedang","Tinggi")))</f>
        <v>Sedang</v>
      </c>
      <c r="K21" s="21" t="str">
        <f aca="false">IF(AND(G21&gt;=$N$4,I21="Lulus"),"Dapat","Tidak")</f>
        <v>Tidak</v>
      </c>
    </row>
    <row r="22" customFormat="false" ht="15" hidden="false" customHeight="false" outlineLevel="0" collapsed="false">
      <c r="A22" s="17" t="s">
        <v>139</v>
      </c>
      <c r="B22" s="17" t="s">
        <v>140</v>
      </c>
      <c r="C22" s="17" t="s">
        <v>91</v>
      </c>
      <c r="D22" s="18" t="n">
        <v>7</v>
      </c>
      <c r="E22" s="18" t="n">
        <v>72</v>
      </c>
      <c r="F22" s="18" t="n">
        <v>70</v>
      </c>
      <c r="G22" s="19" t="n">
        <f aca="false">D22/$N$2</f>
        <v>0.875</v>
      </c>
      <c r="H22" s="20" t="n">
        <f aca="false">F22-E22</f>
        <v>-2</v>
      </c>
      <c r="I22" s="21" t="str">
        <f aca="false">IF(F22&gt;=$N$3,"Lulus","Remedial")</f>
        <v>Lulus</v>
      </c>
      <c r="J22" s="21" t="str">
        <f aca="false">IF(H22&lt;=0,"Tidak Naik",IF(H22&lt;10,"Rendah",IF(H22&lt;20,"Sedang","Tinggi")))</f>
        <v>Tidak Naik</v>
      </c>
      <c r="K22" s="21" t="str">
        <f aca="false">IF(AND(G22&gt;=$N$4,I22="Lulus"),"Dapat","Tidak")</f>
        <v>Dapat</v>
      </c>
    </row>
    <row r="23" customFormat="false" ht="15" hidden="false" customHeight="false" outlineLevel="0" collapsed="false">
      <c r="A23" s="17" t="s">
        <v>141</v>
      </c>
      <c r="B23" s="17" t="s">
        <v>142</v>
      </c>
      <c r="C23" s="17" t="s">
        <v>96</v>
      </c>
      <c r="D23" s="18" t="n">
        <v>6</v>
      </c>
      <c r="E23" s="18" t="n">
        <v>58</v>
      </c>
      <c r="F23" s="18" t="n">
        <v>56</v>
      </c>
      <c r="G23" s="19" t="n">
        <f aca="false">D23/$N$2</f>
        <v>0.75</v>
      </c>
      <c r="H23" s="20" t="n">
        <f aca="false">F23-E23</f>
        <v>-2</v>
      </c>
      <c r="I23" s="21" t="str">
        <f aca="false">IF(F23&gt;=$N$3,"Lulus","Remedial")</f>
        <v>Remedial</v>
      </c>
      <c r="J23" s="21" t="str">
        <f aca="false">IF(H23&lt;=0,"Tidak Naik",IF(H23&lt;10,"Rendah",IF(H23&lt;20,"Sedang","Tinggi")))</f>
        <v>Tidak Naik</v>
      </c>
      <c r="K23" s="21" t="str">
        <f aca="false">IF(AND(G23&gt;=$N$4,I23="Lulus"),"Dapat","Tidak")</f>
        <v>Tidak</v>
      </c>
    </row>
    <row r="24" customFormat="false" ht="15" hidden="false" customHeight="false" outlineLevel="0" collapsed="false">
      <c r="A24" s="17" t="s">
        <v>143</v>
      </c>
      <c r="B24" s="17" t="s">
        <v>144</v>
      </c>
      <c r="C24" s="17" t="s">
        <v>101</v>
      </c>
      <c r="D24" s="18" t="n">
        <v>6</v>
      </c>
      <c r="E24" s="18" t="n">
        <v>75</v>
      </c>
      <c r="F24" s="18" t="n">
        <v>87</v>
      </c>
      <c r="G24" s="19" t="n">
        <f aca="false">D24/$N$2</f>
        <v>0.75</v>
      </c>
      <c r="H24" s="20" t="n">
        <f aca="false">F24-E24</f>
        <v>12</v>
      </c>
      <c r="I24" s="21" t="str">
        <f aca="false">IF(F24&gt;=$N$3,"Lulus","Remedial")</f>
        <v>Lulus</v>
      </c>
      <c r="J24" s="21" t="str">
        <f aca="false">IF(H24&lt;=0,"Tidak Naik",IF(H24&lt;10,"Rendah",IF(H24&lt;20,"Sedang","Tinggi")))</f>
        <v>Sedang</v>
      </c>
      <c r="K24" s="21" t="str">
        <f aca="false">IF(AND(G24&gt;=$N$4,I24="Lulus"),"Dapat","Tidak")</f>
        <v>Dapat</v>
      </c>
    </row>
    <row r="25" customFormat="false" ht="15" hidden="false" customHeight="false" outlineLevel="0" collapsed="false">
      <c r="A25" s="17" t="s">
        <v>145</v>
      </c>
      <c r="B25" s="17" t="s">
        <v>146</v>
      </c>
      <c r="C25" s="17" t="s">
        <v>106</v>
      </c>
      <c r="D25" s="18" t="n">
        <v>7</v>
      </c>
      <c r="E25" s="18" t="n">
        <v>41</v>
      </c>
      <c r="F25" s="18" t="n">
        <v>43</v>
      </c>
      <c r="G25" s="19" t="n">
        <f aca="false">D25/$N$2</f>
        <v>0.875</v>
      </c>
      <c r="H25" s="20" t="n">
        <f aca="false">F25-E25</f>
        <v>2</v>
      </c>
      <c r="I25" s="21" t="str">
        <f aca="false">IF(F25&gt;=$N$3,"Lulus","Remedial")</f>
        <v>Remedial</v>
      </c>
      <c r="J25" s="21" t="str">
        <f aca="false">IF(H25&lt;=0,"Tidak Naik",IF(H25&lt;10,"Rendah",IF(H25&lt;20,"Sedang","Tinggi")))</f>
        <v>Rendah</v>
      </c>
      <c r="K25" s="21" t="str">
        <f aca="false">IF(AND(G25&gt;=$N$4,I25="Lulus"),"Dapat","Tidak")</f>
        <v>Tidak</v>
      </c>
    </row>
    <row r="26" customFormat="false" ht="15" hidden="false" customHeight="false" outlineLevel="0" collapsed="false">
      <c r="A26" s="17" t="s">
        <v>147</v>
      </c>
      <c r="B26" s="17" t="s">
        <v>148</v>
      </c>
      <c r="C26" s="17" t="s">
        <v>91</v>
      </c>
      <c r="D26" s="18" t="n">
        <v>6</v>
      </c>
      <c r="E26" s="18" t="n">
        <v>65</v>
      </c>
      <c r="F26" s="18" t="n">
        <v>87</v>
      </c>
      <c r="G26" s="19" t="n">
        <f aca="false">D26/$N$2</f>
        <v>0.75</v>
      </c>
      <c r="H26" s="20" t="n">
        <f aca="false">F26-E26</f>
        <v>22</v>
      </c>
      <c r="I26" s="21" t="str">
        <f aca="false">IF(F26&gt;=$N$3,"Lulus","Remedial")</f>
        <v>Lulus</v>
      </c>
      <c r="J26" s="21" t="str">
        <f aca="false">IF(H26&lt;=0,"Tidak Naik",IF(H26&lt;10,"Rendah",IF(H26&lt;20,"Sedang","Tinggi")))</f>
        <v>Tinggi</v>
      </c>
      <c r="K26" s="21" t="str">
        <f aca="false">IF(AND(G26&gt;=$N$4,I26="Lulus"),"Dapat","Tidak")</f>
        <v>Dapat</v>
      </c>
    </row>
    <row r="27" customFormat="false" ht="15" hidden="false" customHeight="false" outlineLevel="0" collapsed="false">
      <c r="A27" s="17" t="s">
        <v>149</v>
      </c>
      <c r="B27" s="17" t="s">
        <v>150</v>
      </c>
      <c r="C27" s="17" t="s">
        <v>96</v>
      </c>
      <c r="D27" s="18" t="n">
        <v>7</v>
      </c>
      <c r="E27" s="18" t="n">
        <v>33</v>
      </c>
      <c r="F27" s="18" t="n">
        <v>38</v>
      </c>
      <c r="G27" s="19" t="n">
        <f aca="false">D27/$N$2</f>
        <v>0.875</v>
      </c>
      <c r="H27" s="20" t="n">
        <f aca="false">F27-E27</f>
        <v>5</v>
      </c>
      <c r="I27" s="21" t="str">
        <f aca="false">IF(F27&gt;=$N$3,"Lulus","Remedial")</f>
        <v>Remedial</v>
      </c>
      <c r="J27" s="21" t="str">
        <f aca="false">IF(H27&lt;=0,"Tidak Naik",IF(H27&lt;10,"Rendah",IF(H27&lt;20,"Sedang","Tinggi")))</f>
        <v>Rendah</v>
      </c>
      <c r="K27" s="21" t="str">
        <f aca="false">IF(AND(G27&gt;=$N$4,I27="Lulus"),"Dapat","Tidak")</f>
        <v>Tidak</v>
      </c>
    </row>
    <row r="28" customFormat="false" ht="15" hidden="false" customHeight="false" outlineLevel="0" collapsed="false">
      <c r="A28" s="17" t="s">
        <v>151</v>
      </c>
      <c r="B28" s="17" t="s">
        <v>152</v>
      </c>
      <c r="C28" s="17" t="s">
        <v>101</v>
      </c>
      <c r="D28" s="18" t="n">
        <v>8</v>
      </c>
      <c r="E28" s="18" t="n">
        <v>61</v>
      </c>
      <c r="F28" s="18" t="n">
        <v>86</v>
      </c>
      <c r="G28" s="19" t="n">
        <f aca="false">D28/$N$2</f>
        <v>1</v>
      </c>
      <c r="H28" s="20" t="n">
        <f aca="false">F28-E28</f>
        <v>25</v>
      </c>
      <c r="I28" s="21" t="str">
        <f aca="false">IF(F28&gt;=$N$3,"Lulus","Remedial")</f>
        <v>Lulus</v>
      </c>
      <c r="J28" s="21" t="str">
        <f aca="false">IF(H28&lt;=0,"Tidak Naik",IF(H28&lt;10,"Rendah",IF(H28&lt;20,"Sedang","Tinggi")))</f>
        <v>Tinggi</v>
      </c>
      <c r="K28" s="21" t="str">
        <f aca="false">IF(AND(G28&gt;=$N$4,I28="Lulus"),"Dapat","Tidak")</f>
        <v>Dapat</v>
      </c>
    </row>
    <row r="29" customFormat="false" ht="15" hidden="false" customHeight="false" outlineLevel="0" collapsed="false">
      <c r="A29" s="17" t="s">
        <v>153</v>
      </c>
      <c r="B29" s="17" t="s">
        <v>154</v>
      </c>
      <c r="C29" s="17" t="s">
        <v>106</v>
      </c>
      <c r="D29" s="18" t="n">
        <v>8</v>
      </c>
      <c r="E29" s="18" t="n">
        <v>46</v>
      </c>
      <c r="F29" s="18" t="n">
        <v>44</v>
      </c>
      <c r="G29" s="19" t="n">
        <f aca="false">D29/$N$2</f>
        <v>1</v>
      </c>
      <c r="H29" s="20" t="n">
        <f aca="false">F29-E29</f>
        <v>-2</v>
      </c>
      <c r="I29" s="21" t="str">
        <f aca="false">IF(F29&gt;=$N$3,"Lulus","Remedial")</f>
        <v>Remedial</v>
      </c>
      <c r="J29" s="21" t="str">
        <f aca="false">IF(H29&lt;=0,"Tidak Naik",IF(H29&lt;10,"Rendah",IF(H29&lt;20,"Sedang","Tinggi")))</f>
        <v>Tidak Naik</v>
      </c>
      <c r="K29" s="21" t="str">
        <f aca="false">IF(AND(G29&gt;=$N$4,I29="Lulus"),"Dapat","Tidak")</f>
        <v>Tidak</v>
      </c>
    </row>
    <row r="30" customFormat="false" ht="15" hidden="false" customHeight="false" outlineLevel="0" collapsed="false">
      <c r="A30" s="17" t="s">
        <v>155</v>
      </c>
      <c r="B30" s="17" t="s">
        <v>156</v>
      </c>
      <c r="C30" s="17" t="s">
        <v>101</v>
      </c>
      <c r="D30" s="18" t="n">
        <v>6</v>
      </c>
      <c r="E30" s="18" t="n">
        <v>56</v>
      </c>
      <c r="F30" s="18" t="n">
        <v>71</v>
      </c>
      <c r="G30" s="19" t="n">
        <f aca="false">D30/$N$2</f>
        <v>0.75</v>
      </c>
      <c r="H30" s="20" t="n">
        <f aca="false">F30-E30</f>
        <v>15</v>
      </c>
      <c r="I30" s="21" t="str">
        <f aca="false">IF(F30&gt;=$N$3,"Lulus","Remedial")</f>
        <v>Lulus</v>
      </c>
      <c r="J30" s="21" t="str">
        <f aca="false">IF(H30&lt;=0,"Tidak Naik",IF(H30&lt;10,"Rendah",IF(H30&lt;20,"Sedang","Tinggi")))</f>
        <v>Sedang</v>
      </c>
      <c r="K30" s="21" t="str">
        <f aca="false">IF(AND(G30&gt;=$N$4,I30="Lulus"),"Dapat","Tidak")</f>
        <v>Dapat</v>
      </c>
    </row>
    <row r="31" customFormat="false" ht="15" hidden="false" customHeight="false" outlineLevel="0" collapsed="false">
      <c r="A31" s="17" t="s">
        <v>157</v>
      </c>
      <c r="B31" s="17" t="s">
        <v>158</v>
      </c>
      <c r="C31" s="17" t="s">
        <v>91</v>
      </c>
      <c r="D31" s="18" t="n">
        <v>8</v>
      </c>
      <c r="E31" s="18" t="n">
        <v>52</v>
      </c>
      <c r="F31" s="18" t="n">
        <v>54</v>
      </c>
      <c r="G31" s="19" t="n">
        <f aca="false">D31/$N$2</f>
        <v>1</v>
      </c>
      <c r="H31" s="20" t="n">
        <f aca="false">F31-E31</f>
        <v>2</v>
      </c>
      <c r="I31" s="21" t="str">
        <f aca="false">IF(F31&gt;=$N$3,"Lulus","Remedial")</f>
        <v>Remedial</v>
      </c>
      <c r="J31" s="21" t="str">
        <f aca="false">IF(H31&lt;=0,"Tidak Naik",IF(H31&lt;10,"Rendah",IF(H31&lt;20,"Sedang","Tinggi")))</f>
        <v>Rendah</v>
      </c>
      <c r="K31" s="21" t="str">
        <f aca="false">IF(AND(G31&gt;=$N$4,I31="Lulus"),"Dapat","Tidak")</f>
        <v>Tidak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15"/>
    <col collapsed="false" customWidth="true" hidden="false" outlineLevel="0" max="3" min="3" style="0" width="19"/>
    <col collapsed="false" customWidth="true" hidden="false" outlineLevel="0" max="4" min="4" style="0" width="17"/>
  </cols>
  <sheetData>
    <row r="1" customFormat="false" ht="33.75" hidden="false" customHeight="true" outlineLevel="0" collapsed="false">
      <c r="A1" s="11" t="s">
        <v>77</v>
      </c>
      <c r="B1" s="15" t="s">
        <v>159</v>
      </c>
      <c r="C1" s="15" t="s">
        <v>160</v>
      </c>
      <c r="D1" s="15" t="s">
        <v>161</v>
      </c>
    </row>
    <row r="2" customFormat="false" ht="15" hidden="false" customHeight="false" outlineLevel="0" collapsed="false">
      <c r="A2" s="17" t="s">
        <v>91</v>
      </c>
      <c r="B2" s="20" t="n">
        <f aca="false">COUNTIF(Data!$C$2:$C$31,A2)</f>
        <v>8</v>
      </c>
      <c r="C2" s="25" t="n">
        <f aca="false">AVERAGEIF(Data!$C$2:$C$31,A2,Data!$H$2:$H$31)</f>
        <v>8.5</v>
      </c>
      <c r="D2" s="20" t="n">
        <f aca="false">COUNTIFS(Data!$C$2:$C$31,A2,Data!$K$2:$K$31,"Dapat")</f>
        <v>2</v>
      </c>
    </row>
    <row r="3" customFormat="false" ht="15" hidden="false" customHeight="false" outlineLevel="0" collapsed="false">
      <c r="A3" s="17" t="s">
        <v>96</v>
      </c>
      <c r="B3" s="20" t="n">
        <f aca="false">COUNTIF(Data!$C$2:$C$31,A3)</f>
        <v>7</v>
      </c>
      <c r="C3" s="25" t="n">
        <f aca="false">AVERAGEIF(Data!$C$2:$C$31,A3,Data!$H$2:$H$31)</f>
        <v>3.28571428571429</v>
      </c>
      <c r="D3" s="20" t="n">
        <f aca="false">COUNTIFS(Data!$C$2:$C$31,A3,Data!$K$2:$K$31,"Dapat")</f>
        <v>2</v>
      </c>
    </row>
    <row r="4" customFormat="false" ht="15" hidden="false" customHeight="false" outlineLevel="0" collapsed="false">
      <c r="A4" s="17" t="s">
        <v>101</v>
      </c>
      <c r="B4" s="20" t="n">
        <f aca="false">COUNTIF(Data!$C$2:$C$31,A4)</f>
        <v>8</v>
      </c>
      <c r="C4" s="25" t="n">
        <f aca="false">AVERAGEIF(Data!$C$2:$C$31,A4,Data!$H$2:$H$31)</f>
        <v>8.125</v>
      </c>
      <c r="D4" s="20" t="n">
        <f aca="false">COUNTIFS(Data!$C$2:$C$31,A4,Data!$K$2:$K$31,"Dapat")</f>
        <v>4</v>
      </c>
    </row>
    <row r="5" customFormat="false" ht="15" hidden="false" customHeight="false" outlineLevel="0" collapsed="false">
      <c r="A5" s="17" t="s">
        <v>106</v>
      </c>
      <c r="B5" s="20" t="n">
        <f aca="false">COUNTIF(Data!$C$2:$C$31,A5)</f>
        <v>7</v>
      </c>
      <c r="C5" s="25" t="n">
        <f aca="false">AVERAGEIF(Data!$C$2:$C$31,A5,Data!$H$2:$H$31)</f>
        <v>9.14285714285714</v>
      </c>
      <c r="D5" s="20" t="n">
        <f aca="false">COUNTIFS(Data!$C$2:$C$31,A5,Data!$K$2:$K$31,"Dapat")</f>
        <v>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162</v>
      </c>
      <c r="B1" s="26"/>
      <c r="C1" s="26"/>
      <c r="D1" s="26"/>
    </row>
    <row r="2" customFormat="false" ht="15" hidden="false" customHeight="false" outlineLevel="0" collapsed="false">
      <c r="A2" s="27" t="s">
        <v>163</v>
      </c>
      <c r="B2" s="27"/>
      <c r="C2" s="27"/>
      <c r="D2" s="27"/>
    </row>
    <row r="3" customFormat="false" ht="15" hidden="false" customHeight="false" outlineLevel="0" collapsed="false">
      <c r="A3" s="11" t="s">
        <v>19</v>
      </c>
      <c r="B3" s="11" t="s">
        <v>164</v>
      </c>
      <c r="C3" s="11" t="s">
        <v>165</v>
      </c>
      <c r="D3" s="11" t="s">
        <v>166</v>
      </c>
    </row>
    <row r="4" customFormat="false" ht="15" hidden="false" customHeight="false" outlineLevel="0" collapsed="false">
      <c r="A4" s="28" t="s">
        <v>167</v>
      </c>
      <c r="B4" s="29" t="s">
        <v>168</v>
      </c>
      <c r="C4" s="25" t="n">
        <f aca="false">AVERAGE(Data!$E$2:$E$31)</f>
        <v>57.4</v>
      </c>
      <c r="D4" s="30" t="s">
        <v>169</v>
      </c>
    </row>
    <row r="5" customFormat="false" ht="15" hidden="false" customHeight="false" outlineLevel="0" collapsed="false">
      <c r="A5" s="28" t="s">
        <v>170</v>
      </c>
      <c r="B5" s="29" t="s">
        <v>171</v>
      </c>
      <c r="C5" s="25" t="n">
        <f aca="false">AVERAGE(Data!$F$2:$F$31)</f>
        <v>64.7333333333333</v>
      </c>
      <c r="D5" s="30" t="s">
        <v>172</v>
      </c>
    </row>
    <row r="6" customFormat="false" ht="15" hidden="false" customHeight="false" outlineLevel="0" collapsed="false">
      <c r="A6" s="28" t="s">
        <v>173</v>
      </c>
      <c r="B6" s="29" t="s">
        <v>174</v>
      </c>
      <c r="C6" s="20" t="n">
        <f aca="false">COUNTIF(Data!$I$2:$I$31,"Lulus")</f>
        <v>13</v>
      </c>
      <c r="D6" s="30" t="s">
        <v>175</v>
      </c>
    </row>
    <row r="7" customFormat="false" ht="15" hidden="false" customHeight="false" outlineLevel="0" collapsed="false">
      <c r="A7" s="28" t="s">
        <v>176</v>
      </c>
      <c r="B7" s="29" t="s">
        <v>177</v>
      </c>
      <c r="C7" s="20" t="n">
        <f aca="false">COUNTIF(Data!$K$2:$K$31,"Dapat")</f>
        <v>10</v>
      </c>
      <c r="D7" s="30" t="s">
        <v>178</v>
      </c>
    </row>
    <row r="8" customFormat="false" ht="15" hidden="false" customHeight="false" outlineLevel="0" collapsed="false">
      <c r="A8" s="28" t="s">
        <v>179</v>
      </c>
      <c r="B8" s="29" t="s">
        <v>180</v>
      </c>
      <c r="C8" s="20" t="n">
        <f aca="false">SUM(Data!$D$2:$D$31)</f>
        <v>195</v>
      </c>
      <c r="D8" s="30" t="s">
        <v>181</v>
      </c>
    </row>
    <row r="9" customFormat="false" ht="15" hidden="false" customHeight="false" outlineLevel="0" collapsed="false">
      <c r="A9" s="28" t="s">
        <v>182</v>
      </c>
      <c r="B9" s="29" t="s">
        <v>183</v>
      </c>
      <c r="C9" s="21" t="str">
        <f aca="false">INDEX(Data!$B$2:$B$31,MATCH(MAX(Data!$H$2:$H$31),Data!$H$2:$H$31,0))</f>
        <v>Wawan Firmansyah</v>
      </c>
      <c r="D9" s="30" t="s">
        <v>184</v>
      </c>
    </row>
    <row r="10" customFormat="false" ht="15" hidden="false" customHeight="false" outlineLevel="0" collapsed="false">
      <c r="A10" s="28" t="s">
        <v>185</v>
      </c>
      <c r="B10" s="29" t="s">
        <v>186</v>
      </c>
      <c r="C10" s="21" t="str">
        <f aca="false">INDEX(Data!$B$2:$B$31,MATCH(MAX(Data!$F$2:$F$31),Data!$F$2:$F$31,0))</f>
        <v>Wawan Firmansyah</v>
      </c>
      <c r="D10" s="30" t="s">
        <v>184</v>
      </c>
    </row>
    <row r="11" customFormat="false" ht="15" hidden="false" customHeight="false" outlineLevel="0" collapsed="false">
      <c r="A11" s="28" t="s">
        <v>187</v>
      </c>
      <c r="B11" s="29" t="s">
        <v>188</v>
      </c>
      <c r="C11" s="21" t="str">
        <f aca="false">INDEX(Acuan!$A$2:$A$5,MATCH(MAX(Acuan!$D$2:$D$5),Acuan!$D$2:$D$5,0))</f>
        <v>Excel Dasar</v>
      </c>
      <c r="D11" s="30" t="s">
        <v>189</v>
      </c>
    </row>
    <row r="12" customFormat="false" ht="15" hidden="false" customHeight="false" outlineLevel="0" collapsed="false">
      <c r="A12" s="28" t="s">
        <v>190</v>
      </c>
      <c r="B12" s="29" t="s">
        <v>191</v>
      </c>
      <c r="C12" s="20" t="n">
        <f aca="false">MIN(Data!$H$2:$H$31)</f>
        <v>-4</v>
      </c>
      <c r="D12" s="30" t="s">
        <v>192</v>
      </c>
    </row>
    <row r="13" customFormat="false" ht="15" hidden="false" customHeight="false" outlineLevel="0" collapsed="false">
      <c r="A13" s="28" t="s">
        <v>193</v>
      </c>
      <c r="B13" s="29" t="s">
        <v>194</v>
      </c>
      <c r="C13" s="20" t="n">
        <f aca="false">COUNTIFS(Data!$C$2:$C$31,"Excel Dasar",Data!$J$2:$J$31,"Tinggi")</f>
        <v>1</v>
      </c>
      <c r="D13" s="30" t="s">
        <v>195</v>
      </c>
    </row>
    <row r="14" customFormat="false" ht="15" hidden="false" customHeight="false" outlineLevel="0" collapsed="false">
      <c r="A14" s="28" t="s">
        <v>196</v>
      </c>
      <c r="B14" s="29" t="s">
        <v>197</v>
      </c>
      <c r="C14" s="19" t="n">
        <f aca="false">AVERAGEIF(Data!$I$2:$I$31,"Remedial",Data!$G$2:$G$31)</f>
        <v>0.823529411764706</v>
      </c>
      <c r="D14" s="30" t="s">
        <v>198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2026-10-16T23:46:28Z</dcterms:created>
  <dc:creator>PushExcel</dc:creator>
  <dc:description/>
  <dc:language>en-US</dc:language>
  <cp:lastModifiedBy/>
  <dcterms:modified xsi:type="dcterms:W3CDTF">2026-10-16T23:46:28Z</dcterms:modified>
  <cp:revision>0</cp:revision>
  <dc:subject/>
  <dc:title>Hasil Pelatihan Karyawan: Kehadiran, Nilai, dan Sertifikat - Kunci</dc:title>
</cp:coreProperties>
</file>

<file path=docProps/custom.xml><?xml version="1.0" encoding="utf-8"?>
<Properties xmlns="http://schemas.openxmlformats.org/officeDocument/2006/custom-properties" xmlns:vt="http://schemas.openxmlformats.org/officeDocument/2006/docPropsVTypes"/>
</file>