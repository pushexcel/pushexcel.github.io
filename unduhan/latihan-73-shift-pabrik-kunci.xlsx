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etunjuk" sheetId="1" state="visible" r:id="rId3"/>
    <sheet name="Data" sheetId="2" state="visible" r:id="rId4"/>
    <sheet name="Acuan" sheetId="3" state="visible" r:id="rId5"/>
    <sheet name="Ringkasa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<sst xmlns="http://schemas.openxmlformats.org/spreadsheetml/2006/main" count="237" uniqueCount="178">
  <si>
    <t xml:space="preserve">Kunci Jawaban: Jadwal Shift, Lembur, dan Premi Pabrik</t>
  </si>
  <si>
    <t xml:space="preserve">Latihan 73 dari 40  |  Tingkat: Menengah  |  Perkiraan waktu: 55 menit  |  pushexcel.github.io/Pushexcel</t>
  </si>
  <si>
    <t xml:space="preserve">Skenario</t>
  </si>
  <si>
    <t xml:space="preserve">Kamu staf administrasi produksi PT Sinar Tirta Plastik yang merekap kehadiran 30 karyawan dalam satu hari produksi. Pabrik punya tiga shift: Pagi, Siang, dan Malam. Jam masuk standar dan premi shift tiap shift ada di sheet Acuan. Jam kerja dihitung dari jam masuk sampai jam pulang (shift Malam pulang setelah tengah malam) dikurangi 1 jam istirahat. Jam kerja normal 7 jam, kelebihannya jadi jam lembur dengan upah Rp 25.000 per jam. Karyawan dinyatakan Terlambat bila masuk lebih dari 10 menit setelah jam masuk standar (semua angka tetap ada di blok Parameter).</t>
  </si>
  <si>
    <t xml:space="preserve">Cara memakai kunci</t>
  </si>
  <si>
    <t xml:space="preserve">1.</t>
  </si>
  <si>
    <t xml:space="preserve">Sel hijau berisi rumus kunci yang sudah dihitung. Klik sel untuk melihat rumusnya.</t>
  </si>
  <si>
    <t xml:space="preserve">2.</t>
  </si>
  <si>
    <t xml:space="preserve">Kolom Rumus kunci di bawah menampilkan rumus untuk baris pertama atau tiap sel jawaban.</t>
  </si>
  <si>
    <t xml:space="preserve">3.</t>
  </si>
  <si>
    <t xml:space="preserve">Rumus ditulis dengan titik koma (;). Ganti dengan koma (,) bila Excel kamu berbahasa Inggris.</t>
  </si>
  <si>
    <t xml:space="preserve">4.</t>
  </si>
  <si>
    <t xml:space="preserve">Jawaban lain yang benar secara logika juga boleh, selama hasilnya sama.</t>
  </si>
  <si>
    <t xml:space="preserve">Arti warna</t>
  </si>
  <si>
    <t xml:space="preserve">Judul kolom data yang sudah diberikan</t>
  </si>
  <si>
    <t xml:space="preserve">Judul kolom hasil hitung</t>
  </si>
  <si>
    <t xml:space="preserve">Sel berisi rumus kunci</t>
  </si>
  <si>
    <t xml:space="preserve">Angka berwarna biru pada blok Parameter = nilai tetap yang boleh dirujuk</t>
  </si>
  <si>
    <t xml:space="preserve">Daftar soal</t>
  </si>
  <si>
    <t xml:space="preserve">No</t>
  </si>
  <si>
    <t xml:space="preserve">Soal</t>
  </si>
  <si>
    <t xml:space="preserve">Jawab di</t>
  </si>
  <si>
    <t xml:space="preserve">Rumus kunci</t>
  </si>
  <si>
    <t xml:space="preserve">1</t>
  </si>
  <si>
    <t xml:space="preserve">Hitung jam kerja bersih: selisih jam pulang dan jam masuk (dalam jam), dikurangi jam istirahat. Hati-hati, shift Malam pulang setelah tengah malam.</t>
  </si>
  <si>
    <t xml:space="preserve">Sheet Data, kolom F (Jam Kerja), baris 2 sampai 31</t>
  </si>
  <si>
    <t xml:space="preserve">=ROUND(MOD(E2-D2;1)*24;2)-$O$2</t>
  </si>
  <si>
    <t xml:space="preserve">2</t>
  </si>
  <si>
    <t xml:space="preserve">Hitung jam lembur: kelebihan jam kerja di atas jam kerja normal. Bila tidak lebih, hasilnya 0.</t>
  </si>
  <si>
    <t xml:space="preserve">Sheet Data, kolom G (Jam Lembur), baris 2 sampai 31</t>
  </si>
  <si>
    <t xml:space="preserve">=MAX(0;F2-$O$3)</t>
  </si>
  <si>
    <t xml:space="preserve">3</t>
  </si>
  <si>
    <t xml:space="preserve">Hitung menit terlambat: selisih menit antara jam masuk dan masuk standar shift (dari Acuan). Bila masuk lebih awal, hasilnya 0.</t>
  </si>
  <si>
    <t xml:space="preserve">Sheet Data, kolom H (Menit Terlambat), baris 2 sampai 31</t>
  </si>
  <si>
    <t xml:space="preserve">=MAX(0;(HOUR(D2)*60+MINUTE(D2))-(HOUR(VLOOKUP(C2;Acuan!$A$2:$C$4;2;FALSE))*60+MINUTE(VLOOKUP(C2;Acuan!$A$2:$C$4;2;FALSE))))</t>
  </si>
  <si>
    <t xml:space="preserve">4</t>
  </si>
  <si>
    <t xml:space="preserve">Beri status Terlambat bila menit terlambat lebih dari toleransi. Selain itu Tepat Waktu.</t>
  </si>
  <si>
    <t xml:space="preserve">Sheet Data, kolom I (Status Masuk), baris 2 sampai 31</t>
  </si>
  <si>
    <t xml:space="preserve">=IF(H2&gt;$O$5;"Terlambat";"Tepat Waktu")</t>
  </si>
  <si>
    <t xml:space="preserve">5</t>
  </si>
  <si>
    <t xml:space="preserve">Ambil premi shift tiap karyawan dari tabel di sheet Acuan berdasarkan shiftnya.</t>
  </si>
  <si>
    <t xml:space="preserve">Sheet Data, kolom J (Premi Shift), baris 2 sampai 31</t>
  </si>
  <si>
    <t xml:space="preserve">=VLOOKUP(C2;Acuan!$A$2:$C$4;3;FALSE)</t>
  </si>
  <si>
    <t xml:space="preserve">6</t>
  </si>
  <si>
    <t xml:space="preserve">Hitung upah lembur: jam lembur dikali upah lembur per jam, dibulatkan ke rupiah.</t>
  </si>
  <si>
    <t xml:space="preserve">Sheet Data, kolom K (Upah Lembur), baris 2 sampai 31</t>
  </si>
  <si>
    <t xml:space="preserve">=ROUND(G2*$O$4;0)</t>
  </si>
  <si>
    <t xml:space="preserve">7</t>
  </si>
  <si>
    <t xml:space="preserve">Hitung total tambahan penghasilan: premi shift ditambah upah lembur.</t>
  </si>
  <si>
    <t xml:space="preserve">Sheet Data, kolom L (Total Tambahan), baris 2 sampai 31</t>
  </si>
  <si>
    <t xml:space="preserve">=J2+K2</t>
  </si>
  <si>
    <t xml:space="preserve">8</t>
  </si>
  <si>
    <t xml:space="preserve">Pada sheet Acuan, hitung jumlah karyawan tiap shift.</t>
  </si>
  <si>
    <t xml:space="preserve">Sheet Acuan, kolom D (Jumlah Karyawan), baris 2 sampai 4</t>
  </si>
  <si>
    <t xml:space="preserve">=COUNTIF(Data!$C$2:$C$31;A2)</t>
  </si>
  <si>
    <t xml:space="preserve">9</t>
  </si>
  <si>
    <t xml:space="preserve">Pada sheet Acuan, hitung total jam lembur tiap shift.</t>
  </si>
  <si>
    <t xml:space="preserve">Sheet Acuan, kolom E (Total Jam Lembur), baris 2 sampai 4</t>
  </si>
  <si>
    <t xml:space="preserve">=SUMIF(Data!$C$2:$C$31;A2;Data!$G$2:$G$31)</t>
  </si>
  <si>
    <t xml:space="preserve">10</t>
  </si>
  <si>
    <t xml:space="preserve">Berapa karyawan yang Terlambat, dan berapa karyawan shift Malam yang Terlambat?</t>
  </si>
  <si>
    <t xml:space="preserve">Sheet Ringkasan, sel C4 sampai C5</t>
  </si>
  <si>
    <t xml:space="preserve">=COUNTIF(Data!$I$2:$I$31;"Terlambat")
=COUNTIFS(Data!$C$2:$C$31;"Malam";Data!$I$2:$I$31;"Terlambat")</t>
  </si>
  <si>
    <t xml:space="preserve">11</t>
  </si>
  <si>
    <t xml:space="preserve">Berapa total jam lembur, total upah lembur, dan total premi shift seluruh karyawan?</t>
  </si>
  <si>
    <t xml:space="preserve">Sheet Ringkasan, sel C6 sampai C8</t>
  </si>
  <si>
    <t xml:space="preserve">=SUM(Data!$G$2:$G$31)
=SUM(Data!$K$2:$K$31)
=SUM(Data!$J$2:$J$31)</t>
  </si>
  <si>
    <t xml:space="preserve">12</t>
  </si>
  <si>
    <t xml:space="preserve">Siapa karyawan dengan total tambahan terbesar, dan shift mana yang total jam lemburnya terbanyak?</t>
  </si>
  <si>
    <t xml:space="preserve">Sheet Ringkasan, sel C9 sampai C10</t>
  </si>
  <si>
    <t xml:space="preserve">=INDEX(Data!$A$2:$A$31;MATCH(MAX(Data!$L$2:$L$31);Data!$L$2:$L$31;0))
=INDEX(Acuan!$A$2:$A$4;MATCH(MAX(Acuan!$E$2:$E$4);Acuan!$E$2:$E$4;0))</t>
  </si>
  <si>
    <t xml:space="preserve">13</t>
  </si>
  <si>
    <t xml:space="preserve">Berapa rata-rata jam kerja seluruh karyawan, dan berapa rata-rata jam kerja shift Malam?</t>
  </si>
  <si>
    <t xml:space="preserve">Sheet Ringkasan, sel C11 sampai C12</t>
  </si>
  <si>
    <t xml:space="preserve">=AVERAGE(Data!$F$2:$F$31)
=AVERAGEIF(Data!$C$2:$C$31;"Malam";Data!$F$2:$F$31)</t>
  </si>
  <si>
    <t xml:space="preserve">14</t>
  </si>
  <si>
    <t xml:space="preserve">Berapa jam lembur terbanyak oleh satu karyawan, dan berapa total tambahan bagian Perakitan?</t>
  </si>
  <si>
    <t xml:space="preserve">Sheet Ringkasan, sel C13 sampai C14</t>
  </si>
  <si>
    <t xml:space="preserve">=MAX(Data!$G$2:$G$31)
=SUMIF(Data!$B$2:$B$31;"Perakitan";Data!$L$2:$L$31)</t>
  </si>
  <si>
    <t xml:space="preserve">Nama</t>
  </si>
  <si>
    <t xml:space="preserve">Bagian</t>
  </si>
  <si>
    <t xml:space="preserve">Shift</t>
  </si>
  <si>
    <t xml:space="preserve">Jam Masuk</t>
  </si>
  <si>
    <t xml:space="preserve">Jam Pulang</t>
  </si>
  <si>
    <t xml:space="preserve">Jam Kerja</t>
  </si>
  <si>
    <t xml:space="preserve">Jam Lembur</t>
  </si>
  <si>
    <t xml:space="preserve">Menit Terlambat</t>
  </si>
  <si>
    <t xml:space="preserve">Status Masuk</t>
  </si>
  <si>
    <t xml:space="preserve">Premi Shift</t>
  </si>
  <si>
    <t xml:space="preserve">Upah Lembur</t>
  </si>
  <si>
    <t xml:space="preserve">Total Tambahan</t>
  </si>
  <si>
    <t xml:space="preserve">Parameter</t>
  </si>
  <si>
    <t xml:space="preserve">Nilai</t>
  </si>
  <si>
    <t xml:space="preserve">Keterangan</t>
  </si>
  <si>
    <t xml:space="preserve">Indah Firmansyah</t>
  </si>
  <si>
    <t xml:space="preserve">Gudang</t>
  </si>
  <si>
    <t xml:space="preserve">Siang</t>
  </si>
  <si>
    <t xml:space="preserve">Jam istirahat</t>
  </si>
  <si>
    <t xml:space="preserve">Jam, dikurangkan dari jam kerja</t>
  </si>
  <si>
    <t xml:space="preserve">Umar Kurniawan</t>
  </si>
  <si>
    <t xml:space="preserve">Malam</t>
  </si>
  <si>
    <t xml:space="preserve">Jam kerja normal</t>
  </si>
  <si>
    <t xml:space="preserve">Jam kerja bersih per hari</t>
  </si>
  <si>
    <t xml:space="preserve">Intan Anggraini</t>
  </si>
  <si>
    <t xml:space="preserve">Pengemasan</t>
  </si>
  <si>
    <t xml:space="preserve">Upah lembur per jam</t>
  </si>
  <si>
    <t xml:space="preserve">Bayu Maharani</t>
  </si>
  <si>
    <t xml:space="preserve">Pagi</t>
  </si>
  <si>
    <t xml:space="preserve">Toleransi terlambat (menit)</t>
  </si>
  <si>
    <t xml:space="preserve">Nurul Santoso</t>
  </si>
  <si>
    <t xml:space="preserve">Yoga Permana</t>
  </si>
  <si>
    <t xml:space="preserve">Pengecatan</t>
  </si>
  <si>
    <t xml:space="preserve">Rahmat Sari</t>
  </si>
  <si>
    <t xml:space="preserve">Perakitan</t>
  </si>
  <si>
    <t xml:space="preserve">Siti Saputra</t>
  </si>
  <si>
    <t xml:space="preserve">Galih Saputra</t>
  </si>
  <si>
    <t xml:space="preserve">Fajar Hidayat</t>
  </si>
  <si>
    <t xml:space="preserve">Rina Wibowo</t>
  </si>
  <si>
    <t xml:space="preserve">Oki Kurniawan</t>
  </si>
  <si>
    <t xml:space="preserve">Bambang Syahputra</t>
  </si>
  <si>
    <t xml:space="preserve">Wahyu Kurniawan</t>
  </si>
  <si>
    <t xml:space="preserve">Utami Permana</t>
  </si>
  <si>
    <t xml:space="preserve">Fajar Amalia</t>
  </si>
  <si>
    <t xml:space="preserve">Bambang Wibowo</t>
  </si>
  <si>
    <t xml:space="preserve">Eko Kusuma</t>
  </si>
  <si>
    <t xml:space="preserve">Fitri Syahputra</t>
  </si>
  <si>
    <t xml:space="preserve">Eko Ramadhan</t>
  </si>
  <si>
    <t xml:space="preserve">Siti Hartono</t>
  </si>
  <si>
    <t xml:space="preserve">Edi Syahputra</t>
  </si>
  <si>
    <t xml:space="preserve">Tika Hidayat</t>
  </si>
  <si>
    <t xml:space="preserve">Bambang Setiawan</t>
  </si>
  <si>
    <t xml:space="preserve">Sari Putra</t>
  </si>
  <si>
    <t xml:space="preserve">Eko Nugroho</t>
  </si>
  <si>
    <t xml:space="preserve">Oki Wibowo</t>
  </si>
  <si>
    <t xml:space="preserve">Mulyadi Lestari</t>
  </si>
  <si>
    <t xml:space="preserve">Vina Maharani</t>
  </si>
  <si>
    <t xml:space="preserve">Putri Hartono</t>
  </si>
  <si>
    <t xml:space="preserve">Masuk Standar</t>
  </si>
  <si>
    <t xml:space="preserve">Jumlah Karyawan</t>
  </si>
  <si>
    <t xml:space="preserve">Total Jam Lembur</t>
  </si>
  <si>
    <t xml:space="preserve">Ringkasan: lembar jawaban soal berjenis ringkasan</t>
  </si>
  <si>
    <t xml:space="preserve">Sel hijau berisi rumus kunci.</t>
  </si>
  <si>
    <t xml:space="preserve">Pertanyaan</t>
  </si>
  <si>
    <t xml:space="preserve">Jawaban</t>
  </si>
  <si>
    <t xml:space="preserve">Contoh format hasil</t>
  </si>
  <si>
    <t xml:space="preserve">10a</t>
  </si>
  <si>
    <t xml:space="preserve">Karyawan terlambat</t>
  </si>
  <si>
    <t xml:space="preserve">Angka bulat, mis. 5</t>
  </si>
  <si>
    <t xml:space="preserve">10b</t>
  </si>
  <si>
    <t xml:space="preserve">Karyawan shift Malam yang terlambat</t>
  </si>
  <si>
    <t xml:space="preserve">Angka bulat, mis. 3</t>
  </si>
  <si>
    <t xml:space="preserve">11a</t>
  </si>
  <si>
    <t xml:space="preserve">Total jam lembur</t>
  </si>
  <si>
    <t xml:space="preserve">Angka desimal, mis. 40,5</t>
  </si>
  <si>
    <t xml:space="preserve">11b</t>
  </si>
  <si>
    <t xml:space="preserve">Total upah lembur</t>
  </si>
  <si>
    <t xml:space="preserve">Rupiah, mis. Rp 900.000</t>
  </si>
  <si>
    <t xml:space="preserve">11c</t>
  </si>
  <si>
    <t xml:space="preserve">Total premi shift</t>
  </si>
  <si>
    <t xml:space="preserve">Rupiah, mis. Rp 400.000</t>
  </si>
  <si>
    <t xml:space="preserve">12a</t>
  </si>
  <si>
    <t xml:space="preserve">Karyawan dengan total tambahan terbesar</t>
  </si>
  <si>
    <t xml:space="preserve">Teks: nama karyawan</t>
  </si>
  <si>
    <t xml:space="preserve">12b</t>
  </si>
  <si>
    <t xml:space="preserve">Shift dengan jam lembur terbanyak</t>
  </si>
  <si>
    <t xml:space="preserve">Teks: nama shift</t>
  </si>
  <si>
    <t xml:space="preserve">13a</t>
  </si>
  <si>
    <t xml:space="preserve">Rata-rata jam kerja</t>
  </si>
  <si>
    <t xml:space="preserve">Angka desimal, mis. 7,40</t>
  </si>
  <si>
    <t xml:space="preserve">13b</t>
  </si>
  <si>
    <t xml:space="preserve">Rata-rata jam kerja shift Malam</t>
  </si>
  <si>
    <t xml:space="preserve">Angka desimal, mis. 7,60</t>
  </si>
  <si>
    <t xml:space="preserve">14a</t>
  </si>
  <si>
    <t xml:space="preserve">Jam lembur terbanyak satu karyawan</t>
  </si>
  <si>
    <t xml:space="preserve">Angka desimal, mis. 3,25</t>
  </si>
  <si>
    <t xml:space="preserve">14b</t>
  </si>
  <si>
    <t xml:space="preserve">Total tambahan bagian Perakitan</t>
  </si>
  <si>
    <t xml:space="preserve">Rupiah, mis. Rp 350.000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</si>
</sst>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hh:mm"/>
    <numFmt numFmtId="166" formatCode="0.00"/>
    <numFmt numFmtId="167" formatCode="0"/>
    <numFmt numFmtId="168" formatCode="&quot;Rp &quot;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3D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Consolas"/>
      <family val="0"/>
      <charset val="1"/>
    </font>
    <font>
      <sz val="10"/>
      <color rgb="FF0000FF"/>
      <name val="Arial"/>
      <family val="0"/>
      <charset val="1"/>
    </font>
    <font>
      <b val="true"/>
      <sz val="13"/>
      <color rgb="FF1F4E3D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3D"/>
        <bgColor rgb="FF44546A"/>
      </patternFill>
    </fill>
    <fill>
      <patternFill patternType="solid">
        <fgColor rgb="FFB45F06"/>
        <bgColor rgb="FF808000"/>
      </patternFill>
    </fill>
    <fill>
      <patternFill patternType="solid">
        <fgColor rgb="FFE2EFDA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44546A"/>
        <bgColor rgb="FF59595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B45F06"/>
      <rgbColor rgb="FF993366"/>
      <rgbColor rgb="FF44546A"/>
      <rgbColor rgb="FF1F4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2"/>
    <col collapsed="false" customWidth="true" hidden="false" outlineLevel="0" max="3" min="3" style="0" width="40"/>
    <col collapsed="false" customWidth="true" hidden="false" outlineLevel="0" max="4" min="4" style="0" width="70"/>
    <col collapsed="false" customWidth="true" hidden="false" outlineLevel="0" max="5" min="5" style="0" width="3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</row>
    <row r="5" customFormat="false" ht="66" hidden="false" customHeight="true" outlineLevel="0" collapsed="false">
      <c r="A5" s="4" t="s">
        <v>3</v>
      </c>
      <c r="B5" s="4"/>
      <c r="C5" s="4"/>
      <c r="D5" s="4"/>
      <c r="E5" s="4"/>
    </row>
    <row r="7" customFormat="false" ht="15" hidden="false" customHeight="false" outlineLevel="0" collapsed="false">
      <c r="A7" s="3" t="s">
        <v>4</v>
      </c>
    </row>
    <row r="8" customFormat="false" ht="15" hidden="false" customHeight="true" outlineLevel="0" collapsed="false">
      <c r="A8" s="5" t="s">
        <v>5</v>
      </c>
      <c r="B8" s="4" t="s">
        <v>6</v>
      </c>
      <c r="C8" s="4"/>
      <c r="D8" s="4"/>
      <c r="E8" s="4"/>
    </row>
    <row r="9" customFormat="false" ht="15" hidden="false" customHeight="true" outlineLevel="0" collapsed="false">
      <c r="A9" s="5" t="s">
        <v>7</v>
      </c>
      <c r="B9" s="4" t="s">
        <v>8</v>
      </c>
      <c r="C9" s="4"/>
      <c r="D9" s="4"/>
      <c r="E9" s="4"/>
    </row>
    <row r="10" customFormat="false" ht="15" hidden="false" customHeight="true" outlineLevel="0" collapsed="false">
      <c r="A10" s="5" t="s">
        <v>9</v>
      </c>
      <c r="B10" s="4" t="s">
        <v>10</v>
      </c>
      <c r="C10" s="4"/>
      <c r="D10" s="4"/>
      <c r="E10" s="4"/>
    </row>
    <row r="11" customFormat="false" ht="15" hidden="false" customHeight="true" outlineLevel="0" collapsed="false">
      <c r="A11" s="5" t="s">
        <v>11</v>
      </c>
      <c r="B11" s="4" t="s">
        <v>12</v>
      </c>
      <c r="C11" s="4"/>
      <c r="D11" s="4"/>
      <c r="E11" s="4"/>
    </row>
    <row r="13" customFormat="false" ht="15" hidden="false" customHeight="false" outlineLevel="0" collapsed="false">
      <c r="A13" s="3" t="s">
        <v>13</v>
      </c>
    </row>
    <row r="14" customFormat="false" ht="15" hidden="false" customHeight="false" outlineLevel="0" collapsed="false">
      <c r="A14" s="6"/>
      <c r="B14" s="7" t="s">
        <v>14</v>
      </c>
    </row>
    <row r="15" customFormat="false" ht="15" hidden="false" customHeight="false" outlineLevel="0" collapsed="false">
      <c r="A15" s="8"/>
      <c r="B15" s="7" t="s">
        <v>15</v>
      </c>
    </row>
    <row r="16" customFormat="false" ht="15" hidden="false" customHeight="false" outlineLevel="0" collapsed="false">
      <c r="A16" s="9"/>
      <c r="B16" s="7" t="s">
        <v>16</v>
      </c>
    </row>
    <row r="17" customFormat="false" ht="15" hidden="false" customHeight="false" outlineLevel="0" collapsed="false">
      <c r="A17" s="10"/>
      <c r="B17" s="7" t="s">
        <v>17</v>
      </c>
    </row>
    <row r="19" customFormat="false" ht="15" hidden="false" customHeight="false" outlineLevel="0" collapsed="false">
      <c r="A19" s="3" t="s">
        <v>18</v>
      </c>
    </row>
    <row r="20" customFormat="false" ht="15" hidden="false" customHeight="false" outlineLevel="0" collapsed="false">
      <c r="A20" s="11" t="s">
        <v>19</v>
      </c>
      <c r="B20" s="11" t="s">
        <v>20</v>
      </c>
      <c r="C20" s="11" t="s">
        <v>21</v>
      </c>
      <c r="D20" s="11" t="s">
        <v>22</v>
      </c>
    </row>
    <row r="21" customFormat="false" ht="42" hidden="false" customHeight="true" outlineLevel="0" collapsed="false">
      <c r="A21" s="12" t="s">
        <v>23</v>
      </c>
      <c r="B21" s="13" t="s">
        <v>24</v>
      </c>
      <c r="C21" s="13" t="s">
        <v>25</v>
      </c>
      <c r="D21" s="14" t="s">
        <v>26</v>
      </c>
    </row>
    <row r="22" customFormat="false" ht="30" hidden="false" customHeight="true" outlineLevel="0" collapsed="false">
      <c r="A22" s="12" t="s">
        <v>27</v>
      </c>
      <c r="B22" s="13" t="s">
        <v>28</v>
      </c>
      <c r="C22" s="13" t="s">
        <v>29</v>
      </c>
      <c r="D22" s="14" t="s">
        <v>30</v>
      </c>
    </row>
    <row r="23" customFormat="false" ht="42" hidden="false" customHeight="true" outlineLevel="0" collapsed="false">
      <c r="A23" s="12" t="s">
        <v>31</v>
      </c>
      <c r="B23" s="13" t="s">
        <v>32</v>
      </c>
      <c r="C23" s="13" t="s">
        <v>33</v>
      </c>
      <c r="D23" s="14" t="s">
        <v>34</v>
      </c>
    </row>
    <row r="24" customFormat="false" ht="30" hidden="false" customHeight="true" outlineLevel="0" collapsed="false">
      <c r="A24" s="12" t="s">
        <v>35</v>
      </c>
      <c r="B24" s="13" t="s">
        <v>36</v>
      </c>
      <c r="C24" s="13" t="s">
        <v>37</v>
      </c>
      <c r="D24" s="14" t="s">
        <v>38</v>
      </c>
    </row>
    <row r="25" customFormat="false" ht="30" hidden="false" customHeight="true" outlineLevel="0" collapsed="false">
      <c r="A25" s="12" t="s">
        <v>39</v>
      </c>
      <c r="B25" s="13" t="s">
        <v>40</v>
      </c>
      <c r="C25" s="13" t="s">
        <v>41</v>
      </c>
      <c r="D25" s="14" t="s">
        <v>42</v>
      </c>
    </row>
    <row r="26" customFormat="false" ht="30" hidden="false" customHeight="true" outlineLevel="0" collapsed="false">
      <c r="A26" s="12" t="s">
        <v>43</v>
      </c>
      <c r="B26" s="13" t="s">
        <v>44</v>
      </c>
      <c r="C26" s="13" t="s">
        <v>45</v>
      </c>
      <c r="D26" s="14" t="s">
        <v>46</v>
      </c>
    </row>
    <row r="27" customFormat="false" ht="30" hidden="false" customHeight="true" outlineLevel="0" collapsed="false">
      <c r="A27" s="12" t="s">
        <v>47</v>
      </c>
      <c r="B27" s="13" t="s">
        <v>48</v>
      </c>
      <c r="C27" s="13" t="s">
        <v>49</v>
      </c>
      <c r="D27" s="14" t="s">
        <v>50</v>
      </c>
    </row>
    <row r="28" customFormat="false" ht="30" hidden="false" customHeight="true" outlineLevel="0" collapsed="false">
      <c r="A28" s="12" t="s">
        <v>51</v>
      </c>
      <c r="B28" s="13" t="s">
        <v>52</v>
      </c>
      <c r="C28" s="13" t="s">
        <v>53</v>
      </c>
      <c r="D28" s="14" t="s">
        <v>54</v>
      </c>
    </row>
    <row r="29" customFormat="false" ht="30" hidden="false" customHeight="true" outlineLevel="0" collapsed="false">
      <c r="A29" s="12" t="s">
        <v>55</v>
      </c>
      <c r="B29" s="13" t="s">
        <v>56</v>
      </c>
      <c r="C29" s="13" t="s">
        <v>57</v>
      </c>
      <c r="D29" s="14" t="s">
        <v>58</v>
      </c>
    </row>
    <row r="30" customFormat="false" ht="43.5" hidden="false" customHeight="true" outlineLevel="0" collapsed="false">
      <c r="A30" s="12" t="s">
        <v>59</v>
      </c>
      <c r="B30" s="13" t="s">
        <v>60</v>
      </c>
      <c r="C30" s="13" t="s">
        <v>61</v>
      </c>
      <c r="D30" s="14" t="s">
        <v>62</v>
      </c>
    </row>
    <row r="31" customFormat="false" ht="57.75" hidden="false" customHeight="true" outlineLevel="0" collapsed="false">
      <c r="A31" s="12" t="s">
        <v>63</v>
      </c>
      <c r="B31" s="13" t="s">
        <v>64</v>
      </c>
      <c r="C31" s="13" t="s">
        <v>65</v>
      </c>
      <c r="D31" s="14" t="s">
        <v>66</v>
      </c>
    </row>
    <row r="32" customFormat="false" ht="55.5" hidden="false" customHeight="true" outlineLevel="0" collapsed="false">
      <c r="A32" s="12" t="s">
        <v>67</v>
      </c>
      <c r="B32" s="13" t="s">
        <v>68</v>
      </c>
      <c r="C32" s="13" t="s">
        <v>69</v>
      </c>
      <c r="D32" s="14" t="s">
        <v>70</v>
      </c>
    </row>
    <row r="33" customFormat="false" ht="43.5" hidden="false" customHeight="true" outlineLevel="0" collapsed="false">
      <c r="A33" s="12" t="s">
        <v>71</v>
      </c>
      <c r="B33" s="13" t="s">
        <v>72</v>
      </c>
      <c r="C33" s="13" t="s">
        <v>73</v>
      </c>
      <c r="D33" s="14" t="s">
        <v>74</v>
      </c>
    </row>
    <row r="34" customFormat="false" ht="43.5" hidden="false" customHeight="true" outlineLevel="0" collapsed="false">
      <c r="A34" s="12" t="s">
        <v>75</v>
      </c>
      <c r="B34" s="13" t="s">
        <v>76</v>
      </c>
      <c r="C34" s="13" t="s">
        <v>77</v>
      </c>
      <c r="D34" s="14" t="s">
        <v>78</v>
      </c>
    </row>
  </sheetData>
  <mergeCells count="7">
    <mergeCell ref="A1:E1"/>
    <mergeCell ref="A2:E2"/>
    <mergeCell ref="A5:E5"/>
    <mergeCell ref="B8:E8"/>
    <mergeCell ref="B9:E9"/>
    <mergeCell ref="B10:E10"/>
    <mergeCell ref="B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3"/>
    <col collapsed="false" customWidth="true" hidden="false" outlineLevel="0" max="3" min="3" style="0" width="9"/>
    <col collapsed="false" customWidth="true" hidden="false" outlineLevel="0" max="7" min="4" style="0" width="11"/>
    <col collapsed="false" customWidth="true" hidden="false" outlineLevel="0" max="8" min="8" style="0" width="15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1" min="11" style="0" width="13"/>
    <col collapsed="false" customWidth="true" hidden="false" outlineLevel="0" max="12" min="12" style="0" width="14"/>
    <col collapsed="false" customWidth="true" hidden="false" outlineLevel="0" max="13" min="13" style="0" width="3"/>
    <col collapsed="false" customWidth="true" hidden="false" outlineLevel="0" max="14" min="14" style="0" width="30"/>
    <col collapsed="false" customWidth="true" hidden="false" outlineLevel="0" max="15" min="15" style="0" width="16"/>
    <col collapsed="false" customWidth="true" hidden="false" outlineLevel="0" max="16" min="16" style="0" width="42"/>
  </cols>
  <sheetData>
    <row r="1" customFormat="false" ht="33.75" hidden="false" customHeight="true" outlineLevel="0" collapsed="false">
      <c r="A1" s="11" t="s">
        <v>79</v>
      </c>
      <c r="B1" s="11" t="s">
        <v>80</v>
      </c>
      <c r="C1" s="11" t="s">
        <v>81</v>
      </c>
      <c r="D1" s="11" t="s">
        <v>82</v>
      </c>
      <c r="E1" s="11" t="s">
        <v>83</v>
      </c>
      <c r="F1" s="15" t="s">
        <v>84</v>
      </c>
      <c r="G1" s="15" t="s">
        <v>85</v>
      </c>
      <c r="H1" s="15" t="s">
        <v>86</v>
      </c>
      <c r="I1" s="15" t="s">
        <v>87</v>
      </c>
      <c r="J1" s="15" t="s">
        <v>88</v>
      </c>
      <c r="K1" s="15" t="s">
        <v>89</v>
      </c>
      <c r="L1" s="15" t="s">
        <v>90</v>
      </c>
      <c r="N1" s="16" t="s">
        <v>91</v>
      </c>
      <c r="O1" s="16" t="s">
        <v>92</v>
      </c>
      <c r="P1" s="16" t="s">
        <v>93</v>
      </c>
    </row>
    <row r="2" customFormat="false" ht="15" hidden="false" customHeight="false" outlineLevel="0" collapsed="false">
      <c r="A2" s="17" t="s">
        <v>94</v>
      </c>
      <c r="B2" s="17" t="s">
        <v>95</v>
      </c>
      <c r="C2" s="17" t="s">
        <v>96</v>
      </c>
      <c r="D2" s="18" t="n">
        <v>0.625</v>
      </c>
      <c r="E2" s="18" t="n">
        <v>0.958333333333333</v>
      </c>
      <c r="F2" s="19" t="n">
        <f aca="false">ROUND(MOD(E2-D2,1)*24,2)-$O$2</f>
        <v>7</v>
      </c>
      <c r="G2" s="19" t="n">
        <f aca="false">MAX(0,F2-$O$3)</f>
        <v>0</v>
      </c>
      <c r="H2" s="20" t="n">
        <f aca="false">MAX(0,(HOUR(D2)*60+MINUTE(D2))-(HOUR(VLOOKUP(C2,Acuan!$A$2:$C$4,2,FALSE()))*60+MINUTE(VLOOKUP(C2,Acuan!$A$2:$C$4,2,FALSE()))))</f>
        <v>0</v>
      </c>
      <c r="I2" s="21" t="str">
        <f aca="false">IF(H2&gt;$O$5,"Terlambat","Tepat Waktu")</f>
        <v>Tepat Waktu</v>
      </c>
      <c r="J2" s="22" t="n">
        <f aca="false">VLOOKUP(C2,Acuan!$A$2:$C$4,3,FALSE())</f>
        <v>12000</v>
      </c>
      <c r="K2" s="22" t="n">
        <f aca="false">ROUND(G2*$O$4,0)</f>
        <v>0</v>
      </c>
      <c r="L2" s="22" t="n">
        <f aca="false">J2+K2</f>
        <v>12000</v>
      </c>
      <c r="N2" s="23" t="s">
        <v>97</v>
      </c>
      <c r="O2" s="24" t="n">
        <v>1</v>
      </c>
      <c r="P2" s="23" t="s">
        <v>98</v>
      </c>
    </row>
    <row r="3" customFormat="false" ht="15" hidden="false" customHeight="false" outlineLevel="0" collapsed="false">
      <c r="A3" s="17" t="s">
        <v>99</v>
      </c>
      <c r="B3" s="17" t="s">
        <v>95</v>
      </c>
      <c r="C3" s="17" t="s">
        <v>100</v>
      </c>
      <c r="D3" s="18" t="n">
        <v>0.975694444444444</v>
      </c>
      <c r="E3" s="18" t="n">
        <v>0.291666666666667</v>
      </c>
      <c r="F3" s="19" t="n">
        <f aca="false">ROUND(MOD(E3-D3,1)*24,2)-$O$2</f>
        <v>6.58</v>
      </c>
      <c r="G3" s="19" t="n">
        <f aca="false">MAX(0,F3-$O$3)</f>
        <v>0</v>
      </c>
      <c r="H3" s="20" t="n">
        <f aca="false">MAX(0,(HOUR(D3)*60+MINUTE(D3))-(HOUR(VLOOKUP(C3,Acuan!$A$2:$C$4,2,FALSE()))*60+MINUTE(VLOOKUP(C3,Acuan!$A$2:$C$4,2,FALSE()))))</f>
        <v>25</v>
      </c>
      <c r="I3" s="21" t="str">
        <f aca="false">IF(H3&gt;$O$5,"Terlambat","Tepat Waktu")</f>
        <v>Terlambat</v>
      </c>
      <c r="J3" s="22" t="n">
        <f aca="false">VLOOKUP(C3,Acuan!$A$2:$C$4,3,FALSE())</f>
        <v>25000</v>
      </c>
      <c r="K3" s="22" t="n">
        <f aca="false">ROUND(G3*$O$4,0)</f>
        <v>0</v>
      </c>
      <c r="L3" s="22" t="n">
        <f aca="false">J3+K3</f>
        <v>25000</v>
      </c>
      <c r="N3" s="23" t="s">
        <v>101</v>
      </c>
      <c r="O3" s="24" t="n">
        <v>7</v>
      </c>
      <c r="P3" s="23" t="s">
        <v>102</v>
      </c>
    </row>
    <row r="4" customFormat="false" ht="15" hidden="false" customHeight="false" outlineLevel="0" collapsed="false">
      <c r="A4" s="17" t="s">
        <v>103</v>
      </c>
      <c r="B4" s="17" t="s">
        <v>104</v>
      </c>
      <c r="C4" s="17" t="s">
        <v>100</v>
      </c>
      <c r="D4" s="18" t="n">
        <v>0.954861111111111</v>
      </c>
      <c r="E4" s="18" t="n">
        <v>0.333333333333333</v>
      </c>
      <c r="F4" s="19" t="n">
        <f aca="false">ROUND(MOD(E4-D4,1)*24,2)-$O$2</f>
        <v>8.08</v>
      </c>
      <c r="G4" s="19" t="n">
        <f aca="false">MAX(0,F4-$O$3)</f>
        <v>1.08</v>
      </c>
      <c r="H4" s="20" t="n">
        <f aca="false">MAX(0,(HOUR(D4)*60+MINUTE(D4))-(HOUR(VLOOKUP(C4,Acuan!$A$2:$C$4,2,FALSE()))*60+MINUTE(VLOOKUP(C4,Acuan!$A$2:$C$4,2,FALSE()))))</f>
        <v>0</v>
      </c>
      <c r="I4" s="21" t="str">
        <f aca="false">IF(H4&gt;$O$5,"Terlambat","Tepat Waktu")</f>
        <v>Tepat Waktu</v>
      </c>
      <c r="J4" s="22" t="n">
        <f aca="false">VLOOKUP(C4,Acuan!$A$2:$C$4,3,FALSE())</f>
        <v>25000</v>
      </c>
      <c r="K4" s="22" t="n">
        <f aca="false">ROUND(G4*$O$4,0)</f>
        <v>27000</v>
      </c>
      <c r="L4" s="22" t="n">
        <f aca="false">J4+K4</f>
        <v>52000</v>
      </c>
      <c r="N4" s="23" t="s">
        <v>105</v>
      </c>
      <c r="O4" s="25" t="n">
        <v>25000</v>
      </c>
      <c r="P4" s="23"/>
    </row>
    <row r="5" customFormat="false" ht="15" hidden="false" customHeight="false" outlineLevel="0" collapsed="false">
      <c r="A5" s="17" t="s">
        <v>106</v>
      </c>
      <c r="B5" s="17" t="s">
        <v>95</v>
      </c>
      <c r="C5" s="17" t="s">
        <v>107</v>
      </c>
      <c r="D5" s="18" t="n">
        <v>0.284722222222222</v>
      </c>
      <c r="E5" s="18" t="n">
        <v>0.666666666666667</v>
      </c>
      <c r="F5" s="19" t="n">
        <f aca="false">ROUND(MOD(E5-D5,1)*24,2)-$O$2</f>
        <v>8.17</v>
      </c>
      <c r="G5" s="19" t="n">
        <f aca="false">MAX(0,F5-$O$3)</f>
        <v>1.17</v>
      </c>
      <c r="H5" s="20" t="n">
        <f aca="false">MAX(0,(HOUR(D5)*60+MINUTE(D5))-(HOUR(VLOOKUP(C5,Acuan!$A$2:$C$4,2,FALSE()))*60+MINUTE(VLOOKUP(C5,Acuan!$A$2:$C$4,2,FALSE()))))</f>
        <v>0</v>
      </c>
      <c r="I5" s="21" t="str">
        <f aca="false">IF(H5&gt;$O$5,"Terlambat","Tepat Waktu")</f>
        <v>Tepat Waktu</v>
      </c>
      <c r="J5" s="22" t="n">
        <f aca="false">VLOOKUP(C5,Acuan!$A$2:$C$4,3,FALSE())</f>
        <v>0</v>
      </c>
      <c r="K5" s="22" t="n">
        <f aca="false">ROUND(G5*$O$4,0)</f>
        <v>29250</v>
      </c>
      <c r="L5" s="22" t="n">
        <f aca="false">J5+K5</f>
        <v>29250</v>
      </c>
      <c r="N5" s="23" t="s">
        <v>108</v>
      </c>
      <c r="O5" s="24" t="n">
        <v>10</v>
      </c>
      <c r="P5" s="23"/>
    </row>
    <row r="6" customFormat="false" ht="15" hidden="false" customHeight="false" outlineLevel="0" collapsed="false">
      <c r="A6" s="17" t="s">
        <v>109</v>
      </c>
      <c r="B6" s="17" t="s">
        <v>104</v>
      </c>
      <c r="C6" s="17" t="s">
        <v>107</v>
      </c>
      <c r="D6" s="18" t="n">
        <v>0.298611111111111</v>
      </c>
      <c r="E6" s="18" t="n">
        <v>0.625</v>
      </c>
      <c r="F6" s="19" t="n">
        <f aca="false">ROUND(MOD(E6-D6,1)*24,2)-$O$2</f>
        <v>6.83</v>
      </c>
      <c r="G6" s="19" t="n">
        <f aca="false">MAX(0,F6-$O$3)</f>
        <v>0</v>
      </c>
      <c r="H6" s="20" t="n">
        <f aca="false">MAX(0,(HOUR(D6)*60+MINUTE(D6))-(HOUR(VLOOKUP(C6,Acuan!$A$2:$C$4,2,FALSE()))*60+MINUTE(VLOOKUP(C6,Acuan!$A$2:$C$4,2,FALSE()))))</f>
        <v>10</v>
      </c>
      <c r="I6" s="21" t="str">
        <f aca="false">IF(H6&gt;$O$5,"Terlambat","Tepat Waktu")</f>
        <v>Tepat Waktu</v>
      </c>
      <c r="J6" s="22" t="n">
        <f aca="false">VLOOKUP(C6,Acuan!$A$2:$C$4,3,FALSE())</f>
        <v>0</v>
      </c>
      <c r="K6" s="22" t="n">
        <f aca="false">ROUND(G6*$O$4,0)</f>
        <v>0</v>
      </c>
      <c r="L6" s="22" t="n">
        <f aca="false">J6+K6</f>
        <v>0</v>
      </c>
    </row>
    <row r="7" customFormat="false" ht="15" hidden="false" customHeight="false" outlineLevel="0" collapsed="false">
      <c r="A7" s="17" t="s">
        <v>110</v>
      </c>
      <c r="B7" s="17" t="s">
        <v>111</v>
      </c>
      <c r="C7" s="17" t="s">
        <v>107</v>
      </c>
      <c r="D7" s="18" t="n">
        <v>0.298611111111111</v>
      </c>
      <c r="E7" s="18" t="n">
        <v>0.6875</v>
      </c>
      <c r="F7" s="19" t="n">
        <f aca="false">ROUND(MOD(E7-D7,1)*24,2)-$O$2</f>
        <v>8.33</v>
      </c>
      <c r="G7" s="19" t="n">
        <f aca="false">MAX(0,F7-$O$3)</f>
        <v>1.33</v>
      </c>
      <c r="H7" s="20" t="n">
        <f aca="false">MAX(0,(HOUR(D7)*60+MINUTE(D7))-(HOUR(VLOOKUP(C7,Acuan!$A$2:$C$4,2,FALSE()))*60+MINUTE(VLOOKUP(C7,Acuan!$A$2:$C$4,2,FALSE()))))</f>
        <v>10</v>
      </c>
      <c r="I7" s="21" t="str">
        <f aca="false">IF(H7&gt;$O$5,"Terlambat","Tepat Waktu")</f>
        <v>Tepat Waktu</v>
      </c>
      <c r="J7" s="22" t="n">
        <f aca="false">VLOOKUP(C7,Acuan!$A$2:$C$4,3,FALSE())</f>
        <v>0</v>
      </c>
      <c r="K7" s="22" t="n">
        <f aca="false">ROUND(G7*$O$4,0)</f>
        <v>33250</v>
      </c>
      <c r="L7" s="22" t="n">
        <f aca="false">J7+K7</f>
        <v>33250</v>
      </c>
    </row>
    <row r="8" customFormat="false" ht="15" hidden="false" customHeight="false" outlineLevel="0" collapsed="false">
      <c r="A8" s="17" t="s">
        <v>112</v>
      </c>
      <c r="B8" s="17" t="s">
        <v>113</v>
      </c>
      <c r="C8" s="17" t="s">
        <v>96</v>
      </c>
      <c r="D8" s="18" t="n">
        <v>0.635416666666667</v>
      </c>
      <c r="E8" s="18" t="n">
        <v>0</v>
      </c>
      <c r="F8" s="19" t="n">
        <f aca="false">ROUND(MOD(E8-D8,1)*24,2)-$O$2</f>
        <v>7.75</v>
      </c>
      <c r="G8" s="19" t="n">
        <f aca="false">MAX(0,F8-$O$3)</f>
        <v>0.75</v>
      </c>
      <c r="H8" s="20" t="n">
        <f aca="false">MAX(0,(HOUR(D8)*60+MINUTE(D8))-(HOUR(VLOOKUP(C8,Acuan!$A$2:$C$4,2,FALSE()))*60+MINUTE(VLOOKUP(C8,Acuan!$A$2:$C$4,2,FALSE()))))</f>
        <v>15</v>
      </c>
      <c r="I8" s="21" t="str">
        <f aca="false">IF(H8&gt;$O$5,"Terlambat","Tepat Waktu")</f>
        <v>Terlambat</v>
      </c>
      <c r="J8" s="22" t="n">
        <f aca="false">VLOOKUP(C8,Acuan!$A$2:$C$4,3,FALSE())</f>
        <v>12000</v>
      </c>
      <c r="K8" s="22" t="n">
        <f aca="false">ROUND(G8*$O$4,0)</f>
        <v>18750</v>
      </c>
      <c r="L8" s="22" t="n">
        <f aca="false">J8+K8</f>
        <v>30750</v>
      </c>
    </row>
    <row r="9" customFormat="false" ht="15" hidden="false" customHeight="false" outlineLevel="0" collapsed="false">
      <c r="A9" s="17" t="s">
        <v>114</v>
      </c>
      <c r="B9" s="17" t="s">
        <v>111</v>
      </c>
      <c r="C9" s="17" t="s">
        <v>107</v>
      </c>
      <c r="D9" s="18" t="n">
        <v>0.309027777777778</v>
      </c>
      <c r="E9" s="18" t="n">
        <v>0.625</v>
      </c>
      <c r="F9" s="19" t="n">
        <f aca="false">ROUND(MOD(E9-D9,1)*24,2)-$O$2</f>
        <v>6.58</v>
      </c>
      <c r="G9" s="19" t="n">
        <f aca="false">MAX(0,F9-$O$3)</f>
        <v>0</v>
      </c>
      <c r="H9" s="20" t="n">
        <f aca="false">MAX(0,(HOUR(D9)*60+MINUTE(D9))-(HOUR(VLOOKUP(C9,Acuan!$A$2:$C$4,2,FALSE()))*60+MINUTE(VLOOKUP(C9,Acuan!$A$2:$C$4,2,FALSE()))))</f>
        <v>25</v>
      </c>
      <c r="I9" s="21" t="str">
        <f aca="false">IF(H9&gt;$O$5,"Terlambat","Tepat Waktu")</f>
        <v>Terlambat</v>
      </c>
      <c r="J9" s="22" t="n">
        <f aca="false">VLOOKUP(C9,Acuan!$A$2:$C$4,3,FALSE())</f>
        <v>0</v>
      </c>
      <c r="K9" s="22" t="n">
        <f aca="false">ROUND(G9*$O$4,0)</f>
        <v>0</v>
      </c>
      <c r="L9" s="22" t="n">
        <f aca="false">J9+K9</f>
        <v>0</v>
      </c>
    </row>
    <row r="10" customFormat="false" ht="15" hidden="false" customHeight="false" outlineLevel="0" collapsed="false">
      <c r="A10" s="17" t="s">
        <v>115</v>
      </c>
      <c r="B10" s="17" t="s">
        <v>111</v>
      </c>
      <c r="C10" s="17" t="s">
        <v>96</v>
      </c>
      <c r="D10" s="18" t="n">
        <v>0.621527777777778</v>
      </c>
      <c r="E10" s="18" t="n">
        <v>0.958333333333333</v>
      </c>
      <c r="F10" s="19" t="n">
        <f aca="false">ROUND(MOD(E10-D10,1)*24,2)-$O$2</f>
        <v>7.08</v>
      </c>
      <c r="G10" s="19" t="n">
        <f aca="false">MAX(0,F10-$O$3)</f>
        <v>0.0800000000000001</v>
      </c>
      <c r="H10" s="20" t="n">
        <f aca="false">MAX(0,(HOUR(D10)*60+MINUTE(D10))-(HOUR(VLOOKUP(C10,Acuan!$A$2:$C$4,2,FALSE()))*60+MINUTE(VLOOKUP(C10,Acuan!$A$2:$C$4,2,FALSE()))))</f>
        <v>0</v>
      </c>
      <c r="I10" s="21" t="str">
        <f aca="false">IF(H10&gt;$O$5,"Terlambat","Tepat Waktu")</f>
        <v>Tepat Waktu</v>
      </c>
      <c r="J10" s="22" t="n">
        <f aca="false">VLOOKUP(C10,Acuan!$A$2:$C$4,3,FALSE())</f>
        <v>12000</v>
      </c>
      <c r="K10" s="22" t="n">
        <f aca="false">ROUND(G10*$O$4,0)</f>
        <v>2000</v>
      </c>
      <c r="L10" s="22" t="n">
        <f aca="false">J10+K10</f>
        <v>14000</v>
      </c>
    </row>
    <row r="11" customFormat="false" ht="15" hidden="false" customHeight="false" outlineLevel="0" collapsed="false">
      <c r="A11" s="17" t="s">
        <v>116</v>
      </c>
      <c r="B11" s="17" t="s">
        <v>104</v>
      </c>
      <c r="C11" s="17" t="s">
        <v>96</v>
      </c>
      <c r="D11" s="18" t="n">
        <v>0.635416666666667</v>
      </c>
      <c r="E11" s="18" t="n">
        <v>0</v>
      </c>
      <c r="F11" s="19" t="n">
        <f aca="false">ROUND(MOD(E11-D11,1)*24,2)-$O$2</f>
        <v>7.75</v>
      </c>
      <c r="G11" s="19" t="n">
        <f aca="false">MAX(0,F11-$O$3)</f>
        <v>0.75</v>
      </c>
      <c r="H11" s="20" t="n">
        <f aca="false">MAX(0,(HOUR(D11)*60+MINUTE(D11))-(HOUR(VLOOKUP(C11,Acuan!$A$2:$C$4,2,FALSE()))*60+MINUTE(VLOOKUP(C11,Acuan!$A$2:$C$4,2,FALSE()))))</f>
        <v>15</v>
      </c>
      <c r="I11" s="21" t="str">
        <f aca="false">IF(H11&gt;$O$5,"Terlambat","Tepat Waktu")</f>
        <v>Terlambat</v>
      </c>
      <c r="J11" s="22" t="n">
        <f aca="false">VLOOKUP(C11,Acuan!$A$2:$C$4,3,FALSE())</f>
        <v>12000</v>
      </c>
      <c r="K11" s="22" t="n">
        <f aca="false">ROUND(G11*$O$4,0)</f>
        <v>18750</v>
      </c>
      <c r="L11" s="22" t="n">
        <f aca="false">J11+K11</f>
        <v>30750</v>
      </c>
    </row>
    <row r="12" customFormat="false" ht="15" hidden="false" customHeight="false" outlineLevel="0" collapsed="false">
      <c r="A12" s="17" t="s">
        <v>117</v>
      </c>
      <c r="B12" s="17" t="s">
        <v>113</v>
      </c>
      <c r="C12" s="17" t="s">
        <v>96</v>
      </c>
      <c r="D12" s="18" t="n">
        <v>0.631944444444444</v>
      </c>
      <c r="E12" s="18" t="n">
        <v>0.958333333333333</v>
      </c>
      <c r="F12" s="19" t="n">
        <f aca="false">ROUND(MOD(E12-D12,1)*24,2)-$O$2</f>
        <v>6.83</v>
      </c>
      <c r="G12" s="19" t="n">
        <f aca="false">MAX(0,F12-$O$3)</f>
        <v>0</v>
      </c>
      <c r="H12" s="20" t="n">
        <f aca="false">MAX(0,(HOUR(D12)*60+MINUTE(D12))-(HOUR(VLOOKUP(C12,Acuan!$A$2:$C$4,2,FALSE()))*60+MINUTE(VLOOKUP(C12,Acuan!$A$2:$C$4,2,FALSE()))))</f>
        <v>10</v>
      </c>
      <c r="I12" s="21" t="str">
        <f aca="false">IF(H12&gt;$O$5,"Terlambat","Tepat Waktu")</f>
        <v>Tepat Waktu</v>
      </c>
      <c r="J12" s="22" t="n">
        <f aca="false">VLOOKUP(C12,Acuan!$A$2:$C$4,3,FALSE())</f>
        <v>12000</v>
      </c>
      <c r="K12" s="22" t="n">
        <f aca="false">ROUND(G12*$O$4,0)</f>
        <v>0</v>
      </c>
      <c r="L12" s="22" t="n">
        <f aca="false">J12+K12</f>
        <v>12000</v>
      </c>
    </row>
    <row r="13" customFormat="false" ht="15" hidden="false" customHeight="false" outlineLevel="0" collapsed="false">
      <c r="A13" s="17" t="s">
        <v>118</v>
      </c>
      <c r="B13" s="17" t="s">
        <v>113</v>
      </c>
      <c r="C13" s="17" t="s">
        <v>107</v>
      </c>
      <c r="D13" s="18" t="n">
        <v>0.288194444444444</v>
      </c>
      <c r="E13" s="18" t="n">
        <v>0.645833333333333</v>
      </c>
      <c r="F13" s="19" t="n">
        <f aca="false">ROUND(MOD(E13-D13,1)*24,2)-$O$2</f>
        <v>7.58</v>
      </c>
      <c r="G13" s="19" t="n">
        <f aca="false">MAX(0,F13-$O$3)</f>
        <v>0.58</v>
      </c>
      <c r="H13" s="20" t="n">
        <f aca="false">MAX(0,(HOUR(D13)*60+MINUTE(D13))-(HOUR(VLOOKUP(C13,Acuan!$A$2:$C$4,2,FALSE()))*60+MINUTE(VLOOKUP(C13,Acuan!$A$2:$C$4,2,FALSE()))))</f>
        <v>0</v>
      </c>
      <c r="I13" s="21" t="str">
        <f aca="false">IF(H13&gt;$O$5,"Terlambat","Tepat Waktu")</f>
        <v>Tepat Waktu</v>
      </c>
      <c r="J13" s="22" t="n">
        <f aca="false">VLOOKUP(C13,Acuan!$A$2:$C$4,3,FALSE())</f>
        <v>0</v>
      </c>
      <c r="K13" s="22" t="n">
        <f aca="false">ROUND(G13*$O$4,0)</f>
        <v>14500</v>
      </c>
      <c r="L13" s="22" t="n">
        <f aca="false">J13+K13</f>
        <v>14500</v>
      </c>
    </row>
    <row r="14" customFormat="false" ht="15" hidden="false" customHeight="false" outlineLevel="0" collapsed="false">
      <c r="A14" s="17" t="s">
        <v>119</v>
      </c>
      <c r="B14" s="17" t="s">
        <v>113</v>
      </c>
      <c r="C14" s="17" t="s">
        <v>100</v>
      </c>
      <c r="D14" s="18" t="n">
        <v>0.958333333333333</v>
      </c>
      <c r="E14" s="18" t="n">
        <v>0.291666666666667</v>
      </c>
      <c r="F14" s="19" t="n">
        <f aca="false">ROUND(MOD(E14-D14,1)*24,2)-$O$2</f>
        <v>7</v>
      </c>
      <c r="G14" s="19" t="n">
        <f aca="false">MAX(0,F14-$O$3)</f>
        <v>0</v>
      </c>
      <c r="H14" s="20" t="n">
        <f aca="false">MAX(0,(HOUR(D14)*60+MINUTE(D14))-(HOUR(VLOOKUP(C14,Acuan!$A$2:$C$4,2,FALSE()))*60+MINUTE(VLOOKUP(C14,Acuan!$A$2:$C$4,2,FALSE()))))</f>
        <v>0</v>
      </c>
      <c r="I14" s="21" t="str">
        <f aca="false">IF(H14&gt;$O$5,"Terlambat","Tepat Waktu")</f>
        <v>Tepat Waktu</v>
      </c>
      <c r="J14" s="22" t="n">
        <f aca="false">VLOOKUP(C14,Acuan!$A$2:$C$4,3,FALSE())</f>
        <v>25000</v>
      </c>
      <c r="K14" s="22" t="n">
        <f aca="false">ROUND(G14*$O$4,0)</f>
        <v>0</v>
      </c>
      <c r="L14" s="22" t="n">
        <f aca="false">J14+K14</f>
        <v>25000</v>
      </c>
    </row>
    <row r="15" customFormat="false" ht="15" hidden="false" customHeight="false" outlineLevel="0" collapsed="false">
      <c r="A15" s="17" t="s">
        <v>120</v>
      </c>
      <c r="B15" s="17" t="s">
        <v>95</v>
      </c>
      <c r="C15" s="17" t="s">
        <v>96</v>
      </c>
      <c r="D15" s="18" t="n">
        <v>0.628472222222222</v>
      </c>
      <c r="E15" s="18" t="n">
        <v>0</v>
      </c>
      <c r="F15" s="19" t="n">
        <f aca="false">ROUND(MOD(E15-D15,1)*24,2)-$O$2</f>
        <v>7.92</v>
      </c>
      <c r="G15" s="19" t="n">
        <f aca="false">MAX(0,F15-$O$3)</f>
        <v>0.92</v>
      </c>
      <c r="H15" s="20" t="n">
        <f aca="false">MAX(0,(HOUR(D15)*60+MINUTE(D15))-(HOUR(VLOOKUP(C15,Acuan!$A$2:$C$4,2,FALSE()))*60+MINUTE(VLOOKUP(C15,Acuan!$A$2:$C$4,2,FALSE()))))</f>
        <v>5</v>
      </c>
      <c r="I15" s="21" t="str">
        <f aca="false">IF(H15&gt;$O$5,"Terlambat","Tepat Waktu")</f>
        <v>Tepat Waktu</v>
      </c>
      <c r="J15" s="22" t="n">
        <f aca="false">VLOOKUP(C15,Acuan!$A$2:$C$4,3,FALSE())</f>
        <v>12000</v>
      </c>
      <c r="K15" s="22" t="n">
        <f aca="false">ROUND(G15*$O$4,0)</f>
        <v>23000</v>
      </c>
      <c r="L15" s="22" t="n">
        <f aca="false">J15+K15</f>
        <v>35000</v>
      </c>
    </row>
    <row r="16" customFormat="false" ht="15" hidden="false" customHeight="false" outlineLevel="0" collapsed="false">
      <c r="A16" s="17" t="s">
        <v>121</v>
      </c>
      <c r="B16" s="17" t="s">
        <v>113</v>
      </c>
      <c r="C16" s="17" t="s">
        <v>100</v>
      </c>
      <c r="D16" s="18" t="n">
        <v>0.951388888888889</v>
      </c>
      <c r="E16" s="18" t="n">
        <v>0.28125</v>
      </c>
      <c r="F16" s="19" t="n">
        <f aca="false">ROUND(MOD(E16-D16,1)*24,2)-$O$2</f>
        <v>6.92</v>
      </c>
      <c r="G16" s="19" t="n">
        <f aca="false">MAX(0,F16-$O$3)</f>
        <v>0</v>
      </c>
      <c r="H16" s="20" t="n">
        <f aca="false">MAX(0,(HOUR(D16)*60+MINUTE(D16))-(HOUR(VLOOKUP(C16,Acuan!$A$2:$C$4,2,FALSE()))*60+MINUTE(VLOOKUP(C16,Acuan!$A$2:$C$4,2,FALSE()))))</f>
        <v>0</v>
      </c>
      <c r="I16" s="21" t="str">
        <f aca="false">IF(H16&gt;$O$5,"Terlambat","Tepat Waktu")</f>
        <v>Tepat Waktu</v>
      </c>
      <c r="J16" s="22" t="n">
        <f aca="false">VLOOKUP(C16,Acuan!$A$2:$C$4,3,FALSE())</f>
        <v>25000</v>
      </c>
      <c r="K16" s="22" t="n">
        <f aca="false">ROUND(G16*$O$4,0)</f>
        <v>0</v>
      </c>
      <c r="L16" s="22" t="n">
        <f aca="false">J16+K16</f>
        <v>25000</v>
      </c>
    </row>
    <row r="17" customFormat="false" ht="15" hidden="false" customHeight="false" outlineLevel="0" collapsed="false">
      <c r="A17" s="17" t="s">
        <v>122</v>
      </c>
      <c r="B17" s="17" t="s">
        <v>111</v>
      </c>
      <c r="C17" s="17" t="s">
        <v>107</v>
      </c>
      <c r="D17" s="18" t="n">
        <v>0.298611111111111</v>
      </c>
      <c r="E17" s="18" t="n">
        <v>0.6875</v>
      </c>
      <c r="F17" s="19" t="n">
        <f aca="false">ROUND(MOD(E17-D17,1)*24,2)-$O$2</f>
        <v>8.33</v>
      </c>
      <c r="G17" s="19" t="n">
        <f aca="false">MAX(0,F17-$O$3)</f>
        <v>1.33</v>
      </c>
      <c r="H17" s="20" t="n">
        <f aca="false">MAX(0,(HOUR(D17)*60+MINUTE(D17))-(HOUR(VLOOKUP(C17,Acuan!$A$2:$C$4,2,FALSE()))*60+MINUTE(VLOOKUP(C17,Acuan!$A$2:$C$4,2,FALSE()))))</f>
        <v>10</v>
      </c>
      <c r="I17" s="21" t="str">
        <f aca="false">IF(H17&gt;$O$5,"Terlambat","Tepat Waktu")</f>
        <v>Tepat Waktu</v>
      </c>
      <c r="J17" s="22" t="n">
        <f aca="false">VLOOKUP(C17,Acuan!$A$2:$C$4,3,FALSE())</f>
        <v>0</v>
      </c>
      <c r="K17" s="22" t="n">
        <f aca="false">ROUND(G17*$O$4,0)</f>
        <v>33250</v>
      </c>
      <c r="L17" s="22" t="n">
        <f aca="false">J17+K17</f>
        <v>33250</v>
      </c>
    </row>
    <row r="18" customFormat="false" ht="15" hidden="false" customHeight="false" outlineLevel="0" collapsed="false">
      <c r="A18" s="17" t="s">
        <v>123</v>
      </c>
      <c r="B18" s="17" t="s">
        <v>111</v>
      </c>
      <c r="C18" s="17" t="s">
        <v>96</v>
      </c>
      <c r="D18" s="18" t="n">
        <v>0.635416666666667</v>
      </c>
      <c r="E18" s="18" t="n">
        <v>0.0416666666666667</v>
      </c>
      <c r="F18" s="19" t="n">
        <f aca="false">ROUND(MOD(E18-D18,1)*24,2)-$O$2</f>
        <v>8.75</v>
      </c>
      <c r="G18" s="19" t="n">
        <f aca="false">MAX(0,F18-$O$3)</f>
        <v>1.75</v>
      </c>
      <c r="H18" s="20" t="n">
        <f aca="false">MAX(0,(HOUR(D18)*60+MINUTE(D18))-(HOUR(VLOOKUP(C18,Acuan!$A$2:$C$4,2,FALSE()))*60+MINUTE(VLOOKUP(C18,Acuan!$A$2:$C$4,2,FALSE()))))</f>
        <v>15</v>
      </c>
      <c r="I18" s="21" t="str">
        <f aca="false">IF(H18&gt;$O$5,"Terlambat","Tepat Waktu")</f>
        <v>Terlambat</v>
      </c>
      <c r="J18" s="22" t="n">
        <f aca="false">VLOOKUP(C18,Acuan!$A$2:$C$4,3,FALSE())</f>
        <v>12000</v>
      </c>
      <c r="K18" s="22" t="n">
        <f aca="false">ROUND(G18*$O$4,0)</f>
        <v>43750</v>
      </c>
      <c r="L18" s="22" t="n">
        <f aca="false">J18+K18</f>
        <v>55750</v>
      </c>
    </row>
    <row r="19" customFormat="false" ht="15" hidden="false" customHeight="false" outlineLevel="0" collapsed="false">
      <c r="A19" s="17" t="s">
        <v>124</v>
      </c>
      <c r="B19" s="17" t="s">
        <v>113</v>
      </c>
      <c r="C19" s="17" t="s">
        <v>107</v>
      </c>
      <c r="D19" s="18" t="n">
        <v>0.291666666666667</v>
      </c>
      <c r="E19" s="18" t="n">
        <v>0.625</v>
      </c>
      <c r="F19" s="19" t="n">
        <f aca="false">ROUND(MOD(E19-D19,1)*24,2)-$O$2</f>
        <v>7</v>
      </c>
      <c r="G19" s="19" t="n">
        <f aca="false">MAX(0,F19-$O$3)</f>
        <v>0</v>
      </c>
      <c r="H19" s="20" t="n">
        <f aca="false">MAX(0,(HOUR(D19)*60+MINUTE(D19))-(HOUR(VLOOKUP(C19,Acuan!$A$2:$C$4,2,FALSE()))*60+MINUTE(VLOOKUP(C19,Acuan!$A$2:$C$4,2,FALSE()))))</f>
        <v>0</v>
      </c>
      <c r="I19" s="21" t="str">
        <f aca="false">IF(H19&gt;$O$5,"Terlambat","Tepat Waktu")</f>
        <v>Tepat Waktu</v>
      </c>
      <c r="J19" s="22" t="n">
        <f aca="false">VLOOKUP(C19,Acuan!$A$2:$C$4,3,FALSE())</f>
        <v>0</v>
      </c>
      <c r="K19" s="22" t="n">
        <f aca="false">ROUND(G19*$O$4,0)</f>
        <v>0</v>
      </c>
      <c r="L19" s="22" t="n">
        <f aca="false">J19+K19</f>
        <v>0</v>
      </c>
    </row>
    <row r="20" customFormat="false" ht="15" hidden="false" customHeight="false" outlineLevel="0" collapsed="false">
      <c r="A20" s="17" t="s">
        <v>125</v>
      </c>
      <c r="B20" s="17" t="s">
        <v>95</v>
      </c>
      <c r="C20" s="17" t="s">
        <v>96</v>
      </c>
      <c r="D20" s="18" t="n">
        <v>0.618055555555556</v>
      </c>
      <c r="E20" s="18" t="n">
        <v>0.958333333333333</v>
      </c>
      <c r="F20" s="19" t="n">
        <f aca="false">ROUND(MOD(E20-D20,1)*24,2)-$O$2</f>
        <v>7.17</v>
      </c>
      <c r="G20" s="19" t="n">
        <f aca="false">MAX(0,F20-$O$3)</f>
        <v>0.17</v>
      </c>
      <c r="H20" s="20" t="n">
        <f aca="false">MAX(0,(HOUR(D20)*60+MINUTE(D20))-(HOUR(VLOOKUP(C20,Acuan!$A$2:$C$4,2,FALSE()))*60+MINUTE(VLOOKUP(C20,Acuan!$A$2:$C$4,2,FALSE()))))</f>
        <v>0</v>
      </c>
      <c r="I20" s="21" t="str">
        <f aca="false">IF(H20&gt;$O$5,"Terlambat","Tepat Waktu")</f>
        <v>Tepat Waktu</v>
      </c>
      <c r="J20" s="22" t="n">
        <f aca="false">VLOOKUP(C20,Acuan!$A$2:$C$4,3,FALSE())</f>
        <v>12000</v>
      </c>
      <c r="K20" s="22" t="n">
        <f aca="false">ROUND(G20*$O$4,0)</f>
        <v>4250</v>
      </c>
      <c r="L20" s="22" t="n">
        <f aca="false">J20+K20</f>
        <v>16250</v>
      </c>
    </row>
    <row r="21" customFormat="false" ht="15" hidden="false" customHeight="false" outlineLevel="0" collapsed="false">
      <c r="A21" s="17" t="s">
        <v>126</v>
      </c>
      <c r="B21" s="17" t="s">
        <v>95</v>
      </c>
      <c r="C21" s="17" t="s">
        <v>107</v>
      </c>
      <c r="D21" s="18" t="n">
        <v>0.298611111111111</v>
      </c>
      <c r="E21" s="18" t="n">
        <v>0.666666666666667</v>
      </c>
      <c r="F21" s="19" t="n">
        <f aca="false">ROUND(MOD(E21-D21,1)*24,2)-$O$2</f>
        <v>7.83</v>
      </c>
      <c r="G21" s="19" t="n">
        <f aca="false">MAX(0,F21-$O$3)</f>
        <v>0.83</v>
      </c>
      <c r="H21" s="20" t="n">
        <f aca="false">MAX(0,(HOUR(D21)*60+MINUTE(D21))-(HOUR(VLOOKUP(C21,Acuan!$A$2:$C$4,2,FALSE()))*60+MINUTE(VLOOKUP(C21,Acuan!$A$2:$C$4,2,FALSE()))))</f>
        <v>10</v>
      </c>
      <c r="I21" s="21" t="str">
        <f aca="false">IF(H21&gt;$O$5,"Terlambat","Tepat Waktu")</f>
        <v>Tepat Waktu</v>
      </c>
      <c r="J21" s="22" t="n">
        <f aca="false">VLOOKUP(C21,Acuan!$A$2:$C$4,3,FALSE())</f>
        <v>0</v>
      </c>
      <c r="K21" s="22" t="n">
        <f aca="false">ROUND(G21*$O$4,0)</f>
        <v>20750</v>
      </c>
      <c r="L21" s="22" t="n">
        <f aca="false">J21+K21</f>
        <v>20750</v>
      </c>
    </row>
    <row r="22" customFormat="false" ht="15" hidden="false" customHeight="false" outlineLevel="0" collapsed="false">
      <c r="A22" s="17" t="s">
        <v>127</v>
      </c>
      <c r="B22" s="17" t="s">
        <v>104</v>
      </c>
      <c r="C22" s="17" t="s">
        <v>100</v>
      </c>
      <c r="D22" s="18" t="n">
        <v>0.965277777777778</v>
      </c>
      <c r="E22" s="18" t="n">
        <v>0.291666666666667</v>
      </c>
      <c r="F22" s="19" t="n">
        <f aca="false">ROUND(MOD(E22-D22,1)*24,2)-$O$2</f>
        <v>6.83</v>
      </c>
      <c r="G22" s="19" t="n">
        <f aca="false">MAX(0,F22-$O$3)</f>
        <v>0</v>
      </c>
      <c r="H22" s="20" t="n">
        <f aca="false">MAX(0,(HOUR(D22)*60+MINUTE(D22))-(HOUR(VLOOKUP(C22,Acuan!$A$2:$C$4,2,FALSE()))*60+MINUTE(VLOOKUP(C22,Acuan!$A$2:$C$4,2,FALSE()))))</f>
        <v>10</v>
      </c>
      <c r="I22" s="21" t="str">
        <f aca="false">IF(H22&gt;$O$5,"Terlambat","Tepat Waktu")</f>
        <v>Tepat Waktu</v>
      </c>
      <c r="J22" s="22" t="n">
        <f aca="false">VLOOKUP(C22,Acuan!$A$2:$C$4,3,FALSE())</f>
        <v>25000</v>
      </c>
      <c r="K22" s="22" t="n">
        <f aca="false">ROUND(G22*$O$4,0)</f>
        <v>0</v>
      </c>
      <c r="L22" s="22" t="n">
        <f aca="false">J22+K22</f>
        <v>25000</v>
      </c>
    </row>
    <row r="23" customFormat="false" ht="15" hidden="false" customHeight="false" outlineLevel="0" collapsed="false">
      <c r="A23" s="17" t="s">
        <v>128</v>
      </c>
      <c r="B23" s="17" t="s">
        <v>113</v>
      </c>
      <c r="C23" s="17" t="s">
        <v>100</v>
      </c>
      <c r="D23" s="18" t="n">
        <v>0.961805555555556</v>
      </c>
      <c r="E23" s="18" t="n">
        <v>0.333333333333333</v>
      </c>
      <c r="F23" s="19" t="n">
        <f aca="false">ROUND(MOD(E23-D23,1)*24,2)-$O$2</f>
        <v>7.92</v>
      </c>
      <c r="G23" s="19" t="n">
        <f aca="false">MAX(0,F23-$O$3)</f>
        <v>0.92</v>
      </c>
      <c r="H23" s="20" t="n">
        <f aca="false">MAX(0,(HOUR(D23)*60+MINUTE(D23))-(HOUR(VLOOKUP(C23,Acuan!$A$2:$C$4,2,FALSE()))*60+MINUTE(VLOOKUP(C23,Acuan!$A$2:$C$4,2,FALSE()))))</f>
        <v>5</v>
      </c>
      <c r="I23" s="21" t="str">
        <f aca="false">IF(H23&gt;$O$5,"Terlambat","Tepat Waktu")</f>
        <v>Tepat Waktu</v>
      </c>
      <c r="J23" s="22" t="n">
        <f aca="false">VLOOKUP(C23,Acuan!$A$2:$C$4,3,FALSE())</f>
        <v>25000</v>
      </c>
      <c r="K23" s="22" t="n">
        <f aca="false">ROUND(G23*$O$4,0)</f>
        <v>23000</v>
      </c>
      <c r="L23" s="22" t="n">
        <f aca="false">J23+K23</f>
        <v>48000</v>
      </c>
    </row>
    <row r="24" customFormat="false" ht="15" hidden="false" customHeight="false" outlineLevel="0" collapsed="false">
      <c r="A24" s="17" t="s">
        <v>129</v>
      </c>
      <c r="B24" s="17" t="s">
        <v>95</v>
      </c>
      <c r="C24" s="17" t="s">
        <v>107</v>
      </c>
      <c r="D24" s="18" t="n">
        <v>0.288194444444444</v>
      </c>
      <c r="E24" s="18" t="n">
        <v>0.645833333333333</v>
      </c>
      <c r="F24" s="19" t="n">
        <f aca="false">ROUND(MOD(E24-D24,1)*24,2)-$O$2</f>
        <v>7.58</v>
      </c>
      <c r="G24" s="19" t="n">
        <f aca="false">MAX(0,F24-$O$3)</f>
        <v>0.58</v>
      </c>
      <c r="H24" s="20" t="n">
        <f aca="false">MAX(0,(HOUR(D24)*60+MINUTE(D24))-(HOUR(VLOOKUP(C24,Acuan!$A$2:$C$4,2,FALSE()))*60+MINUTE(VLOOKUP(C24,Acuan!$A$2:$C$4,2,FALSE()))))</f>
        <v>0</v>
      </c>
      <c r="I24" s="21" t="str">
        <f aca="false">IF(H24&gt;$O$5,"Terlambat","Tepat Waktu")</f>
        <v>Tepat Waktu</v>
      </c>
      <c r="J24" s="22" t="n">
        <f aca="false">VLOOKUP(C24,Acuan!$A$2:$C$4,3,FALSE())</f>
        <v>0</v>
      </c>
      <c r="K24" s="22" t="n">
        <f aca="false">ROUND(G24*$O$4,0)</f>
        <v>14500</v>
      </c>
      <c r="L24" s="22" t="n">
        <f aca="false">J24+K24</f>
        <v>14500</v>
      </c>
    </row>
    <row r="25" customFormat="false" ht="15" hidden="false" customHeight="false" outlineLevel="0" collapsed="false">
      <c r="A25" s="17" t="s">
        <v>130</v>
      </c>
      <c r="B25" s="17" t="s">
        <v>95</v>
      </c>
      <c r="C25" s="17" t="s">
        <v>100</v>
      </c>
      <c r="D25" s="18" t="n">
        <v>0.96875</v>
      </c>
      <c r="E25" s="18" t="n">
        <v>0.375</v>
      </c>
      <c r="F25" s="19" t="n">
        <f aca="false">ROUND(MOD(E25-D25,1)*24,2)-$O$2</f>
        <v>8.75</v>
      </c>
      <c r="G25" s="19" t="n">
        <f aca="false">MAX(0,F25-$O$3)</f>
        <v>1.75</v>
      </c>
      <c r="H25" s="20" t="n">
        <f aca="false">MAX(0,(HOUR(D25)*60+MINUTE(D25))-(HOUR(VLOOKUP(C25,Acuan!$A$2:$C$4,2,FALSE()))*60+MINUTE(VLOOKUP(C25,Acuan!$A$2:$C$4,2,FALSE()))))</f>
        <v>15</v>
      </c>
      <c r="I25" s="21" t="str">
        <f aca="false">IF(H25&gt;$O$5,"Terlambat","Tepat Waktu")</f>
        <v>Terlambat</v>
      </c>
      <c r="J25" s="22" t="n">
        <f aca="false">VLOOKUP(C25,Acuan!$A$2:$C$4,3,FALSE())</f>
        <v>25000</v>
      </c>
      <c r="K25" s="22" t="n">
        <f aca="false">ROUND(G25*$O$4,0)</f>
        <v>43750</v>
      </c>
      <c r="L25" s="22" t="n">
        <f aca="false">J25+K25</f>
        <v>68750</v>
      </c>
    </row>
    <row r="26" customFormat="false" ht="15" hidden="false" customHeight="false" outlineLevel="0" collapsed="false">
      <c r="A26" s="17" t="s">
        <v>131</v>
      </c>
      <c r="B26" s="17" t="s">
        <v>113</v>
      </c>
      <c r="C26" s="17" t="s">
        <v>107</v>
      </c>
      <c r="D26" s="18" t="n">
        <v>0.302083333333333</v>
      </c>
      <c r="E26" s="18" t="n">
        <v>0.614583333333333</v>
      </c>
      <c r="F26" s="19" t="n">
        <f aca="false">ROUND(MOD(E26-D26,1)*24,2)-$O$2</f>
        <v>6.5</v>
      </c>
      <c r="G26" s="19" t="n">
        <f aca="false">MAX(0,F26-$O$3)</f>
        <v>0</v>
      </c>
      <c r="H26" s="20" t="n">
        <f aca="false">MAX(0,(HOUR(D26)*60+MINUTE(D26))-(HOUR(VLOOKUP(C26,Acuan!$A$2:$C$4,2,FALSE()))*60+MINUTE(VLOOKUP(C26,Acuan!$A$2:$C$4,2,FALSE()))))</f>
        <v>15</v>
      </c>
      <c r="I26" s="21" t="str">
        <f aca="false">IF(H26&gt;$O$5,"Terlambat","Tepat Waktu")</f>
        <v>Terlambat</v>
      </c>
      <c r="J26" s="22" t="n">
        <f aca="false">VLOOKUP(C26,Acuan!$A$2:$C$4,3,FALSE())</f>
        <v>0</v>
      </c>
      <c r="K26" s="22" t="n">
        <f aca="false">ROUND(G26*$O$4,0)</f>
        <v>0</v>
      </c>
      <c r="L26" s="22" t="n">
        <f aca="false">J26+K26</f>
        <v>0</v>
      </c>
    </row>
    <row r="27" customFormat="false" ht="15" hidden="false" customHeight="false" outlineLevel="0" collapsed="false">
      <c r="A27" s="17" t="s">
        <v>132</v>
      </c>
      <c r="B27" s="17" t="s">
        <v>95</v>
      </c>
      <c r="C27" s="17" t="s">
        <v>96</v>
      </c>
      <c r="D27" s="18" t="n">
        <v>0.625</v>
      </c>
      <c r="E27" s="18" t="n">
        <v>0.958333333333333</v>
      </c>
      <c r="F27" s="19" t="n">
        <f aca="false">ROUND(MOD(E27-D27,1)*24,2)-$O$2</f>
        <v>7</v>
      </c>
      <c r="G27" s="19" t="n">
        <f aca="false">MAX(0,F27-$O$3)</f>
        <v>0</v>
      </c>
      <c r="H27" s="20" t="n">
        <f aca="false">MAX(0,(HOUR(D27)*60+MINUTE(D27))-(HOUR(VLOOKUP(C27,Acuan!$A$2:$C$4,2,FALSE()))*60+MINUTE(VLOOKUP(C27,Acuan!$A$2:$C$4,2,FALSE()))))</f>
        <v>0</v>
      </c>
      <c r="I27" s="21" t="str">
        <f aca="false">IF(H27&gt;$O$5,"Terlambat","Tepat Waktu")</f>
        <v>Tepat Waktu</v>
      </c>
      <c r="J27" s="22" t="n">
        <f aca="false">VLOOKUP(C27,Acuan!$A$2:$C$4,3,FALSE())</f>
        <v>12000</v>
      </c>
      <c r="K27" s="22" t="n">
        <f aca="false">ROUND(G27*$O$4,0)</f>
        <v>0</v>
      </c>
      <c r="L27" s="22" t="n">
        <f aca="false">J27+K27</f>
        <v>12000</v>
      </c>
    </row>
    <row r="28" customFormat="false" ht="15" hidden="false" customHeight="false" outlineLevel="0" collapsed="false">
      <c r="A28" s="17" t="s">
        <v>133</v>
      </c>
      <c r="B28" s="17" t="s">
        <v>113</v>
      </c>
      <c r="C28" s="17" t="s">
        <v>100</v>
      </c>
      <c r="D28" s="18" t="n">
        <v>0.958333333333333</v>
      </c>
      <c r="E28" s="18" t="n">
        <v>0.3125</v>
      </c>
      <c r="F28" s="19" t="n">
        <f aca="false">ROUND(MOD(E28-D28,1)*24,2)-$O$2</f>
        <v>7.5</v>
      </c>
      <c r="G28" s="19" t="n">
        <f aca="false">MAX(0,F28-$O$3)</f>
        <v>0.5</v>
      </c>
      <c r="H28" s="20" t="n">
        <f aca="false">MAX(0,(HOUR(D28)*60+MINUTE(D28))-(HOUR(VLOOKUP(C28,Acuan!$A$2:$C$4,2,FALSE()))*60+MINUTE(VLOOKUP(C28,Acuan!$A$2:$C$4,2,FALSE()))))</f>
        <v>0</v>
      </c>
      <c r="I28" s="21" t="str">
        <f aca="false">IF(H28&gt;$O$5,"Terlambat","Tepat Waktu")</f>
        <v>Tepat Waktu</v>
      </c>
      <c r="J28" s="22" t="n">
        <f aca="false">VLOOKUP(C28,Acuan!$A$2:$C$4,3,FALSE())</f>
        <v>25000</v>
      </c>
      <c r="K28" s="22" t="n">
        <f aca="false">ROUND(G28*$O$4,0)</f>
        <v>12500</v>
      </c>
      <c r="L28" s="22" t="n">
        <f aca="false">J28+K28</f>
        <v>37500</v>
      </c>
    </row>
    <row r="29" customFormat="false" ht="15" hidden="false" customHeight="false" outlineLevel="0" collapsed="false">
      <c r="A29" s="17" t="s">
        <v>134</v>
      </c>
      <c r="B29" s="17" t="s">
        <v>104</v>
      </c>
      <c r="C29" s="17" t="s">
        <v>100</v>
      </c>
      <c r="D29" s="18" t="n">
        <v>0.958333333333333</v>
      </c>
      <c r="E29" s="18" t="n">
        <v>0.375</v>
      </c>
      <c r="F29" s="19" t="n">
        <f aca="false">ROUND(MOD(E29-D29,1)*24,2)-$O$2</f>
        <v>9</v>
      </c>
      <c r="G29" s="19" t="n">
        <f aca="false">MAX(0,F29-$O$3)</f>
        <v>2</v>
      </c>
      <c r="H29" s="20" t="n">
        <f aca="false">MAX(0,(HOUR(D29)*60+MINUTE(D29))-(HOUR(VLOOKUP(C29,Acuan!$A$2:$C$4,2,FALSE()))*60+MINUTE(VLOOKUP(C29,Acuan!$A$2:$C$4,2,FALSE()))))</f>
        <v>0</v>
      </c>
      <c r="I29" s="21" t="str">
        <f aca="false">IF(H29&gt;$O$5,"Terlambat","Tepat Waktu")</f>
        <v>Tepat Waktu</v>
      </c>
      <c r="J29" s="22" t="n">
        <f aca="false">VLOOKUP(C29,Acuan!$A$2:$C$4,3,FALSE())</f>
        <v>25000</v>
      </c>
      <c r="K29" s="22" t="n">
        <f aca="false">ROUND(G29*$O$4,0)</f>
        <v>50000</v>
      </c>
      <c r="L29" s="22" t="n">
        <f aca="false">J29+K29</f>
        <v>75000</v>
      </c>
    </row>
    <row r="30" customFormat="false" ht="15" hidden="false" customHeight="false" outlineLevel="0" collapsed="false">
      <c r="A30" s="17" t="s">
        <v>135</v>
      </c>
      <c r="B30" s="17" t="s">
        <v>95</v>
      </c>
      <c r="C30" s="17" t="s">
        <v>96</v>
      </c>
      <c r="D30" s="18" t="n">
        <v>0.625</v>
      </c>
      <c r="E30" s="18" t="n">
        <v>0</v>
      </c>
      <c r="F30" s="19" t="n">
        <f aca="false">ROUND(MOD(E30-D30,1)*24,2)-$O$2</f>
        <v>8</v>
      </c>
      <c r="G30" s="19" t="n">
        <f aca="false">MAX(0,F30-$O$3)</f>
        <v>1</v>
      </c>
      <c r="H30" s="20" t="n">
        <f aca="false">MAX(0,(HOUR(D30)*60+MINUTE(D30))-(HOUR(VLOOKUP(C30,Acuan!$A$2:$C$4,2,FALSE()))*60+MINUTE(VLOOKUP(C30,Acuan!$A$2:$C$4,2,FALSE()))))</f>
        <v>0</v>
      </c>
      <c r="I30" s="21" t="str">
        <f aca="false">IF(H30&gt;$O$5,"Terlambat","Tepat Waktu")</f>
        <v>Tepat Waktu</v>
      </c>
      <c r="J30" s="22" t="n">
        <f aca="false">VLOOKUP(C30,Acuan!$A$2:$C$4,3,FALSE())</f>
        <v>12000</v>
      </c>
      <c r="K30" s="22" t="n">
        <f aca="false">ROUND(G30*$O$4,0)</f>
        <v>25000</v>
      </c>
      <c r="L30" s="22" t="n">
        <f aca="false">J30+K30</f>
        <v>37000</v>
      </c>
    </row>
    <row r="31" customFormat="false" ht="15" hidden="false" customHeight="false" outlineLevel="0" collapsed="false">
      <c r="A31" s="17" t="s">
        <v>136</v>
      </c>
      <c r="B31" s="17" t="s">
        <v>95</v>
      </c>
      <c r="C31" s="17" t="s">
        <v>107</v>
      </c>
      <c r="D31" s="18" t="n">
        <v>0.284722222222222</v>
      </c>
      <c r="E31" s="18" t="n">
        <v>0.666666666666667</v>
      </c>
      <c r="F31" s="19" t="n">
        <f aca="false">ROUND(MOD(E31-D31,1)*24,2)-$O$2</f>
        <v>8.17</v>
      </c>
      <c r="G31" s="19" t="n">
        <f aca="false">MAX(0,F31-$O$3)</f>
        <v>1.17</v>
      </c>
      <c r="H31" s="20" t="n">
        <f aca="false">MAX(0,(HOUR(D31)*60+MINUTE(D31))-(HOUR(VLOOKUP(C31,Acuan!$A$2:$C$4,2,FALSE()))*60+MINUTE(VLOOKUP(C31,Acuan!$A$2:$C$4,2,FALSE()))))</f>
        <v>0</v>
      </c>
      <c r="I31" s="21" t="str">
        <f aca="false">IF(H31&gt;$O$5,"Terlambat","Tepat Waktu")</f>
        <v>Tepat Waktu</v>
      </c>
      <c r="J31" s="22" t="n">
        <f aca="false">VLOOKUP(C31,Acuan!$A$2:$C$4,3,FALSE())</f>
        <v>0</v>
      </c>
      <c r="K31" s="22" t="n">
        <f aca="false">ROUND(G31*$O$4,0)</f>
        <v>29250</v>
      </c>
      <c r="L31" s="22" t="n">
        <f aca="false">J31+K31</f>
        <v>29250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3"/>
    <col collapsed="false" customWidth="true" hidden="false" outlineLevel="0" max="5" min="4" style="0" width="16"/>
  </cols>
  <sheetData>
    <row r="1" customFormat="false" ht="33.75" hidden="false" customHeight="true" outlineLevel="0" collapsed="false">
      <c r="A1" s="11" t="s">
        <v>81</v>
      </c>
      <c r="B1" s="11" t="s">
        <v>137</v>
      </c>
      <c r="C1" s="11" t="s">
        <v>88</v>
      </c>
      <c r="D1" s="15" t="s">
        <v>138</v>
      </c>
      <c r="E1" s="15" t="s">
        <v>139</v>
      </c>
    </row>
    <row r="2" customFormat="false" ht="15" hidden="false" customHeight="false" outlineLevel="0" collapsed="false">
      <c r="A2" s="17" t="s">
        <v>107</v>
      </c>
      <c r="B2" s="18" t="n">
        <v>0.291666666666667</v>
      </c>
      <c r="C2" s="26" t="n">
        <v>0</v>
      </c>
      <c r="D2" s="20" t="n">
        <f aca="false">COUNTIF(Data!$C$2:$C$31,A2)</f>
        <v>11</v>
      </c>
      <c r="E2" s="19" t="n">
        <f aca="false">SUMIF(Data!$C$2:$C$31,A2,Data!$G$2:$G$31)</f>
        <v>6.99</v>
      </c>
    </row>
    <row r="3" customFormat="false" ht="15" hidden="false" customHeight="false" outlineLevel="0" collapsed="false">
      <c r="A3" s="17" t="s">
        <v>96</v>
      </c>
      <c r="B3" s="18" t="n">
        <v>0.625</v>
      </c>
      <c r="C3" s="26" t="n">
        <v>12000</v>
      </c>
      <c r="D3" s="20" t="n">
        <f aca="false">COUNTIF(Data!$C$2:$C$31,A3)</f>
        <v>10</v>
      </c>
      <c r="E3" s="19" t="n">
        <f aca="false">SUMIF(Data!$C$2:$C$31,A3,Data!$G$2:$G$31)</f>
        <v>5.42</v>
      </c>
    </row>
    <row r="4" customFormat="false" ht="15" hidden="false" customHeight="false" outlineLevel="0" collapsed="false">
      <c r="A4" s="17" t="s">
        <v>100</v>
      </c>
      <c r="B4" s="18" t="n">
        <v>0.958333333333333</v>
      </c>
      <c r="C4" s="26" t="n">
        <v>25000</v>
      </c>
      <c r="D4" s="20" t="n">
        <f aca="false">COUNTIF(Data!$C$2:$C$31,A4)</f>
        <v>9</v>
      </c>
      <c r="E4" s="19" t="n">
        <f aca="false">SUMIF(Data!$C$2:$C$31,A4,Data!$G$2:$G$31)</f>
        <v>6.25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78"/>
    <col collapsed="false" customWidth="true" hidden="false" outlineLevel="0" max="3" min="3" style="0" width="26"/>
    <col collapsed="false" customWidth="true" hidden="false" outlineLevel="0" max="4" min="4" style="0" width="32"/>
  </cols>
  <sheetData>
    <row r="1" customFormat="false" ht="16.15" hidden="false" customHeight="false" outlineLevel="0" collapsed="false">
      <c r="A1" s="27" t="s">
        <v>140</v>
      </c>
      <c r="B1" s="27"/>
      <c r="C1" s="27"/>
      <c r="D1" s="27"/>
    </row>
    <row r="2" customFormat="false" ht="15" hidden="false" customHeight="false" outlineLevel="0" collapsed="false">
      <c r="A2" s="28" t="s">
        <v>141</v>
      </c>
      <c r="B2" s="28"/>
      <c r="C2" s="28"/>
      <c r="D2" s="28"/>
    </row>
    <row r="3" customFormat="false" ht="15" hidden="false" customHeight="false" outlineLevel="0" collapsed="false">
      <c r="A3" s="11" t="s">
        <v>19</v>
      </c>
      <c r="B3" s="11" t="s">
        <v>142</v>
      </c>
      <c r="C3" s="11" t="s">
        <v>143</v>
      </c>
      <c r="D3" s="11" t="s">
        <v>144</v>
      </c>
    </row>
    <row r="4" customFormat="false" ht="15" hidden="false" customHeight="false" outlineLevel="0" collapsed="false">
      <c r="A4" s="29" t="s">
        <v>145</v>
      </c>
      <c r="B4" s="30" t="s">
        <v>146</v>
      </c>
      <c r="C4" s="20" t="n">
        <f aca="false">COUNTIF(Data!$I$2:$I$31,"Terlambat")</f>
        <v>7</v>
      </c>
      <c r="D4" s="31" t="s">
        <v>147</v>
      </c>
    </row>
    <row r="5" customFormat="false" ht="15" hidden="false" customHeight="false" outlineLevel="0" collapsed="false">
      <c r="A5" s="29" t="s">
        <v>148</v>
      </c>
      <c r="B5" s="30" t="s">
        <v>149</v>
      </c>
      <c r="C5" s="20" t="n">
        <f aca="false">COUNTIFS(Data!$C$2:$C$31,"Malam",Data!$I$2:$I$31,"Terlambat")</f>
        <v>2</v>
      </c>
      <c r="D5" s="31" t="s">
        <v>150</v>
      </c>
    </row>
    <row r="6" customFormat="false" ht="15" hidden="false" customHeight="false" outlineLevel="0" collapsed="false">
      <c r="A6" s="29" t="s">
        <v>151</v>
      </c>
      <c r="B6" s="30" t="s">
        <v>152</v>
      </c>
      <c r="C6" s="19" t="n">
        <f aca="false">SUM(Data!$G$2:$G$31)</f>
        <v>18.66</v>
      </c>
      <c r="D6" s="31" t="s">
        <v>153</v>
      </c>
    </row>
    <row r="7" customFormat="false" ht="15" hidden="false" customHeight="false" outlineLevel="0" collapsed="false">
      <c r="A7" s="29" t="s">
        <v>154</v>
      </c>
      <c r="B7" s="30" t="s">
        <v>155</v>
      </c>
      <c r="C7" s="22" t="n">
        <f aca="false">SUM(Data!$K$2:$K$31)</f>
        <v>466500</v>
      </c>
      <c r="D7" s="31" t="s">
        <v>156</v>
      </c>
    </row>
    <row r="8" customFormat="false" ht="15" hidden="false" customHeight="false" outlineLevel="0" collapsed="false">
      <c r="A8" s="29" t="s">
        <v>157</v>
      </c>
      <c r="B8" s="30" t="s">
        <v>158</v>
      </c>
      <c r="C8" s="22" t="n">
        <f aca="false">SUM(Data!$J$2:$J$31)</f>
        <v>345000</v>
      </c>
      <c r="D8" s="31" t="s">
        <v>159</v>
      </c>
    </row>
    <row r="9" customFormat="false" ht="15" hidden="false" customHeight="false" outlineLevel="0" collapsed="false">
      <c r="A9" s="29" t="s">
        <v>160</v>
      </c>
      <c r="B9" s="30" t="s">
        <v>161</v>
      </c>
      <c r="C9" s="21" t="str">
        <f aca="false">INDEX(Data!$A$2:$A$31,MATCH(MAX(Data!$L$2:$L$31),Data!$L$2:$L$31,0))</f>
        <v>Mulyadi Lestari</v>
      </c>
      <c r="D9" s="31" t="s">
        <v>162</v>
      </c>
    </row>
    <row r="10" customFormat="false" ht="15" hidden="false" customHeight="false" outlineLevel="0" collapsed="false">
      <c r="A10" s="29" t="s">
        <v>163</v>
      </c>
      <c r="B10" s="30" t="s">
        <v>164</v>
      </c>
      <c r="C10" s="21" t="str">
        <f aca="false">INDEX(Acuan!$A$2:$A$4,MATCH(MAX(Acuan!$E$2:$E$4),Acuan!$E$2:$E$4,0))</f>
        <v>Pagi</v>
      </c>
      <c r="D10" s="31" t="s">
        <v>165</v>
      </c>
    </row>
    <row r="11" customFormat="false" ht="15" hidden="false" customHeight="false" outlineLevel="0" collapsed="false">
      <c r="A11" s="29" t="s">
        <v>166</v>
      </c>
      <c r="B11" s="30" t="s">
        <v>167</v>
      </c>
      <c r="C11" s="19" t="n">
        <f aca="false">AVERAGE(Data!$F$2:$F$31)</f>
        <v>7.55766666666667</v>
      </c>
      <c r="D11" s="31" t="s">
        <v>168</v>
      </c>
    </row>
    <row r="12" customFormat="false" ht="15" hidden="false" customHeight="false" outlineLevel="0" collapsed="false">
      <c r="A12" s="29" t="s">
        <v>169</v>
      </c>
      <c r="B12" s="30" t="s">
        <v>170</v>
      </c>
      <c r="C12" s="19" t="n">
        <f aca="false">AVERAGEIF(Data!$C$2:$C$31,"Malam",Data!$F$2:$F$31)</f>
        <v>7.62</v>
      </c>
      <c r="D12" s="31" t="s">
        <v>171</v>
      </c>
    </row>
    <row r="13" customFormat="false" ht="15" hidden="false" customHeight="false" outlineLevel="0" collapsed="false">
      <c r="A13" s="29" t="s">
        <v>172</v>
      </c>
      <c r="B13" s="30" t="s">
        <v>173</v>
      </c>
      <c r="C13" s="19" t="n">
        <f aca="false">MAX(Data!$G$2:$G$31)</f>
        <v>2</v>
      </c>
      <c r="D13" s="31" t="s">
        <v>174</v>
      </c>
    </row>
    <row r="14" customFormat="false" ht="15" hidden="false" customHeight="false" outlineLevel="0" collapsed="false">
      <c r="A14" s="29" t="s">
        <v>175</v>
      </c>
      <c r="B14" s="30" t="s">
        <v>176</v>
      </c>
      <c r="C14" s="22" t="n">
        <f aca="false">SUMIF(Data!$B$2:$B$31,"Perakitan",Data!$L$2:$L$31)</f>
        <v>192750</v>
      </c>
      <c r="D14" s="31" t="s">
        <v>177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2026-10-16T10:35:42Z</dcterms:created>
  <dc:creator>PushExcel</dc:creator>
  <dc:description/>
  <dc:language>en-US</dc:language>
  <cp:lastModifiedBy/>
  <dcterms:modified xsi:type="dcterms:W3CDTF">2026-10-16T10:35:42Z</dcterms:modified>
  <cp:revision>0</cp:revision>
  <dc:subject/>
  <dc:title>Jadwal Shift, Lembur, dan Premi Pabrik - Kunci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