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<sst xmlns="http://schemas.openxmlformats.org/spreadsheetml/2006/main" count="169" uniqueCount="161">
  <si>
    <t xml:space="preserve">Kunci Jawaban: Rapor Semester: Rata-rata, Predikat, dan Peringkat</t>
  </si>
  <si>
    <t xml:space="preserve">Latihan 64 dari 40  |  Tingkat: Pemula  |  Perkiraan waktu: 35 menit  |  pushexcel.github.io/Pushexcel</t>
  </si>
  <si>
    <t xml:space="preserve">Skenario</t>
  </si>
  <si>
    <t xml:space="preserve">Kamu wali kelas 8B SMP Cendekia yang menyusun rapor semester ganjil 2026 untuk 30 siswa. Tiap siswa punya nilai lima mata pelajaran. Predikat dari rata-rata nilai: A bila sama dengan atau lebih dari 90, B bila sama dengan atau lebih dari 80, C bila sama dengan atau lebih dari 70, selain itu D. Siswa Tuntas bila rata-rata sama dengan atau lebih dari KKM 75, selain itu Remedial. Peringkat 1 adalah rata-rata tertinggi. Semua angka tetap ada di blok Parameter.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</si>
  <si>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</si>
  <si>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</si>
  <si>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</si>
  <si>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</si>
  <si>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</si>
  <si>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</si>
  <si>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</si>
  <si>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</si>
  <si>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</si>
  <si>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</si>
  <si>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</si>
  <si>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</si>
  <si>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</si>
  <si>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</si>
  <si>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</si>
  <si>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</si>
  <si>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</si>
  <si>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</si>
  <si>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</si>
  <si>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</si>
  <si>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total nilai kelima mata pelajaran tiap siswa.</t>
  </si>
  <si>
    <t xml:space="preserve">Sheet Data, kolom H (Total Nilai), baris 2 sampai 31</t>
  </si>
  <si>
    <t xml:space="preserve">=SUM(C2:G2)</t>
  </si>
  <si>
    <t xml:space="preserve">2</t>
  </si>
  <si>
    <t xml:space="preserve">Hitung rata-rata nilai kelima mata pelajaran tiap siswa.</t>
  </si>
  <si>
    <t xml:space="preserve">Sheet Data, kolom I (Rata-rata), baris 2 sampai 31</t>
  </si>
  <si>
    <t xml:space="preserve">=AVERAGE(C2:G2)</t>
  </si>
  <si>
    <t xml:space="preserve">3</t>
  </si>
  <si>
    <t xml:space="preserve">Tentukan predikat dari rata-rata: A bila sama dengan atau lebih dari batas A, B bila sama dengan atau lebih dari batas B, C bila sama dengan atau lebih dari batas C, selain itu D.</t>
  </si>
  <si>
    <t xml:space="preserve">Sheet Data, kolom J (Predikat), baris 2 sampai 31</t>
  </si>
  <si>
    <t xml:space="preserve">=IF(I2&gt;=$O$2;"A";IF(I2&gt;=$O$3;"B";IF(I2&gt;=$O$4;"C";"D")))</t>
  </si>
  <si>
    <t xml:space="preserve">4</t>
  </si>
  <si>
    <t xml:space="preserve">Tentukan peringkat tiap siswa berdasarkan rata-rata, dari yang tertinggi (peringkat 1).</t>
  </si>
  <si>
    <t xml:space="preserve">Sheet Data, kolom K (Peringkat), baris 2 sampai 31</t>
  </si>
  <si>
    <t xml:space="preserve">=RANK(I2;$I$2:$I$31)</t>
  </si>
  <si>
    <t xml:space="preserve">5</t>
  </si>
  <si>
    <t xml:space="preserve">Beri status Tuntas bila rata-rata sama dengan atau lebih dari KKM. Selain itu Remedial.</t>
  </si>
  <si>
    <t xml:space="preserve">Sheet Data, kolom L (Status), baris 2 sampai 31</t>
  </si>
  <si>
    <t xml:space="preserve">=IF(I2&gt;=$O$5;"Tuntas";"Remedial")</t>
  </si>
  <si>
    <t xml:space="preserve">6</t>
  </si>
  <si>
    <t xml:space="preserve">Pada sheet Acuan, hitung jumlah siswa tiap predikat.</t>
  </si>
  <si>
    <t xml:space="preserve">Sheet Acuan, kolom B (Jumlah Siswa), baris 2 sampai 5</t>
  </si>
  <si>
    <t xml:space="preserve">=COUNTIF(Data!$J$2:$J$31;A2)</t>
  </si>
  <si>
    <t xml:space="preserve">7</t>
  </si>
  <si>
    <t xml:space="preserve">Pada sheet Acuan, hitung rata-rata nilai siswa di tiap predikat.</t>
  </si>
  <si>
    <t xml:space="preserve">Sheet Acuan, kolom C (Rata-rata Predikat), baris 2 sampai 5</t>
  </si>
  <si>
    <t xml:space="preserve">=AVERAGEIF(Data!$J$2:$J$31;A2;Data!$I$2:$I$31)</t>
  </si>
  <si>
    <t xml:space="preserve">8</t>
  </si>
  <si>
    <t xml:space="preserve">Berapa rata-rata nilai seluruh siswa untuk mata pelajaran Matematika, Bahasa Indonesia, Bahasa Inggris, IPA, dan IPS?</t>
  </si>
  <si>
    <t xml:space="preserve">Sheet Ringkasan, sel C4 sampai C8</t>
  </si>
  <si>
    <t xml:space="preserve">=AVERAGE(Data!$C$2:$C$31)
=AVERAGE(Data!$D$2:$D$31)
=AVERAGE(Data!$E$2:$E$31)
=AVERAGE(Data!$F$2:$F$31)
=AVERAGE(Data!$G$2:$G$31)</t>
  </si>
  <si>
    <t xml:space="preserve">9</t>
  </si>
  <si>
    <t xml:space="preserve">Berapa nilai Matematika tertinggi dan terendah, dan berapa selisihnya?</t>
  </si>
  <si>
    <t xml:space="preserve">Sheet Ringkasan, sel C9 sampai C11</t>
  </si>
  <si>
    <t xml:space="preserve">=MAX(Data!$C$2:$C$31)
=MIN(Data!$C$2:$C$31)
=C9-C10</t>
  </si>
  <si>
    <t xml:space="preserve">10</t>
  </si>
  <si>
    <t xml:space="preserve">Siapa siswa peringkat 1, dan siapa siswa yang mendapat nilai Bahasa Inggris terendah?</t>
  </si>
  <si>
    <t xml:space="preserve">Sheet Ringkasan, sel C12 sampai C13</t>
  </si>
  <si>
    <t xml:space="preserve">=INDEX(Data!$B$2:$B$31;MATCH(1;Data!$K$2:$K$31;0))
=INDEX(Data!$B$2:$B$31;MATCH(MIN(Data!$E$2:$E$31);Data!$E$2:$E$31;0))</t>
  </si>
  <si>
    <t xml:space="preserve">11</t>
  </si>
  <si>
    <t xml:space="preserve">Berapa siswa yang Tuntas dan berapa yang Remedial, dan berapa persen siswa yang Tuntas?</t>
  </si>
  <si>
    <t xml:space="preserve">Sheet Ringkasan, sel C14 sampai C16</t>
  </si>
  <si>
    <t xml:space="preserve">=COUNTIF(Data!$L$2:$L$31;"Tuntas")
=COUNTIF(Data!$L$2:$L$31;"Remedial")
=C14/COUNTA(Data!$B$2:$B$31)</t>
  </si>
  <si>
    <t xml:space="preserve">Nama Siswa</t>
  </si>
  <si>
    <t xml:space="preserve">Matematika</t>
  </si>
  <si>
    <t xml:space="preserve">Bahasa Indonesia</t>
  </si>
  <si>
    <t xml:space="preserve">Bahasa Inggris</t>
  </si>
  <si>
    <t xml:space="preserve">IPA</t>
  </si>
  <si>
    <t xml:space="preserve">IPS</t>
  </si>
  <si>
    <t xml:space="preserve">Total Nilai</t>
  </si>
  <si>
    <t xml:space="preserve">Rata-rata</t>
  </si>
  <si>
    <t xml:space="preserve">Predikat</t>
  </si>
  <si>
    <t xml:space="preserve">Peringkat</t>
  </si>
  <si>
    <t xml:space="preserve">Status</t>
  </si>
  <si>
    <t xml:space="preserve">Parameter</t>
  </si>
  <si>
    <t xml:space="preserve">Nilai</t>
  </si>
  <si>
    <t xml:space="preserve">Keterangan</t>
  </si>
  <si>
    <t xml:space="preserve">Sari Rahayu</t>
  </si>
  <si>
    <t xml:space="preserve">Batas predikat A</t>
  </si>
  <si>
    <t xml:space="preserve">Fitri Wibowo</t>
  </si>
  <si>
    <t xml:space="preserve">Batas predikat B</t>
  </si>
  <si>
    <t xml:space="preserve">Tika Kurniawan</t>
  </si>
  <si>
    <t xml:space="preserve">Batas predikat C</t>
  </si>
  <si>
    <t xml:space="preserve">Wawan Hidayat</t>
  </si>
  <si>
    <t xml:space="preserve">KKM</t>
  </si>
  <si>
    <t xml:space="preserve">Nilai ketuntasan minimal</t>
  </si>
  <si>
    <t xml:space="preserve">Irfan Sari</t>
  </si>
  <si>
    <t xml:space="preserve">Putri Nugroho</t>
  </si>
  <si>
    <t xml:space="preserve">Indah Putra</t>
  </si>
  <si>
    <t xml:space="preserve">Putri Syahputra</t>
  </si>
  <si>
    <t xml:space="preserve">Fajar Wibowo</t>
  </si>
  <si>
    <t xml:space="preserve">Ayu Fauzi</t>
  </si>
  <si>
    <t xml:space="preserve">Tono Fauzi</t>
  </si>
  <si>
    <t xml:space="preserve">Edi Lestari</t>
  </si>
  <si>
    <t xml:space="preserve">Irfan Nugroho</t>
  </si>
  <si>
    <t xml:space="preserve">Prasetyo Rahayu</t>
  </si>
  <si>
    <t xml:space="preserve">Jihan Firmansyah</t>
  </si>
  <si>
    <t xml:space="preserve">Joko Putra</t>
  </si>
  <si>
    <t xml:space="preserve">Kartika Permana</t>
  </si>
  <si>
    <t xml:space="preserve">Farida Ramadhan</t>
  </si>
  <si>
    <t xml:space="preserve">Ahmad Anggraini</t>
  </si>
  <si>
    <t xml:space="preserve">Hadi Purnomo</t>
  </si>
  <si>
    <t xml:space="preserve">Dimas Yulianto</t>
  </si>
  <si>
    <t xml:space="preserve">Yuni Yulianto</t>
  </si>
  <si>
    <t xml:space="preserve">Oki Permana</t>
  </si>
  <si>
    <t xml:space="preserve">Sari Hartono</t>
  </si>
  <si>
    <t xml:space="preserve">Wawan Purnomo</t>
  </si>
  <si>
    <t xml:space="preserve">Joko Handayani</t>
  </si>
  <si>
    <t xml:space="preserve">Edi Setiawan</t>
  </si>
  <si>
    <t xml:space="preserve">Lina Pangestu</t>
  </si>
  <si>
    <t xml:space="preserve">Hesti Suryani</t>
  </si>
  <si>
    <t xml:space="preserve">Umar Suryani</t>
  </si>
  <si>
    <t xml:space="preserve">Jumlah Siswa</t>
  </si>
  <si>
    <t xml:space="preserve">Rata-rata Predikat</t>
  </si>
  <si>
    <t xml:space="preserve">A</t>
  </si>
  <si>
    <t xml:space="preserve">B</t>
  </si>
  <si>
    <t xml:space="preserve">C</t>
  </si>
  <si>
    <t xml:space="preserve">D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</si>
  <si>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</si>
  <si>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</si>
  <si>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</si>
  <si>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</si>
  <si>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</si>
  <si>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8a</t>
  </si>
  <si>
    <t xml:space="preserve">Rata-rata Matematika</t>
  </si>
  <si>
    <t xml:space="preserve">Angka desimal, mis. 75,25</t>
  </si>
  <si>
    <t xml:space="preserve">8b</t>
  </si>
  <si>
    <t xml:space="preserve">Rata-rata Bahasa Indonesia</t>
  </si>
  <si>
    <t xml:space="preserve">8c</t>
  </si>
  <si>
    <t xml:space="preserve">Rata-rata Bahasa Inggris</t>
  </si>
  <si>
    <t xml:space="preserve">8d</t>
  </si>
  <si>
    <t xml:space="preserve">Rata-rata IPA</t>
  </si>
  <si>
    <t xml:space="preserve">8e</t>
  </si>
  <si>
    <t xml:space="preserve">Rata-rata IPS</t>
  </si>
  <si>
    <t xml:space="preserve">9a</t>
  </si>
  <si>
    <t xml:space="preserve">Nilai Matematika tertinggi</t>
  </si>
  <si>
    <t xml:space="preserve">Angka bulat, mis. 95</t>
  </si>
  <si>
    <t xml:space="preserve">9b</t>
  </si>
  <si>
    <t xml:space="preserve">Nilai Matematika terendah</t>
  </si>
  <si>
    <t xml:space="preserve">Angka bulat, mis. 50</t>
  </si>
  <si>
    <t xml:space="preserve">9c</t>
  </si>
  <si>
    <t xml:space="preserve">Selisih tertinggi dan terendah</t>
  </si>
  <si>
    <t xml:space="preserve">Angka bulat, mis. 40</t>
  </si>
  <si>
    <t xml:space="preserve">10a</t>
  </si>
  <si>
    <t xml:space="preserve">Siswa peringkat 1</t>
  </si>
  <si>
    <t xml:space="preserve">Teks: nama siswa</t>
  </si>
  <si>
    <t xml:space="preserve">10b</t>
  </si>
  <si>
    <t xml:space="preserve">Siswa nilai Bahasa Inggris terendah</t>
  </si>
  <si>
    <t xml:space="preserve">11a</t>
  </si>
  <si>
    <t xml:space="preserve">Siswa Tuntas</t>
  </si>
  <si>
    <t xml:space="preserve">Angka bulat, mis. 20</t>
  </si>
  <si>
    <t xml:space="preserve">11b</t>
  </si>
  <si>
    <t xml:space="preserve">Siswa Remedial</t>
  </si>
  <si>
    <t xml:space="preserve">Angka bulat, mis. 10</t>
  </si>
  <si>
    <t xml:space="preserve">11c</t>
  </si>
  <si>
    <t xml:space="preserve">Persentase siswa Tuntas</t>
  </si>
  <si>
    <t xml:space="preserve">Persen, mis. 66,7%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</si>
</sst>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6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42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85.5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57.7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43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57.7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7" min="6" style="0" width="7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1" t="s">
        <v>19</v>
      </c>
      <c r="B1" s="11" t="s">
        <v>67</v>
      </c>
      <c r="C1" s="11" t="s">
        <v>68</v>
      </c>
      <c r="D1" s="11" t="s">
        <v>69</v>
      </c>
      <c r="E1" s="11" t="s">
        <v>70</v>
      </c>
      <c r="F1" s="11" t="s">
        <v>71</v>
      </c>
      <c r="G1" s="11" t="s">
        <v>72</v>
      </c>
      <c r="H1" s="15" t="s">
        <v>73</v>
      </c>
      <c r="I1" s="15" t="s">
        <v>74</v>
      </c>
      <c r="J1" s="15" t="s">
        <v>75</v>
      </c>
      <c r="K1" s="15" t="s">
        <v>76</v>
      </c>
      <c r="L1" s="15" t="s">
        <v>77</v>
      </c>
      <c r="N1" s="16" t="s">
        <v>78</v>
      </c>
      <c r="O1" s="16" t="s">
        <v>79</v>
      </c>
      <c r="P1" s="16" t="s">
        <v>80</v>
      </c>
    </row>
    <row r="2" customFormat="false" ht="15" hidden="false" customHeight="false" outlineLevel="0" collapsed="false">
      <c r="A2" s="17" t="n">
        <v>1</v>
      </c>
      <c r="B2" s="18" t="s">
        <v>81</v>
      </c>
      <c r="C2" s="17" t="n">
        <v>87</v>
      </c>
      <c r="D2" s="17" t="n">
        <v>90</v>
      </c>
      <c r="E2" s="17" t="n">
        <v>79</v>
      </c>
      <c r="F2" s="17" t="n">
        <v>100</v>
      </c>
      <c r="G2" s="17" t="n">
        <v>90</v>
      </c>
      <c r="H2" s="19" t="n">
        <f aca="false">SUM(C2:G2)</f>
        <v>446</v>
      </c>
      <c r="I2" s="20" t="n">
        <f aca="false">AVERAGE(C2:G2)</f>
        <v>89.2</v>
      </c>
      <c r="J2" s="21" t="str">
        <f aca="false">IF(I2&gt;=$O$2,"A",IF(I2&gt;=$O$3,"B",IF(I2&gt;=$O$4,"C","D")))</f>
        <v>B</v>
      </c>
      <c r="K2" s="19" t="n">
        <f aca="false">RANK(I2,$I$2:$I$31)</f>
        <v>4</v>
      </c>
      <c r="L2" s="21" t="str">
        <f aca="false">IF(I2&gt;=$O$5,"Tuntas","Remedial")</f>
        <v>Tuntas</v>
      </c>
      <c r="N2" s="22" t="s">
        <v>82</v>
      </c>
      <c r="O2" s="23" t="n">
        <v>90</v>
      </c>
      <c r="P2" s="22"/>
    </row>
    <row r="3" customFormat="false" ht="15" hidden="false" customHeight="false" outlineLevel="0" collapsed="false">
      <c r="A3" s="17" t="n">
        <v>2</v>
      </c>
      <c r="B3" s="18" t="s">
        <v>83</v>
      </c>
      <c r="C3" s="17" t="n">
        <v>72</v>
      </c>
      <c r="D3" s="17" t="n">
        <v>80</v>
      </c>
      <c r="E3" s="17" t="n">
        <v>86</v>
      </c>
      <c r="F3" s="17" t="n">
        <v>94</v>
      </c>
      <c r="G3" s="17" t="n">
        <v>81</v>
      </c>
      <c r="H3" s="19" t="n">
        <f aca="false">SUM(C3:G3)</f>
        <v>413</v>
      </c>
      <c r="I3" s="20" t="n">
        <f aca="false">AVERAGE(C3:G3)</f>
        <v>82.6</v>
      </c>
      <c r="J3" s="21" t="str">
        <f aca="false">IF(I3&gt;=$O$2,"A",IF(I3&gt;=$O$3,"B",IF(I3&gt;=$O$4,"C","D")))</f>
        <v>B</v>
      </c>
      <c r="K3" s="19" t="n">
        <f aca="false">RANK(I3,$I$2:$I$31)</f>
        <v>11</v>
      </c>
      <c r="L3" s="21" t="str">
        <f aca="false">IF(I3&gt;=$O$5,"Tuntas","Remedial")</f>
        <v>Tuntas</v>
      </c>
      <c r="N3" s="22" t="s">
        <v>84</v>
      </c>
      <c r="O3" s="23" t="n">
        <v>80</v>
      </c>
      <c r="P3" s="22"/>
    </row>
    <row r="4" customFormat="false" ht="15" hidden="false" customHeight="false" outlineLevel="0" collapsed="false">
      <c r="A4" s="17" t="n">
        <v>3</v>
      </c>
      <c r="B4" s="18" t="s">
        <v>85</v>
      </c>
      <c r="C4" s="17" t="n">
        <v>67</v>
      </c>
      <c r="D4" s="17" t="n">
        <v>73</v>
      </c>
      <c r="E4" s="17" t="n">
        <v>70</v>
      </c>
      <c r="F4" s="17" t="n">
        <v>76</v>
      </c>
      <c r="G4" s="17" t="n">
        <v>74</v>
      </c>
      <c r="H4" s="19" t="n">
        <f aca="false">SUM(C4:G4)</f>
        <v>360</v>
      </c>
      <c r="I4" s="20" t="n">
        <f aca="false">AVERAGE(C4:G4)</f>
        <v>72</v>
      </c>
      <c r="J4" s="21" t="str">
        <f aca="false">IF(I4&gt;=$O$2,"A",IF(I4&gt;=$O$3,"B",IF(I4&gt;=$O$4,"C","D")))</f>
        <v>C</v>
      </c>
      <c r="K4" s="19" t="n">
        <f aca="false">RANK(I4,$I$2:$I$31)</f>
        <v>23</v>
      </c>
      <c r="L4" s="21" t="str">
        <f aca="false">IF(I4&gt;=$O$5,"Tuntas","Remedial")</f>
        <v>Remedial</v>
      </c>
      <c r="N4" s="22" t="s">
        <v>86</v>
      </c>
      <c r="O4" s="23" t="n">
        <v>70</v>
      </c>
      <c r="P4" s="22"/>
    </row>
    <row r="5" customFormat="false" ht="15" hidden="false" customHeight="false" outlineLevel="0" collapsed="false">
      <c r="A5" s="17" t="n">
        <v>4</v>
      </c>
      <c r="B5" s="18" t="s">
        <v>87</v>
      </c>
      <c r="C5" s="17" t="n">
        <v>89</v>
      </c>
      <c r="D5" s="17" t="n">
        <v>84</v>
      </c>
      <c r="E5" s="17" t="n">
        <v>77</v>
      </c>
      <c r="F5" s="17" t="n">
        <v>77</v>
      </c>
      <c r="G5" s="17" t="n">
        <v>85</v>
      </c>
      <c r="H5" s="19" t="n">
        <f aca="false">SUM(C5:G5)</f>
        <v>412</v>
      </c>
      <c r="I5" s="20" t="n">
        <f aca="false">AVERAGE(C5:G5)</f>
        <v>82.4</v>
      </c>
      <c r="J5" s="21" t="str">
        <f aca="false">IF(I5&gt;=$O$2,"A",IF(I5&gt;=$O$3,"B",IF(I5&gt;=$O$4,"C","D")))</f>
        <v>B</v>
      </c>
      <c r="K5" s="19" t="n">
        <f aca="false">RANK(I5,$I$2:$I$31)</f>
        <v>12</v>
      </c>
      <c r="L5" s="21" t="str">
        <f aca="false">IF(I5&gt;=$O$5,"Tuntas","Remedial")</f>
        <v>Tuntas</v>
      </c>
      <c r="N5" s="22" t="s">
        <v>88</v>
      </c>
      <c r="O5" s="23" t="n">
        <v>75</v>
      </c>
      <c r="P5" s="22" t="s">
        <v>89</v>
      </c>
    </row>
    <row r="6" customFormat="false" ht="15" hidden="false" customHeight="false" outlineLevel="0" collapsed="false">
      <c r="A6" s="17" t="n">
        <v>5</v>
      </c>
      <c r="B6" s="18" t="s">
        <v>90</v>
      </c>
      <c r="C6" s="17" t="n">
        <v>68</v>
      </c>
      <c r="D6" s="17" t="n">
        <v>79</v>
      </c>
      <c r="E6" s="17" t="n">
        <v>81</v>
      </c>
      <c r="F6" s="17" t="n">
        <v>73</v>
      </c>
      <c r="G6" s="17" t="n">
        <v>70</v>
      </c>
      <c r="H6" s="19" t="n">
        <f aca="false">SUM(C6:G6)</f>
        <v>371</v>
      </c>
      <c r="I6" s="20" t="n">
        <f aca="false">AVERAGE(C6:G6)</f>
        <v>74.2</v>
      </c>
      <c r="J6" s="21" t="str">
        <f aca="false">IF(I6&gt;=$O$2,"A",IF(I6&gt;=$O$3,"B",IF(I6&gt;=$O$4,"C","D")))</f>
        <v>C</v>
      </c>
      <c r="K6" s="19" t="n">
        <f aca="false">RANK(I6,$I$2:$I$31)</f>
        <v>18</v>
      </c>
      <c r="L6" s="21" t="str">
        <f aca="false">IF(I6&gt;=$O$5,"Tuntas","Remedial")</f>
        <v>Remedial</v>
      </c>
    </row>
    <row r="7" customFormat="false" ht="15" hidden="false" customHeight="false" outlineLevel="0" collapsed="false">
      <c r="A7" s="17" t="n">
        <v>6</v>
      </c>
      <c r="B7" s="18" t="s">
        <v>91</v>
      </c>
      <c r="C7" s="17" t="n">
        <v>80</v>
      </c>
      <c r="D7" s="17" t="n">
        <v>88</v>
      </c>
      <c r="E7" s="17" t="n">
        <v>77</v>
      </c>
      <c r="F7" s="17" t="n">
        <v>82</v>
      </c>
      <c r="G7" s="17" t="n">
        <v>74</v>
      </c>
      <c r="H7" s="19" t="n">
        <f aca="false">SUM(C7:G7)</f>
        <v>401</v>
      </c>
      <c r="I7" s="20" t="n">
        <f aca="false">AVERAGE(C7:G7)</f>
        <v>80.2</v>
      </c>
      <c r="J7" s="21" t="str">
        <f aca="false">IF(I7&gt;=$O$2,"A",IF(I7&gt;=$O$3,"B",IF(I7&gt;=$O$4,"C","D")))</f>
        <v>B</v>
      </c>
      <c r="K7" s="19" t="n">
        <f aca="false">RANK(I7,$I$2:$I$31)</f>
        <v>16</v>
      </c>
      <c r="L7" s="21" t="str">
        <f aca="false">IF(I7&gt;=$O$5,"Tuntas","Remedial")</f>
        <v>Tuntas</v>
      </c>
    </row>
    <row r="8" customFormat="false" ht="15" hidden="false" customHeight="false" outlineLevel="0" collapsed="false">
      <c r="A8" s="17" t="n">
        <v>7</v>
      </c>
      <c r="B8" s="18" t="s">
        <v>92</v>
      </c>
      <c r="C8" s="17" t="n">
        <v>67</v>
      </c>
      <c r="D8" s="17" t="n">
        <v>76</v>
      </c>
      <c r="E8" s="17" t="n">
        <v>69</v>
      </c>
      <c r="F8" s="17" t="n">
        <v>77</v>
      </c>
      <c r="G8" s="17" t="n">
        <v>74</v>
      </c>
      <c r="H8" s="19" t="n">
        <f aca="false">SUM(C8:G8)</f>
        <v>363</v>
      </c>
      <c r="I8" s="20" t="n">
        <f aca="false">AVERAGE(C8:G8)</f>
        <v>72.6</v>
      </c>
      <c r="J8" s="21" t="str">
        <f aca="false">IF(I8&gt;=$O$2,"A",IF(I8&gt;=$O$3,"B",IF(I8&gt;=$O$4,"C","D")))</f>
        <v>C</v>
      </c>
      <c r="K8" s="19" t="n">
        <f aca="false">RANK(I8,$I$2:$I$31)</f>
        <v>22</v>
      </c>
      <c r="L8" s="21" t="str">
        <f aca="false">IF(I8&gt;=$O$5,"Tuntas","Remedial")</f>
        <v>Remedial</v>
      </c>
    </row>
    <row r="9" customFormat="false" ht="15" hidden="false" customHeight="false" outlineLevel="0" collapsed="false">
      <c r="A9" s="17" t="n">
        <v>8</v>
      </c>
      <c r="B9" s="18" t="s">
        <v>93</v>
      </c>
      <c r="C9" s="17" t="n">
        <v>78</v>
      </c>
      <c r="D9" s="17" t="n">
        <v>58</v>
      </c>
      <c r="E9" s="17" t="n">
        <v>64</v>
      </c>
      <c r="F9" s="17" t="n">
        <v>66</v>
      </c>
      <c r="G9" s="17" t="n">
        <v>66</v>
      </c>
      <c r="H9" s="19" t="n">
        <f aca="false">SUM(C9:G9)</f>
        <v>332</v>
      </c>
      <c r="I9" s="20" t="n">
        <f aca="false">AVERAGE(C9:G9)</f>
        <v>66.4</v>
      </c>
      <c r="J9" s="21" t="str">
        <f aca="false">IF(I9&gt;=$O$2,"A",IF(I9&gt;=$O$3,"B",IF(I9&gt;=$O$4,"C","D")))</f>
        <v>D</v>
      </c>
      <c r="K9" s="19" t="n">
        <f aca="false">RANK(I9,$I$2:$I$31)</f>
        <v>28</v>
      </c>
      <c r="L9" s="21" t="str">
        <f aca="false">IF(I9&gt;=$O$5,"Tuntas","Remedial")</f>
        <v>Remedial</v>
      </c>
    </row>
    <row r="10" customFormat="false" ht="15" hidden="false" customHeight="false" outlineLevel="0" collapsed="false">
      <c r="A10" s="17" t="n">
        <v>9</v>
      </c>
      <c r="B10" s="18" t="s">
        <v>94</v>
      </c>
      <c r="C10" s="17" t="n">
        <v>95</v>
      </c>
      <c r="D10" s="17" t="n">
        <v>86</v>
      </c>
      <c r="E10" s="17" t="n">
        <v>95</v>
      </c>
      <c r="F10" s="17" t="n">
        <v>89</v>
      </c>
      <c r="G10" s="17" t="n">
        <v>98</v>
      </c>
      <c r="H10" s="19" t="n">
        <f aca="false">SUM(C10:G10)</f>
        <v>463</v>
      </c>
      <c r="I10" s="20" t="n">
        <f aca="false">AVERAGE(C10:G10)</f>
        <v>92.6</v>
      </c>
      <c r="J10" s="21" t="str">
        <f aca="false">IF(I10&gt;=$O$2,"A",IF(I10&gt;=$O$3,"B",IF(I10&gt;=$O$4,"C","D")))</f>
        <v>A</v>
      </c>
      <c r="K10" s="19" t="n">
        <f aca="false">RANK(I10,$I$2:$I$31)</f>
        <v>1</v>
      </c>
      <c r="L10" s="21" t="str">
        <f aca="false">IF(I10&gt;=$O$5,"Tuntas","Remedial")</f>
        <v>Tuntas</v>
      </c>
    </row>
    <row r="11" customFormat="false" ht="15" hidden="false" customHeight="false" outlineLevel="0" collapsed="false">
      <c r="A11" s="17" t="n">
        <v>10</v>
      </c>
      <c r="B11" s="18" t="s">
        <v>95</v>
      </c>
      <c r="C11" s="17" t="n">
        <v>64</v>
      </c>
      <c r="D11" s="17" t="n">
        <v>66</v>
      </c>
      <c r="E11" s="17" t="n">
        <v>78</v>
      </c>
      <c r="F11" s="17" t="n">
        <v>82</v>
      </c>
      <c r="G11" s="17" t="n">
        <v>69</v>
      </c>
      <c r="H11" s="19" t="n">
        <f aca="false">SUM(C11:G11)</f>
        <v>359</v>
      </c>
      <c r="I11" s="20" t="n">
        <f aca="false">AVERAGE(C11:G11)</f>
        <v>71.8</v>
      </c>
      <c r="J11" s="21" t="str">
        <f aca="false">IF(I11&gt;=$O$2,"A",IF(I11&gt;=$O$3,"B",IF(I11&gt;=$O$4,"C","D")))</f>
        <v>C</v>
      </c>
      <c r="K11" s="19" t="n">
        <f aca="false">RANK(I11,$I$2:$I$31)</f>
        <v>24</v>
      </c>
      <c r="L11" s="21" t="str">
        <f aca="false">IF(I11&gt;=$O$5,"Tuntas","Remedial")</f>
        <v>Remedial</v>
      </c>
    </row>
    <row r="12" customFormat="false" ht="15" hidden="false" customHeight="false" outlineLevel="0" collapsed="false">
      <c r="A12" s="17" t="n">
        <v>11</v>
      </c>
      <c r="B12" s="18" t="s">
        <v>96</v>
      </c>
      <c r="C12" s="17" t="n">
        <v>64</v>
      </c>
      <c r="D12" s="17" t="n">
        <v>48</v>
      </c>
      <c r="E12" s="17" t="n">
        <v>68</v>
      </c>
      <c r="F12" s="17" t="n">
        <v>51</v>
      </c>
      <c r="G12" s="17" t="n">
        <v>45</v>
      </c>
      <c r="H12" s="19" t="n">
        <f aca="false">SUM(C12:G12)</f>
        <v>276</v>
      </c>
      <c r="I12" s="20" t="n">
        <f aca="false">AVERAGE(C12:G12)</f>
        <v>55.2</v>
      </c>
      <c r="J12" s="21" t="str">
        <f aca="false">IF(I12&gt;=$O$2,"A",IF(I12&gt;=$O$3,"B",IF(I12&gt;=$O$4,"C","D")))</f>
        <v>D</v>
      </c>
      <c r="K12" s="19" t="n">
        <f aca="false">RANK(I12,$I$2:$I$31)</f>
        <v>30</v>
      </c>
      <c r="L12" s="21" t="str">
        <f aca="false">IF(I12&gt;=$O$5,"Tuntas","Remedial")</f>
        <v>Remedial</v>
      </c>
    </row>
    <row r="13" customFormat="false" ht="15" hidden="false" customHeight="false" outlineLevel="0" collapsed="false">
      <c r="A13" s="17" t="n">
        <v>12</v>
      </c>
      <c r="B13" s="18" t="s">
        <v>97</v>
      </c>
      <c r="C13" s="17" t="n">
        <v>82</v>
      </c>
      <c r="D13" s="17" t="n">
        <v>99</v>
      </c>
      <c r="E13" s="17" t="n">
        <v>92</v>
      </c>
      <c r="F13" s="17" t="n">
        <v>81</v>
      </c>
      <c r="G13" s="17" t="n">
        <v>66</v>
      </c>
      <c r="H13" s="19" t="n">
        <f aca="false">SUM(C13:G13)</f>
        <v>420</v>
      </c>
      <c r="I13" s="20" t="n">
        <f aca="false">AVERAGE(C13:G13)</f>
        <v>84</v>
      </c>
      <c r="J13" s="21" t="str">
        <f aca="false">IF(I13&gt;=$O$2,"A",IF(I13&gt;=$O$3,"B",IF(I13&gt;=$O$4,"C","D")))</f>
        <v>B</v>
      </c>
      <c r="K13" s="19" t="n">
        <f aca="false">RANK(I13,$I$2:$I$31)</f>
        <v>9</v>
      </c>
      <c r="L13" s="21" t="str">
        <f aca="false">IF(I13&gt;=$O$5,"Tuntas","Remedial")</f>
        <v>Tuntas</v>
      </c>
    </row>
    <row r="14" customFormat="false" ht="15" hidden="false" customHeight="false" outlineLevel="0" collapsed="false">
      <c r="A14" s="17" t="n">
        <v>13</v>
      </c>
      <c r="B14" s="18" t="s">
        <v>98</v>
      </c>
      <c r="C14" s="17" t="n">
        <v>88</v>
      </c>
      <c r="D14" s="17" t="n">
        <v>86</v>
      </c>
      <c r="E14" s="17" t="n">
        <v>93</v>
      </c>
      <c r="F14" s="17" t="n">
        <v>97</v>
      </c>
      <c r="G14" s="17" t="n">
        <v>78</v>
      </c>
      <c r="H14" s="19" t="n">
        <f aca="false">SUM(C14:G14)</f>
        <v>442</v>
      </c>
      <c r="I14" s="20" t="n">
        <f aca="false">AVERAGE(C14:G14)</f>
        <v>88.4</v>
      </c>
      <c r="J14" s="21" t="str">
        <f aca="false">IF(I14&gt;=$O$2,"A",IF(I14&gt;=$O$3,"B",IF(I14&gt;=$O$4,"C","D")))</f>
        <v>B</v>
      </c>
      <c r="K14" s="19" t="n">
        <f aca="false">RANK(I14,$I$2:$I$31)</f>
        <v>5</v>
      </c>
      <c r="L14" s="21" t="str">
        <f aca="false">IF(I14&gt;=$O$5,"Tuntas","Remedial")</f>
        <v>Tuntas</v>
      </c>
    </row>
    <row r="15" customFormat="false" ht="15" hidden="false" customHeight="false" outlineLevel="0" collapsed="false">
      <c r="A15" s="17" t="n">
        <v>14</v>
      </c>
      <c r="B15" s="18" t="s">
        <v>99</v>
      </c>
      <c r="C15" s="17" t="n">
        <v>87</v>
      </c>
      <c r="D15" s="17" t="n">
        <v>85</v>
      </c>
      <c r="E15" s="17" t="n">
        <v>78</v>
      </c>
      <c r="F15" s="17" t="n">
        <v>83</v>
      </c>
      <c r="G15" s="17" t="n">
        <v>81</v>
      </c>
      <c r="H15" s="19" t="n">
        <f aca="false">SUM(C15:G15)</f>
        <v>414</v>
      </c>
      <c r="I15" s="20" t="n">
        <f aca="false">AVERAGE(C15:G15)</f>
        <v>82.8</v>
      </c>
      <c r="J15" s="21" t="str">
        <f aca="false">IF(I15&gt;=$O$2,"A",IF(I15&gt;=$O$3,"B",IF(I15&gt;=$O$4,"C","D")))</f>
        <v>B</v>
      </c>
      <c r="K15" s="19" t="n">
        <f aca="false">RANK(I15,$I$2:$I$31)</f>
        <v>10</v>
      </c>
      <c r="L15" s="21" t="str">
        <f aca="false">IF(I15&gt;=$O$5,"Tuntas","Remedial")</f>
        <v>Tuntas</v>
      </c>
    </row>
    <row r="16" customFormat="false" ht="15" hidden="false" customHeight="false" outlineLevel="0" collapsed="false">
      <c r="A16" s="17" t="n">
        <v>15</v>
      </c>
      <c r="B16" s="18" t="s">
        <v>100</v>
      </c>
      <c r="C16" s="17" t="n">
        <v>83</v>
      </c>
      <c r="D16" s="17" t="n">
        <v>71</v>
      </c>
      <c r="E16" s="17" t="n">
        <v>96</v>
      </c>
      <c r="F16" s="17" t="n">
        <v>82</v>
      </c>
      <c r="G16" s="17" t="n">
        <v>76</v>
      </c>
      <c r="H16" s="19" t="n">
        <f aca="false">SUM(C16:G16)</f>
        <v>408</v>
      </c>
      <c r="I16" s="20" t="n">
        <f aca="false">AVERAGE(C16:G16)</f>
        <v>81.6</v>
      </c>
      <c r="J16" s="21" t="str">
        <f aca="false">IF(I16&gt;=$O$2,"A",IF(I16&gt;=$O$3,"B",IF(I16&gt;=$O$4,"C","D")))</f>
        <v>B</v>
      </c>
      <c r="K16" s="19" t="n">
        <f aca="false">RANK(I16,$I$2:$I$31)</f>
        <v>14</v>
      </c>
      <c r="L16" s="21" t="str">
        <f aca="false">IF(I16&gt;=$O$5,"Tuntas","Remedial")</f>
        <v>Tuntas</v>
      </c>
    </row>
    <row r="17" customFormat="false" ht="15" hidden="false" customHeight="false" outlineLevel="0" collapsed="false">
      <c r="A17" s="17" t="n">
        <v>16</v>
      </c>
      <c r="B17" s="18" t="s">
        <v>101</v>
      </c>
      <c r="C17" s="17" t="n">
        <v>81</v>
      </c>
      <c r="D17" s="17" t="n">
        <v>86</v>
      </c>
      <c r="E17" s="17" t="n">
        <v>87</v>
      </c>
      <c r="F17" s="17" t="n">
        <v>69</v>
      </c>
      <c r="G17" s="17" t="n">
        <v>86</v>
      </c>
      <c r="H17" s="19" t="n">
        <f aca="false">SUM(C17:G17)</f>
        <v>409</v>
      </c>
      <c r="I17" s="20" t="n">
        <f aca="false">AVERAGE(C17:G17)</f>
        <v>81.8</v>
      </c>
      <c r="J17" s="21" t="str">
        <f aca="false">IF(I17&gt;=$O$2,"A",IF(I17&gt;=$O$3,"B",IF(I17&gt;=$O$4,"C","D")))</f>
        <v>B</v>
      </c>
      <c r="K17" s="19" t="n">
        <f aca="false">RANK(I17,$I$2:$I$31)</f>
        <v>13</v>
      </c>
      <c r="L17" s="21" t="str">
        <f aca="false">IF(I17&gt;=$O$5,"Tuntas","Remedial")</f>
        <v>Tuntas</v>
      </c>
    </row>
    <row r="18" customFormat="false" ht="15" hidden="false" customHeight="false" outlineLevel="0" collapsed="false">
      <c r="A18" s="17" t="n">
        <v>17</v>
      </c>
      <c r="B18" s="18" t="s">
        <v>102</v>
      </c>
      <c r="C18" s="17" t="n">
        <v>73</v>
      </c>
      <c r="D18" s="17" t="n">
        <v>75</v>
      </c>
      <c r="E18" s="17" t="n">
        <v>66</v>
      </c>
      <c r="F18" s="17" t="n">
        <v>70</v>
      </c>
      <c r="G18" s="17" t="n">
        <v>72</v>
      </c>
      <c r="H18" s="19" t="n">
        <f aca="false">SUM(C18:G18)</f>
        <v>356</v>
      </c>
      <c r="I18" s="20" t="n">
        <f aca="false">AVERAGE(C18:G18)</f>
        <v>71.2</v>
      </c>
      <c r="J18" s="21" t="str">
        <f aca="false">IF(I18&gt;=$O$2,"A",IF(I18&gt;=$O$3,"B",IF(I18&gt;=$O$4,"C","D")))</f>
        <v>C</v>
      </c>
      <c r="K18" s="19" t="n">
        <f aca="false">RANK(I18,$I$2:$I$31)</f>
        <v>25</v>
      </c>
      <c r="L18" s="21" t="str">
        <f aca="false">IF(I18&gt;=$O$5,"Tuntas","Remedial")</f>
        <v>Remedial</v>
      </c>
    </row>
    <row r="19" customFormat="false" ht="15" hidden="false" customHeight="false" outlineLevel="0" collapsed="false">
      <c r="A19" s="17" t="n">
        <v>18</v>
      </c>
      <c r="B19" s="18" t="s">
        <v>103</v>
      </c>
      <c r="C19" s="17" t="n">
        <v>67</v>
      </c>
      <c r="D19" s="17" t="n">
        <v>75</v>
      </c>
      <c r="E19" s="17" t="n">
        <v>77</v>
      </c>
      <c r="F19" s="17" t="n">
        <v>67</v>
      </c>
      <c r="G19" s="17" t="n">
        <v>81</v>
      </c>
      <c r="H19" s="19" t="n">
        <f aca="false">SUM(C19:G19)</f>
        <v>367</v>
      </c>
      <c r="I19" s="20" t="n">
        <f aca="false">AVERAGE(C19:G19)</f>
        <v>73.4</v>
      </c>
      <c r="J19" s="21" t="str">
        <f aca="false">IF(I19&gt;=$O$2,"A",IF(I19&gt;=$O$3,"B",IF(I19&gt;=$O$4,"C","D")))</f>
        <v>C</v>
      </c>
      <c r="K19" s="19" t="n">
        <f aca="false">RANK(I19,$I$2:$I$31)</f>
        <v>21</v>
      </c>
      <c r="L19" s="21" t="str">
        <f aca="false">IF(I19&gt;=$O$5,"Tuntas","Remedial")</f>
        <v>Remedial</v>
      </c>
    </row>
    <row r="20" customFormat="false" ht="15" hidden="false" customHeight="false" outlineLevel="0" collapsed="false">
      <c r="A20" s="17" t="n">
        <v>19</v>
      </c>
      <c r="B20" s="18" t="s">
        <v>104</v>
      </c>
      <c r="C20" s="17" t="n">
        <v>75</v>
      </c>
      <c r="D20" s="17" t="n">
        <v>96</v>
      </c>
      <c r="E20" s="17" t="n">
        <v>90</v>
      </c>
      <c r="F20" s="17" t="n">
        <v>80</v>
      </c>
      <c r="G20" s="17" t="n">
        <v>82</v>
      </c>
      <c r="H20" s="19" t="n">
        <f aca="false">SUM(C20:G20)</f>
        <v>423</v>
      </c>
      <c r="I20" s="20" t="n">
        <f aca="false">AVERAGE(C20:G20)</f>
        <v>84.6</v>
      </c>
      <c r="J20" s="21" t="str">
        <f aca="false">IF(I20&gt;=$O$2,"A",IF(I20&gt;=$O$3,"B",IF(I20&gt;=$O$4,"C","D")))</f>
        <v>B</v>
      </c>
      <c r="K20" s="19" t="n">
        <f aca="false">RANK(I20,$I$2:$I$31)</f>
        <v>8</v>
      </c>
      <c r="L20" s="21" t="str">
        <f aca="false">IF(I20&gt;=$O$5,"Tuntas","Remedial")</f>
        <v>Tuntas</v>
      </c>
    </row>
    <row r="21" customFormat="false" ht="15" hidden="false" customHeight="false" outlineLevel="0" collapsed="false">
      <c r="A21" s="17" t="n">
        <v>20</v>
      </c>
      <c r="B21" s="18" t="s">
        <v>105</v>
      </c>
      <c r="C21" s="17" t="n">
        <v>100</v>
      </c>
      <c r="D21" s="17" t="n">
        <v>96</v>
      </c>
      <c r="E21" s="17" t="n">
        <v>83</v>
      </c>
      <c r="F21" s="17" t="n">
        <v>85</v>
      </c>
      <c r="G21" s="17" t="n">
        <v>90</v>
      </c>
      <c r="H21" s="19" t="n">
        <f aca="false">SUM(C21:G21)</f>
        <v>454</v>
      </c>
      <c r="I21" s="20" t="n">
        <f aca="false">AVERAGE(C21:G21)</f>
        <v>90.8</v>
      </c>
      <c r="J21" s="21" t="str">
        <f aca="false">IF(I21&gt;=$O$2,"A",IF(I21&gt;=$O$3,"B",IF(I21&gt;=$O$4,"C","D")))</f>
        <v>A</v>
      </c>
      <c r="K21" s="19" t="n">
        <f aca="false">RANK(I21,$I$2:$I$31)</f>
        <v>3</v>
      </c>
      <c r="L21" s="21" t="str">
        <f aca="false">IF(I21&gt;=$O$5,"Tuntas","Remedial")</f>
        <v>Tuntas</v>
      </c>
    </row>
    <row r="22" customFormat="false" ht="15" hidden="false" customHeight="false" outlineLevel="0" collapsed="false">
      <c r="A22" s="17" t="n">
        <v>21</v>
      </c>
      <c r="B22" s="18" t="s">
        <v>106</v>
      </c>
      <c r="C22" s="17" t="n">
        <v>76</v>
      </c>
      <c r="D22" s="17" t="n">
        <v>62</v>
      </c>
      <c r="E22" s="17" t="n">
        <v>89</v>
      </c>
      <c r="F22" s="17" t="n">
        <v>74</v>
      </c>
      <c r="G22" s="17" t="n">
        <v>69</v>
      </c>
      <c r="H22" s="19" t="n">
        <f aca="false">SUM(C22:G22)</f>
        <v>370</v>
      </c>
      <c r="I22" s="20" t="n">
        <f aca="false">AVERAGE(C22:G22)</f>
        <v>74</v>
      </c>
      <c r="J22" s="21" t="str">
        <f aca="false">IF(I22&gt;=$O$2,"A",IF(I22&gt;=$O$3,"B",IF(I22&gt;=$O$4,"C","D")))</f>
        <v>C</v>
      </c>
      <c r="K22" s="19" t="n">
        <f aca="false">RANK(I22,$I$2:$I$31)</f>
        <v>19</v>
      </c>
      <c r="L22" s="21" t="str">
        <f aca="false">IF(I22&gt;=$O$5,"Tuntas","Remedial")</f>
        <v>Remedial</v>
      </c>
    </row>
    <row r="23" customFormat="false" ht="15" hidden="false" customHeight="false" outlineLevel="0" collapsed="false">
      <c r="A23" s="17" t="n">
        <v>22</v>
      </c>
      <c r="B23" s="18" t="s">
        <v>107</v>
      </c>
      <c r="C23" s="17" t="n">
        <v>98</v>
      </c>
      <c r="D23" s="17" t="n">
        <v>86</v>
      </c>
      <c r="E23" s="17" t="n">
        <v>93</v>
      </c>
      <c r="F23" s="17" t="n">
        <v>98</v>
      </c>
      <c r="G23" s="17" t="n">
        <v>85</v>
      </c>
      <c r="H23" s="19" t="n">
        <f aca="false">SUM(C23:G23)</f>
        <v>460</v>
      </c>
      <c r="I23" s="20" t="n">
        <f aca="false">AVERAGE(C23:G23)</f>
        <v>92</v>
      </c>
      <c r="J23" s="21" t="str">
        <f aca="false">IF(I23&gt;=$O$2,"A",IF(I23&gt;=$O$3,"B",IF(I23&gt;=$O$4,"C","D")))</f>
        <v>A</v>
      </c>
      <c r="K23" s="19" t="n">
        <f aca="false">RANK(I23,$I$2:$I$31)</f>
        <v>2</v>
      </c>
      <c r="L23" s="21" t="str">
        <f aca="false">IF(I23&gt;=$O$5,"Tuntas","Remedial")</f>
        <v>Tuntas</v>
      </c>
    </row>
    <row r="24" customFormat="false" ht="15" hidden="false" customHeight="false" outlineLevel="0" collapsed="false">
      <c r="A24" s="17" t="n">
        <v>23</v>
      </c>
      <c r="B24" s="18" t="s">
        <v>108</v>
      </c>
      <c r="C24" s="17" t="n">
        <v>61</v>
      </c>
      <c r="D24" s="17" t="n">
        <v>63</v>
      </c>
      <c r="E24" s="17" t="n">
        <v>57</v>
      </c>
      <c r="F24" s="17" t="n">
        <v>71</v>
      </c>
      <c r="G24" s="17" t="n">
        <v>72</v>
      </c>
      <c r="H24" s="19" t="n">
        <f aca="false">SUM(C24:G24)</f>
        <v>324</v>
      </c>
      <c r="I24" s="20" t="n">
        <f aca="false">AVERAGE(C24:G24)</f>
        <v>64.8</v>
      </c>
      <c r="J24" s="21" t="str">
        <f aca="false">IF(I24&gt;=$O$2,"A",IF(I24&gt;=$O$3,"B",IF(I24&gt;=$O$4,"C","D")))</f>
        <v>D</v>
      </c>
      <c r="K24" s="19" t="n">
        <f aca="false">RANK(I24,$I$2:$I$31)</f>
        <v>29</v>
      </c>
      <c r="L24" s="21" t="str">
        <f aca="false">IF(I24&gt;=$O$5,"Tuntas","Remedial")</f>
        <v>Remedial</v>
      </c>
    </row>
    <row r="25" customFormat="false" ht="15" hidden="false" customHeight="false" outlineLevel="0" collapsed="false">
      <c r="A25" s="17" t="n">
        <v>24</v>
      </c>
      <c r="B25" s="18" t="s">
        <v>109</v>
      </c>
      <c r="C25" s="17" t="n">
        <v>77</v>
      </c>
      <c r="D25" s="17" t="n">
        <v>91</v>
      </c>
      <c r="E25" s="17" t="n">
        <v>72</v>
      </c>
      <c r="F25" s="17" t="n">
        <v>77</v>
      </c>
      <c r="G25" s="17" t="n">
        <v>73</v>
      </c>
      <c r="H25" s="19" t="n">
        <f aca="false">SUM(C25:G25)</f>
        <v>390</v>
      </c>
      <c r="I25" s="20" t="n">
        <f aca="false">AVERAGE(C25:G25)</f>
        <v>78</v>
      </c>
      <c r="J25" s="21" t="str">
        <f aca="false">IF(I25&gt;=$O$2,"A",IF(I25&gt;=$O$3,"B",IF(I25&gt;=$O$4,"C","D")))</f>
        <v>C</v>
      </c>
      <c r="K25" s="19" t="n">
        <f aca="false">RANK(I25,$I$2:$I$31)</f>
        <v>17</v>
      </c>
      <c r="L25" s="21" t="str">
        <f aca="false">IF(I25&gt;=$O$5,"Tuntas","Remedial")</f>
        <v>Tuntas</v>
      </c>
    </row>
    <row r="26" customFormat="false" ht="15" hidden="false" customHeight="false" outlineLevel="0" collapsed="false">
      <c r="A26" s="17" t="n">
        <v>25</v>
      </c>
      <c r="B26" s="18" t="s">
        <v>110</v>
      </c>
      <c r="C26" s="17" t="n">
        <v>57</v>
      </c>
      <c r="D26" s="17" t="n">
        <v>70</v>
      </c>
      <c r="E26" s="17" t="n">
        <v>74</v>
      </c>
      <c r="F26" s="17" t="n">
        <v>69</v>
      </c>
      <c r="G26" s="17" t="n">
        <v>64</v>
      </c>
      <c r="H26" s="19" t="n">
        <f aca="false">SUM(C26:G26)</f>
        <v>334</v>
      </c>
      <c r="I26" s="20" t="n">
        <f aca="false">AVERAGE(C26:G26)</f>
        <v>66.8</v>
      </c>
      <c r="J26" s="21" t="str">
        <f aca="false">IF(I26&gt;=$O$2,"A",IF(I26&gt;=$O$3,"B",IF(I26&gt;=$O$4,"C","D")))</f>
        <v>D</v>
      </c>
      <c r="K26" s="19" t="n">
        <f aca="false">RANK(I26,$I$2:$I$31)</f>
        <v>27</v>
      </c>
      <c r="L26" s="21" t="str">
        <f aca="false">IF(I26&gt;=$O$5,"Tuntas","Remedial")</f>
        <v>Remedial</v>
      </c>
    </row>
    <row r="27" customFormat="false" ht="15" hidden="false" customHeight="false" outlineLevel="0" collapsed="false">
      <c r="A27" s="17" t="n">
        <v>26</v>
      </c>
      <c r="B27" s="18" t="s">
        <v>111</v>
      </c>
      <c r="C27" s="17" t="n">
        <v>62</v>
      </c>
      <c r="D27" s="17" t="n">
        <v>65</v>
      </c>
      <c r="E27" s="17" t="n">
        <v>73</v>
      </c>
      <c r="F27" s="17" t="n">
        <v>67</v>
      </c>
      <c r="G27" s="17" t="n">
        <v>74</v>
      </c>
      <c r="H27" s="19" t="n">
        <f aca="false">SUM(C27:G27)</f>
        <v>341</v>
      </c>
      <c r="I27" s="20" t="n">
        <f aca="false">AVERAGE(C27:G27)</f>
        <v>68.2</v>
      </c>
      <c r="J27" s="21" t="str">
        <f aca="false">IF(I27&gt;=$O$2,"A",IF(I27&gt;=$O$3,"B",IF(I27&gt;=$O$4,"C","D")))</f>
        <v>D</v>
      </c>
      <c r="K27" s="19" t="n">
        <f aca="false">RANK(I27,$I$2:$I$31)</f>
        <v>26</v>
      </c>
      <c r="L27" s="21" t="str">
        <f aca="false">IF(I27&gt;=$O$5,"Tuntas","Remedial")</f>
        <v>Remedial</v>
      </c>
    </row>
    <row r="28" customFormat="false" ht="15" hidden="false" customHeight="false" outlineLevel="0" collapsed="false">
      <c r="A28" s="17" t="n">
        <v>27</v>
      </c>
      <c r="B28" s="18" t="s">
        <v>112</v>
      </c>
      <c r="C28" s="17" t="n">
        <v>95</v>
      </c>
      <c r="D28" s="17" t="n">
        <v>82</v>
      </c>
      <c r="E28" s="17" t="n">
        <v>96</v>
      </c>
      <c r="F28" s="17" t="n">
        <v>81</v>
      </c>
      <c r="G28" s="17" t="n">
        <v>74</v>
      </c>
      <c r="H28" s="19" t="n">
        <f aca="false">SUM(C28:G28)</f>
        <v>428</v>
      </c>
      <c r="I28" s="20" t="n">
        <f aca="false">AVERAGE(C28:G28)</f>
        <v>85.6</v>
      </c>
      <c r="J28" s="21" t="str">
        <f aca="false">IF(I28&gt;=$O$2,"A",IF(I28&gt;=$O$3,"B",IF(I28&gt;=$O$4,"C","D")))</f>
        <v>B</v>
      </c>
      <c r="K28" s="19" t="n">
        <f aca="false">RANK(I28,$I$2:$I$31)</f>
        <v>7</v>
      </c>
      <c r="L28" s="21" t="str">
        <f aca="false">IF(I28&gt;=$O$5,"Tuntas","Remedial")</f>
        <v>Tuntas</v>
      </c>
    </row>
    <row r="29" customFormat="false" ht="15" hidden="false" customHeight="false" outlineLevel="0" collapsed="false">
      <c r="A29" s="17" t="n">
        <v>28</v>
      </c>
      <c r="B29" s="18" t="s">
        <v>113</v>
      </c>
      <c r="C29" s="17" t="n">
        <v>79</v>
      </c>
      <c r="D29" s="17" t="n">
        <v>84</v>
      </c>
      <c r="E29" s="17" t="n">
        <v>71</v>
      </c>
      <c r="F29" s="17" t="n">
        <v>88</v>
      </c>
      <c r="G29" s="17" t="n">
        <v>82</v>
      </c>
      <c r="H29" s="19" t="n">
        <f aca="false">SUM(C29:G29)</f>
        <v>404</v>
      </c>
      <c r="I29" s="20" t="n">
        <f aca="false">AVERAGE(C29:G29)</f>
        <v>80.8</v>
      </c>
      <c r="J29" s="21" t="str">
        <f aca="false">IF(I29&gt;=$O$2,"A",IF(I29&gt;=$O$3,"B",IF(I29&gt;=$O$4,"C","D")))</f>
        <v>B</v>
      </c>
      <c r="K29" s="19" t="n">
        <f aca="false">RANK(I29,$I$2:$I$31)</f>
        <v>15</v>
      </c>
      <c r="L29" s="21" t="str">
        <f aca="false">IF(I29&gt;=$O$5,"Tuntas","Remedial")</f>
        <v>Tuntas</v>
      </c>
    </row>
    <row r="30" customFormat="false" ht="15" hidden="false" customHeight="false" outlineLevel="0" collapsed="false">
      <c r="A30" s="17" t="n">
        <v>29</v>
      </c>
      <c r="B30" s="18" t="s">
        <v>114</v>
      </c>
      <c r="C30" s="17" t="n">
        <v>71</v>
      </c>
      <c r="D30" s="17" t="n">
        <v>75</v>
      </c>
      <c r="E30" s="17" t="n">
        <v>79</v>
      </c>
      <c r="F30" s="17" t="n">
        <v>64</v>
      </c>
      <c r="G30" s="17" t="n">
        <v>80</v>
      </c>
      <c r="H30" s="19" t="n">
        <f aca="false">SUM(C30:G30)</f>
        <v>369</v>
      </c>
      <c r="I30" s="20" t="n">
        <f aca="false">AVERAGE(C30:G30)</f>
        <v>73.8</v>
      </c>
      <c r="J30" s="21" t="str">
        <f aca="false">IF(I30&gt;=$O$2,"A",IF(I30&gt;=$O$3,"B",IF(I30&gt;=$O$4,"C","D")))</f>
        <v>C</v>
      </c>
      <c r="K30" s="19" t="n">
        <f aca="false">RANK(I30,$I$2:$I$31)</f>
        <v>20</v>
      </c>
      <c r="L30" s="21" t="str">
        <f aca="false">IF(I30&gt;=$O$5,"Tuntas","Remedial")</f>
        <v>Remedial</v>
      </c>
    </row>
    <row r="31" customFormat="false" ht="15" hidden="false" customHeight="false" outlineLevel="0" collapsed="false">
      <c r="A31" s="17" t="n">
        <v>30</v>
      </c>
      <c r="B31" s="18" t="s">
        <v>115</v>
      </c>
      <c r="C31" s="17" t="n">
        <v>90</v>
      </c>
      <c r="D31" s="17" t="n">
        <v>86</v>
      </c>
      <c r="E31" s="17" t="n">
        <v>82</v>
      </c>
      <c r="F31" s="17" t="n">
        <v>89</v>
      </c>
      <c r="G31" s="17" t="n">
        <v>90</v>
      </c>
      <c r="H31" s="19" t="n">
        <f aca="false">SUM(C31:G31)</f>
        <v>437</v>
      </c>
      <c r="I31" s="20" t="n">
        <f aca="false">AVERAGE(C31:G31)</f>
        <v>87.4</v>
      </c>
      <c r="J31" s="21" t="str">
        <f aca="false">IF(I31&gt;=$O$2,"A",IF(I31&gt;=$O$3,"B",IF(I31&gt;=$O$4,"C","D")))</f>
        <v>B</v>
      </c>
      <c r="K31" s="19" t="n">
        <f aca="false">RANK(I31,$I$2:$I$31)</f>
        <v>6</v>
      </c>
      <c r="L31" s="21" t="str">
        <f aca="false">IF(I31&gt;=$O$5,"Tuntas","Remedial")</f>
        <v>Tuntas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</cols>
  <sheetData>
    <row r="1" customFormat="false" ht="33.75" hidden="false" customHeight="true" outlineLevel="0" collapsed="false">
      <c r="A1" s="11" t="s">
        <v>75</v>
      </c>
      <c r="B1" s="15" t="s">
        <v>116</v>
      </c>
      <c r="C1" s="15" t="s">
        <v>117</v>
      </c>
    </row>
    <row r="2" customFormat="false" ht="15" hidden="false" customHeight="false" outlineLevel="0" collapsed="false">
      <c r="A2" s="18" t="s">
        <v>118</v>
      </c>
      <c r="B2" s="19" t="n">
        <f aca="false">COUNTIF(Data!$J$2:$J$31,A2)</f>
        <v>3</v>
      </c>
      <c r="C2" s="20" t="n">
        <f aca="false">AVERAGEIF(Data!$J$2:$J$31,A2,Data!$I$2:$I$31)</f>
        <v>91.8</v>
      </c>
    </row>
    <row r="3" customFormat="false" ht="15" hidden="false" customHeight="false" outlineLevel="0" collapsed="false">
      <c r="A3" s="18" t="s">
        <v>119</v>
      </c>
      <c r="B3" s="19" t="n">
        <f aca="false">COUNTIF(Data!$J$2:$J$31,A3)</f>
        <v>13</v>
      </c>
      <c r="C3" s="20" t="n">
        <f aca="false">AVERAGEIF(Data!$J$2:$J$31,A3,Data!$I$2:$I$31)</f>
        <v>83.9538461538462</v>
      </c>
    </row>
    <row r="4" customFormat="false" ht="15" hidden="false" customHeight="false" outlineLevel="0" collapsed="false">
      <c r="A4" s="18" t="s">
        <v>120</v>
      </c>
      <c r="B4" s="19" t="n">
        <f aca="false">COUNTIF(Data!$J$2:$J$31,A4)</f>
        <v>9</v>
      </c>
      <c r="C4" s="20" t="n">
        <f aca="false">AVERAGEIF(Data!$J$2:$J$31,A4,Data!$I$2:$I$31)</f>
        <v>73.4444444444444</v>
      </c>
    </row>
    <row r="5" customFormat="false" ht="15" hidden="false" customHeight="false" outlineLevel="0" collapsed="false">
      <c r="A5" s="18" t="s">
        <v>121</v>
      </c>
      <c r="B5" s="19" t="n">
        <f aca="false">COUNTIF(Data!$J$2:$J$31,A5)</f>
        <v>5</v>
      </c>
      <c r="C5" s="20" t="n">
        <f aca="false">AVERAGEIF(Data!$J$2:$J$31,A5,Data!$I$2:$I$31)</f>
        <v>64.28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4" t="s">
        <v>122</v>
      </c>
      <c r="B1" s="24"/>
      <c r="C1" s="24"/>
      <c r="D1" s="24"/>
    </row>
    <row r="2" customFormat="false" ht="15" hidden="false" customHeight="false" outlineLevel="0" collapsed="false">
      <c r="A2" s="25" t="s">
        <v>123</v>
      </c>
      <c r="B2" s="25"/>
      <c r="C2" s="25"/>
      <c r="D2" s="25"/>
    </row>
    <row r="3" customFormat="false" ht="15" hidden="false" customHeight="false" outlineLevel="0" collapsed="false">
      <c r="A3" s="11" t="s">
        <v>19</v>
      </c>
      <c r="B3" s="11" t="s">
        <v>124</v>
      </c>
      <c r="C3" s="11" t="s">
        <v>125</v>
      </c>
      <c r="D3" s="11" t="s">
        <v>126</v>
      </c>
    </row>
    <row r="4" customFormat="false" ht="15" hidden="false" customHeight="false" outlineLevel="0" collapsed="false">
      <c r="A4" s="26" t="s">
        <v>127</v>
      </c>
      <c r="B4" s="27" t="s">
        <v>128</v>
      </c>
      <c r="C4" s="20" t="n">
        <f aca="false">AVERAGE(Data!$C$2:$C$31)</f>
        <v>77.7666666666667</v>
      </c>
      <c r="D4" s="28" t="s">
        <v>129</v>
      </c>
    </row>
    <row r="5" customFormat="false" ht="15" hidden="false" customHeight="false" outlineLevel="0" collapsed="false">
      <c r="A5" s="26" t="s">
        <v>130</v>
      </c>
      <c r="B5" s="27" t="s">
        <v>131</v>
      </c>
      <c r="C5" s="20" t="n">
        <f aca="false">AVERAGE(Data!$D$2:$D$31)</f>
        <v>78.7</v>
      </c>
      <c r="D5" s="28" t="s">
        <v>129</v>
      </c>
    </row>
    <row r="6" customFormat="false" ht="15" hidden="false" customHeight="false" outlineLevel="0" collapsed="false">
      <c r="A6" s="26" t="s">
        <v>132</v>
      </c>
      <c r="B6" s="27" t="s">
        <v>133</v>
      </c>
      <c r="C6" s="20" t="n">
        <f aca="false">AVERAGE(Data!$E$2:$E$31)</f>
        <v>79.7333333333333</v>
      </c>
      <c r="D6" s="28" t="s">
        <v>129</v>
      </c>
    </row>
    <row r="7" customFormat="false" ht="15" hidden="false" customHeight="false" outlineLevel="0" collapsed="false">
      <c r="A7" s="26" t="s">
        <v>134</v>
      </c>
      <c r="B7" s="27" t="s">
        <v>135</v>
      </c>
      <c r="C7" s="20" t="n">
        <f aca="false">AVERAGE(Data!$F$2:$F$31)</f>
        <v>78.6333333333333</v>
      </c>
      <c r="D7" s="28" t="s">
        <v>129</v>
      </c>
    </row>
    <row r="8" customFormat="false" ht="15" hidden="false" customHeight="false" outlineLevel="0" collapsed="false">
      <c r="A8" s="26" t="s">
        <v>136</v>
      </c>
      <c r="B8" s="27" t="s">
        <v>137</v>
      </c>
      <c r="C8" s="20" t="n">
        <f aca="false">AVERAGE(Data!$G$2:$G$31)</f>
        <v>76.7</v>
      </c>
      <c r="D8" s="28" t="s">
        <v>129</v>
      </c>
    </row>
    <row r="9" customFormat="false" ht="15" hidden="false" customHeight="false" outlineLevel="0" collapsed="false">
      <c r="A9" s="26" t="s">
        <v>138</v>
      </c>
      <c r="B9" s="27" t="s">
        <v>139</v>
      </c>
      <c r="C9" s="19" t="n">
        <f aca="false">MAX(Data!$C$2:$C$31)</f>
        <v>100</v>
      </c>
      <c r="D9" s="28" t="s">
        <v>140</v>
      </c>
    </row>
    <row r="10" customFormat="false" ht="15" hidden="false" customHeight="false" outlineLevel="0" collapsed="false">
      <c r="A10" s="26" t="s">
        <v>141</v>
      </c>
      <c r="B10" s="27" t="s">
        <v>142</v>
      </c>
      <c r="C10" s="19" t="n">
        <f aca="false">MIN(Data!$C$2:$C$31)</f>
        <v>57</v>
      </c>
      <c r="D10" s="28" t="s">
        <v>143</v>
      </c>
    </row>
    <row r="11" customFormat="false" ht="15" hidden="false" customHeight="false" outlineLevel="0" collapsed="false">
      <c r="A11" s="26" t="s">
        <v>144</v>
      </c>
      <c r="B11" s="27" t="s">
        <v>145</v>
      </c>
      <c r="C11" s="19" t="n">
        <f aca="false">C9-C10</f>
        <v>43</v>
      </c>
      <c r="D11" s="28" t="s">
        <v>146</v>
      </c>
    </row>
    <row r="12" customFormat="false" ht="15" hidden="false" customHeight="false" outlineLevel="0" collapsed="false">
      <c r="A12" s="26" t="s">
        <v>147</v>
      </c>
      <c r="B12" s="27" t="s">
        <v>148</v>
      </c>
      <c r="C12" s="21" t="str">
        <f aca="false">INDEX(Data!$B$2:$B$31,MATCH(1,Data!$K$2:$K$31,0))</f>
        <v>Fajar Wibowo</v>
      </c>
      <c r="D12" s="28" t="s">
        <v>149</v>
      </c>
    </row>
    <row r="13" customFormat="false" ht="15" hidden="false" customHeight="false" outlineLevel="0" collapsed="false">
      <c r="A13" s="26" t="s">
        <v>150</v>
      </c>
      <c r="B13" s="27" t="s">
        <v>151</v>
      </c>
      <c r="C13" s="21" t="str">
        <f aca="false">INDEX(Data!$B$2:$B$31,MATCH(MIN(Data!$E$2:$E$31),Data!$E$2:$E$31,0))</f>
        <v>Oki Permana</v>
      </c>
      <c r="D13" s="28" t="s">
        <v>149</v>
      </c>
    </row>
    <row r="14" customFormat="false" ht="15" hidden="false" customHeight="false" outlineLevel="0" collapsed="false">
      <c r="A14" s="26" t="s">
        <v>152</v>
      </c>
      <c r="B14" s="27" t="s">
        <v>153</v>
      </c>
      <c r="C14" s="19" t="n">
        <f aca="false">COUNTIF(Data!$L$2:$L$31,"Tuntas")</f>
        <v>17</v>
      </c>
      <c r="D14" s="28" t="s">
        <v>154</v>
      </c>
    </row>
    <row r="15" customFormat="false" ht="15" hidden="false" customHeight="false" outlineLevel="0" collapsed="false">
      <c r="A15" s="26" t="s">
        <v>155</v>
      </c>
      <c r="B15" s="27" t="s">
        <v>156</v>
      </c>
      <c r="C15" s="19" t="n">
        <f aca="false">COUNTIF(Data!$L$2:$L$31,"Remedial")</f>
        <v>13</v>
      </c>
      <c r="D15" s="28" t="s">
        <v>157</v>
      </c>
    </row>
    <row r="16" customFormat="false" ht="15" hidden="false" customHeight="false" outlineLevel="0" collapsed="false">
      <c r="A16" s="26" t="s">
        <v>158</v>
      </c>
      <c r="B16" s="27" t="s">
        <v>159</v>
      </c>
      <c r="C16" s="29" t="n">
        <f aca="false">C14/COUNTA(Data!$B$2:$B$31)</f>
        <v>0.566666666666667</v>
      </c>
      <c r="D16" s="28" t="s">
        <v>160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2026-10-15T23:39:14Z</dcterms:created>
  <dc:creator>PushExcel</dc:creator>
  <dc:description/>
  <dc:language>en-US</dc:language>
  <cp:lastModifiedBy/>
  <dcterms:modified xsi:type="dcterms:W3CDTF">2026-10-15T23:39:14Z</dcterms:modified>
  <cp:revision>0</cp:revision>
  <dc:subject/>
  <dc:title>Rapor Semester: Rata-rata, Predikat, dan Peringkat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