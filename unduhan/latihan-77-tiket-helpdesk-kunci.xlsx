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<sst xmlns="http://schemas.openxmlformats.org/spreadsheetml/2006/main" count="286" uniqueCount="201">
  <si>
    <t xml:space="preserve">Kunci Jawaban: Tiket Helpdesk TI dan Pemenuhan SLA</t>
  </si>
  <si>
    <t xml:space="preserve">Latihan 77 dari 40  |  Tingkat: Menengah  |  Perkiraan waktu: 50 menit  |  pushexcel.github.io/Pushexcel</t>
  </si>
  <si>
    <t xml:space="preserve">Skenario</t>
  </si>
  <si>
    <t xml:space="preserve">Kamu koordinator layanan TI di PT Nusa Data Solusi yang meninjau 30 tiket helpdesk bulan Oktober 2026. Setiap tiket mencatat tanggal dan jam buka serta tanggal dan jam selesai. Layanan berjalan terus setiap hari, jadi durasi dihitung penuh dalam jam. Target SLA (batas durasi dalam jam) tiap prioritas ada di sheet Acuan. Status SLA: Terlampaui bila durasi lebih dari target, Mepet bila durasi lebih dari 80 persen target tetapi tidak melewatinya, dan Terpenuhi untuk sisanya (angka 80 persen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</si>
  <si>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</si>
  <si>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</si>
  <si>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</si>
  <si>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</si>
  <si>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</si>
  <si>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</si>
  <si>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</si>
  <si>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</si>
  <si>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</si>
  <si>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</si>
  <si>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</si>
  <si>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</si>
  <si>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</si>
  <si>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</si>
  <si>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</si>
  <si>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</si>
  <si>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</si>
  <si>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</si>
  <si>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</si>
  <si>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</si>
  <si>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durasi penyelesaian dalam jam: gabungkan tanggal dan jam selesai, kurangi gabungan tanggal dan jam buka, kalikan 24. Bulatkan 2 desimal.</t>
  </si>
  <si>
    <t xml:space="preserve">Sheet Data, kolom J (Durasi Jam), baris 2 sampai 31</t>
  </si>
  <si>
    <t xml:space="preserve">=ROUND((((H2+I2)-(F2+G2))*24);2)</t>
  </si>
  <si>
    <t xml:space="preserve">2</t>
  </si>
  <si>
    <t xml:space="preserve">Ambil target SLA (jam) tiap tiket dari tabel prioritas di sheet Acuan.</t>
  </si>
  <si>
    <t xml:space="preserve">Sheet Data, kolom K (Target SLA), baris 2 sampai 31</t>
  </si>
  <si>
    <t xml:space="preserve">=VLOOKUP(D2;Acuan!$A$2:$B$4;2;FALSE)</t>
  </si>
  <si>
    <t xml:space="preserve">3</t>
  </si>
  <si>
    <t xml:space="preserve">Beri status Terlampaui bila durasi lebih dari target, Mepet bila durasi lebih dari batas mepet dikali target, selain itu Terpenuhi.</t>
  </si>
  <si>
    <t xml:space="preserve">Sheet Data, kolom L (Status SLA), baris 2 sampai 31</t>
  </si>
  <si>
    <t xml:space="preserve">=IF(J2&gt;K2;"Terlampaui";IF(J2&gt;$P$2*K2;"Mepet";"Terpenuhi"))</t>
  </si>
  <si>
    <t xml:space="preserve">4</t>
  </si>
  <si>
    <t xml:space="preserve">Hitung jam yang melewati target SLA. Bila tidak melewati, hasilnya 0.</t>
  </si>
  <si>
    <t xml:space="preserve">Sheet Data, kolom M (Jam Lewat SLA), baris 2 sampai 31</t>
  </si>
  <si>
    <t xml:space="preserve">=MAX(0;J2-K2)</t>
  </si>
  <si>
    <t xml:space="preserve">5</t>
  </si>
  <si>
    <t xml:space="preserve">Pada sheet Acuan, hitung jumlah tiket tiap prioritas.</t>
  </si>
  <si>
    <t xml:space="preserve">Sheet Acuan, kolom C (Jumlah Tiket), baris 2 sampai 4</t>
  </si>
  <si>
    <t xml:space="preserve">=COUNTIF(Data!$D$2:$D$31;A2)</t>
  </si>
  <si>
    <t xml:space="preserve">6</t>
  </si>
  <si>
    <t xml:space="preserve">Pada sheet Acuan, hitung rata-rata durasi penyelesaian tiap prioritas.</t>
  </si>
  <si>
    <t xml:space="preserve">Sheet Acuan, kolom D (Rata-rata Durasi), baris 2 sampai 4</t>
  </si>
  <si>
    <t xml:space="preserve">=AVERAGEIF(Data!$D$2:$D$31;A2;Data!$J$2:$J$31)</t>
  </si>
  <si>
    <t xml:space="preserve">7</t>
  </si>
  <si>
    <t xml:space="preserve">Pada sheet Acuan, hitung jumlah tiket berstatus Terlampaui untuk tiap prioritas.</t>
  </si>
  <si>
    <t xml:space="preserve">Sheet Acuan, kolom E (Tiket Terlampaui), baris 2 sampai 4</t>
  </si>
  <si>
    <t xml:space="preserve">=COUNTIFS(Data!$D$2:$D$31;A2;Data!$L$2:$L$31;"Terlampaui")</t>
  </si>
  <si>
    <t xml:space="preserve">8</t>
  </si>
  <si>
    <t xml:space="preserve">Berapa tiket yang Terpenuhi, Mepet, dan Terlampaui?</t>
  </si>
  <si>
    <t xml:space="preserve">Sheet Ringkasan, sel C4 sampai C6</t>
  </si>
  <si>
    <t xml:space="preserve">=COUNTIF(Data!$L$2:$L$31;"Terpenuhi")
=COUNTIF(Data!$L$2:$L$31;"Mepet")
=COUNTIF(Data!$L$2:$L$31;"Terlampaui")</t>
  </si>
  <si>
    <t xml:space="preserve">9</t>
  </si>
  <si>
    <t xml:space="preserve">Berapa persen tiket yang Terlampaui, dan berapa total jam yang melewati SLA?</t>
  </si>
  <si>
    <t xml:space="preserve">Sheet Ringkasan, sel C7 sampai C8</t>
  </si>
  <si>
    <t xml:space="preserve">=COUNTIF(Data!$L$2:$L$31;"Terlampaui")/COUNTA(Data!$A$2:$A$31)
=SUM(Data!$M$2:$M$31)</t>
  </si>
  <si>
    <t xml:space="preserve">10</t>
  </si>
  <si>
    <t xml:space="preserve">Siapa pelapor tiket dengan durasi terlama, dan prioritas mana yang rata-rata durasinya terlama?</t>
  </si>
  <si>
    <t xml:space="preserve">Sheet Ringkasan, sel C9 sampai C10</t>
  </si>
  <si>
    <t xml:space="preserve">=INDEX(Data!$B$2:$B$31;MATCH(MAX(Data!$J$2:$J$31);Data!$J$2:$J$31;0))
=INDEX(Acuan!$A$2:$A$4;MATCH(MAX(Acuan!$D$2:$D$4);Acuan!$D$2:$D$4;0))</t>
  </si>
  <si>
    <t xml:space="preserve">11</t>
  </si>
  <si>
    <t xml:space="preserve">Berapa rata-rata durasi seluruh tiket, dan berapa rata-rata durasi tiket kategori Jaringan?</t>
  </si>
  <si>
    <t xml:space="preserve">Sheet Ringkasan, sel C11 sampai C12</t>
  </si>
  <si>
    <t xml:space="preserve">=AVERAGE(Data!$J$2:$J$31)
=AVERAGEIF(Data!$C$2:$C$31;"Jaringan";Data!$J$2:$J$31)</t>
  </si>
  <si>
    <t xml:space="preserve">12</t>
  </si>
  <si>
    <t xml:space="preserve">Berapa tiket Aplikasi yang Terlampaui, dan berapa total jam lewat SLA pada tiket yang ditangani teknisi Rendra Utama?</t>
  </si>
  <si>
    <t xml:space="preserve">Sheet Ringkasan, sel C13 sampai C14</t>
  </si>
  <si>
    <t xml:space="preserve">=COUNTIFS(Data!$C$2:$C$31;"Aplikasi";Data!$L$2:$L$31;"Terlampaui")
=SUMIF(Data!$E$2:$E$31;"Rendra Utama";Data!$M$2:$M$31)</t>
  </si>
  <si>
    <t xml:space="preserve">ID Tiket</t>
  </si>
  <si>
    <t xml:space="preserve">Pelapor</t>
  </si>
  <si>
    <t xml:space="preserve">Kategori</t>
  </si>
  <si>
    <t xml:space="preserve">Prioritas</t>
  </si>
  <si>
    <t xml:space="preserve">Teknisi</t>
  </si>
  <si>
    <t xml:space="preserve">Tanggal Buka</t>
  </si>
  <si>
    <t xml:space="preserve">Jam Buka</t>
  </si>
  <si>
    <t xml:space="preserve">Tanggal Selesai</t>
  </si>
  <si>
    <t xml:space="preserve">Jam Selesai</t>
  </si>
  <si>
    <t xml:space="preserve">Durasi Jam</t>
  </si>
  <si>
    <t xml:space="preserve">Target SLA</t>
  </si>
  <si>
    <t xml:space="preserve">Status SLA</t>
  </si>
  <si>
    <t xml:space="preserve">Jam Lewat SLA</t>
  </si>
  <si>
    <t xml:space="preserve">Parameter</t>
  </si>
  <si>
    <t xml:space="preserve">Nilai</t>
  </si>
  <si>
    <t xml:space="preserve">Keterangan</t>
  </si>
  <si>
    <t xml:space="preserve">TK-001</t>
  </si>
  <si>
    <t xml:space="preserve">Citra Susanto</t>
  </si>
  <si>
    <t xml:space="preserve">Aplikasi</t>
  </si>
  <si>
    <t xml:space="preserve">Tinggi</t>
  </si>
  <si>
    <t xml:space="preserve">Tania Kusumo</t>
  </si>
  <si>
    <t xml:space="preserve">Batas mepet</t>
  </si>
  <si>
    <t xml:space="preserve">Durasi di atas persentase ini dari target (tetapi belum melewatinya) = Mepet</t>
  </si>
  <si>
    <t xml:space="preserve">TK-002</t>
  </si>
  <si>
    <t xml:space="preserve">Rina Fauzi</t>
  </si>
  <si>
    <t xml:space="preserve">Jaringan</t>
  </si>
  <si>
    <t xml:space="preserve">Sedang</t>
  </si>
  <si>
    <t xml:space="preserve">Bagas Permadi</t>
  </si>
  <si>
    <t xml:space="preserve">TK-003</t>
  </si>
  <si>
    <t xml:space="preserve">Siti Putra</t>
  </si>
  <si>
    <t xml:space="preserve">Salsa Maharani</t>
  </si>
  <si>
    <t xml:space="preserve">TK-004</t>
  </si>
  <si>
    <t xml:space="preserve">Jihan Kusuma</t>
  </si>
  <si>
    <t xml:space="preserve">Akun</t>
  </si>
  <si>
    <t xml:space="preserve">Rendah</t>
  </si>
  <si>
    <t xml:space="preserve">TK-005</t>
  </si>
  <si>
    <t xml:space="preserve">Maman Firmansyah</t>
  </si>
  <si>
    <t xml:space="preserve">Perangkat Keras</t>
  </si>
  <si>
    <t xml:space="preserve">TK-006</t>
  </si>
  <si>
    <t xml:space="preserve">Hesti Sari</t>
  </si>
  <si>
    <t xml:space="preserve">TK-007</t>
  </si>
  <si>
    <t xml:space="preserve">Wawan Nugroho</t>
  </si>
  <si>
    <t xml:space="preserve">Rendra Utama</t>
  </si>
  <si>
    <t xml:space="preserve">TK-008</t>
  </si>
  <si>
    <t xml:space="preserve">Lestari Rahayu</t>
  </si>
  <si>
    <t xml:space="preserve">TK-009</t>
  </si>
  <si>
    <t xml:space="preserve">Tika Handayani</t>
  </si>
  <si>
    <t xml:space="preserve">TK-010</t>
  </si>
  <si>
    <t xml:space="preserve">Novi Maharani</t>
  </si>
  <si>
    <t xml:space="preserve">TK-011</t>
  </si>
  <si>
    <t xml:space="preserve">Eko Putra</t>
  </si>
  <si>
    <t xml:space="preserve">TK-012</t>
  </si>
  <si>
    <t xml:space="preserve">Intan Saputra</t>
  </si>
  <si>
    <t xml:space="preserve">TK-013</t>
  </si>
  <si>
    <t xml:space="preserve">Dimas Hartono</t>
  </si>
  <si>
    <t xml:space="preserve">TK-014</t>
  </si>
  <si>
    <t xml:space="preserve">Maman Suryani</t>
  </si>
  <si>
    <t xml:space="preserve">TK-015</t>
  </si>
  <si>
    <t xml:space="preserve">Siti Lestari</t>
  </si>
  <si>
    <t xml:space="preserve">TK-016</t>
  </si>
  <si>
    <t xml:space="preserve">Wahyu Permana</t>
  </si>
  <si>
    <t xml:space="preserve">TK-017</t>
  </si>
  <si>
    <t xml:space="preserve">Ahmad Saputra</t>
  </si>
  <si>
    <t xml:space="preserve">TK-018</t>
  </si>
  <si>
    <t xml:space="preserve">Eka Rahayu</t>
  </si>
  <si>
    <t xml:space="preserve">TK-019</t>
  </si>
  <si>
    <t xml:space="preserve">Nurul Setiawan</t>
  </si>
  <si>
    <t xml:space="preserve">TK-020</t>
  </si>
  <si>
    <t xml:space="preserve">Joko Pangestu</t>
  </si>
  <si>
    <t xml:space="preserve">TK-021</t>
  </si>
  <si>
    <t xml:space="preserve">Irfan Hidayat</t>
  </si>
  <si>
    <t xml:space="preserve">TK-022</t>
  </si>
  <si>
    <t xml:space="preserve">Jihan Utomo</t>
  </si>
  <si>
    <t xml:space="preserve">TK-023</t>
  </si>
  <si>
    <t xml:space="preserve">Eka Fauzi</t>
  </si>
  <si>
    <t xml:space="preserve">TK-024</t>
  </si>
  <si>
    <t xml:space="preserve">Joko Fauzi</t>
  </si>
  <si>
    <t xml:space="preserve">TK-025</t>
  </si>
  <si>
    <t xml:space="preserve">Rizki Sari</t>
  </si>
  <si>
    <t xml:space="preserve">TK-026</t>
  </si>
  <si>
    <t xml:space="preserve">Yuni Kusuma</t>
  </si>
  <si>
    <t xml:space="preserve">TK-027</t>
  </si>
  <si>
    <t xml:space="preserve">Joko Syahputra</t>
  </si>
  <si>
    <t xml:space="preserve">TK-028</t>
  </si>
  <si>
    <t xml:space="preserve">Fitri Saputra</t>
  </si>
  <si>
    <t xml:space="preserve">TK-029</t>
  </si>
  <si>
    <t xml:space="preserve">Prasetyo Kurniawan</t>
  </si>
  <si>
    <t xml:space="preserve">TK-030</t>
  </si>
  <si>
    <t xml:space="preserve">Rahmat Sari</t>
  </si>
  <si>
    <t xml:space="preserve">Target SLA (Jam)</t>
  </si>
  <si>
    <t xml:space="preserve">Jumlah Tiket</t>
  </si>
  <si>
    <t xml:space="preserve">Rata-rata Durasi</t>
  </si>
  <si>
    <t xml:space="preserve">Tiket Terlampaui</t>
  </si>
  <si>
    <t xml:space="preserve">Ringkasan: lembar jawaban soal berjenis ringkasan</t>
  </si>
  <si>
    <t xml:space="preserve">Sel hijau berisi rumus kunci.</t>
  </si>
  <si>
    <t xml:space="preserve">Pertanyaan</t>
  </si>
  <si>
    <t xml:space="preserve">Jawaban</t>
  </si>
  <si>
    <t xml:space="preserve">Contoh format hasil</t>
  </si>
  <si>
    <t xml:space="preserve">8a</t>
  </si>
  <si>
    <t xml:space="preserve">Tiket Terpenuhi</t>
  </si>
  <si>
    <t xml:space="preserve">Angka bulat, mis. 12</t>
  </si>
  <si>
    <t xml:space="preserve">8b</t>
  </si>
  <si>
    <t xml:space="preserve">Tiket Mepet</t>
  </si>
  <si>
    <t xml:space="preserve">Angka bulat, mis. 8</t>
  </si>
  <si>
    <t xml:space="preserve">8c</t>
  </si>
  <si>
    <t xml:space="preserve">Angka bulat, mis. 6</t>
  </si>
  <si>
    <t xml:space="preserve">9a</t>
  </si>
  <si>
    <t xml:space="preserve">Persen tiket Terlampaui</t>
  </si>
  <si>
    <t xml:space="preserve">Persen, mis. 25,5%</t>
  </si>
  <si>
    <t xml:space="preserve">9b</t>
  </si>
  <si>
    <t xml:space="preserve">Total jam lewat SLA</t>
  </si>
  <si>
    <t xml:space="preserve">Angka desimal, mis. 55,75</t>
  </si>
  <si>
    <t xml:space="preserve">10a</t>
  </si>
  <si>
    <t xml:space="preserve">Pelapor tiket dengan durasi terlama</t>
  </si>
  <si>
    <t xml:space="preserve">Teks: nama pelapor</t>
  </si>
  <si>
    <t xml:space="preserve">10b</t>
  </si>
  <si>
    <t xml:space="preserve">Prioritas dengan rata-rata durasi terlama</t>
  </si>
  <si>
    <t xml:space="preserve">Teks: nama prioritas</t>
  </si>
  <si>
    <t xml:space="preserve">11a</t>
  </si>
  <si>
    <t xml:space="preserve">Rata-rata durasi seluruh tiket</t>
  </si>
  <si>
    <t xml:space="preserve">Angka desimal, mis. 14,50</t>
  </si>
  <si>
    <t xml:space="preserve">11b</t>
  </si>
  <si>
    <t xml:space="preserve">Rata-rata durasi kategori Jaringan</t>
  </si>
  <si>
    <t xml:space="preserve">Angka desimal, mis. 12,25</t>
  </si>
  <si>
    <t xml:space="preserve">12a</t>
  </si>
  <si>
    <t xml:space="preserve">Tiket Aplikasi yang Terlampaui</t>
  </si>
  <si>
    <t xml:space="preserve">Angka bulat, mis. 3</t>
  </si>
  <si>
    <t xml:space="preserve">12b</t>
  </si>
  <si>
    <t xml:space="preserve">Total jam lewat SLA Rendra Utama</t>
  </si>
  <si>
    <t xml:space="preserve">Angka desimal, mis. 18,50</t>
  </si>
</sst>
</file>

<file path=xl/styles.xml><?xml version="1.0" encoding="utf-8"?>
<styleSheet xmlns="http://schemas.openxmlformats.org/spreadsheetml/2006/main">
  <numFmts count="7">
    <numFmt numFmtId="164" formatCode="General"/>
    <numFmt numFmtId="165" formatCode="dd/mm/yyyy"/>
    <numFmt numFmtId="166" formatCode="hh:mm"/>
    <numFmt numFmtId="167" formatCode="0.00"/>
    <numFmt numFmtId="168" formatCode="0"/>
    <numFmt numFmtId="169" formatCode="0%"/>
    <numFmt numFmtId="170"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true" applyProtection="false">
      <alignment horizontal="right" vertical="center" textRotation="0" wrapText="fals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70"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42"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42"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57.75"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55.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7"/>
    <col collapsed="false" customWidth="true" hidden="false" outlineLevel="0" max="4" min="4" style="0" width="11"/>
    <col collapsed="false" customWidth="true" hidden="false" outlineLevel="0" max="5" min="5" style="0" width="17"/>
    <col collapsed="false" customWidth="true" hidden="false" outlineLevel="0" max="6" min="6" style="0" width="13"/>
    <col collapsed="false" customWidth="true" hidden="false" outlineLevel="0" max="7" min="7" style="0" width="10"/>
    <col collapsed="false" customWidth="true" hidden="false" outlineLevel="0" max="8" min="8" style="0" width="14"/>
    <col collapsed="false" customWidth="true" hidden="false" outlineLevel="0" max="11" min="9" style="0" width="11"/>
    <col collapsed="false" customWidth="true" hidden="false" outlineLevel="0" max="13" min="12" style="0" width="13"/>
    <col collapsed="false" customWidth="true" hidden="false" outlineLevel="0" max="14" min="14" style="0" width="3"/>
    <col collapsed="false" customWidth="true" hidden="false" outlineLevel="0" max="15" min="15" style="0" width="30"/>
    <col collapsed="false" customWidth="true" hidden="false" outlineLevel="0" max="16" min="16" style="0" width="16"/>
    <col collapsed="false" customWidth="true" hidden="false" outlineLevel="0" max="17" min="17" style="0" width="42"/>
  </cols>
  <sheetData>
    <row r="1" customFormat="false" ht="33.75" hidden="false" customHeight="true" outlineLevel="0" collapsed="false">
      <c r="A1" s="11" t="s">
        <v>71</v>
      </c>
      <c r="B1" s="11" t="s">
        <v>72</v>
      </c>
      <c r="C1" s="11" t="s">
        <v>73</v>
      </c>
      <c r="D1" s="11" t="s">
        <v>74</v>
      </c>
      <c r="E1" s="11" t="s">
        <v>75</v>
      </c>
      <c r="F1" s="11" t="s">
        <v>76</v>
      </c>
      <c r="G1" s="11" t="s">
        <v>77</v>
      </c>
      <c r="H1" s="11" t="s">
        <v>78</v>
      </c>
      <c r="I1" s="11" t="s">
        <v>79</v>
      </c>
      <c r="J1" s="15" t="s">
        <v>80</v>
      </c>
      <c r="K1" s="15" t="s">
        <v>81</v>
      </c>
      <c r="L1" s="15" t="s">
        <v>82</v>
      </c>
      <c r="M1" s="15" t="s">
        <v>83</v>
      </c>
      <c r="O1" s="16" t="s">
        <v>84</v>
      </c>
      <c r="P1" s="16" t="s">
        <v>85</v>
      </c>
      <c r="Q1" s="16" t="s">
        <v>86</v>
      </c>
    </row>
    <row r="2" customFormat="false" ht="15" hidden="false" customHeight="false" outlineLevel="0" collapsed="false">
      <c r="A2" s="17" t="s">
        <v>87</v>
      </c>
      <c r="B2" s="17" t="s">
        <v>88</v>
      </c>
      <c r="C2" s="17" t="s">
        <v>89</v>
      </c>
      <c r="D2" s="17" t="s">
        <v>90</v>
      </c>
      <c r="E2" s="17" t="s">
        <v>91</v>
      </c>
      <c r="F2" s="18" t="n">
        <v>46313</v>
      </c>
      <c r="G2" s="19" t="n">
        <v>0.572916666666667</v>
      </c>
      <c r="H2" s="18" t="n">
        <v>46313</v>
      </c>
      <c r="I2" s="19" t="n">
        <v>0.78125</v>
      </c>
      <c r="J2" s="20" t="n">
        <f aca="false">ROUND((((H2+I2)-(F2+G2))*24),2)</f>
        <v>5</v>
      </c>
      <c r="K2" s="21" t="n">
        <f aca="false">VLOOKUP(D2,Acuan!$A$2:$B$4,2,FALSE())</f>
        <v>4</v>
      </c>
      <c r="L2" s="22" t="str">
        <f aca="false">IF(J2&gt;K2,"Terlampaui",IF(J2&gt;$P$2*K2,"Mepet","Terpenuhi"))</f>
        <v>Terlampaui</v>
      </c>
      <c r="M2" s="20" t="n">
        <f aca="false">MAX(0,J2-K2)</f>
        <v>1</v>
      </c>
      <c r="O2" s="23" t="s">
        <v>92</v>
      </c>
      <c r="P2" s="24" t="n">
        <v>0.8</v>
      </c>
      <c r="Q2" s="23" t="s">
        <v>93</v>
      </c>
    </row>
    <row r="3" customFormat="false" ht="15" hidden="false" customHeight="false" outlineLevel="0" collapsed="false">
      <c r="A3" s="17" t="s">
        <v>94</v>
      </c>
      <c r="B3" s="17" t="s">
        <v>95</v>
      </c>
      <c r="C3" s="17" t="s">
        <v>96</v>
      </c>
      <c r="D3" s="17" t="s">
        <v>97</v>
      </c>
      <c r="E3" s="17" t="s">
        <v>98</v>
      </c>
      <c r="F3" s="18" t="n">
        <v>46313</v>
      </c>
      <c r="G3" s="19" t="n">
        <v>0.604166666666667</v>
      </c>
      <c r="H3" s="18" t="n">
        <v>46314</v>
      </c>
      <c r="I3" s="19" t="n">
        <v>0.28125</v>
      </c>
      <c r="J3" s="20" t="n">
        <f aca="false">ROUND((((H3+I3)-(F3+G3))*24),2)</f>
        <v>16.25</v>
      </c>
      <c r="K3" s="21" t="n">
        <f aca="false">VLOOKUP(D3,Acuan!$A$2:$B$4,2,FALSE())</f>
        <v>12</v>
      </c>
      <c r="L3" s="22" t="str">
        <f aca="false">IF(J3&gt;K3,"Terlampaui",IF(J3&gt;$P$2*K3,"Mepet","Terpenuhi"))</f>
        <v>Terlampaui</v>
      </c>
      <c r="M3" s="20" t="n">
        <f aca="false">MAX(0,J3-K3)</f>
        <v>4.25</v>
      </c>
    </row>
    <row r="4" customFormat="false" ht="15" hidden="false" customHeight="false" outlineLevel="0" collapsed="false">
      <c r="A4" s="17" t="s">
        <v>99</v>
      </c>
      <c r="B4" s="17" t="s">
        <v>100</v>
      </c>
      <c r="C4" s="17" t="s">
        <v>96</v>
      </c>
      <c r="D4" s="17" t="s">
        <v>90</v>
      </c>
      <c r="E4" s="17" t="s">
        <v>101</v>
      </c>
      <c r="F4" s="18" t="n">
        <v>46302</v>
      </c>
      <c r="G4" s="19" t="n">
        <v>0.59375</v>
      </c>
      <c r="H4" s="18" t="n">
        <v>46302</v>
      </c>
      <c r="I4" s="19" t="n">
        <v>0.625</v>
      </c>
      <c r="J4" s="20" t="n">
        <f aca="false">ROUND((((H4+I4)-(F4+G4))*24),2)</f>
        <v>0.75</v>
      </c>
      <c r="K4" s="21" t="n">
        <f aca="false">VLOOKUP(D4,Acuan!$A$2:$B$4,2,FALSE())</f>
        <v>4</v>
      </c>
      <c r="L4" s="22" t="str">
        <f aca="false">IF(J4&gt;K4,"Terlampaui",IF(J4&gt;$P$2*K4,"Mepet","Terpenuhi"))</f>
        <v>Terpenuhi</v>
      </c>
      <c r="M4" s="20" t="n">
        <f aca="false">MAX(0,J4-K4)</f>
        <v>0</v>
      </c>
    </row>
    <row r="5" customFormat="false" ht="15" hidden="false" customHeight="false" outlineLevel="0" collapsed="false">
      <c r="A5" s="17" t="s">
        <v>102</v>
      </c>
      <c r="B5" s="17" t="s">
        <v>103</v>
      </c>
      <c r="C5" s="17" t="s">
        <v>104</v>
      </c>
      <c r="D5" s="17" t="s">
        <v>105</v>
      </c>
      <c r="E5" s="17" t="s">
        <v>91</v>
      </c>
      <c r="F5" s="18" t="n">
        <v>46316</v>
      </c>
      <c r="G5" s="19" t="n">
        <v>0.458333333333333</v>
      </c>
      <c r="H5" s="18" t="n">
        <v>46318</v>
      </c>
      <c r="I5" s="19" t="n">
        <v>0.552083333333333</v>
      </c>
      <c r="J5" s="20" t="n">
        <f aca="false">ROUND((((H5+I5)-(F5+G5))*24),2)</f>
        <v>50.25</v>
      </c>
      <c r="K5" s="21" t="n">
        <f aca="false">VLOOKUP(D5,Acuan!$A$2:$B$4,2,FALSE())</f>
        <v>48</v>
      </c>
      <c r="L5" s="22" t="str">
        <f aca="false">IF(J5&gt;K5,"Terlampaui",IF(J5&gt;$P$2*K5,"Mepet","Terpenuhi"))</f>
        <v>Terlampaui</v>
      </c>
      <c r="M5" s="20" t="n">
        <f aca="false">MAX(0,J5-K5)</f>
        <v>2.25</v>
      </c>
    </row>
    <row r="6" customFormat="false" ht="15" hidden="false" customHeight="false" outlineLevel="0" collapsed="false">
      <c r="A6" s="17" t="s">
        <v>106</v>
      </c>
      <c r="B6" s="17" t="s">
        <v>107</v>
      </c>
      <c r="C6" s="17" t="s">
        <v>108</v>
      </c>
      <c r="D6" s="17" t="s">
        <v>97</v>
      </c>
      <c r="E6" s="17" t="s">
        <v>101</v>
      </c>
      <c r="F6" s="18" t="n">
        <v>46304</v>
      </c>
      <c r="G6" s="19" t="n">
        <v>0.364583333333333</v>
      </c>
      <c r="H6" s="18" t="n">
        <v>46304</v>
      </c>
      <c r="I6" s="19" t="n">
        <v>0.53125</v>
      </c>
      <c r="J6" s="20" t="n">
        <f aca="false">ROUND((((H6+I6)-(F6+G6))*24),2)</f>
        <v>4</v>
      </c>
      <c r="K6" s="21" t="n">
        <f aca="false">VLOOKUP(D6,Acuan!$A$2:$B$4,2,FALSE())</f>
        <v>12</v>
      </c>
      <c r="L6" s="22" t="str">
        <f aca="false">IF(J6&gt;K6,"Terlampaui",IF(J6&gt;$P$2*K6,"Mepet","Terpenuhi"))</f>
        <v>Terpenuhi</v>
      </c>
      <c r="M6" s="20" t="n">
        <f aca="false">MAX(0,J6-K6)</f>
        <v>0</v>
      </c>
    </row>
    <row r="7" customFormat="false" ht="15" hidden="false" customHeight="false" outlineLevel="0" collapsed="false">
      <c r="A7" s="17" t="s">
        <v>109</v>
      </c>
      <c r="B7" s="17" t="s">
        <v>110</v>
      </c>
      <c r="C7" s="17" t="s">
        <v>108</v>
      </c>
      <c r="D7" s="17" t="s">
        <v>105</v>
      </c>
      <c r="E7" s="17" t="s">
        <v>101</v>
      </c>
      <c r="F7" s="18" t="n">
        <v>46296</v>
      </c>
      <c r="G7" s="19" t="n">
        <v>0.4375</v>
      </c>
      <c r="H7" s="18" t="n">
        <v>46298</v>
      </c>
      <c r="I7" s="19" t="n">
        <v>0.291666666666667</v>
      </c>
      <c r="J7" s="20" t="n">
        <f aca="false">ROUND((((H7+I7)-(F7+G7))*24),2)</f>
        <v>44.5</v>
      </c>
      <c r="K7" s="21" t="n">
        <f aca="false">VLOOKUP(D7,Acuan!$A$2:$B$4,2,FALSE())</f>
        <v>48</v>
      </c>
      <c r="L7" s="22" t="str">
        <f aca="false">IF(J7&gt;K7,"Terlampaui",IF(J7&gt;$P$2*K7,"Mepet","Terpenuhi"))</f>
        <v>Mepet</v>
      </c>
      <c r="M7" s="20" t="n">
        <f aca="false">MAX(0,J7-K7)</f>
        <v>0</v>
      </c>
    </row>
    <row r="8" customFormat="false" ht="15" hidden="false" customHeight="false" outlineLevel="0" collapsed="false">
      <c r="A8" s="17" t="s">
        <v>111</v>
      </c>
      <c r="B8" s="17" t="s">
        <v>112</v>
      </c>
      <c r="C8" s="17" t="s">
        <v>96</v>
      </c>
      <c r="D8" s="17" t="s">
        <v>97</v>
      </c>
      <c r="E8" s="17" t="s">
        <v>113</v>
      </c>
      <c r="F8" s="18" t="n">
        <v>46301</v>
      </c>
      <c r="G8" s="19" t="n">
        <v>0.489583333333333</v>
      </c>
      <c r="H8" s="18" t="n">
        <v>46302</v>
      </c>
      <c r="I8" s="19" t="n">
        <v>0.0416666666666667</v>
      </c>
      <c r="J8" s="20" t="n">
        <f aca="false">ROUND((((H8+I8)-(F8+G8))*24),2)</f>
        <v>13.25</v>
      </c>
      <c r="K8" s="21" t="n">
        <f aca="false">VLOOKUP(D8,Acuan!$A$2:$B$4,2,FALSE())</f>
        <v>12</v>
      </c>
      <c r="L8" s="22" t="str">
        <f aca="false">IF(J8&gt;K8,"Terlampaui",IF(J8&gt;$P$2*K8,"Mepet","Terpenuhi"))</f>
        <v>Terlampaui</v>
      </c>
      <c r="M8" s="20" t="n">
        <f aca="false">MAX(0,J8-K8)</f>
        <v>1.25</v>
      </c>
    </row>
    <row r="9" customFormat="false" ht="15" hidden="false" customHeight="false" outlineLevel="0" collapsed="false">
      <c r="A9" s="17" t="s">
        <v>114</v>
      </c>
      <c r="B9" s="17" t="s">
        <v>115</v>
      </c>
      <c r="C9" s="17" t="s">
        <v>108</v>
      </c>
      <c r="D9" s="17" t="s">
        <v>105</v>
      </c>
      <c r="E9" s="17" t="s">
        <v>101</v>
      </c>
      <c r="F9" s="18" t="n">
        <v>46296</v>
      </c>
      <c r="G9" s="19" t="n">
        <v>0.291666666666667</v>
      </c>
      <c r="H9" s="18" t="n">
        <v>46296</v>
      </c>
      <c r="I9" s="19" t="n">
        <v>0.979166666666667</v>
      </c>
      <c r="J9" s="20" t="n">
        <f aca="false">ROUND((((H9+I9)-(F9+G9))*24),2)</f>
        <v>16.5</v>
      </c>
      <c r="K9" s="21" t="n">
        <f aca="false">VLOOKUP(D9,Acuan!$A$2:$B$4,2,FALSE())</f>
        <v>48</v>
      </c>
      <c r="L9" s="22" t="str">
        <f aca="false">IF(J9&gt;K9,"Terlampaui",IF(J9&gt;$P$2*K9,"Mepet","Terpenuhi"))</f>
        <v>Terpenuhi</v>
      </c>
      <c r="M9" s="20" t="n">
        <f aca="false">MAX(0,J9-K9)</f>
        <v>0</v>
      </c>
    </row>
    <row r="10" customFormat="false" ht="15" hidden="false" customHeight="false" outlineLevel="0" collapsed="false">
      <c r="A10" s="17" t="s">
        <v>116</v>
      </c>
      <c r="B10" s="17" t="s">
        <v>117</v>
      </c>
      <c r="C10" s="17" t="s">
        <v>108</v>
      </c>
      <c r="D10" s="17" t="s">
        <v>90</v>
      </c>
      <c r="E10" s="17" t="s">
        <v>101</v>
      </c>
      <c r="F10" s="18" t="n">
        <v>46308</v>
      </c>
      <c r="G10" s="19" t="n">
        <v>0.416666666666667</v>
      </c>
      <c r="H10" s="18" t="n">
        <v>46308</v>
      </c>
      <c r="I10" s="19" t="n">
        <v>0.479166666666667</v>
      </c>
      <c r="J10" s="20" t="n">
        <f aca="false">ROUND((((H10+I10)-(F10+G10))*24),2)</f>
        <v>1.5</v>
      </c>
      <c r="K10" s="21" t="n">
        <f aca="false">VLOOKUP(D10,Acuan!$A$2:$B$4,2,FALSE())</f>
        <v>4</v>
      </c>
      <c r="L10" s="22" t="str">
        <f aca="false">IF(J10&gt;K10,"Terlampaui",IF(J10&gt;$P$2*K10,"Mepet","Terpenuhi"))</f>
        <v>Terpenuhi</v>
      </c>
      <c r="M10" s="20" t="n">
        <f aca="false">MAX(0,J10-K10)</f>
        <v>0</v>
      </c>
    </row>
    <row r="11" customFormat="false" ht="15" hidden="false" customHeight="false" outlineLevel="0" collapsed="false">
      <c r="A11" s="17" t="s">
        <v>118</v>
      </c>
      <c r="B11" s="17" t="s">
        <v>119</v>
      </c>
      <c r="C11" s="17" t="s">
        <v>108</v>
      </c>
      <c r="D11" s="17" t="s">
        <v>105</v>
      </c>
      <c r="E11" s="17" t="s">
        <v>98</v>
      </c>
      <c r="F11" s="18" t="n">
        <v>46310</v>
      </c>
      <c r="G11" s="19" t="n">
        <v>0.645833333333333</v>
      </c>
      <c r="H11" s="18" t="n">
        <v>46312</v>
      </c>
      <c r="I11" s="19" t="n">
        <v>0.458333333333333</v>
      </c>
      <c r="J11" s="20" t="n">
        <f aca="false">ROUND((((H11+I11)-(F11+G11))*24),2)</f>
        <v>43.5</v>
      </c>
      <c r="K11" s="21" t="n">
        <f aca="false">VLOOKUP(D11,Acuan!$A$2:$B$4,2,FALSE())</f>
        <v>48</v>
      </c>
      <c r="L11" s="22" t="str">
        <f aca="false">IF(J11&gt;K11,"Terlampaui",IF(J11&gt;$P$2*K11,"Mepet","Terpenuhi"))</f>
        <v>Mepet</v>
      </c>
      <c r="M11" s="20" t="n">
        <f aca="false">MAX(0,J11-K11)</f>
        <v>0</v>
      </c>
    </row>
    <row r="12" customFormat="false" ht="15" hidden="false" customHeight="false" outlineLevel="0" collapsed="false">
      <c r="A12" s="17" t="s">
        <v>120</v>
      </c>
      <c r="B12" s="17" t="s">
        <v>121</v>
      </c>
      <c r="C12" s="17" t="s">
        <v>96</v>
      </c>
      <c r="D12" s="17" t="s">
        <v>105</v>
      </c>
      <c r="E12" s="17" t="s">
        <v>101</v>
      </c>
      <c r="F12" s="18" t="n">
        <v>46309</v>
      </c>
      <c r="G12" s="19" t="n">
        <v>0.510416666666667</v>
      </c>
      <c r="H12" s="18" t="n">
        <v>46312</v>
      </c>
      <c r="I12" s="19" t="n">
        <v>0.239583333333333</v>
      </c>
      <c r="J12" s="20" t="n">
        <f aca="false">ROUND((((H12+I12)-(F12+G12))*24),2)</f>
        <v>65.5</v>
      </c>
      <c r="K12" s="21" t="n">
        <f aca="false">VLOOKUP(D12,Acuan!$A$2:$B$4,2,FALSE())</f>
        <v>48</v>
      </c>
      <c r="L12" s="22" t="str">
        <f aca="false">IF(J12&gt;K12,"Terlampaui",IF(J12&gt;$P$2*K12,"Mepet","Terpenuhi"))</f>
        <v>Terlampaui</v>
      </c>
      <c r="M12" s="20" t="n">
        <f aca="false">MAX(0,J12-K12)</f>
        <v>17.5</v>
      </c>
    </row>
    <row r="13" customFormat="false" ht="15" hidden="false" customHeight="false" outlineLevel="0" collapsed="false">
      <c r="A13" s="17" t="s">
        <v>122</v>
      </c>
      <c r="B13" s="17" t="s">
        <v>123</v>
      </c>
      <c r="C13" s="17" t="s">
        <v>89</v>
      </c>
      <c r="D13" s="17" t="s">
        <v>90</v>
      </c>
      <c r="E13" s="17" t="s">
        <v>91</v>
      </c>
      <c r="F13" s="18" t="n">
        <v>46300</v>
      </c>
      <c r="G13" s="19" t="n">
        <v>0.40625</v>
      </c>
      <c r="H13" s="18" t="n">
        <v>46300</v>
      </c>
      <c r="I13" s="19" t="n">
        <v>0.46875</v>
      </c>
      <c r="J13" s="20" t="n">
        <f aca="false">ROUND((((H13+I13)-(F13+G13))*24),2)</f>
        <v>1.5</v>
      </c>
      <c r="K13" s="21" t="n">
        <f aca="false">VLOOKUP(D13,Acuan!$A$2:$B$4,2,FALSE())</f>
        <v>4</v>
      </c>
      <c r="L13" s="22" t="str">
        <f aca="false">IF(J13&gt;K13,"Terlampaui",IF(J13&gt;$P$2*K13,"Mepet","Terpenuhi"))</f>
        <v>Terpenuhi</v>
      </c>
      <c r="M13" s="20" t="n">
        <f aca="false">MAX(0,J13-K13)</f>
        <v>0</v>
      </c>
    </row>
    <row r="14" customFormat="false" ht="15" hidden="false" customHeight="false" outlineLevel="0" collapsed="false">
      <c r="A14" s="17" t="s">
        <v>124</v>
      </c>
      <c r="B14" s="17" t="s">
        <v>125</v>
      </c>
      <c r="C14" s="17" t="s">
        <v>108</v>
      </c>
      <c r="D14" s="17" t="s">
        <v>105</v>
      </c>
      <c r="E14" s="17" t="s">
        <v>91</v>
      </c>
      <c r="F14" s="18" t="n">
        <v>46316</v>
      </c>
      <c r="G14" s="19" t="n">
        <v>0.322916666666667</v>
      </c>
      <c r="H14" s="18" t="n">
        <v>46316</v>
      </c>
      <c r="I14" s="19" t="n">
        <v>0.729166666666667</v>
      </c>
      <c r="J14" s="20" t="n">
        <f aca="false">ROUND((((H14+I14)-(F14+G14))*24),2)</f>
        <v>9.75</v>
      </c>
      <c r="K14" s="21" t="n">
        <f aca="false">VLOOKUP(D14,Acuan!$A$2:$B$4,2,FALSE())</f>
        <v>48</v>
      </c>
      <c r="L14" s="22" t="str">
        <f aca="false">IF(J14&gt;K14,"Terlampaui",IF(J14&gt;$P$2*K14,"Mepet","Terpenuhi"))</f>
        <v>Terpenuhi</v>
      </c>
      <c r="M14" s="20" t="n">
        <f aca="false">MAX(0,J14-K14)</f>
        <v>0</v>
      </c>
    </row>
    <row r="15" customFormat="false" ht="15" hidden="false" customHeight="false" outlineLevel="0" collapsed="false">
      <c r="A15" s="17" t="s">
        <v>126</v>
      </c>
      <c r="B15" s="17" t="s">
        <v>127</v>
      </c>
      <c r="C15" s="17" t="s">
        <v>96</v>
      </c>
      <c r="D15" s="17" t="s">
        <v>97</v>
      </c>
      <c r="E15" s="17" t="s">
        <v>91</v>
      </c>
      <c r="F15" s="18" t="n">
        <v>46299</v>
      </c>
      <c r="G15" s="19" t="n">
        <v>0.6875</v>
      </c>
      <c r="H15" s="18" t="n">
        <v>46300</v>
      </c>
      <c r="I15" s="19" t="n">
        <v>0.270833333333333</v>
      </c>
      <c r="J15" s="20" t="n">
        <f aca="false">ROUND((((H15+I15)-(F15+G15))*24),2)</f>
        <v>14</v>
      </c>
      <c r="K15" s="21" t="n">
        <f aca="false">VLOOKUP(D15,Acuan!$A$2:$B$4,2,FALSE())</f>
        <v>12</v>
      </c>
      <c r="L15" s="22" t="str">
        <f aca="false">IF(J15&gt;K15,"Terlampaui",IF(J15&gt;$P$2*K15,"Mepet","Terpenuhi"))</f>
        <v>Terlampaui</v>
      </c>
      <c r="M15" s="20" t="n">
        <f aca="false">MAX(0,J15-K15)</f>
        <v>2</v>
      </c>
    </row>
    <row r="16" customFormat="false" ht="15" hidden="false" customHeight="false" outlineLevel="0" collapsed="false">
      <c r="A16" s="17" t="s">
        <v>128</v>
      </c>
      <c r="B16" s="17" t="s">
        <v>129</v>
      </c>
      <c r="C16" s="17" t="s">
        <v>89</v>
      </c>
      <c r="D16" s="17" t="s">
        <v>105</v>
      </c>
      <c r="E16" s="17" t="s">
        <v>113</v>
      </c>
      <c r="F16" s="18" t="n">
        <v>46303</v>
      </c>
      <c r="G16" s="19" t="n">
        <v>0.395833333333333</v>
      </c>
      <c r="H16" s="18" t="n">
        <v>46303</v>
      </c>
      <c r="I16" s="19" t="n">
        <v>0.770833333333333</v>
      </c>
      <c r="J16" s="20" t="n">
        <f aca="false">ROUND((((H16+I16)-(F16+G16))*24),2)</f>
        <v>9</v>
      </c>
      <c r="K16" s="21" t="n">
        <f aca="false">VLOOKUP(D16,Acuan!$A$2:$B$4,2,FALSE())</f>
        <v>48</v>
      </c>
      <c r="L16" s="22" t="str">
        <f aca="false">IF(J16&gt;K16,"Terlampaui",IF(J16&gt;$P$2*K16,"Mepet","Terpenuhi"))</f>
        <v>Terpenuhi</v>
      </c>
      <c r="M16" s="20" t="n">
        <f aca="false">MAX(0,J16-K16)</f>
        <v>0</v>
      </c>
    </row>
    <row r="17" customFormat="false" ht="15" hidden="false" customHeight="false" outlineLevel="0" collapsed="false">
      <c r="A17" s="17" t="s">
        <v>130</v>
      </c>
      <c r="B17" s="17" t="s">
        <v>131</v>
      </c>
      <c r="C17" s="17" t="s">
        <v>89</v>
      </c>
      <c r="D17" s="17" t="s">
        <v>90</v>
      </c>
      <c r="E17" s="17" t="s">
        <v>98</v>
      </c>
      <c r="F17" s="18" t="n">
        <v>46315</v>
      </c>
      <c r="G17" s="19" t="n">
        <v>0.479166666666667</v>
      </c>
      <c r="H17" s="18" t="n">
        <v>46315</v>
      </c>
      <c r="I17" s="19" t="n">
        <v>0.635416666666667</v>
      </c>
      <c r="J17" s="20" t="n">
        <f aca="false">ROUND((((H17+I17)-(F17+G17))*24),2)</f>
        <v>3.75</v>
      </c>
      <c r="K17" s="21" t="n">
        <f aca="false">VLOOKUP(D17,Acuan!$A$2:$B$4,2,FALSE())</f>
        <v>4</v>
      </c>
      <c r="L17" s="22" t="str">
        <f aca="false">IF(J17&gt;K17,"Terlampaui",IF(J17&gt;$P$2*K17,"Mepet","Terpenuhi"))</f>
        <v>Mepet</v>
      </c>
      <c r="M17" s="20" t="n">
        <f aca="false">MAX(0,J17-K17)</f>
        <v>0</v>
      </c>
    </row>
    <row r="18" customFormat="false" ht="15" hidden="false" customHeight="false" outlineLevel="0" collapsed="false">
      <c r="A18" s="17" t="s">
        <v>132</v>
      </c>
      <c r="B18" s="17" t="s">
        <v>133</v>
      </c>
      <c r="C18" s="17" t="s">
        <v>96</v>
      </c>
      <c r="D18" s="17" t="s">
        <v>97</v>
      </c>
      <c r="E18" s="17" t="s">
        <v>98</v>
      </c>
      <c r="F18" s="18" t="n">
        <v>46299</v>
      </c>
      <c r="G18" s="19" t="n">
        <v>0.541666666666667</v>
      </c>
      <c r="H18" s="18" t="n">
        <v>46299</v>
      </c>
      <c r="I18" s="19" t="n">
        <v>0.958333333333333</v>
      </c>
      <c r="J18" s="20" t="n">
        <f aca="false">ROUND((((H18+I18)-(F18+G18))*24),2)</f>
        <v>10</v>
      </c>
      <c r="K18" s="21" t="n">
        <f aca="false">VLOOKUP(D18,Acuan!$A$2:$B$4,2,FALSE())</f>
        <v>12</v>
      </c>
      <c r="L18" s="22" t="str">
        <f aca="false">IF(J18&gt;K18,"Terlampaui",IF(J18&gt;$P$2*K18,"Mepet","Terpenuhi"))</f>
        <v>Mepet</v>
      </c>
      <c r="M18" s="20" t="n">
        <f aca="false">MAX(0,J18-K18)</f>
        <v>0</v>
      </c>
    </row>
    <row r="19" customFormat="false" ht="15" hidden="false" customHeight="false" outlineLevel="0" collapsed="false">
      <c r="A19" s="17" t="s">
        <v>134</v>
      </c>
      <c r="B19" s="17" t="s">
        <v>135</v>
      </c>
      <c r="C19" s="17" t="s">
        <v>104</v>
      </c>
      <c r="D19" s="17" t="s">
        <v>105</v>
      </c>
      <c r="E19" s="17" t="s">
        <v>101</v>
      </c>
      <c r="F19" s="18" t="n">
        <v>46298</v>
      </c>
      <c r="G19" s="19" t="n">
        <v>0.583333333333333</v>
      </c>
      <c r="H19" s="18" t="n">
        <v>46299</v>
      </c>
      <c r="I19" s="19" t="n">
        <v>0.34375</v>
      </c>
      <c r="J19" s="20" t="n">
        <f aca="false">ROUND((((H19+I19)-(F19+G19))*24),2)</f>
        <v>18.25</v>
      </c>
      <c r="K19" s="21" t="n">
        <f aca="false">VLOOKUP(D19,Acuan!$A$2:$B$4,2,FALSE())</f>
        <v>48</v>
      </c>
      <c r="L19" s="22" t="str">
        <f aca="false">IF(J19&gt;K19,"Terlampaui",IF(J19&gt;$P$2*K19,"Mepet","Terpenuhi"))</f>
        <v>Terpenuhi</v>
      </c>
      <c r="M19" s="20" t="n">
        <f aca="false">MAX(0,J19-K19)</f>
        <v>0</v>
      </c>
    </row>
    <row r="20" customFormat="false" ht="15" hidden="false" customHeight="false" outlineLevel="0" collapsed="false">
      <c r="A20" s="17" t="s">
        <v>136</v>
      </c>
      <c r="B20" s="17" t="s">
        <v>137</v>
      </c>
      <c r="C20" s="17" t="s">
        <v>89</v>
      </c>
      <c r="D20" s="17" t="s">
        <v>97</v>
      </c>
      <c r="E20" s="17" t="s">
        <v>101</v>
      </c>
      <c r="F20" s="18" t="n">
        <v>46310</v>
      </c>
      <c r="G20" s="19" t="n">
        <v>0.364583333333333</v>
      </c>
      <c r="H20" s="18" t="n">
        <v>46310</v>
      </c>
      <c r="I20" s="19" t="n">
        <v>0.770833333333333</v>
      </c>
      <c r="J20" s="20" t="n">
        <f aca="false">ROUND((((H20+I20)-(F20+G20))*24),2)</f>
        <v>9.75</v>
      </c>
      <c r="K20" s="21" t="n">
        <f aca="false">VLOOKUP(D20,Acuan!$A$2:$B$4,2,FALSE())</f>
        <v>12</v>
      </c>
      <c r="L20" s="22" t="str">
        <f aca="false">IF(J20&gt;K20,"Terlampaui",IF(J20&gt;$P$2*K20,"Mepet","Terpenuhi"))</f>
        <v>Mepet</v>
      </c>
      <c r="M20" s="20" t="n">
        <f aca="false">MAX(0,J20-K20)</f>
        <v>0</v>
      </c>
    </row>
    <row r="21" customFormat="false" ht="15" hidden="false" customHeight="false" outlineLevel="0" collapsed="false">
      <c r="A21" s="17" t="s">
        <v>138</v>
      </c>
      <c r="B21" s="17" t="s">
        <v>139</v>
      </c>
      <c r="C21" s="17" t="s">
        <v>108</v>
      </c>
      <c r="D21" s="17" t="s">
        <v>97</v>
      </c>
      <c r="E21" s="17" t="s">
        <v>98</v>
      </c>
      <c r="F21" s="18" t="n">
        <v>46314</v>
      </c>
      <c r="G21" s="19" t="n">
        <v>0.3125</v>
      </c>
      <c r="H21" s="18" t="n">
        <v>46314</v>
      </c>
      <c r="I21" s="19" t="n">
        <v>0.416666666666667</v>
      </c>
      <c r="J21" s="20" t="n">
        <f aca="false">ROUND((((H21+I21)-(F21+G21))*24),2)</f>
        <v>2.5</v>
      </c>
      <c r="K21" s="21" t="n">
        <f aca="false">VLOOKUP(D21,Acuan!$A$2:$B$4,2,FALSE())</f>
        <v>12</v>
      </c>
      <c r="L21" s="22" t="str">
        <f aca="false">IF(J21&gt;K21,"Terlampaui",IF(J21&gt;$P$2*K21,"Mepet","Terpenuhi"))</f>
        <v>Terpenuhi</v>
      </c>
      <c r="M21" s="20" t="n">
        <f aca="false">MAX(0,J21-K21)</f>
        <v>0</v>
      </c>
    </row>
    <row r="22" customFormat="false" ht="15" hidden="false" customHeight="false" outlineLevel="0" collapsed="false">
      <c r="A22" s="17" t="s">
        <v>140</v>
      </c>
      <c r="B22" s="17" t="s">
        <v>141</v>
      </c>
      <c r="C22" s="17" t="s">
        <v>96</v>
      </c>
      <c r="D22" s="17" t="s">
        <v>97</v>
      </c>
      <c r="E22" s="17" t="s">
        <v>101</v>
      </c>
      <c r="F22" s="18" t="n">
        <v>46312</v>
      </c>
      <c r="G22" s="19" t="n">
        <v>0.447916666666667</v>
      </c>
      <c r="H22" s="18" t="n">
        <v>46313</v>
      </c>
      <c r="I22" s="19" t="n">
        <v>0.135416666666667</v>
      </c>
      <c r="J22" s="20" t="n">
        <f aca="false">ROUND((((H22+I22)-(F22+G22))*24),2)</f>
        <v>16.5</v>
      </c>
      <c r="K22" s="21" t="n">
        <f aca="false">VLOOKUP(D22,Acuan!$A$2:$B$4,2,FALSE())</f>
        <v>12</v>
      </c>
      <c r="L22" s="22" t="str">
        <f aca="false">IF(J22&gt;K22,"Terlampaui",IF(J22&gt;$P$2*K22,"Mepet","Terpenuhi"))</f>
        <v>Terlampaui</v>
      </c>
      <c r="M22" s="20" t="n">
        <f aca="false">MAX(0,J22-K22)</f>
        <v>4.5</v>
      </c>
    </row>
    <row r="23" customFormat="false" ht="15" hidden="false" customHeight="false" outlineLevel="0" collapsed="false">
      <c r="A23" s="17" t="s">
        <v>142</v>
      </c>
      <c r="B23" s="17" t="s">
        <v>143</v>
      </c>
      <c r="C23" s="17" t="s">
        <v>89</v>
      </c>
      <c r="D23" s="17" t="s">
        <v>90</v>
      </c>
      <c r="E23" s="17" t="s">
        <v>113</v>
      </c>
      <c r="F23" s="18" t="n">
        <v>46316</v>
      </c>
      <c r="G23" s="19" t="n">
        <v>0.302083333333333</v>
      </c>
      <c r="H23" s="18" t="n">
        <v>46316</v>
      </c>
      <c r="I23" s="19" t="n">
        <v>0.364583333333333</v>
      </c>
      <c r="J23" s="20" t="n">
        <f aca="false">ROUND((((H23+I23)-(F23+G23))*24),2)</f>
        <v>1.5</v>
      </c>
      <c r="K23" s="21" t="n">
        <f aca="false">VLOOKUP(D23,Acuan!$A$2:$B$4,2,FALSE())</f>
        <v>4</v>
      </c>
      <c r="L23" s="22" t="str">
        <f aca="false">IF(J23&gt;K23,"Terlampaui",IF(J23&gt;$P$2*K23,"Mepet","Terpenuhi"))</f>
        <v>Terpenuhi</v>
      </c>
      <c r="M23" s="20" t="n">
        <f aca="false">MAX(0,J23-K23)</f>
        <v>0</v>
      </c>
    </row>
    <row r="24" customFormat="false" ht="15" hidden="false" customHeight="false" outlineLevel="0" collapsed="false">
      <c r="A24" s="17" t="s">
        <v>144</v>
      </c>
      <c r="B24" s="17" t="s">
        <v>145</v>
      </c>
      <c r="C24" s="17" t="s">
        <v>108</v>
      </c>
      <c r="D24" s="17" t="s">
        <v>97</v>
      </c>
      <c r="E24" s="17" t="s">
        <v>91</v>
      </c>
      <c r="F24" s="18" t="n">
        <v>46306</v>
      </c>
      <c r="G24" s="19" t="n">
        <v>0.489583333333333</v>
      </c>
      <c r="H24" s="18" t="n">
        <v>46306</v>
      </c>
      <c r="I24" s="19" t="n">
        <v>0.927083333333333</v>
      </c>
      <c r="J24" s="20" t="n">
        <f aca="false">ROUND((((H24+I24)-(F24+G24))*24),2)</f>
        <v>10.5</v>
      </c>
      <c r="K24" s="21" t="n">
        <f aca="false">VLOOKUP(D24,Acuan!$A$2:$B$4,2,FALSE())</f>
        <v>12</v>
      </c>
      <c r="L24" s="22" t="str">
        <f aca="false">IF(J24&gt;K24,"Terlampaui",IF(J24&gt;$P$2*K24,"Mepet","Terpenuhi"))</f>
        <v>Mepet</v>
      </c>
      <c r="M24" s="20" t="n">
        <f aca="false">MAX(0,J24-K24)</f>
        <v>0</v>
      </c>
    </row>
    <row r="25" customFormat="false" ht="15" hidden="false" customHeight="false" outlineLevel="0" collapsed="false">
      <c r="A25" s="17" t="s">
        <v>146</v>
      </c>
      <c r="B25" s="17" t="s">
        <v>147</v>
      </c>
      <c r="C25" s="17" t="s">
        <v>104</v>
      </c>
      <c r="D25" s="17" t="s">
        <v>105</v>
      </c>
      <c r="E25" s="17" t="s">
        <v>98</v>
      </c>
      <c r="F25" s="18" t="n">
        <v>46315</v>
      </c>
      <c r="G25" s="19" t="n">
        <v>0.322916666666667</v>
      </c>
      <c r="H25" s="18" t="n">
        <v>46316</v>
      </c>
      <c r="I25" s="19" t="n">
        <v>0.239583333333333</v>
      </c>
      <c r="J25" s="20" t="n">
        <f aca="false">ROUND((((H25+I25)-(F25+G25))*24),2)</f>
        <v>22</v>
      </c>
      <c r="K25" s="21" t="n">
        <f aca="false">VLOOKUP(D25,Acuan!$A$2:$B$4,2,FALSE())</f>
        <v>48</v>
      </c>
      <c r="L25" s="22" t="str">
        <f aca="false">IF(J25&gt;K25,"Terlampaui",IF(J25&gt;$P$2*K25,"Mepet","Terpenuhi"))</f>
        <v>Terpenuhi</v>
      </c>
      <c r="M25" s="20" t="n">
        <f aca="false">MAX(0,J25-K25)</f>
        <v>0</v>
      </c>
    </row>
    <row r="26" customFormat="false" ht="15" hidden="false" customHeight="false" outlineLevel="0" collapsed="false">
      <c r="A26" s="17" t="s">
        <v>148</v>
      </c>
      <c r="B26" s="17" t="s">
        <v>149</v>
      </c>
      <c r="C26" s="17" t="s">
        <v>104</v>
      </c>
      <c r="D26" s="17" t="s">
        <v>105</v>
      </c>
      <c r="E26" s="17" t="s">
        <v>113</v>
      </c>
      <c r="F26" s="18" t="n">
        <v>46314</v>
      </c>
      <c r="G26" s="19" t="n">
        <v>0.645833333333333</v>
      </c>
      <c r="H26" s="18" t="n">
        <v>46318</v>
      </c>
      <c r="I26" s="19" t="n">
        <v>0.114583333333333</v>
      </c>
      <c r="J26" s="20" t="n">
        <f aca="false">ROUND((((H26+I26)-(F26+G26))*24),2)</f>
        <v>83.25</v>
      </c>
      <c r="K26" s="21" t="n">
        <f aca="false">VLOOKUP(D26,Acuan!$A$2:$B$4,2,FALSE())</f>
        <v>48</v>
      </c>
      <c r="L26" s="22" t="str">
        <f aca="false">IF(J26&gt;K26,"Terlampaui",IF(J26&gt;$P$2*K26,"Mepet","Terpenuhi"))</f>
        <v>Terlampaui</v>
      </c>
      <c r="M26" s="20" t="n">
        <f aca="false">MAX(0,J26-K26)</f>
        <v>35.25</v>
      </c>
    </row>
    <row r="27" customFormat="false" ht="15" hidden="false" customHeight="false" outlineLevel="0" collapsed="false">
      <c r="A27" s="17" t="s">
        <v>150</v>
      </c>
      <c r="B27" s="17" t="s">
        <v>151</v>
      </c>
      <c r="C27" s="17" t="s">
        <v>89</v>
      </c>
      <c r="D27" s="17" t="s">
        <v>97</v>
      </c>
      <c r="E27" s="17" t="s">
        <v>98</v>
      </c>
      <c r="F27" s="18" t="n">
        <v>46306</v>
      </c>
      <c r="G27" s="19" t="n">
        <v>0.552083333333333</v>
      </c>
      <c r="H27" s="18" t="n">
        <v>46307</v>
      </c>
      <c r="I27" s="19" t="n">
        <v>0.291666666666667</v>
      </c>
      <c r="J27" s="20" t="n">
        <f aca="false">ROUND((((H27+I27)-(F27+G27))*24),2)</f>
        <v>17.75</v>
      </c>
      <c r="K27" s="21" t="n">
        <f aca="false">VLOOKUP(D27,Acuan!$A$2:$B$4,2,FALSE())</f>
        <v>12</v>
      </c>
      <c r="L27" s="22" t="str">
        <f aca="false">IF(J27&gt;K27,"Terlampaui",IF(J27&gt;$P$2*K27,"Mepet","Terpenuhi"))</f>
        <v>Terlampaui</v>
      </c>
      <c r="M27" s="20" t="n">
        <f aca="false">MAX(0,J27-K27)</f>
        <v>5.75</v>
      </c>
    </row>
    <row r="28" customFormat="false" ht="15" hidden="false" customHeight="false" outlineLevel="0" collapsed="false">
      <c r="A28" s="17" t="s">
        <v>152</v>
      </c>
      <c r="B28" s="17" t="s">
        <v>153</v>
      </c>
      <c r="C28" s="17" t="s">
        <v>104</v>
      </c>
      <c r="D28" s="17" t="s">
        <v>90</v>
      </c>
      <c r="E28" s="17" t="s">
        <v>91</v>
      </c>
      <c r="F28" s="18" t="n">
        <v>46298</v>
      </c>
      <c r="G28" s="19" t="n">
        <v>0.729166666666667</v>
      </c>
      <c r="H28" s="18" t="n">
        <v>46298</v>
      </c>
      <c r="I28" s="19" t="n">
        <v>0.947916666666667</v>
      </c>
      <c r="J28" s="20" t="n">
        <f aca="false">ROUND((((H28+I28)-(F28+G28))*24),2)</f>
        <v>5.25</v>
      </c>
      <c r="K28" s="21" t="n">
        <f aca="false">VLOOKUP(D28,Acuan!$A$2:$B$4,2,FALSE())</f>
        <v>4</v>
      </c>
      <c r="L28" s="22" t="str">
        <f aca="false">IF(J28&gt;K28,"Terlampaui",IF(J28&gt;$P$2*K28,"Mepet","Terpenuhi"))</f>
        <v>Terlampaui</v>
      </c>
      <c r="M28" s="20" t="n">
        <f aca="false">MAX(0,J28-K28)</f>
        <v>1.25</v>
      </c>
    </row>
    <row r="29" customFormat="false" ht="15" hidden="false" customHeight="false" outlineLevel="0" collapsed="false">
      <c r="A29" s="17" t="s">
        <v>154</v>
      </c>
      <c r="B29" s="17" t="s">
        <v>155</v>
      </c>
      <c r="C29" s="17" t="s">
        <v>108</v>
      </c>
      <c r="D29" s="17" t="s">
        <v>97</v>
      </c>
      <c r="E29" s="17" t="s">
        <v>101</v>
      </c>
      <c r="F29" s="18" t="n">
        <v>46301</v>
      </c>
      <c r="G29" s="19" t="n">
        <v>0.729166666666667</v>
      </c>
      <c r="H29" s="18" t="n">
        <v>46302</v>
      </c>
      <c r="I29" s="19" t="n">
        <v>0</v>
      </c>
      <c r="J29" s="20" t="n">
        <f aca="false">ROUND((((H29+I29)-(F29+G29))*24),2)</f>
        <v>6.5</v>
      </c>
      <c r="K29" s="21" t="n">
        <f aca="false">VLOOKUP(D29,Acuan!$A$2:$B$4,2,FALSE())</f>
        <v>12</v>
      </c>
      <c r="L29" s="22" t="str">
        <f aca="false">IF(J29&gt;K29,"Terlampaui",IF(J29&gt;$P$2*K29,"Mepet","Terpenuhi"))</f>
        <v>Terpenuhi</v>
      </c>
      <c r="M29" s="20" t="n">
        <f aca="false">MAX(0,J29-K29)</f>
        <v>0</v>
      </c>
    </row>
    <row r="30" customFormat="false" ht="15" hidden="false" customHeight="false" outlineLevel="0" collapsed="false">
      <c r="A30" s="17" t="s">
        <v>156</v>
      </c>
      <c r="B30" s="17" t="s">
        <v>157</v>
      </c>
      <c r="C30" s="17" t="s">
        <v>89</v>
      </c>
      <c r="D30" s="17" t="s">
        <v>90</v>
      </c>
      <c r="E30" s="17" t="s">
        <v>101</v>
      </c>
      <c r="F30" s="18" t="n">
        <v>46315</v>
      </c>
      <c r="G30" s="19" t="n">
        <v>0.645833333333333</v>
      </c>
      <c r="H30" s="18" t="n">
        <v>46315</v>
      </c>
      <c r="I30" s="19" t="n">
        <v>0.677083333333333</v>
      </c>
      <c r="J30" s="20" t="n">
        <f aca="false">ROUND((((H30+I30)-(F30+G30))*24),2)</f>
        <v>0.75</v>
      </c>
      <c r="K30" s="21" t="n">
        <f aca="false">VLOOKUP(D30,Acuan!$A$2:$B$4,2,FALSE())</f>
        <v>4</v>
      </c>
      <c r="L30" s="22" t="str">
        <f aca="false">IF(J30&gt;K30,"Terlampaui",IF(J30&gt;$P$2*K30,"Mepet","Terpenuhi"))</f>
        <v>Terpenuhi</v>
      </c>
      <c r="M30" s="20" t="n">
        <f aca="false">MAX(0,J30-K30)</f>
        <v>0</v>
      </c>
    </row>
    <row r="31" customFormat="false" ht="15" hidden="false" customHeight="false" outlineLevel="0" collapsed="false">
      <c r="A31" s="17" t="s">
        <v>158</v>
      </c>
      <c r="B31" s="17" t="s">
        <v>159</v>
      </c>
      <c r="C31" s="17" t="s">
        <v>96</v>
      </c>
      <c r="D31" s="17" t="s">
        <v>97</v>
      </c>
      <c r="E31" s="17" t="s">
        <v>113</v>
      </c>
      <c r="F31" s="18" t="n">
        <v>46313</v>
      </c>
      <c r="G31" s="19" t="n">
        <v>0.322916666666667</v>
      </c>
      <c r="H31" s="18" t="n">
        <v>46313</v>
      </c>
      <c r="I31" s="19" t="n">
        <v>0.791666666666667</v>
      </c>
      <c r="J31" s="20" t="n">
        <f aca="false">ROUND((((H31+I31)-(F31+G31))*24),2)</f>
        <v>11.25</v>
      </c>
      <c r="K31" s="21" t="n">
        <f aca="false">VLOOKUP(D31,Acuan!$A$2:$B$4,2,FALSE())</f>
        <v>12</v>
      </c>
      <c r="L31" s="22" t="str">
        <f aca="false">IF(J31&gt;K31,"Terlampaui",IF(J31&gt;$P$2*K31,"Mepet","Terpenuhi"))</f>
        <v>Mepet</v>
      </c>
      <c r="M31" s="20" t="n">
        <f aca="false">MAX(0,J31-K31)</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3"/>
    <col collapsed="false" customWidth="true" hidden="false" outlineLevel="0" max="5" min="4" style="0" width="16"/>
  </cols>
  <sheetData>
    <row r="1" customFormat="false" ht="33.75" hidden="false" customHeight="true" outlineLevel="0" collapsed="false">
      <c r="A1" s="11" t="s">
        <v>74</v>
      </c>
      <c r="B1" s="11" t="s">
        <v>160</v>
      </c>
      <c r="C1" s="15" t="s">
        <v>161</v>
      </c>
      <c r="D1" s="15" t="s">
        <v>162</v>
      </c>
      <c r="E1" s="15" t="s">
        <v>163</v>
      </c>
    </row>
    <row r="2" customFormat="false" ht="15" hidden="false" customHeight="false" outlineLevel="0" collapsed="false">
      <c r="A2" s="17" t="s">
        <v>90</v>
      </c>
      <c r="B2" s="25" t="n">
        <v>4</v>
      </c>
      <c r="C2" s="21" t="n">
        <f aca="false">COUNTIF(Data!$D$2:$D$31,A2)</f>
        <v>8</v>
      </c>
      <c r="D2" s="20" t="n">
        <f aca="false">AVERAGEIF(Data!$D$2:$D$31,A2,Data!$J$2:$J$31)</f>
        <v>2.5</v>
      </c>
      <c r="E2" s="21" t="n">
        <f aca="false">COUNTIFS(Data!$D$2:$D$31,A2,Data!$L$2:$L$31,"Terlampaui")</f>
        <v>2</v>
      </c>
    </row>
    <row r="3" customFormat="false" ht="15" hidden="false" customHeight="false" outlineLevel="0" collapsed="false">
      <c r="A3" s="17" t="s">
        <v>97</v>
      </c>
      <c r="B3" s="25" t="n">
        <v>12</v>
      </c>
      <c r="C3" s="21" t="n">
        <f aca="false">COUNTIF(Data!$D$2:$D$31,A3)</f>
        <v>12</v>
      </c>
      <c r="D3" s="20" t="n">
        <f aca="false">AVERAGEIF(Data!$D$2:$D$31,A3,Data!$J$2:$J$31)</f>
        <v>11.0208333333333</v>
      </c>
      <c r="E3" s="21" t="n">
        <f aca="false">COUNTIFS(Data!$D$2:$D$31,A3,Data!$L$2:$L$31,"Terlampaui")</f>
        <v>5</v>
      </c>
    </row>
    <row r="4" customFormat="false" ht="15" hidden="false" customHeight="false" outlineLevel="0" collapsed="false">
      <c r="A4" s="17" t="s">
        <v>105</v>
      </c>
      <c r="B4" s="25" t="n">
        <v>48</v>
      </c>
      <c r="C4" s="21" t="n">
        <f aca="false">COUNTIF(Data!$D$2:$D$31,A4)</f>
        <v>10</v>
      </c>
      <c r="D4" s="20" t="n">
        <f aca="false">AVERAGEIF(Data!$D$2:$D$31,A4,Data!$J$2:$J$31)</f>
        <v>36.25</v>
      </c>
      <c r="E4" s="21" t="n">
        <f aca="false">COUNTIFS(Data!$D$2:$D$31,A4,Data!$L$2:$L$31,"Terlampaui")</f>
        <v>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164</v>
      </c>
      <c r="B1" s="26"/>
      <c r="C1" s="26"/>
      <c r="D1" s="26"/>
    </row>
    <row r="2" customFormat="false" ht="15" hidden="false" customHeight="false" outlineLevel="0" collapsed="false">
      <c r="A2" s="27" t="s">
        <v>165</v>
      </c>
      <c r="B2" s="27"/>
      <c r="C2" s="27"/>
      <c r="D2" s="27"/>
    </row>
    <row r="3" customFormat="false" ht="15" hidden="false" customHeight="false" outlineLevel="0" collapsed="false">
      <c r="A3" s="11" t="s">
        <v>19</v>
      </c>
      <c r="B3" s="11" t="s">
        <v>166</v>
      </c>
      <c r="C3" s="11" t="s">
        <v>167</v>
      </c>
      <c r="D3" s="11" t="s">
        <v>168</v>
      </c>
    </row>
    <row r="4" customFormat="false" ht="15" hidden="false" customHeight="false" outlineLevel="0" collapsed="false">
      <c r="A4" s="28" t="s">
        <v>169</v>
      </c>
      <c r="B4" s="29" t="s">
        <v>170</v>
      </c>
      <c r="C4" s="21" t="n">
        <f aca="false">COUNTIF(Data!$L$2:$L$31,"Terpenuhi")</f>
        <v>13</v>
      </c>
      <c r="D4" s="30" t="s">
        <v>171</v>
      </c>
    </row>
    <row r="5" customFormat="false" ht="15" hidden="false" customHeight="false" outlineLevel="0" collapsed="false">
      <c r="A5" s="28" t="s">
        <v>172</v>
      </c>
      <c r="B5" s="29" t="s">
        <v>173</v>
      </c>
      <c r="C5" s="21" t="n">
        <f aca="false">COUNTIF(Data!$L$2:$L$31,"Mepet")</f>
        <v>7</v>
      </c>
      <c r="D5" s="30" t="s">
        <v>174</v>
      </c>
    </row>
    <row r="6" customFormat="false" ht="15" hidden="false" customHeight="false" outlineLevel="0" collapsed="false">
      <c r="A6" s="28" t="s">
        <v>175</v>
      </c>
      <c r="B6" s="29" t="s">
        <v>163</v>
      </c>
      <c r="C6" s="21" t="n">
        <f aca="false">COUNTIF(Data!$L$2:$L$31,"Terlampaui")</f>
        <v>10</v>
      </c>
      <c r="D6" s="30" t="s">
        <v>176</v>
      </c>
    </row>
    <row r="7" customFormat="false" ht="15" hidden="false" customHeight="false" outlineLevel="0" collapsed="false">
      <c r="A7" s="28" t="s">
        <v>177</v>
      </c>
      <c r="B7" s="29" t="s">
        <v>178</v>
      </c>
      <c r="C7" s="31" t="n">
        <f aca="false">COUNTIF(Data!$L$2:$L$31,"Terlampaui")/COUNTA(Data!$A$2:$A$31)</f>
        <v>0.333333333333333</v>
      </c>
      <c r="D7" s="30" t="s">
        <v>179</v>
      </c>
    </row>
    <row r="8" customFormat="false" ht="15" hidden="false" customHeight="false" outlineLevel="0" collapsed="false">
      <c r="A8" s="28" t="s">
        <v>180</v>
      </c>
      <c r="B8" s="29" t="s">
        <v>181</v>
      </c>
      <c r="C8" s="20" t="n">
        <f aca="false">SUM(Data!$M$2:$M$31)</f>
        <v>75</v>
      </c>
      <c r="D8" s="30" t="s">
        <v>182</v>
      </c>
    </row>
    <row r="9" customFormat="false" ht="15" hidden="false" customHeight="false" outlineLevel="0" collapsed="false">
      <c r="A9" s="28" t="s">
        <v>183</v>
      </c>
      <c r="B9" s="29" t="s">
        <v>184</v>
      </c>
      <c r="C9" s="22" t="str">
        <f aca="false">INDEX(Data!$B$2:$B$31,MATCH(MAX(Data!$J$2:$J$31),Data!$J$2:$J$31,0))</f>
        <v>Rizki Sari</v>
      </c>
      <c r="D9" s="30" t="s">
        <v>185</v>
      </c>
    </row>
    <row r="10" customFormat="false" ht="15" hidden="false" customHeight="false" outlineLevel="0" collapsed="false">
      <c r="A10" s="28" t="s">
        <v>186</v>
      </c>
      <c r="B10" s="29" t="s">
        <v>187</v>
      </c>
      <c r="C10" s="22" t="str">
        <f aca="false">INDEX(Acuan!$A$2:$A$4,MATCH(MAX(Acuan!$D$2:$D$4),Acuan!$D$2:$D$4,0))</f>
        <v>Rendah</v>
      </c>
      <c r="D10" s="30" t="s">
        <v>188</v>
      </c>
    </row>
    <row r="11" customFormat="false" ht="15" hidden="false" customHeight="false" outlineLevel="0" collapsed="false">
      <c r="A11" s="28" t="s">
        <v>189</v>
      </c>
      <c r="B11" s="29" t="s">
        <v>190</v>
      </c>
      <c r="C11" s="20" t="n">
        <f aca="false">AVERAGE(Data!$J$2:$J$31)</f>
        <v>17.1583333333333</v>
      </c>
      <c r="D11" s="30" t="s">
        <v>191</v>
      </c>
    </row>
    <row r="12" customFormat="false" ht="15" hidden="false" customHeight="false" outlineLevel="0" collapsed="false">
      <c r="A12" s="28" t="s">
        <v>192</v>
      </c>
      <c r="B12" s="29" t="s">
        <v>193</v>
      </c>
      <c r="C12" s="20" t="n">
        <f aca="false">AVERAGEIF(Data!$C$2:$C$31,"Jaringan",Data!$J$2:$J$31)</f>
        <v>18.4375</v>
      </c>
      <c r="D12" s="30" t="s">
        <v>194</v>
      </c>
    </row>
    <row r="13" customFormat="false" ht="15" hidden="false" customHeight="false" outlineLevel="0" collapsed="false">
      <c r="A13" s="28" t="s">
        <v>195</v>
      </c>
      <c r="B13" s="29" t="s">
        <v>196</v>
      </c>
      <c r="C13" s="21" t="n">
        <f aca="false">COUNTIFS(Data!$C$2:$C$31,"Aplikasi",Data!$L$2:$L$31,"Terlampaui")</f>
        <v>2</v>
      </c>
      <c r="D13" s="30" t="s">
        <v>197</v>
      </c>
    </row>
    <row r="14" customFormat="false" ht="15" hidden="false" customHeight="false" outlineLevel="0" collapsed="false">
      <c r="A14" s="28" t="s">
        <v>198</v>
      </c>
      <c r="B14" s="29" t="s">
        <v>199</v>
      </c>
      <c r="C14" s="20" t="n">
        <f aca="false">SUMIF(Data!$E$2:$E$31,"Rendra Utama",Data!$M$2:$M$31)</f>
        <v>36.5</v>
      </c>
      <c r="D14" s="30" t="s">
        <v>200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2026-10-16T10:35:50Z</dcterms:created>
  <dc:creator>PushExcel</dc:creator>
  <dc:description/>
  <dc:language>en-US</dc:language>
  <cp:lastModifiedBy/>
  <dcterms:modified xsi:type="dcterms:W3CDTF">2026-10-16T10:35:50Z</dcterms:modified>
  <cp:revision>0</cp:revision>
  <dc:subject/>
  <dc:title>Tiket Helpdesk TI dan Pemenuhan SLA - Kunci</dc:title>
</cp:coreProperties>
</file>

<file path=docProps/custom.xml><?xml version="1.0" encoding="utf-8"?>
<Properties xmlns="http://schemas.openxmlformats.org/officeDocument/2006/custom-properties" xmlns:vt="http://schemas.openxmlformats.org/officeDocument/2006/docPropsVTypes"/>
</file>