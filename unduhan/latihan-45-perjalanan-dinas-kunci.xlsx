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<sst xmlns="http://schemas.openxmlformats.org/spreadsheetml/2006/main" count="211" uniqueCount="146">
  <si>
    <t xml:space="preserve">Kunci Jawaban: Biaya Perjalanan Dinas Pegawai</t>
  </si>
  <si>
    <t xml:space="preserve">Latihan 45 dari 56  |  Tingkat: Menengah  |  Perkiraan waktu: 50 menit  |  pushexcel.github.io/Pushexcel</t>
  </si>
  <si>
    <t xml:space="preserve">Skenario</t>
  </si>
  <si>
    <t xml:space="preserve">Kamu staf keuangan PT Wira Nusantara. Selama September sampai November 2026 ada 24 perjalanan dinas. Uang saku per hari dan tarif hotel per malam tiap kota tujuan ada di sheet Acuan. Lama dinas dihitung dari tanggal berangkat sampai kembali (kedua hari dihitung), sedangkan hotel hanya dibayar untuk malam menginap, yaitu lama dinas dikurangi satu. Perjalanan dengan total biaya sama dengan atau di atas Rp 6.000.000 harus disetujui direktur, sisanya cukup disetujui manajer.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</si>
  <si>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</si>
  <si>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</si>
  <si>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</si>
  <si>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</si>
  <si>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</si>
  <si>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</si>
  <si>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</si>
  <si>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</si>
  <si>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</si>
  <si>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</si>
  <si>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</si>
  <si>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</si>
  <si>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</si>
  <si>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</si>
  <si>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</si>
  <si>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</si>
  <si>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</si>
  <si>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</si>
  <si>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</si>
  <si>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</si>
  <si>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lama dinas dalam hari: tanggal kembali dikurangi tanggal berangkat, ditambah 1.</t>
  </si>
  <si>
    <t xml:space="preserve">Sheet Data, kolom G (Lama Dinas), baris 2 sampai 25</t>
  </si>
  <si>
    <t xml:space="preserve">=D2-C2+1</t>
  </si>
  <si>
    <t xml:space="preserve">2</t>
  </si>
  <si>
    <t xml:space="preserve">Hitung uang saku: lama dinas dikali uang saku per hari kota tujuan (ambil dari sheet Acuan).</t>
  </si>
  <si>
    <t xml:space="preserve">Sheet Data, kolom H (Uang Saku), baris 2 sampai 25</t>
  </si>
  <si>
    <t xml:space="preserve">=G2*VLOOKUP(B2;Acuan!$A$2:$C$7;2;FALSE)</t>
  </si>
  <si>
    <t xml:space="preserve">3</t>
  </si>
  <si>
    <t xml:space="preserve">Hitung biaya hotel: jumlah malam (lama dinas dikurangi 1) dikali tarif hotel kota tujuan.</t>
  </si>
  <si>
    <t xml:space="preserve">Sheet Data, kolom I (Biaya Hotel), baris 2 sampai 25</t>
  </si>
  <si>
    <t xml:space="preserve">=(G2-1)*VLOOKUP(B2;Acuan!$A$2:$C$7;3;FALSE)</t>
  </si>
  <si>
    <t xml:space="preserve">4</t>
  </si>
  <si>
    <t xml:space="preserve">Hitung total biaya perjalanan: biaya transport ditambah uang saku dan biaya hotel.</t>
  </si>
  <si>
    <t xml:space="preserve">Sheet Data, kolom J (Total Biaya), baris 2 sampai 25</t>
  </si>
  <si>
    <t xml:space="preserve">=F2+H2+I2</t>
  </si>
  <si>
    <t xml:space="preserve">5</t>
  </si>
  <si>
    <t xml:space="preserve">Tentukan pihak yang menyetujui: Direktur bila total biaya sama dengan atau di atas batas, selain itu Manajer.</t>
  </si>
  <si>
    <t xml:space="preserve">Sheet Data, kolom K (Persetujuan), baris 2 sampai 25</t>
  </si>
  <si>
    <t xml:space="preserve">=IF(J2&gt;=$O$2;"Direktur";"Manajer")</t>
  </si>
  <si>
    <t xml:space="preserve">6</t>
  </si>
  <si>
    <t xml:space="preserve">Tulis Ya bila tanggal berangkat jatuh pada Sabtu atau Minggu, selain itu Tidak.</t>
  </si>
  <si>
    <t xml:space="preserve">Sheet Data, kolom L (Akhir Pekan), baris 2 sampai 25</t>
  </si>
  <si>
    <t xml:space="preserve">=IF(WEEKDAY(C2;2)&gt;5;"Ya";"Tidak")</t>
  </si>
  <si>
    <t xml:space="preserve">7</t>
  </si>
  <si>
    <t xml:space="preserve">Pada sheet Acuan, hitung jumlah perjalanan ke tiap kota tujuan.</t>
  </si>
  <si>
    <t xml:space="preserve">Sheet Acuan, kolom D (Jumlah Perjalanan), baris 2 sampai 7</t>
  </si>
  <si>
    <t xml:space="preserve">=COUNTIF(Data!$B$2:$B$25;A2)</t>
  </si>
  <si>
    <t xml:space="preserve">8</t>
  </si>
  <si>
    <t xml:space="preserve">Pada sheet Acuan, hitung total biaya perjalanan ke tiap kota.</t>
  </si>
  <si>
    <t xml:space="preserve">Sheet Acuan, kolom E (Total Biaya Kota), baris 2 sampai 7</t>
  </si>
  <si>
    <t xml:space="preserve">=SUMIF(Data!$B$2:$B$25;A2;Data!$J$2:$J$25)</t>
  </si>
  <si>
    <t xml:space="preserve">9</t>
  </si>
  <si>
    <t xml:space="preserve">Berapa total biaya seluruh perjalanan, dan berapa rata-rata biaya per perjalanan?</t>
  </si>
  <si>
    <t xml:space="preserve">Sheet Ringkasan, sel C4 sampai C5</t>
  </si>
  <si>
    <t xml:space="preserve">=SUM(Data!$J$2:$J$25)
=AVERAGE(Data!$J$2:$J$25)</t>
  </si>
  <si>
    <t xml:space="preserve">10</t>
  </si>
  <si>
    <t xml:space="preserve">Berapa perjalanan yang harus disetujui direktur, dan berapa total biayanya?</t>
  </si>
  <si>
    <t xml:space="preserve">Sheet Ringkasan, sel C6 sampai C7</t>
  </si>
  <si>
    <t xml:space="preserve">=COUNTIF(Data!$K$2:$K$25;"Direktur")
=SUMIF(Data!$K$2:$K$25;"Direktur";Data!$J$2:$J$25)</t>
  </si>
  <si>
    <t xml:space="preserve">11</t>
  </si>
  <si>
    <t xml:space="preserve">Kota mana yang paling sering dituju, dan kota mana yang total biayanya terbesar?</t>
  </si>
  <si>
    <t xml:space="preserve">Sheet Ringkasan, sel C8 sampai C9</t>
  </si>
  <si>
    <t xml:space="preserve">=INDEX(Acuan!$A$2:$A$7;MATCH(MAX(Acuan!$D$2:$D$7);Acuan!$D$2:$D$7;0))
=INDEX(Acuan!$A$2:$A$7;MATCH(MAX(Acuan!$E$2:$E$7);Acuan!$E$2:$E$7;0))</t>
  </si>
  <si>
    <t xml:space="preserve">12</t>
  </si>
  <si>
    <t xml:space="preserve">Berapa hari dinas terlama, dan siapa pegawai yang menjalaninya?</t>
  </si>
  <si>
    <t xml:space="preserve">Sheet Ringkasan, sel C10 sampai C11</t>
  </si>
  <si>
    <t xml:space="preserve">=MAX(Data!$G$2:$G$25)
=INDEX(Data!$A$2:$A$25;MATCH(MAX(Data!$G$2:$G$25);Data!$G$2:$G$25;0))</t>
  </si>
  <si>
    <t xml:space="preserve">13</t>
  </si>
  <si>
    <t xml:space="preserve">Berapa total hari dinas yang memakai pesawat, dan berapa perjalanan berpesawat yang berangkat pada akhir pekan?</t>
  </si>
  <si>
    <t xml:space="preserve">Sheet Ringkasan, sel C12 sampai C13</t>
  </si>
  <si>
    <t xml:space="preserve">=SUMIF(Data!$E$2:$E$25;"Pesawat";Data!$G$2:$G$25)
=COUNTIFS(Data!$E$2:$E$25;"Pesawat";Data!$L$2:$L$25;"Ya")</t>
  </si>
  <si>
    <t xml:space="preserve">Pegawai</t>
  </si>
  <si>
    <t xml:space="preserve">Tujuan</t>
  </si>
  <si>
    <t xml:space="preserve">Berangkat</t>
  </si>
  <si>
    <t xml:space="preserve">Kembali</t>
  </si>
  <si>
    <t xml:space="preserve">Moda</t>
  </si>
  <si>
    <t xml:space="preserve">Biaya Transport</t>
  </si>
  <si>
    <t xml:space="preserve">Lama Dinas</t>
  </si>
  <si>
    <t xml:space="preserve">Uang Saku</t>
  </si>
  <si>
    <t xml:space="preserve">Biaya Hotel</t>
  </si>
  <si>
    <t xml:space="preserve">Total Biaya</t>
  </si>
  <si>
    <t xml:space="preserve">Persetujuan</t>
  </si>
  <si>
    <t xml:space="preserve">Akhir Pekan</t>
  </si>
  <si>
    <t xml:space="preserve">Parameter</t>
  </si>
  <si>
    <t xml:space="preserve">Nilai</t>
  </si>
  <si>
    <t xml:space="preserve">Keterangan</t>
  </si>
  <si>
    <t xml:space="preserve">Dimas Fauzi</t>
  </si>
  <si>
    <t xml:space="preserve">Yogyakarta</t>
  </si>
  <si>
    <t xml:space="preserve">Bus</t>
  </si>
  <si>
    <t xml:space="preserve">Batas persetujuan direktur</t>
  </si>
  <si>
    <t xml:space="preserve">Total biaya sama dengan atau di atas batas = Direktur</t>
  </si>
  <si>
    <t xml:space="preserve">Intan Pangestu</t>
  </si>
  <si>
    <t xml:space="preserve">Medan</t>
  </si>
  <si>
    <t xml:space="preserve">Pesawat</t>
  </si>
  <si>
    <t xml:space="preserve">Rina Hidayat</t>
  </si>
  <si>
    <t xml:space="preserve">Surabaya</t>
  </si>
  <si>
    <t xml:space="preserve">Kereta</t>
  </si>
  <si>
    <t xml:space="preserve">Jakarta</t>
  </si>
  <si>
    <t xml:space="preserve">Joko Purnomo</t>
  </si>
  <si>
    <t xml:space="preserve">Novi Pangestu</t>
  </si>
  <si>
    <t xml:space="preserve">Makassar</t>
  </si>
  <si>
    <t xml:space="preserve">Tika Hartono</t>
  </si>
  <si>
    <t xml:space="preserve">Denpasar</t>
  </si>
  <si>
    <t xml:space="preserve">Vina Pangestu</t>
  </si>
  <si>
    <t xml:space="preserve">Citra Wijaya</t>
  </si>
  <si>
    <t xml:space="preserve">Uang Saku per Hari</t>
  </si>
  <si>
    <t xml:space="preserve">Tarif Hotel</t>
  </si>
  <si>
    <t xml:space="preserve">Jumlah Perjalanan</t>
  </si>
  <si>
    <t xml:space="preserve">Total Biaya Kota</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</si>
  <si>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</si>
  <si>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</si>
  <si>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</si>
  <si>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</si>
  <si>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</si>
  <si>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</si>
  <si>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biaya seluruh perjalanan</t>
  </si>
  <si>
    <t xml:space="preserve">Rupiah, mis. Rp 100.000.000</t>
  </si>
  <si>
    <t xml:space="preserve">9b</t>
  </si>
  <si>
    <t xml:space="preserve">Rata-rata biaya per perjalanan</t>
  </si>
  <si>
    <t xml:space="preserve">Rupiah, mis. Rp 4.500.000</t>
  </si>
  <si>
    <t xml:space="preserve">10a</t>
  </si>
  <si>
    <t xml:space="preserve">Jumlah perjalanan disetujui direktur</t>
  </si>
  <si>
    <t xml:space="preserve">Angka bulat, mis. 8</t>
  </si>
  <si>
    <t xml:space="preserve">10b</t>
  </si>
  <si>
    <t xml:space="preserve">Total biaya perjalanan disetujui direktur</t>
  </si>
  <si>
    <t xml:space="preserve">Rupiah, mis. Rp 60.000.000</t>
  </si>
  <si>
    <t xml:space="preserve">11a</t>
  </si>
  <si>
    <t xml:space="preserve">Kota paling sering dituju</t>
  </si>
  <si>
    <t xml:space="preserve">Teks: nama kota</t>
  </si>
  <si>
    <t xml:space="preserve">11b</t>
  </si>
  <si>
    <t xml:space="preserve">Kota dengan total biaya terbesar</t>
  </si>
  <si>
    <t xml:space="preserve">12a</t>
  </si>
  <si>
    <t xml:space="preserve">Lama dinas terlama (hari)</t>
  </si>
  <si>
    <t xml:space="preserve">12b</t>
  </si>
  <si>
    <t xml:space="preserve">Pegawai dengan dinas terlama</t>
  </si>
  <si>
    <t xml:space="preserve">Teks: nama pegawai</t>
  </si>
  <si>
    <t xml:space="preserve">13a</t>
  </si>
  <si>
    <t xml:space="preserve">Total hari dinas dengan pesawat</t>
  </si>
  <si>
    <t xml:space="preserve">Angka bulat, mis. 40</t>
  </si>
  <si>
    <t xml:space="preserve">13b</t>
  </si>
  <si>
    <t xml:space="preserve">Perjalanan berpesawat berangkat akhir pekan</t>
  </si>
  <si>
    <t xml:space="preserve">Angka bulat, mis. 3</t>
  </si>
</sst>
</file>

<file path=xl/styles.xml><?xml version="1.0" encoding="utf-8"?>
<styleSheet xmlns="http://schemas.openxmlformats.org/spreadsheetml/2006/main">
  <numFmts count="4">
    <numFmt numFmtId="164" formatCode="General"/>
    <numFmt numFmtId="165" formatCode="dd/mm/yyyy"/>
    <numFmt numFmtId="166" formatCode="&quot;Rp &quot;#,##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2"/>
    <col collapsed="false" customWidth="true" hidden="false" outlineLevel="0" max="5" min="5" style="0" width="10"/>
    <col collapsed="false" customWidth="true" hidden="false" outlineLevel="0" max="6" min="6" style="0" width="15"/>
    <col collapsed="false" customWidth="true" hidden="false" outlineLevel="0" max="7" min="7" style="0" width="11"/>
    <col collapsed="false" customWidth="true" hidden="false" outlineLevel="0" max="9" min="8" style="0" width="14"/>
    <col collapsed="false" customWidth="true" hidden="false" outlineLevel="0" max="10" min="10" style="0" width="15"/>
    <col collapsed="false" customWidth="true" hidden="false" outlineLevel="0" max="12" min="11" style="0" width="12"/>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1" t="s">
        <v>75</v>
      </c>
      <c r="B1" s="11" t="s">
        <v>76</v>
      </c>
      <c r="C1" s="11" t="s">
        <v>77</v>
      </c>
      <c r="D1" s="11" t="s">
        <v>78</v>
      </c>
      <c r="E1" s="11" t="s">
        <v>79</v>
      </c>
      <c r="F1" s="11" t="s">
        <v>80</v>
      </c>
      <c r="G1" s="15" t="s">
        <v>81</v>
      </c>
      <c r="H1" s="15" t="s">
        <v>82</v>
      </c>
      <c r="I1" s="15" t="s">
        <v>83</v>
      </c>
      <c r="J1" s="15" t="s">
        <v>84</v>
      </c>
      <c r="K1" s="15" t="s">
        <v>85</v>
      </c>
      <c r="L1" s="15" t="s">
        <v>86</v>
      </c>
      <c r="N1" s="16" t="s">
        <v>87</v>
      </c>
      <c r="O1" s="16" t="s">
        <v>88</v>
      </c>
      <c r="P1" s="16" t="s">
        <v>89</v>
      </c>
    </row>
    <row r="2" customFormat="false" ht="15" hidden="false" customHeight="false" outlineLevel="0" collapsed="false">
      <c r="A2" s="17" t="s">
        <v>90</v>
      </c>
      <c r="B2" s="17" t="s">
        <v>91</v>
      </c>
      <c r="C2" s="18" t="n">
        <v>46276</v>
      </c>
      <c r="D2" s="18" t="n">
        <v>46277</v>
      </c>
      <c r="E2" s="17" t="s">
        <v>92</v>
      </c>
      <c r="F2" s="19" t="n">
        <v>250000</v>
      </c>
      <c r="G2" s="20" t="n">
        <f aca="false">D2-C2+1</f>
        <v>2</v>
      </c>
      <c r="H2" s="21" t="n">
        <f aca="false">G2*VLOOKUP(B2,Acuan!$A$2:$C$7,2,FALSE())</f>
        <v>700000</v>
      </c>
      <c r="I2" s="21" t="n">
        <f aca="false">(G2-1)*VLOOKUP(B2,Acuan!$A$2:$C$7,3,FALSE())</f>
        <v>500000</v>
      </c>
      <c r="J2" s="21" t="n">
        <f aca="false">F2+H2+I2</f>
        <v>1450000</v>
      </c>
      <c r="K2" s="22" t="str">
        <f aca="false">IF(J2&gt;=$O$2,"Direktur","Manajer")</f>
        <v>Manajer</v>
      </c>
      <c r="L2" s="22" t="str">
        <f aca="false">IF(WEEKDAY(C2,2)&gt;5,"Ya","Tidak")</f>
        <v>Tidak</v>
      </c>
      <c r="N2" s="23" t="s">
        <v>93</v>
      </c>
      <c r="O2" s="24" t="n">
        <v>6000000</v>
      </c>
      <c r="P2" s="23" t="s">
        <v>94</v>
      </c>
    </row>
    <row r="3" customFormat="false" ht="15" hidden="false" customHeight="false" outlineLevel="0" collapsed="false">
      <c r="A3" s="17" t="s">
        <v>95</v>
      </c>
      <c r="B3" s="17" t="s">
        <v>96</v>
      </c>
      <c r="C3" s="18" t="n">
        <v>46278</v>
      </c>
      <c r="D3" s="18" t="n">
        <v>46279</v>
      </c>
      <c r="E3" s="17" t="s">
        <v>97</v>
      </c>
      <c r="F3" s="19" t="n">
        <v>1800000</v>
      </c>
      <c r="G3" s="20" t="n">
        <f aca="false">D3-C3+1</f>
        <v>2</v>
      </c>
      <c r="H3" s="21" t="n">
        <f aca="false">G3*VLOOKUP(B3,Acuan!$A$2:$C$7,2,FALSE())</f>
        <v>900000</v>
      </c>
      <c r="I3" s="21" t="n">
        <f aca="false">(G3-1)*VLOOKUP(B3,Acuan!$A$2:$C$7,3,FALSE())</f>
        <v>550000</v>
      </c>
      <c r="J3" s="21" t="n">
        <f aca="false">F3+H3+I3</f>
        <v>3250000</v>
      </c>
      <c r="K3" s="22" t="str">
        <f aca="false">IF(J3&gt;=$O$2,"Direktur","Manajer")</f>
        <v>Manajer</v>
      </c>
      <c r="L3" s="22" t="str">
        <f aca="false">IF(WEEKDAY(C3,2)&gt;5,"Ya","Tidak")</f>
        <v>Ya</v>
      </c>
    </row>
    <row r="4" customFormat="false" ht="15" hidden="false" customHeight="false" outlineLevel="0" collapsed="false">
      <c r="A4" s="17" t="s">
        <v>98</v>
      </c>
      <c r="B4" s="17" t="s">
        <v>99</v>
      </c>
      <c r="C4" s="18" t="n">
        <v>46281</v>
      </c>
      <c r="D4" s="18" t="n">
        <v>46282</v>
      </c>
      <c r="E4" s="17" t="s">
        <v>100</v>
      </c>
      <c r="F4" s="19" t="n">
        <v>650000</v>
      </c>
      <c r="G4" s="20" t="n">
        <f aca="false">D4-C4+1</f>
        <v>2</v>
      </c>
      <c r="H4" s="21" t="n">
        <f aca="false">G4*VLOOKUP(B4,Acuan!$A$2:$C$7,2,FALSE())</f>
        <v>800000</v>
      </c>
      <c r="I4" s="21" t="n">
        <f aca="false">(G4-1)*VLOOKUP(B4,Acuan!$A$2:$C$7,3,FALSE())</f>
        <v>600000</v>
      </c>
      <c r="J4" s="21" t="n">
        <f aca="false">F4+H4+I4</f>
        <v>2050000</v>
      </c>
      <c r="K4" s="22" t="str">
        <f aca="false">IF(J4&gt;=$O$2,"Direktur","Manajer")</f>
        <v>Manajer</v>
      </c>
      <c r="L4" s="22" t="str">
        <f aca="false">IF(WEEKDAY(C4,2)&gt;5,"Ya","Tidak")</f>
        <v>Tidak</v>
      </c>
    </row>
    <row r="5" customFormat="false" ht="15" hidden="false" customHeight="false" outlineLevel="0" collapsed="false">
      <c r="A5" s="17" t="s">
        <v>90</v>
      </c>
      <c r="B5" s="17" t="s">
        <v>101</v>
      </c>
      <c r="C5" s="18" t="n">
        <v>46281</v>
      </c>
      <c r="D5" s="18" t="n">
        <v>46282</v>
      </c>
      <c r="E5" s="17" t="s">
        <v>97</v>
      </c>
      <c r="F5" s="19" t="n">
        <v>1800000</v>
      </c>
      <c r="G5" s="20" t="n">
        <f aca="false">D5-C5+1</f>
        <v>2</v>
      </c>
      <c r="H5" s="21" t="n">
        <f aca="false">G5*VLOOKUP(B5,Acuan!$A$2:$C$7,2,FALSE())</f>
        <v>900000</v>
      </c>
      <c r="I5" s="21" t="n">
        <f aca="false">(G5-1)*VLOOKUP(B5,Acuan!$A$2:$C$7,3,FALSE())</f>
        <v>700000</v>
      </c>
      <c r="J5" s="21" t="n">
        <f aca="false">F5+H5+I5</f>
        <v>3400000</v>
      </c>
      <c r="K5" s="22" t="str">
        <f aca="false">IF(J5&gt;=$O$2,"Direktur","Manajer")</f>
        <v>Manajer</v>
      </c>
      <c r="L5" s="22" t="str">
        <f aca="false">IF(WEEKDAY(C5,2)&gt;5,"Ya","Tidak")</f>
        <v>Tidak</v>
      </c>
    </row>
    <row r="6" customFormat="false" ht="15" hidden="false" customHeight="false" outlineLevel="0" collapsed="false">
      <c r="A6" s="17" t="s">
        <v>102</v>
      </c>
      <c r="B6" s="17" t="s">
        <v>101</v>
      </c>
      <c r="C6" s="18" t="n">
        <v>46282</v>
      </c>
      <c r="D6" s="18" t="n">
        <v>46283</v>
      </c>
      <c r="E6" s="17" t="s">
        <v>92</v>
      </c>
      <c r="F6" s="19" t="n">
        <v>350000</v>
      </c>
      <c r="G6" s="20" t="n">
        <f aca="false">D6-C6+1</f>
        <v>2</v>
      </c>
      <c r="H6" s="21" t="n">
        <f aca="false">G6*VLOOKUP(B6,Acuan!$A$2:$C$7,2,FALSE())</f>
        <v>900000</v>
      </c>
      <c r="I6" s="21" t="n">
        <f aca="false">(G6-1)*VLOOKUP(B6,Acuan!$A$2:$C$7,3,FALSE())</f>
        <v>700000</v>
      </c>
      <c r="J6" s="21" t="n">
        <f aca="false">F6+H6+I6</f>
        <v>1950000</v>
      </c>
      <c r="K6" s="22" t="str">
        <f aca="false">IF(J6&gt;=$O$2,"Direktur","Manajer")</f>
        <v>Manajer</v>
      </c>
      <c r="L6" s="22" t="str">
        <f aca="false">IF(WEEKDAY(C6,2)&gt;5,"Ya","Tidak")</f>
        <v>Tidak</v>
      </c>
    </row>
    <row r="7" customFormat="false" ht="15" hidden="false" customHeight="false" outlineLevel="0" collapsed="false">
      <c r="A7" s="17" t="s">
        <v>103</v>
      </c>
      <c r="B7" s="17" t="s">
        <v>104</v>
      </c>
      <c r="C7" s="18" t="n">
        <v>46283</v>
      </c>
      <c r="D7" s="18" t="n">
        <v>46286</v>
      </c>
      <c r="E7" s="17" t="s">
        <v>92</v>
      </c>
      <c r="F7" s="19" t="n">
        <v>350000</v>
      </c>
      <c r="G7" s="20" t="n">
        <f aca="false">D7-C7+1</f>
        <v>4</v>
      </c>
      <c r="H7" s="21" t="n">
        <f aca="false">G7*VLOOKUP(B7,Acuan!$A$2:$C$7,2,FALSE())</f>
        <v>1700000</v>
      </c>
      <c r="I7" s="21" t="n">
        <f aca="false">(G7-1)*VLOOKUP(B7,Acuan!$A$2:$C$7,3,FALSE())</f>
        <v>1650000</v>
      </c>
      <c r="J7" s="21" t="n">
        <f aca="false">F7+H7+I7</f>
        <v>3700000</v>
      </c>
      <c r="K7" s="22" t="str">
        <f aca="false">IF(J7&gt;=$O$2,"Direktur","Manajer")</f>
        <v>Manajer</v>
      </c>
      <c r="L7" s="22" t="str">
        <f aca="false">IF(WEEKDAY(C7,2)&gt;5,"Ya","Tidak")</f>
        <v>Tidak</v>
      </c>
    </row>
    <row r="8" customFormat="false" ht="15" hidden="false" customHeight="false" outlineLevel="0" collapsed="false">
      <c r="A8" s="17" t="s">
        <v>90</v>
      </c>
      <c r="B8" s="17" t="s">
        <v>91</v>
      </c>
      <c r="C8" s="18" t="n">
        <v>46283</v>
      </c>
      <c r="D8" s="18" t="n">
        <v>46288</v>
      </c>
      <c r="E8" s="17" t="s">
        <v>97</v>
      </c>
      <c r="F8" s="19" t="n">
        <v>2600000</v>
      </c>
      <c r="G8" s="20" t="n">
        <f aca="false">D8-C8+1</f>
        <v>6</v>
      </c>
      <c r="H8" s="21" t="n">
        <f aca="false">G8*VLOOKUP(B8,Acuan!$A$2:$C$7,2,FALSE())</f>
        <v>2100000</v>
      </c>
      <c r="I8" s="21" t="n">
        <f aca="false">(G8-1)*VLOOKUP(B8,Acuan!$A$2:$C$7,3,FALSE())</f>
        <v>2500000</v>
      </c>
      <c r="J8" s="21" t="n">
        <f aca="false">F8+H8+I8</f>
        <v>7200000</v>
      </c>
      <c r="K8" s="22" t="str">
        <f aca="false">IF(J8&gt;=$O$2,"Direktur","Manajer")</f>
        <v>Direktur</v>
      </c>
      <c r="L8" s="22" t="str">
        <f aca="false">IF(WEEKDAY(C8,2)&gt;5,"Ya","Tidak")</f>
        <v>Tidak</v>
      </c>
    </row>
    <row r="9" customFormat="false" ht="15" hidden="false" customHeight="false" outlineLevel="0" collapsed="false">
      <c r="A9" s="17" t="s">
        <v>98</v>
      </c>
      <c r="B9" s="17" t="s">
        <v>99</v>
      </c>
      <c r="C9" s="18" t="n">
        <v>46284</v>
      </c>
      <c r="D9" s="18" t="n">
        <v>46287</v>
      </c>
      <c r="E9" s="17" t="s">
        <v>92</v>
      </c>
      <c r="F9" s="19" t="n">
        <v>450000</v>
      </c>
      <c r="G9" s="20" t="n">
        <f aca="false">D9-C9+1</f>
        <v>4</v>
      </c>
      <c r="H9" s="21" t="n">
        <f aca="false">G9*VLOOKUP(B9,Acuan!$A$2:$C$7,2,FALSE())</f>
        <v>1600000</v>
      </c>
      <c r="I9" s="21" t="n">
        <f aca="false">(G9-1)*VLOOKUP(B9,Acuan!$A$2:$C$7,3,FALSE())</f>
        <v>1800000</v>
      </c>
      <c r="J9" s="21" t="n">
        <f aca="false">F9+H9+I9</f>
        <v>3850000</v>
      </c>
      <c r="K9" s="22" t="str">
        <f aca="false">IF(J9&gt;=$O$2,"Direktur","Manajer")</f>
        <v>Manajer</v>
      </c>
      <c r="L9" s="22" t="str">
        <f aca="false">IF(WEEKDAY(C9,2)&gt;5,"Ya","Tidak")</f>
        <v>Ya</v>
      </c>
    </row>
    <row r="10" customFormat="false" ht="15" hidden="false" customHeight="false" outlineLevel="0" collapsed="false">
      <c r="A10" s="17" t="s">
        <v>103</v>
      </c>
      <c r="B10" s="17" t="s">
        <v>101</v>
      </c>
      <c r="C10" s="18" t="n">
        <v>46285</v>
      </c>
      <c r="D10" s="18" t="n">
        <v>46288</v>
      </c>
      <c r="E10" s="17" t="s">
        <v>97</v>
      </c>
      <c r="F10" s="19" t="n">
        <v>1450000</v>
      </c>
      <c r="G10" s="20" t="n">
        <f aca="false">D10-C10+1</f>
        <v>4</v>
      </c>
      <c r="H10" s="21" t="n">
        <f aca="false">G10*VLOOKUP(B10,Acuan!$A$2:$C$7,2,FALSE())</f>
        <v>1800000</v>
      </c>
      <c r="I10" s="21" t="n">
        <f aca="false">(G10-1)*VLOOKUP(B10,Acuan!$A$2:$C$7,3,FALSE())</f>
        <v>2100000</v>
      </c>
      <c r="J10" s="21" t="n">
        <f aca="false">F10+H10+I10</f>
        <v>5350000</v>
      </c>
      <c r="K10" s="22" t="str">
        <f aca="false">IF(J10&gt;=$O$2,"Direktur","Manajer")</f>
        <v>Manajer</v>
      </c>
      <c r="L10" s="22" t="str">
        <f aca="false">IF(WEEKDAY(C10,2)&gt;5,"Ya","Tidak")</f>
        <v>Ya</v>
      </c>
    </row>
    <row r="11" customFormat="false" ht="15" hidden="false" customHeight="false" outlineLevel="0" collapsed="false">
      <c r="A11" s="17" t="s">
        <v>105</v>
      </c>
      <c r="B11" s="17" t="s">
        <v>106</v>
      </c>
      <c r="C11" s="18" t="n">
        <v>46293</v>
      </c>
      <c r="D11" s="18" t="n">
        <v>46296</v>
      </c>
      <c r="E11" s="17" t="s">
        <v>97</v>
      </c>
      <c r="F11" s="19" t="n">
        <v>2600000</v>
      </c>
      <c r="G11" s="20" t="n">
        <f aca="false">D11-C11+1</f>
        <v>4</v>
      </c>
      <c r="H11" s="21" t="n">
        <f aca="false">G11*VLOOKUP(B11,Acuan!$A$2:$C$7,2,FALSE())</f>
        <v>1700000</v>
      </c>
      <c r="I11" s="21" t="n">
        <f aca="false">(G11-1)*VLOOKUP(B11,Acuan!$A$2:$C$7,3,FALSE())</f>
        <v>2400000</v>
      </c>
      <c r="J11" s="21" t="n">
        <f aca="false">F11+H11+I11</f>
        <v>6700000</v>
      </c>
      <c r="K11" s="22" t="str">
        <f aca="false">IF(J11&gt;=$O$2,"Direktur","Manajer")</f>
        <v>Direktur</v>
      </c>
      <c r="L11" s="22" t="str">
        <f aca="false">IF(WEEKDAY(C11,2)&gt;5,"Ya","Tidak")</f>
        <v>Tidak</v>
      </c>
    </row>
    <row r="12" customFormat="false" ht="15" hidden="false" customHeight="false" outlineLevel="0" collapsed="false">
      <c r="A12" s="17" t="s">
        <v>95</v>
      </c>
      <c r="B12" s="17" t="s">
        <v>101</v>
      </c>
      <c r="C12" s="18" t="n">
        <v>46293</v>
      </c>
      <c r="D12" s="18" t="n">
        <v>46294</v>
      </c>
      <c r="E12" s="17" t="s">
        <v>100</v>
      </c>
      <c r="F12" s="19" t="n">
        <v>850000</v>
      </c>
      <c r="G12" s="20" t="n">
        <f aca="false">D12-C12+1</f>
        <v>2</v>
      </c>
      <c r="H12" s="21" t="n">
        <f aca="false">G12*VLOOKUP(B12,Acuan!$A$2:$C$7,2,FALSE())</f>
        <v>900000</v>
      </c>
      <c r="I12" s="21" t="n">
        <f aca="false">(G12-1)*VLOOKUP(B12,Acuan!$A$2:$C$7,3,FALSE())</f>
        <v>700000</v>
      </c>
      <c r="J12" s="21" t="n">
        <f aca="false">F12+H12+I12</f>
        <v>2450000</v>
      </c>
      <c r="K12" s="22" t="str">
        <f aca="false">IF(J12&gt;=$O$2,"Direktur","Manajer")</f>
        <v>Manajer</v>
      </c>
      <c r="L12" s="22" t="str">
        <f aca="false">IF(WEEKDAY(C12,2)&gt;5,"Ya","Tidak")</f>
        <v>Tidak</v>
      </c>
    </row>
    <row r="13" customFormat="false" ht="15" hidden="false" customHeight="false" outlineLevel="0" collapsed="false">
      <c r="A13" s="17" t="s">
        <v>95</v>
      </c>
      <c r="B13" s="17" t="s">
        <v>96</v>
      </c>
      <c r="C13" s="18" t="n">
        <v>46296</v>
      </c>
      <c r="D13" s="18" t="n">
        <v>46299</v>
      </c>
      <c r="E13" s="17" t="s">
        <v>92</v>
      </c>
      <c r="F13" s="19" t="n">
        <v>450000</v>
      </c>
      <c r="G13" s="20" t="n">
        <f aca="false">D13-C13+1</f>
        <v>4</v>
      </c>
      <c r="H13" s="21" t="n">
        <f aca="false">G13*VLOOKUP(B13,Acuan!$A$2:$C$7,2,FALSE())</f>
        <v>1800000</v>
      </c>
      <c r="I13" s="21" t="n">
        <f aca="false">(G13-1)*VLOOKUP(B13,Acuan!$A$2:$C$7,3,FALSE())</f>
        <v>1650000</v>
      </c>
      <c r="J13" s="21" t="n">
        <f aca="false">F13+H13+I13</f>
        <v>3900000</v>
      </c>
      <c r="K13" s="22" t="str">
        <f aca="false">IF(J13&gt;=$O$2,"Direktur","Manajer")</f>
        <v>Manajer</v>
      </c>
      <c r="L13" s="22" t="str">
        <f aca="false">IF(WEEKDAY(C13,2)&gt;5,"Ya","Tidak")</f>
        <v>Tidak</v>
      </c>
    </row>
    <row r="14" customFormat="false" ht="15" hidden="false" customHeight="false" outlineLevel="0" collapsed="false">
      <c r="A14" s="17" t="s">
        <v>107</v>
      </c>
      <c r="B14" s="17" t="s">
        <v>104</v>
      </c>
      <c r="C14" s="18" t="n">
        <v>46299</v>
      </c>
      <c r="D14" s="18" t="n">
        <v>46301</v>
      </c>
      <c r="E14" s="17" t="s">
        <v>97</v>
      </c>
      <c r="F14" s="19" t="n">
        <v>2100000</v>
      </c>
      <c r="G14" s="20" t="n">
        <f aca="false">D14-C14+1</f>
        <v>3</v>
      </c>
      <c r="H14" s="21" t="n">
        <f aca="false">G14*VLOOKUP(B14,Acuan!$A$2:$C$7,2,FALSE())</f>
        <v>1275000</v>
      </c>
      <c r="I14" s="21" t="n">
        <f aca="false">(G14-1)*VLOOKUP(B14,Acuan!$A$2:$C$7,3,FALSE())</f>
        <v>1100000</v>
      </c>
      <c r="J14" s="21" t="n">
        <f aca="false">F14+H14+I14</f>
        <v>4475000</v>
      </c>
      <c r="K14" s="22" t="str">
        <f aca="false">IF(J14&gt;=$O$2,"Direktur","Manajer")</f>
        <v>Manajer</v>
      </c>
      <c r="L14" s="22" t="str">
        <f aca="false">IF(WEEKDAY(C14,2)&gt;5,"Ya","Tidak")</f>
        <v>Ya</v>
      </c>
    </row>
    <row r="15" customFormat="false" ht="15" hidden="false" customHeight="false" outlineLevel="0" collapsed="false">
      <c r="A15" s="17" t="s">
        <v>108</v>
      </c>
      <c r="B15" s="17" t="s">
        <v>91</v>
      </c>
      <c r="C15" s="18" t="n">
        <v>46302</v>
      </c>
      <c r="D15" s="18" t="n">
        <v>46304</v>
      </c>
      <c r="E15" s="17" t="s">
        <v>100</v>
      </c>
      <c r="F15" s="19" t="n">
        <v>850000</v>
      </c>
      <c r="G15" s="20" t="n">
        <f aca="false">D15-C15+1</f>
        <v>3</v>
      </c>
      <c r="H15" s="21" t="n">
        <f aca="false">G15*VLOOKUP(B15,Acuan!$A$2:$C$7,2,FALSE())</f>
        <v>1050000</v>
      </c>
      <c r="I15" s="21" t="n">
        <f aca="false">(G15-1)*VLOOKUP(B15,Acuan!$A$2:$C$7,3,FALSE())</f>
        <v>1000000</v>
      </c>
      <c r="J15" s="21" t="n">
        <f aca="false">F15+H15+I15</f>
        <v>2900000</v>
      </c>
      <c r="K15" s="22" t="str">
        <f aca="false">IF(J15&gt;=$O$2,"Direktur","Manajer")</f>
        <v>Manajer</v>
      </c>
      <c r="L15" s="22" t="str">
        <f aca="false">IF(WEEKDAY(C15,2)&gt;5,"Ya","Tidak")</f>
        <v>Tidak</v>
      </c>
    </row>
    <row r="16" customFormat="false" ht="15" hidden="false" customHeight="false" outlineLevel="0" collapsed="false">
      <c r="A16" s="17" t="s">
        <v>103</v>
      </c>
      <c r="B16" s="17" t="s">
        <v>106</v>
      </c>
      <c r="C16" s="18" t="n">
        <v>46306</v>
      </c>
      <c r="D16" s="18" t="n">
        <v>46307</v>
      </c>
      <c r="E16" s="17" t="s">
        <v>92</v>
      </c>
      <c r="F16" s="19" t="n">
        <v>350000</v>
      </c>
      <c r="G16" s="20" t="n">
        <f aca="false">D16-C16+1</f>
        <v>2</v>
      </c>
      <c r="H16" s="21" t="n">
        <f aca="false">G16*VLOOKUP(B16,Acuan!$A$2:$C$7,2,FALSE())</f>
        <v>850000</v>
      </c>
      <c r="I16" s="21" t="n">
        <f aca="false">(G16-1)*VLOOKUP(B16,Acuan!$A$2:$C$7,3,FALSE())</f>
        <v>800000</v>
      </c>
      <c r="J16" s="21" t="n">
        <f aca="false">F16+H16+I16</f>
        <v>2000000</v>
      </c>
      <c r="K16" s="22" t="str">
        <f aca="false">IF(J16&gt;=$O$2,"Direktur","Manajer")</f>
        <v>Manajer</v>
      </c>
      <c r="L16" s="22" t="str">
        <f aca="false">IF(WEEKDAY(C16,2)&gt;5,"Ya","Tidak")</f>
        <v>Ya</v>
      </c>
    </row>
    <row r="17" customFormat="false" ht="15" hidden="false" customHeight="false" outlineLevel="0" collapsed="false">
      <c r="A17" s="17" t="s">
        <v>95</v>
      </c>
      <c r="B17" s="17" t="s">
        <v>99</v>
      </c>
      <c r="C17" s="18" t="n">
        <v>46307</v>
      </c>
      <c r="D17" s="18" t="n">
        <v>46309</v>
      </c>
      <c r="E17" s="17" t="s">
        <v>92</v>
      </c>
      <c r="F17" s="19" t="n">
        <v>250000</v>
      </c>
      <c r="G17" s="20" t="n">
        <f aca="false">D17-C17+1</f>
        <v>3</v>
      </c>
      <c r="H17" s="21" t="n">
        <f aca="false">G17*VLOOKUP(B17,Acuan!$A$2:$C$7,2,FALSE())</f>
        <v>1200000</v>
      </c>
      <c r="I17" s="21" t="n">
        <f aca="false">(G17-1)*VLOOKUP(B17,Acuan!$A$2:$C$7,3,FALSE())</f>
        <v>1200000</v>
      </c>
      <c r="J17" s="21" t="n">
        <f aca="false">F17+H17+I17</f>
        <v>2650000</v>
      </c>
      <c r="K17" s="22" t="str">
        <f aca="false">IF(J17&gt;=$O$2,"Direktur","Manajer")</f>
        <v>Manajer</v>
      </c>
      <c r="L17" s="22" t="str">
        <f aca="false">IF(WEEKDAY(C17,2)&gt;5,"Ya","Tidak")</f>
        <v>Tidak</v>
      </c>
    </row>
    <row r="18" customFormat="false" ht="15" hidden="false" customHeight="false" outlineLevel="0" collapsed="false">
      <c r="A18" s="17" t="s">
        <v>98</v>
      </c>
      <c r="B18" s="17" t="s">
        <v>96</v>
      </c>
      <c r="C18" s="18" t="n">
        <v>46310</v>
      </c>
      <c r="D18" s="18" t="n">
        <v>46314</v>
      </c>
      <c r="E18" s="17" t="s">
        <v>97</v>
      </c>
      <c r="F18" s="19" t="n">
        <v>2100000</v>
      </c>
      <c r="G18" s="20" t="n">
        <f aca="false">D18-C18+1</f>
        <v>5</v>
      </c>
      <c r="H18" s="21" t="n">
        <f aca="false">G18*VLOOKUP(B18,Acuan!$A$2:$C$7,2,FALSE())</f>
        <v>2250000</v>
      </c>
      <c r="I18" s="21" t="n">
        <f aca="false">(G18-1)*VLOOKUP(B18,Acuan!$A$2:$C$7,3,FALSE())</f>
        <v>2200000</v>
      </c>
      <c r="J18" s="21" t="n">
        <f aca="false">F18+H18+I18</f>
        <v>6550000</v>
      </c>
      <c r="K18" s="22" t="str">
        <f aca="false">IF(J18&gt;=$O$2,"Direktur","Manajer")</f>
        <v>Direktur</v>
      </c>
      <c r="L18" s="22" t="str">
        <f aca="false">IF(WEEKDAY(C18,2)&gt;5,"Ya","Tidak")</f>
        <v>Tidak</v>
      </c>
    </row>
    <row r="19" customFormat="false" ht="15" hidden="false" customHeight="false" outlineLevel="0" collapsed="false">
      <c r="A19" s="17" t="s">
        <v>102</v>
      </c>
      <c r="B19" s="17" t="s">
        <v>106</v>
      </c>
      <c r="C19" s="18" t="n">
        <v>46316</v>
      </c>
      <c r="D19" s="18" t="n">
        <v>46318</v>
      </c>
      <c r="E19" s="17" t="s">
        <v>100</v>
      </c>
      <c r="F19" s="19" t="n">
        <v>650000</v>
      </c>
      <c r="G19" s="20" t="n">
        <f aca="false">D19-C19+1</f>
        <v>3</v>
      </c>
      <c r="H19" s="21" t="n">
        <f aca="false">G19*VLOOKUP(B19,Acuan!$A$2:$C$7,2,FALSE())</f>
        <v>1275000</v>
      </c>
      <c r="I19" s="21" t="n">
        <f aca="false">(G19-1)*VLOOKUP(B19,Acuan!$A$2:$C$7,3,FALSE())</f>
        <v>1600000</v>
      </c>
      <c r="J19" s="21" t="n">
        <f aca="false">F19+H19+I19</f>
        <v>3525000</v>
      </c>
      <c r="K19" s="22" t="str">
        <f aca="false">IF(J19&gt;=$O$2,"Direktur","Manajer")</f>
        <v>Manajer</v>
      </c>
      <c r="L19" s="22" t="str">
        <f aca="false">IF(WEEKDAY(C19,2)&gt;5,"Ya","Tidak")</f>
        <v>Tidak</v>
      </c>
    </row>
    <row r="20" customFormat="false" ht="15" hidden="false" customHeight="false" outlineLevel="0" collapsed="false">
      <c r="A20" s="17" t="s">
        <v>108</v>
      </c>
      <c r="B20" s="17" t="s">
        <v>104</v>
      </c>
      <c r="C20" s="18" t="n">
        <v>46318</v>
      </c>
      <c r="D20" s="18" t="n">
        <v>46322</v>
      </c>
      <c r="E20" s="17" t="s">
        <v>97</v>
      </c>
      <c r="F20" s="19" t="n">
        <v>1450000</v>
      </c>
      <c r="G20" s="20" t="n">
        <f aca="false">D20-C20+1</f>
        <v>5</v>
      </c>
      <c r="H20" s="21" t="n">
        <f aca="false">G20*VLOOKUP(B20,Acuan!$A$2:$C$7,2,FALSE())</f>
        <v>2125000</v>
      </c>
      <c r="I20" s="21" t="n">
        <f aca="false">(G20-1)*VLOOKUP(B20,Acuan!$A$2:$C$7,3,FALSE())</f>
        <v>2200000</v>
      </c>
      <c r="J20" s="21" t="n">
        <f aca="false">F20+H20+I20</f>
        <v>5775000</v>
      </c>
      <c r="K20" s="22" t="str">
        <f aca="false">IF(J20&gt;=$O$2,"Direktur","Manajer")</f>
        <v>Manajer</v>
      </c>
      <c r="L20" s="22" t="str">
        <f aca="false">IF(WEEKDAY(C20,2)&gt;5,"Ya","Tidak")</f>
        <v>Tidak</v>
      </c>
    </row>
    <row r="21" customFormat="false" ht="15" hidden="false" customHeight="false" outlineLevel="0" collapsed="false">
      <c r="A21" s="17" t="s">
        <v>90</v>
      </c>
      <c r="B21" s="17" t="s">
        <v>101</v>
      </c>
      <c r="C21" s="18" t="n">
        <v>46319</v>
      </c>
      <c r="D21" s="18" t="n">
        <v>46323</v>
      </c>
      <c r="E21" s="17" t="s">
        <v>97</v>
      </c>
      <c r="F21" s="19" t="n">
        <v>2600000</v>
      </c>
      <c r="G21" s="20" t="n">
        <f aca="false">D21-C21+1</f>
        <v>5</v>
      </c>
      <c r="H21" s="21" t="n">
        <f aca="false">G21*VLOOKUP(B21,Acuan!$A$2:$C$7,2,FALSE())</f>
        <v>2250000</v>
      </c>
      <c r="I21" s="21" t="n">
        <f aca="false">(G21-1)*VLOOKUP(B21,Acuan!$A$2:$C$7,3,FALSE())</f>
        <v>2800000</v>
      </c>
      <c r="J21" s="21" t="n">
        <f aca="false">F21+H21+I21</f>
        <v>7650000</v>
      </c>
      <c r="K21" s="22" t="str">
        <f aca="false">IF(J21&gt;=$O$2,"Direktur","Manajer")</f>
        <v>Direktur</v>
      </c>
      <c r="L21" s="22" t="str">
        <f aca="false">IF(WEEKDAY(C21,2)&gt;5,"Ya","Tidak")</f>
        <v>Ya</v>
      </c>
    </row>
    <row r="22" customFormat="false" ht="15" hidden="false" customHeight="false" outlineLevel="0" collapsed="false">
      <c r="A22" s="17" t="s">
        <v>95</v>
      </c>
      <c r="B22" s="17" t="s">
        <v>101</v>
      </c>
      <c r="C22" s="18" t="n">
        <v>46332</v>
      </c>
      <c r="D22" s="18" t="n">
        <v>46335</v>
      </c>
      <c r="E22" s="17" t="s">
        <v>97</v>
      </c>
      <c r="F22" s="19" t="n">
        <v>1450000</v>
      </c>
      <c r="G22" s="20" t="n">
        <f aca="false">D22-C22+1</f>
        <v>4</v>
      </c>
      <c r="H22" s="21" t="n">
        <f aca="false">G22*VLOOKUP(B22,Acuan!$A$2:$C$7,2,FALSE())</f>
        <v>1800000</v>
      </c>
      <c r="I22" s="21" t="n">
        <f aca="false">(G22-1)*VLOOKUP(B22,Acuan!$A$2:$C$7,3,FALSE())</f>
        <v>2100000</v>
      </c>
      <c r="J22" s="21" t="n">
        <f aca="false">F22+H22+I22</f>
        <v>5350000</v>
      </c>
      <c r="K22" s="22" t="str">
        <f aca="false">IF(J22&gt;=$O$2,"Direktur","Manajer")</f>
        <v>Manajer</v>
      </c>
      <c r="L22" s="22" t="str">
        <f aca="false">IF(WEEKDAY(C22,2)&gt;5,"Ya","Tidak")</f>
        <v>Tidak</v>
      </c>
    </row>
    <row r="23" customFormat="false" ht="15" hidden="false" customHeight="false" outlineLevel="0" collapsed="false">
      <c r="A23" s="17" t="s">
        <v>98</v>
      </c>
      <c r="B23" s="17" t="s">
        <v>106</v>
      </c>
      <c r="C23" s="18" t="n">
        <v>46336</v>
      </c>
      <c r="D23" s="18" t="n">
        <v>46338</v>
      </c>
      <c r="E23" s="17" t="s">
        <v>100</v>
      </c>
      <c r="F23" s="19" t="n">
        <v>450000</v>
      </c>
      <c r="G23" s="20" t="n">
        <f aca="false">D23-C23+1</f>
        <v>3</v>
      </c>
      <c r="H23" s="21" t="n">
        <f aca="false">G23*VLOOKUP(B23,Acuan!$A$2:$C$7,2,FALSE())</f>
        <v>1275000</v>
      </c>
      <c r="I23" s="21" t="n">
        <f aca="false">(G23-1)*VLOOKUP(B23,Acuan!$A$2:$C$7,3,FALSE())</f>
        <v>1600000</v>
      </c>
      <c r="J23" s="21" t="n">
        <f aca="false">F23+H23+I23</f>
        <v>3325000</v>
      </c>
      <c r="K23" s="22" t="str">
        <f aca="false">IF(J23&gt;=$O$2,"Direktur","Manajer")</f>
        <v>Manajer</v>
      </c>
      <c r="L23" s="22" t="str">
        <f aca="false">IF(WEEKDAY(C23,2)&gt;5,"Ya","Tidak")</f>
        <v>Tidak</v>
      </c>
    </row>
    <row r="24" customFormat="false" ht="15" hidden="false" customHeight="false" outlineLevel="0" collapsed="false">
      <c r="A24" s="17" t="s">
        <v>102</v>
      </c>
      <c r="B24" s="17" t="s">
        <v>104</v>
      </c>
      <c r="C24" s="18" t="n">
        <v>46338</v>
      </c>
      <c r="D24" s="18" t="n">
        <v>46339</v>
      </c>
      <c r="E24" s="17" t="s">
        <v>92</v>
      </c>
      <c r="F24" s="19" t="n">
        <v>350000</v>
      </c>
      <c r="G24" s="20" t="n">
        <f aca="false">D24-C24+1</f>
        <v>2</v>
      </c>
      <c r="H24" s="21" t="n">
        <f aca="false">G24*VLOOKUP(B24,Acuan!$A$2:$C$7,2,FALSE())</f>
        <v>850000</v>
      </c>
      <c r="I24" s="21" t="n">
        <f aca="false">(G24-1)*VLOOKUP(B24,Acuan!$A$2:$C$7,3,FALSE())</f>
        <v>550000</v>
      </c>
      <c r="J24" s="21" t="n">
        <f aca="false">F24+H24+I24</f>
        <v>1750000</v>
      </c>
      <c r="K24" s="22" t="str">
        <f aca="false">IF(J24&gt;=$O$2,"Direktur","Manajer")</f>
        <v>Manajer</v>
      </c>
      <c r="L24" s="22" t="str">
        <f aca="false">IF(WEEKDAY(C24,2)&gt;5,"Ya","Tidak")</f>
        <v>Tidak</v>
      </c>
    </row>
    <row r="25" customFormat="false" ht="15" hidden="false" customHeight="false" outlineLevel="0" collapsed="false">
      <c r="A25" s="17" t="s">
        <v>102</v>
      </c>
      <c r="B25" s="17" t="s">
        <v>99</v>
      </c>
      <c r="C25" s="18" t="n">
        <v>46338</v>
      </c>
      <c r="D25" s="18" t="n">
        <v>46339</v>
      </c>
      <c r="E25" s="17" t="s">
        <v>97</v>
      </c>
      <c r="F25" s="19" t="n">
        <v>1800000</v>
      </c>
      <c r="G25" s="20" t="n">
        <f aca="false">D25-C25+1</f>
        <v>2</v>
      </c>
      <c r="H25" s="21" t="n">
        <f aca="false">G25*VLOOKUP(B25,Acuan!$A$2:$C$7,2,FALSE())</f>
        <v>800000</v>
      </c>
      <c r="I25" s="21" t="n">
        <f aca="false">(G25-1)*VLOOKUP(B25,Acuan!$A$2:$C$7,3,FALSE())</f>
        <v>600000</v>
      </c>
      <c r="J25" s="21" t="n">
        <f aca="false">F25+H25+I25</f>
        <v>3200000</v>
      </c>
      <c r="K25" s="22" t="str">
        <f aca="false">IF(J25&gt;=$O$2,"Direktur","Manajer")</f>
        <v>Manajer</v>
      </c>
      <c r="L25" s="22" t="str">
        <f aca="false">IF(WEEKDAY(C25,2)&gt;5,"Ya","Tidak")</f>
        <v>Tidak</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4" min="4" style="0" width="18"/>
    <col collapsed="false" customWidth="true" hidden="false" outlineLevel="0" max="5" min="5" style="0" width="17"/>
  </cols>
  <sheetData>
    <row r="1" customFormat="false" ht="33.75" hidden="false" customHeight="true" outlineLevel="0" collapsed="false">
      <c r="A1" s="11" t="s">
        <v>76</v>
      </c>
      <c r="B1" s="11" t="s">
        <v>109</v>
      </c>
      <c r="C1" s="11" t="s">
        <v>110</v>
      </c>
      <c r="D1" s="15" t="s">
        <v>111</v>
      </c>
      <c r="E1" s="15" t="s">
        <v>112</v>
      </c>
    </row>
    <row r="2" customFormat="false" ht="15" hidden="false" customHeight="false" outlineLevel="0" collapsed="false">
      <c r="A2" s="17" t="s">
        <v>101</v>
      </c>
      <c r="B2" s="19" t="n">
        <v>450000</v>
      </c>
      <c r="C2" s="19" t="n">
        <v>700000</v>
      </c>
      <c r="D2" s="20" t="n">
        <f aca="false">COUNTIF(Data!$B$2:$B$25,A2)</f>
        <v>6</v>
      </c>
      <c r="E2" s="21" t="n">
        <f aca="false">SUMIF(Data!$B$2:$B$25,A2,Data!$J$2:$J$25)</f>
        <v>26150000</v>
      </c>
    </row>
    <row r="3" customFormat="false" ht="15" hidden="false" customHeight="false" outlineLevel="0" collapsed="false">
      <c r="A3" s="17" t="s">
        <v>99</v>
      </c>
      <c r="B3" s="19" t="n">
        <v>400000</v>
      </c>
      <c r="C3" s="19" t="n">
        <v>600000</v>
      </c>
      <c r="D3" s="20" t="n">
        <f aca="false">COUNTIF(Data!$B$2:$B$25,A3)</f>
        <v>4</v>
      </c>
      <c r="E3" s="21" t="n">
        <f aca="false">SUMIF(Data!$B$2:$B$25,A3,Data!$J$2:$J$25)</f>
        <v>11750000</v>
      </c>
    </row>
    <row r="4" customFormat="false" ht="15" hidden="false" customHeight="false" outlineLevel="0" collapsed="false">
      <c r="A4" s="17" t="s">
        <v>96</v>
      </c>
      <c r="B4" s="19" t="n">
        <v>450000</v>
      </c>
      <c r="C4" s="19" t="n">
        <v>550000</v>
      </c>
      <c r="D4" s="20" t="n">
        <f aca="false">COUNTIF(Data!$B$2:$B$25,A4)</f>
        <v>3</v>
      </c>
      <c r="E4" s="21" t="n">
        <f aca="false">SUMIF(Data!$B$2:$B$25,A4,Data!$J$2:$J$25)</f>
        <v>13700000</v>
      </c>
    </row>
    <row r="5" customFormat="false" ht="15" hidden="false" customHeight="false" outlineLevel="0" collapsed="false">
      <c r="A5" s="17" t="s">
        <v>104</v>
      </c>
      <c r="B5" s="19" t="n">
        <v>425000</v>
      </c>
      <c r="C5" s="19" t="n">
        <v>550000</v>
      </c>
      <c r="D5" s="20" t="n">
        <f aca="false">COUNTIF(Data!$B$2:$B$25,A5)</f>
        <v>4</v>
      </c>
      <c r="E5" s="21" t="n">
        <f aca="false">SUMIF(Data!$B$2:$B$25,A5,Data!$J$2:$J$25)</f>
        <v>15700000</v>
      </c>
    </row>
    <row r="6" customFormat="false" ht="15" hidden="false" customHeight="false" outlineLevel="0" collapsed="false">
      <c r="A6" s="17" t="s">
        <v>106</v>
      </c>
      <c r="B6" s="19" t="n">
        <v>425000</v>
      </c>
      <c r="C6" s="19" t="n">
        <v>800000</v>
      </c>
      <c r="D6" s="20" t="n">
        <f aca="false">COUNTIF(Data!$B$2:$B$25,A6)</f>
        <v>4</v>
      </c>
      <c r="E6" s="21" t="n">
        <f aca="false">SUMIF(Data!$B$2:$B$25,A6,Data!$J$2:$J$25)</f>
        <v>15550000</v>
      </c>
    </row>
    <row r="7" customFormat="false" ht="15" hidden="false" customHeight="false" outlineLevel="0" collapsed="false">
      <c r="A7" s="17" t="s">
        <v>91</v>
      </c>
      <c r="B7" s="19" t="n">
        <v>350000</v>
      </c>
      <c r="C7" s="19" t="n">
        <v>500000</v>
      </c>
      <c r="D7" s="20" t="n">
        <f aca="false">COUNTIF(Data!$B$2:$B$25,A7)</f>
        <v>3</v>
      </c>
      <c r="E7" s="21" t="n">
        <f aca="false">SUMIF(Data!$B$2:$B$25,A7,Data!$J$2:$J$25)</f>
        <v>11550000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113</v>
      </c>
      <c r="B1" s="25"/>
      <c r="C1" s="25"/>
      <c r="D1" s="25"/>
    </row>
    <row r="2" customFormat="false" ht="15" hidden="false" customHeight="false" outlineLevel="0" collapsed="false">
      <c r="A2" s="26" t="s">
        <v>114</v>
      </c>
      <c r="B2" s="26"/>
      <c r="C2" s="26"/>
      <c r="D2" s="26"/>
    </row>
    <row r="3" customFormat="false" ht="15" hidden="false" customHeight="false" outlineLevel="0" collapsed="false">
      <c r="A3" s="11" t="s">
        <v>19</v>
      </c>
      <c r="B3" s="11" t="s">
        <v>115</v>
      </c>
      <c r="C3" s="11" t="s">
        <v>116</v>
      </c>
      <c r="D3" s="11" t="s">
        <v>117</v>
      </c>
    </row>
    <row r="4" customFormat="false" ht="15" hidden="false" customHeight="false" outlineLevel="0" collapsed="false">
      <c r="A4" s="27" t="s">
        <v>118</v>
      </c>
      <c r="B4" s="28" t="s">
        <v>119</v>
      </c>
      <c r="C4" s="21" t="n">
        <f aca="false">SUM(Data!$J$2:$J$25)</f>
        <v>94400000</v>
      </c>
      <c r="D4" s="29" t="s">
        <v>120</v>
      </c>
    </row>
    <row r="5" customFormat="false" ht="15" hidden="false" customHeight="false" outlineLevel="0" collapsed="false">
      <c r="A5" s="27" t="s">
        <v>121</v>
      </c>
      <c r="B5" s="28" t="s">
        <v>122</v>
      </c>
      <c r="C5" s="21" t="n">
        <f aca="false">AVERAGE(Data!$J$2:$J$25)</f>
        <v>3933333.33333333</v>
      </c>
      <c r="D5" s="29" t="s">
        <v>123</v>
      </c>
    </row>
    <row r="6" customFormat="false" ht="15" hidden="false" customHeight="false" outlineLevel="0" collapsed="false">
      <c r="A6" s="27" t="s">
        <v>124</v>
      </c>
      <c r="B6" s="28" t="s">
        <v>125</v>
      </c>
      <c r="C6" s="20" t="n">
        <f aca="false">COUNTIF(Data!$K$2:$K$25,"Direktur")</f>
        <v>4</v>
      </c>
      <c r="D6" s="29" t="s">
        <v>126</v>
      </c>
    </row>
    <row r="7" customFormat="false" ht="15" hidden="false" customHeight="false" outlineLevel="0" collapsed="false">
      <c r="A7" s="27" t="s">
        <v>127</v>
      </c>
      <c r="B7" s="28" t="s">
        <v>128</v>
      </c>
      <c r="C7" s="21" t="n">
        <f aca="false">SUMIF(Data!$K$2:$K$25,"Direktur",Data!$J$2:$J$25)</f>
        <v>28100000</v>
      </c>
      <c r="D7" s="29" t="s">
        <v>129</v>
      </c>
    </row>
    <row r="8" customFormat="false" ht="15" hidden="false" customHeight="false" outlineLevel="0" collapsed="false">
      <c r="A8" s="27" t="s">
        <v>130</v>
      </c>
      <c r="B8" s="28" t="s">
        <v>131</v>
      </c>
      <c r="C8" s="22" t="str">
        <f aca="false">INDEX(Acuan!$A$2:$A$7,MATCH(MAX(Acuan!$D$2:$D$7),Acuan!$D$2:$D$7,0))</f>
        <v>Jakarta</v>
      </c>
      <c r="D8" s="29" t="s">
        <v>132</v>
      </c>
    </row>
    <row r="9" customFormat="false" ht="15" hidden="false" customHeight="false" outlineLevel="0" collapsed="false">
      <c r="A9" s="27" t="s">
        <v>133</v>
      </c>
      <c r="B9" s="28" t="s">
        <v>134</v>
      </c>
      <c r="C9" s="22" t="str">
        <f aca="false">INDEX(Acuan!$A$2:$A$7,MATCH(MAX(Acuan!$E$2:$E$7),Acuan!$E$2:$E$7,0))</f>
        <v>Jakarta</v>
      </c>
      <c r="D9" s="29" t="s">
        <v>132</v>
      </c>
    </row>
    <row r="10" customFormat="false" ht="15" hidden="false" customHeight="false" outlineLevel="0" collapsed="false">
      <c r="A10" s="27" t="s">
        <v>135</v>
      </c>
      <c r="B10" s="28" t="s">
        <v>136</v>
      </c>
      <c r="C10" s="20" t="n">
        <f aca="false">MAX(Data!$G$2:$G$25)</f>
        <v>6</v>
      </c>
      <c r="D10" s="29" t="s">
        <v>126</v>
      </c>
    </row>
    <row r="11" customFormat="false" ht="15" hidden="false" customHeight="false" outlineLevel="0" collapsed="false">
      <c r="A11" s="27" t="s">
        <v>137</v>
      </c>
      <c r="B11" s="28" t="s">
        <v>138</v>
      </c>
      <c r="C11" s="22" t="str">
        <f aca="false">INDEX(Data!$A$2:$A$25,MATCH(MAX(Data!$G$2:$G$25),Data!$G$2:$G$25,0))</f>
        <v>Dimas Fauzi</v>
      </c>
      <c r="D11" s="29" t="s">
        <v>139</v>
      </c>
    </row>
    <row r="12" customFormat="false" ht="15" hidden="false" customHeight="false" outlineLevel="0" collapsed="false">
      <c r="A12" s="27" t="s">
        <v>140</v>
      </c>
      <c r="B12" s="28" t="s">
        <v>141</v>
      </c>
      <c r="C12" s="20" t="n">
        <f aca="false">SUMIF(Data!$E$2:$E$25,"Pesawat",Data!$G$2:$G$25)</f>
        <v>42</v>
      </c>
      <c r="D12" s="29" t="s">
        <v>142</v>
      </c>
    </row>
    <row r="13" customFormat="false" ht="15" hidden="false" customHeight="false" outlineLevel="0" collapsed="false">
      <c r="A13" s="27" t="s">
        <v>143</v>
      </c>
      <c r="B13" s="28" t="s">
        <v>144</v>
      </c>
      <c r="C13" s="20" t="n">
        <f aca="false">COUNTIFS(Data!$E$2:$E$25,"Pesawat",Data!$L$2:$L$25,"Ya")</f>
        <v>4</v>
      </c>
      <c r="D13" s="29" t="s">
        <v>145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2026-10-14T23:34:05Z</dcterms:created>
  <dc:creator>PushExcel</dc:creator>
  <dc:description/>
  <dc:language>en-US</dc:language>
  <cp:lastModifiedBy/>
  <dcterms:modified xsi:type="dcterms:W3CDTF">2026-10-14T23:34:05Z</dcterms:modified>
  <cp:revision>0</cp:revision>
  <dc:subject/>
  <dc:title>Biaya Perjalanan Dinas Pegawai - Kunci</dc:title>
</cp:coreProperties>
</file>

<file path=docProps/custom.xml><?xml version="1.0" encoding="utf-8"?>
<Properties xmlns="http://schemas.openxmlformats.org/officeDocument/2006/custom-properties" xmlns:vt="http://schemas.openxmlformats.org/officeDocument/2006/docPropsVTypes"/>
</file>