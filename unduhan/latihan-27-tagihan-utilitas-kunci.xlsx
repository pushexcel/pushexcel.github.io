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Ringkasa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<sst xmlns="http://schemas.openxmlformats.org/spreadsheetml/2006/main" count="141" uniqueCount="136">
  <si>
    <t xml:space="preserve">Kunci Jawaban: Rekap Tagihan Listrik, Air, dan Internet Kantor</t>
  </si>
  <si>
    <t xml:space="preserve">Latihan 27 dari 56  |  Tingkat: Pemula  |  Perkiraan waktu: 35 menit  |  pushexcel.github.io/Pushexcel</t>
  </si>
  <si>
    <t xml:space="preserve">Skenario</t>
  </si>
  <si>
    <t xml:space="preserve">Kamu admin umum di kantor CV Mitra Sejahtera. Setiap bulan kantor membayar tagihan listrik, air, dan internet. Data tagihan 12 bulan terakhir sudah dicatat. Anggaran utilitas kantor adalah Rp 4.300.000 per bulan. Bulan yang tagihannya melebihi anggaran dianggap Boros. Kamu menyusun rekap untuk manajer keuangan.</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</si>
  <si>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</si>
  <si>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</si>
  <si>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</si>
  <si>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</si>
  <si>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</si>
  <si>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</si>
  <si>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</si>
  <si>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</si>
  <si>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</si>
  <si>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</si>
  <si>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</si>
  <si>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</si>
  <si>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</si>
  <si>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</si>
  <si>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</si>
  <si>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</si>
  <si>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</si>
  <si>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</si>
  <si>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</si>
  <si>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</si>
  <si>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total tagihan tiap bulan: listrik ditambah air ditambah internet.</t>
  </si>
  <si>
    <t xml:space="preserve">Sheet Data, kolom F (Total Tagihan), baris 2 sampai 13</t>
  </si>
  <si>
    <t xml:space="preserve">=C2+D2+E2</t>
  </si>
  <si>
    <t xml:space="preserve">2</t>
  </si>
  <si>
    <t xml:space="preserve">Hitung berapa persen total tagihan terhadap anggaran bulanan.</t>
  </si>
  <si>
    <t xml:space="preserve">Sheet Data, kolom G (Persen Anggaran), baris 2 sampai 13</t>
  </si>
  <si>
    <t xml:space="preserve">=F2/$L$2</t>
  </si>
  <si>
    <t xml:space="preserve">3</t>
  </si>
  <si>
    <t xml:space="preserve">Beri status Boros bila total tagihan lebih besar dari anggaran. Selain itu Hemat.</t>
  </si>
  <si>
    <t xml:space="preserve">Sheet Data, kolom H (Status), baris 2 sampai 13</t>
  </si>
  <si>
    <t xml:space="preserve">=IF(F2&gt;$L$2;"Boros";"Hemat")</t>
  </si>
  <si>
    <t xml:space="preserve">4</t>
  </si>
  <si>
    <t xml:space="preserve">Beri peringkat tagihan, peringkat 1 untuk tagihan terbesar.</t>
  </si>
  <si>
    <t xml:space="preserve">Sheet Data, kolom I (Peringkat), baris 2 sampai 13</t>
  </si>
  <si>
    <t xml:space="preserve">=RANK(F2;$F$2:$F$13;0)</t>
  </si>
  <si>
    <t xml:space="preserve">5</t>
  </si>
  <si>
    <t xml:space="preserve">Berapa total tagihan listrik, air, dan internet selama 12 bulan?</t>
  </si>
  <si>
    <t xml:space="preserve">Sheet Ringkasan, sel C4 sampai C6</t>
  </si>
  <si>
    <t xml:space="preserve">=SUM(Data!$C$2:$C$13)
=SUM(Data!$D$2:$D$13)
=SUM(Data!$E$2:$E$13)</t>
  </si>
  <si>
    <t xml:space="preserve">6</t>
  </si>
  <si>
    <t xml:space="preserve">Berapa total seluruh tagihan, dan berapa rata-rata tagihan per bulan?</t>
  </si>
  <si>
    <t xml:space="preserve">Sheet Ringkasan, sel C7 sampai C8</t>
  </si>
  <si>
    <t xml:space="preserve">=SUM(Data!$F$2:$F$13)
=AVERAGE(Data!$F$2:$F$13)</t>
  </si>
  <si>
    <t xml:space="preserve">7</t>
  </si>
  <si>
    <t xml:space="preserve">Berapa tagihan bulanan tertinggi dan terendah?</t>
  </si>
  <si>
    <t xml:space="preserve">Sheet Ringkasan, sel C9 sampai C10</t>
  </si>
  <si>
    <t xml:space="preserve">=MAX(Data!$F$2:$F$13)
=MIN(Data!$F$2:$F$13)</t>
  </si>
  <si>
    <t xml:space="preserve">8</t>
  </si>
  <si>
    <t xml:space="preserve">Pada bulan apa tagihan paling mahal, dan bulan apa paling murah?</t>
  </si>
  <si>
    <t xml:space="preserve">Sheet Ringkasan, sel C11 sampai C12</t>
  </si>
  <si>
    <t xml:space="preserve">=INDEX(Data!$B$2:$B$13;MATCH(MAX(Data!$F$2:$F$13);Data!$F$2:$F$13;0))
=INDEX(Data!$B$2:$B$13;MATCH(MIN(Data!$F$2:$F$13);Data!$F$2:$F$13;0))</t>
  </si>
  <si>
    <t xml:space="preserve">9</t>
  </si>
  <si>
    <t xml:space="preserve">Berapa bulan yang berstatus Boros, dan berapa yang Hemat?</t>
  </si>
  <si>
    <t xml:space="preserve">Sheet Ringkasan, sel C13 sampai C14</t>
  </si>
  <si>
    <t xml:space="preserve">=COUNTIF(Data!$H$2:$H$13;"Boros")
=COUNTIF(Data!$H$2:$H$13;"Hemat")</t>
  </si>
  <si>
    <t xml:space="preserve">10</t>
  </si>
  <si>
    <t xml:space="preserve">Berapa persen tagihan listrik terhadap seluruh tagihan selama 12 bulan?</t>
  </si>
  <si>
    <t xml:space="preserve">Sheet Ringkasan, sel C15</t>
  </si>
  <si>
    <t xml:space="preserve">=SUM(Data!$C$2:$C$13)/SUM(Data!$F$2:$F$13)</t>
  </si>
  <si>
    <t xml:space="preserve">11</t>
  </si>
  <si>
    <t xml:space="preserve">Berapa total tagihan pada bulan-bulan yang Boros, dan berapa kelebihannya dari anggaran secara keseluruhan?</t>
  </si>
  <si>
    <t xml:space="preserve">Sheet Ringkasan, sel C16 sampai C17</t>
  </si>
  <si>
    <t xml:space="preserve">=SUMIF(Data!$H$2:$H$13;"Boros";Data!$F$2:$F$13)
=C16-COUNTIF(Data!$H$2:$H$13;"Boros")*Data!$L$2</t>
  </si>
  <si>
    <t xml:space="preserve">Bulan</t>
  </si>
  <si>
    <t xml:space="preserve">Listrik</t>
  </si>
  <si>
    <t xml:space="preserve">Air</t>
  </si>
  <si>
    <t xml:space="preserve">Internet</t>
  </si>
  <si>
    <t xml:space="preserve">Total Tagihan</t>
  </si>
  <si>
    <t xml:space="preserve">Persen Anggaran</t>
  </si>
  <si>
    <t xml:space="preserve">Status</t>
  </si>
  <si>
    <t xml:space="preserve">Peringkat</t>
  </si>
  <si>
    <t xml:space="preserve">Parameter</t>
  </si>
  <si>
    <t xml:space="preserve">Nilai</t>
  </si>
  <si>
    <t xml:space="preserve">Keterangan</t>
  </si>
  <si>
    <t xml:space="preserve">Oktober 2025</t>
  </si>
  <si>
    <t xml:space="preserve">Anggaran bulanan</t>
  </si>
  <si>
    <t xml:space="preserve">Total tagihan di atas angka ini = Boros</t>
  </si>
  <si>
    <t xml:space="preserve">November 2025</t>
  </si>
  <si>
    <t xml:space="preserve">Desember 2025</t>
  </si>
  <si>
    <t xml:space="preserve">Januari 2026</t>
  </si>
  <si>
    <t xml:space="preserve">Februari 2026</t>
  </si>
  <si>
    <t xml:space="preserve">Maret 2026</t>
  </si>
  <si>
    <t xml:space="preserve">April 2026</t>
  </si>
  <si>
    <t xml:space="preserve">Mei 2026</t>
  </si>
  <si>
    <t xml:space="preserve">Juni 2026</t>
  </si>
  <si>
    <t xml:space="preserve">Juli 2026</t>
  </si>
  <si>
    <t xml:space="preserve">Agustus 2026</t>
  </si>
  <si>
    <t xml:space="preserve">September 2026</t>
  </si>
  <si>
    <t xml:space="preserve">Ringkasan: lembar jawaban soal berjenis ringkasan</t>
  </si>
  <si>
    <t xml:space="preserve">Sel hijau berisi rumus kunci.</t>
  </si>
  <si>
    <t xml:space="preserve">Pertanyaan</t>
  </si>
  <si>
    <t xml:space="preserve">Jawaban</t>
  </si>
  <si>
    <t xml:space="preserve">Contoh format hasil</t>
  </si>
  <si>
    <t xml:space="preserve">5a</t>
  </si>
  <si>
    <t xml:space="preserve">Total tagihan listrik</t>
  </si>
  <si>
    <t xml:space="preserve">Rupiah, mis. Rp 36.000.000</t>
  </si>
  <si>
    <t xml:space="preserve">5b</t>
  </si>
  <si>
    <t xml:space="preserve">Total tagihan air</t>
  </si>
  <si>
    <t xml:space="preserve">Rupiah, mis. Rp 4.500.000</t>
  </si>
  <si>
    <t xml:space="preserve">5c</t>
  </si>
  <si>
    <t xml:space="preserve">Total tagihan internet</t>
  </si>
  <si>
    <t xml:space="preserve">Rupiah, mis. Rp 8.000.000</t>
  </si>
  <si>
    <t xml:space="preserve">6a</t>
  </si>
  <si>
    <t xml:space="preserve">Total seluruh tagihan 12 bulan</t>
  </si>
  <si>
    <t xml:space="preserve">Rupiah, mis. Rp 48.000.000</t>
  </si>
  <si>
    <t xml:space="preserve">6b</t>
  </si>
  <si>
    <t xml:space="preserve">Rata-rata tagihan per bulan</t>
  </si>
  <si>
    <t xml:space="preserve">Rupiah, mis. Rp 4.000.000</t>
  </si>
  <si>
    <t xml:space="preserve">7a</t>
  </si>
  <si>
    <t xml:space="preserve">Tagihan bulanan tertinggi</t>
  </si>
  <si>
    <t xml:space="preserve">Rupiah, mis. Rp 4.900.000</t>
  </si>
  <si>
    <t xml:space="preserve">7b</t>
  </si>
  <si>
    <t xml:space="preserve">Tagihan bulanan terendah</t>
  </si>
  <si>
    <t xml:space="preserve">Rupiah, mis. Rp 3.600.000</t>
  </si>
  <si>
    <t xml:space="preserve">8a</t>
  </si>
  <si>
    <t xml:space="preserve">Bulan dengan tagihan termahal</t>
  </si>
  <si>
    <t xml:space="preserve">Teks: nama bulan dan tahun</t>
  </si>
  <si>
    <t xml:space="preserve">8b</t>
  </si>
  <si>
    <t xml:space="preserve">Bulan dengan tagihan termurah</t>
  </si>
  <si>
    <t xml:space="preserve">9a</t>
  </si>
  <si>
    <t xml:space="preserve">Jumlah bulan Boros</t>
  </si>
  <si>
    <t xml:space="preserve">Angka bulat, mis. 6</t>
  </si>
  <si>
    <t xml:space="preserve">9b</t>
  </si>
  <si>
    <t xml:space="preserve">Jumlah bulan Hemat</t>
  </si>
  <si>
    <t xml:space="preserve">Persentase listrik terhadap total tagihan</t>
  </si>
  <si>
    <t xml:space="preserve">Persen, mis. 75,5%</t>
  </si>
  <si>
    <t xml:space="preserve">11a</t>
  </si>
  <si>
    <t xml:space="preserve">Total tagihan pada bulan Boros</t>
  </si>
  <si>
    <t xml:space="preserve">Rupiah, mis. Rp 20.000.000</t>
  </si>
  <si>
    <t xml:space="preserve">11b</t>
  </si>
  <si>
    <t xml:space="preserve">Total kelebihan dari anggaran</t>
  </si>
  <si>
    <t xml:space="preserve">Rupiah, mis. Rp 1.500.000</t>
  </si>
</sst>
</file>

<file path=xl/styles.xml><?xml version="1.0" encoding="utf-8"?>
<styleSheet xmlns="http://schemas.openxmlformats.org/spreadsheetml/2006/main">
  <numFmts count="4">
    <numFmt numFmtId="164" formatCode="General"/>
    <numFmt numFmtId="165" formatCode="0"/>
    <numFmt numFmtId="166" formatCode="&quot;Rp &quot;#,##0"/>
    <numFmt numFmtId="167"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57.75" hidden="false" customHeight="true" outlineLevel="0" collapsed="false">
      <c r="A25" s="12" t="s">
        <v>39</v>
      </c>
      <c r="B25" s="13" t="s">
        <v>40</v>
      </c>
      <c r="C25" s="13" t="s">
        <v>41</v>
      </c>
      <c r="D25" s="14" t="s">
        <v>42</v>
      </c>
    </row>
    <row r="26" customFormat="false" ht="43.5" hidden="false" customHeight="true" outlineLevel="0" collapsed="false">
      <c r="A26" s="12" t="s">
        <v>43</v>
      </c>
      <c r="B26" s="13" t="s">
        <v>44</v>
      </c>
      <c r="C26" s="13" t="s">
        <v>45</v>
      </c>
      <c r="D26" s="14" t="s">
        <v>46</v>
      </c>
    </row>
    <row r="27" customFormat="false" ht="43.5" hidden="false" customHeight="true" outlineLevel="0" collapsed="false">
      <c r="A27" s="12" t="s">
        <v>47</v>
      </c>
      <c r="B27" s="13" t="s">
        <v>48</v>
      </c>
      <c r="C27" s="13" t="s">
        <v>49</v>
      </c>
      <c r="D27" s="14" t="s">
        <v>50</v>
      </c>
    </row>
    <row r="28" customFormat="false" ht="55.5" hidden="false" customHeight="true" outlineLevel="0" collapsed="false">
      <c r="A28" s="12" t="s">
        <v>51</v>
      </c>
      <c r="B28" s="13" t="s">
        <v>52</v>
      </c>
      <c r="C28" s="13" t="s">
        <v>53</v>
      </c>
      <c r="D28" s="14" t="s">
        <v>54</v>
      </c>
    </row>
    <row r="29" customFormat="false" ht="43.5" hidden="false" customHeight="true" outlineLevel="0" collapsed="false">
      <c r="A29" s="12" t="s">
        <v>55</v>
      </c>
      <c r="B29" s="13" t="s">
        <v>56</v>
      </c>
      <c r="C29" s="13" t="s">
        <v>57</v>
      </c>
      <c r="D29" s="14" t="s">
        <v>58</v>
      </c>
    </row>
    <row r="30" customFormat="false" ht="30" hidden="false" customHeight="true" outlineLevel="0" collapsed="false">
      <c r="A30" s="12" t="s">
        <v>59</v>
      </c>
      <c r="B30" s="13" t="s">
        <v>60</v>
      </c>
      <c r="C30" s="13" t="s">
        <v>61</v>
      </c>
      <c r="D30" s="14" t="s">
        <v>62</v>
      </c>
    </row>
    <row r="31" customFormat="false" ht="43.5" hidden="false" customHeight="true" outlineLevel="0" collapsed="false">
      <c r="A31" s="12" t="s">
        <v>63</v>
      </c>
      <c r="B31" s="13" t="s">
        <v>64</v>
      </c>
      <c r="C31" s="13" t="s">
        <v>65</v>
      </c>
      <c r="D31" s="14" t="s">
        <v>66</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14"/>
    <col collapsed="false" customWidth="true" hidden="false" outlineLevel="0" max="5" min="4" style="0" width="13"/>
    <col collapsed="false" customWidth="true" hidden="false" outlineLevel="0" max="6" min="6" style="0" width="15"/>
    <col collapsed="false" customWidth="true" hidden="false" outlineLevel="0" max="7" min="7" style="0" width="14"/>
    <col collapsed="false" customWidth="true" hidden="false" outlineLevel="0" max="8" min="8" style="0" width="10"/>
    <col collapsed="false" customWidth="true" hidden="false" outlineLevel="0" max="9" min="9" style="0" width="11"/>
    <col collapsed="false" customWidth="true" hidden="false" outlineLevel="0" max="10" min="10" style="0" width="3"/>
    <col collapsed="false" customWidth="true" hidden="false" outlineLevel="0" max="11" min="11" style="0" width="30"/>
    <col collapsed="false" customWidth="true" hidden="false" outlineLevel="0" max="12" min="12" style="0" width="16"/>
    <col collapsed="false" customWidth="true" hidden="false" outlineLevel="0" max="13" min="13" style="0" width="42"/>
  </cols>
  <sheetData>
    <row r="1" customFormat="false" ht="33.75" hidden="false" customHeight="true" outlineLevel="0" collapsed="false">
      <c r="A1" s="11" t="s">
        <v>19</v>
      </c>
      <c r="B1" s="11" t="s">
        <v>67</v>
      </c>
      <c r="C1" s="11" t="s">
        <v>68</v>
      </c>
      <c r="D1" s="11" t="s">
        <v>69</v>
      </c>
      <c r="E1" s="11" t="s">
        <v>70</v>
      </c>
      <c r="F1" s="15" t="s">
        <v>71</v>
      </c>
      <c r="G1" s="15" t="s">
        <v>72</v>
      </c>
      <c r="H1" s="15" t="s">
        <v>73</v>
      </c>
      <c r="I1" s="15" t="s">
        <v>74</v>
      </c>
      <c r="K1" s="16" t="s">
        <v>75</v>
      </c>
      <c r="L1" s="16" t="s">
        <v>76</v>
      </c>
      <c r="M1" s="16" t="s">
        <v>77</v>
      </c>
    </row>
    <row r="2" customFormat="false" ht="15" hidden="false" customHeight="false" outlineLevel="0" collapsed="false">
      <c r="A2" s="17" t="n">
        <v>1</v>
      </c>
      <c r="B2" s="18" t="s">
        <v>78</v>
      </c>
      <c r="C2" s="19" t="n">
        <v>2824000</v>
      </c>
      <c r="D2" s="19" t="n">
        <v>397000</v>
      </c>
      <c r="E2" s="19" t="n">
        <v>725000</v>
      </c>
      <c r="F2" s="20" t="n">
        <f aca="false">C2+D2+E2</f>
        <v>3946000</v>
      </c>
      <c r="G2" s="21" t="n">
        <f aca="false">F2/$L$2</f>
        <v>0.917674418604651</v>
      </c>
      <c r="H2" s="22" t="str">
        <f aca="false">IF(F2&gt;$L$2,"Boros","Hemat")</f>
        <v>Hemat</v>
      </c>
      <c r="I2" s="23" t="n">
        <f aca="false">RANK(F2,$F$2:$F$13,0)</f>
        <v>8</v>
      </c>
      <c r="K2" s="24" t="s">
        <v>79</v>
      </c>
      <c r="L2" s="25" t="n">
        <v>4300000</v>
      </c>
      <c r="M2" s="24" t="s">
        <v>80</v>
      </c>
    </row>
    <row r="3" customFormat="false" ht="15" hidden="false" customHeight="false" outlineLevel="0" collapsed="false">
      <c r="A3" s="17" t="n">
        <v>2</v>
      </c>
      <c r="B3" s="18" t="s">
        <v>81</v>
      </c>
      <c r="C3" s="19" t="n">
        <v>3017000</v>
      </c>
      <c r="D3" s="19" t="n">
        <v>416000</v>
      </c>
      <c r="E3" s="19" t="n">
        <v>650000</v>
      </c>
      <c r="F3" s="20" t="n">
        <f aca="false">C3+D3+E3</f>
        <v>4083000</v>
      </c>
      <c r="G3" s="21" t="n">
        <f aca="false">F3/$L$2</f>
        <v>0.94953488372093</v>
      </c>
      <c r="H3" s="22" t="str">
        <f aca="false">IF(F3&gt;$L$2,"Boros","Hemat")</f>
        <v>Hemat</v>
      </c>
      <c r="I3" s="23" t="n">
        <f aca="false">RANK(F3,$F$2:$F$13,0)</f>
        <v>7</v>
      </c>
    </row>
    <row r="4" customFormat="false" ht="15" hidden="false" customHeight="false" outlineLevel="0" collapsed="false">
      <c r="A4" s="17" t="n">
        <v>3</v>
      </c>
      <c r="B4" s="18" t="s">
        <v>82</v>
      </c>
      <c r="C4" s="19" t="n">
        <v>3138000</v>
      </c>
      <c r="D4" s="19" t="n">
        <v>310000</v>
      </c>
      <c r="E4" s="19" t="n">
        <v>725000</v>
      </c>
      <c r="F4" s="20" t="n">
        <f aca="false">C4+D4+E4</f>
        <v>4173000</v>
      </c>
      <c r="G4" s="21" t="n">
        <f aca="false">F4/$L$2</f>
        <v>0.97046511627907</v>
      </c>
      <c r="H4" s="22" t="str">
        <f aca="false">IF(F4&gt;$L$2,"Boros","Hemat")</f>
        <v>Hemat</v>
      </c>
      <c r="I4" s="23" t="n">
        <f aca="false">RANK(F4,$F$2:$F$13,0)</f>
        <v>5</v>
      </c>
    </row>
    <row r="5" customFormat="false" ht="15" hidden="false" customHeight="false" outlineLevel="0" collapsed="false">
      <c r="A5" s="17" t="n">
        <v>4</v>
      </c>
      <c r="B5" s="18" t="s">
        <v>83</v>
      </c>
      <c r="C5" s="19" t="n">
        <v>3579000</v>
      </c>
      <c r="D5" s="19" t="n">
        <v>359000</v>
      </c>
      <c r="E5" s="19" t="n">
        <v>725000</v>
      </c>
      <c r="F5" s="20" t="n">
        <f aca="false">C5+D5+E5</f>
        <v>4663000</v>
      </c>
      <c r="G5" s="21" t="n">
        <f aca="false">F5/$L$2</f>
        <v>1.08441860465116</v>
      </c>
      <c r="H5" s="22" t="str">
        <f aca="false">IF(F5&gt;$L$2,"Boros","Hemat")</f>
        <v>Boros</v>
      </c>
      <c r="I5" s="23" t="n">
        <f aca="false">RANK(F5,$F$2:$F$13,0)</f>
        <v>1</v>
      </c>
    </row>
    <row r="6" customFormat="false" ht="15" hidden="false" customHeight="false" outlineLevel="0" collapsed="false">
      <c r="A6" s="17" t="n">
        <v>5</v>
      </c>
      <c r="B6" s="18" t="s">
        <v>84</v>
      </c>
      <c r="C6" s="19" t="n">
        <v>2741000</v>
      </c>
      <c r="D6" s="19" t="n">
        <v>409000</v>
      </c>
      <c r="E6" s="19" t="n">
        <v>650000</v>
      </c>
      <c r="F6" s="20" t="n">
        <f aca="false">C6+D6+E6</f>
        <v>3800000</v>
      </c>
      <c r="G6" s="21" t="n">
        <f aca="false">F6/$L$2</f>
        <v>0.883720930232558</v>
      </c>
      <c r="H6" s="22" t="str">
        <f aca="false">IF(F6&gt;$L$2,"Boros","Hemat")</f>
        <v>Hemat</v>
      </c>
      <c r="I6" s="23" t="n">
        <f aca="false">RANK(F6,$F$2:$F$13,0)</f>
        <v>11</v>
      </c>
    </row>
    <row r="7" customFormat="false" ht="15" hidden="false" customHeight="false" outlineLevel="0" collapsed="false">
      <c r="A7" s="17" t="n">
        <v>6</v>
      </c>
      <c r="B7" s="18" t="s">
        <v>85</v>
      </c>
      <c r="C7" s="19" t="n">
        <v>2857000</v>
      </c>
      <c r="D7" s="19" t="n">
        <v>338000</v>
      </c>
      <c r="E7" s="19" t="n">
        <v>725000</v>
      </c>
      <c r="F7" s="20" t="n">
        <f aca="false">C7+D7+E7</f>
        <v>3920000</v>
      </c>
      <c r="G7" s="21" t="n">
        <f aca="false">F7/$L$2</f>
        <v>0.911627906976744</v>
      </c>
      <c r="H7" s="22" t="str">
        <f aca="false">IF(F7&gt;$L$2,"Boros","Hemat")</f>
        <v>Hemat</v>
      </c>
      <c r="I7" s="23" t="n">
        <f aca="false">RANK(F7,$F$2:$F$13,0)</f>
        <v>9</v>
      </c>
    </row>
    <row r="8" customFormat="false" ht="15" hidden="false" customHeight="false" outlineLevel="0" collapsed="false">
      <c r="A8" s="17" t="n">
        <v>7</v>
      </c>
      <c r="B8" s="18" t="s">
        <v>86</v>
      </c>
      <c r="C8" s="19" t="n">
        <v>2758000</v>
      </c>
      <c r="D8" s="19" t="n">
        <v>386000</v>
      </c>
      <c r="E8" s="19" t="n">
        <v>650000</v>
      </c>
      <c r="F8" s="20" t="n">
        <f aca="false">C8+D8+E8</f>
        <v>3794000</v>
      </c>
      <c r="G8" s="21" t="n">
        <f aca="false">F8/$L$2</f>
        <v>0.882325581395349</v>
      </c>
      <c r="H8" s="22" t="str">
        <f aca="false">IF(F8&gt;$L$2,"Boros","Hemat")</f>
        <v>Hemat</v>
      </c>
      <c r="I8" s="23" t="n">
        <f aca="false">RANK(F8,$F$2:$F$13,0)</f>
        <v>12</v>
      </c>
    </row>
    <row r="9" customFormat="false" ht="15" hidden="false" customHeight="false" outlineLevel="0" collapsed="false">
      <c r="A9" s="17" t="n">
        <v>8</v>
      </c>
      <c r="B9" s="18" t="s">
        <v>87</v>
      </c>
      <c r="C9" s="19" t="n">
        <v>3373000</v>
      </c>
      <c r="D9" s="19" t="n">
        <v>335000</v>
      </c>
      <c r="E9" s="19" t="n">
        <v>650000</v>
      </c>
      <c r="F9" s="20" t="n">
        <f aca="false">C9+D9+E9</f>
        <v>4358000</v>
      </c>
      <c r="G9" s="21" t="n">
        <f aca="false">F9/$L$2</f>
        <v>1.01348837209302</v>
      </c>
      <c r="H9" s="22" t="str">
        <f aca="false">IF(F9&gt;$L$2,"Boros","Hemat")</f>
        <v>Boros</v>
      </c>
      <c r="I9" s="23" t="n">
        <f aca="false">RANK(F9,$F$2:$F$13,0)</f>
        <v>4</v>
      </c>
    </row>
    <row r="10" customFormat="false" ht="15" hidden="false" customHeight="false" outlineLevel="0" collapsed="false">
      <c r="A10" s="17" t="n">
        <v>9</v>
      </c>
      <c r="B10" s="18" t="s">
        <v>88</v>
      </c>
      <c r="C10" s="19" t="n">
        <v>2960000</v>
      </c>
      <c r="D10" s="19" t="n">
        <v>447000</v>
      </c>
      <c r="E10" s="19" t="n">
        <v>725000</v>
      </c>
      <c r="F10" s="20" t="n">
        <f aca="false">C10+D10+E10</f>
        <v>4132000</v>
      </c>
      <c r="G10" s="21" t="n">
        <f aca="false">F10/$L$2</f>
        <v>0.96093023255814</v>
      </c>
      <c r="H10" s="22" t="str">
        <f aca="false">IF(F10&gt;$L$2,"Boros","Hemat")</f>
        <v>Hemat</v>
      </c>
      <c r="I10" s="23" t="n">
        <f aca="false">RANK(F10,$F$2:$F$13,0)</f>
        <v>6</v>
      </c>
    </row>
    <row r="11" customFormat="false" ht="15" hidden="false" customHeight="false" outlineLevel="0" collapsed="false">
      <c r="A11" s="17" t="n">
        <v>10</v>
      </c>
      <c r="B11" s="18" t="s">
        <v>89</v>
      </c>
      <c r="C11" s="19" t="n">
        <v>3351000</v>
      </c>
      <c r="D11" s="19" t="n">
        <v>422000</v>
      </c>
      <c r="E11" s="19" t="n">
        <v>800000</v>
      </c>
      <c r="F11" s="20" t="n">
        <f aca="false">C11+D11+E11</f>
        <v>4573000</v>
      </c>
      <c r="G11" s="21" t="n">
        <f aca="false">F11/$L$2</f>
        <v>1.06348837209302</v>
      </c>
      <c r="H11" s="22" t="str">
        <f aca="false">IF(F11&gt;$L$2,"Boros","Hemat")</f>
        <v>Boros</v>
      </c>
      <c r="I11" s="23" t="n">
        <f aca="false">RANK(F11,$F$2:$F$13,0)</f>
        <v>2</v>
      </c>
    </row>
    <row r="12" customFormat="false" ht="15" hidden="false" customHeight="false" outlineLevel="0" collapsed="false">
      <c r="A12" s="17" t="n">
        <v>11</v>
      </c>
      <c r="B12" s="18" t="s">
        <v>90</v>
      </c>
      <c r="C12" s="19" t="n">
        <v>2802000</v>
      </c>
      <c r="D12" s="19" t="n">
        <v>417000</v>
      </c>
      <c r="E12" s="19" t="n">
        <v>650000</v>
      </c>
      <c r="F12" s="20" t="n">
        <f aca="false">C12+D12+E12</f>
        <v>3869000</v>
      </c>
      <c r="G12" s="21" t="n">
        <f aca="false">F12/$L$2</f>
        <v>0.899767441860465</v>
      </c>
      <c r="H12" s="22" t="str">
        <f aca="false">IF(F12&gt;$L$2,"Boros","Hemat")</f>
        <v>Hemat</v>
      </c>
      <c r="I12" s="23" t="n">
        <f aca="false">RANK(F12,$F$2:$F$13,0)</f>
        <v>10</v>
      </c>
    </row>
    <row r="13" customFormat="false" ht="15" hidden="false" customHeight="false" outlineLevel="0" collapsed="false">
      <c r="A13" s="17" t="n">
        <v>12</v>
      </c>
      <c r="B13" s="18" t="s">
        <v>91</v>
      </c>
      <c r="C13" s="19" t="n">
        <v>3425000</v>
      </c>
      <c r="D13" s="19" t="n">
        <v>340000</v>
      </c>
      <c r="E13" s="19" t="n">
        <v>650000</v>
      </c>
      <c r="F13" s="20" t="n">
        <f aca="false">C13+D13+E13</f>
        <v>4415000</v>
      </c>
      <c r="G13" s="21" t="n">
        <f aca="false">F13/$L$2</f>
        <v>1.02674418604651</v>
      </c>
      <c r="H13" s="22" t="str">
        <f aca="false">IF(F13&gt;$L$2,"Boros","Hemat")</f>
        <v>Boros</v>
      </c>
      <c r="I13" s="23" t="n">
        <f aca="false">RANK(F13,$F$2:$F$13,0)</f>
        <v>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6" t="s">
        <v>92</v>
      </c>
      <c r="B1" s="26"/>
      <c r="C1" s="26"/>
      <c r="D1" s="26"/>
    </row>
    <row r="2" customFormat="false" ht="15" hidden="false" customHeight="false" outlineLevel="0" collapsed="false">
      <c r="A2" s="27" t="s">
        <v>93</v>
      </c>
      <c r="B2" s="27"/>
      <c r="C2" s="27"/>
      <c r="D2" s="27"/>
    </row>
    <row r="3" customFormat="false" ht="15" hidden="false" customHeight="false" outlineLevel="0" collapsed="false">
      <c r="A3" s="11" t="s">
        <v>19</v>
      </c>
      <c r="B3" s="11" t="s">
        <v>94</v>
      </c>
      <c r="C3" s="11" t="s">
        <v>95</v>
      </c>
      <c r="D3" s="11" t="s">
        <v>96</v>
      </c>
    </row>
    <row r="4" customFormat="false" ht="15" hidden="false" customHeight="false" outlineLevel="0" collapsed="false">
      <c r="A4" s="28" t="s">
        <v>97</v>
      </c>
      <c r="B4" s="29" t="s">
        <v>98</v>
      </c>
      <c r="C4" s="20" t="n">
        <f aca="false">SUM(Data!$C$2:$C$13)</f>
        <v>36825000</v>
      </c>
      <c r="D4" s="30" t="s">
        <v>99</v>
      </c>
    </row>
    <row r="5" customFormat="false" ht="15" hidden="false" customHeight="false" outlineLevel="0" collapsed="false">
      <c r="A5" s="28" t="s">
        <v>100</v>
      </c>
      <c r="B5" s="29" t="s">
        <v>101</v>
      </c>
      <c r="C5" s="20" t="n">
        <f aca="false">SUM(Data!$D$2:$D$13)</f>
        <v>4576000</v>
      </c>
      <c r="D5" s="30" t="s">
        <v>102</v>
      </c>
    </row>
    <row r="6" customFormat="false" ht="15" hidden="false" customHeight="false" outlineLevel="0" collapsed="false">
      <c r="A6" s="28" t="s">
        <v>103</v>
      </c>
      <c r="B6" s="29" t="s">
        <v>104</v>
      </c>
      <c r="C6" s="20" t="n">
        <f aca="false">SUM(Data!$E$2:$E$13)</f>
        <v>8325000</v>
      </c>
      <c r="D6" s="30" t="s">
        <v>105</v>
      </c>
    </row>
    <row r="7" customFormat="false" ht="15" hidden="false" customHeight="false" outlineLevel="0" collapsed="false">
      <c r="A7" s="28" t="s">
        <v>106</v>
      </c>
      <c r="B7" s="29" t="s">
        <v>107</v>
      </c>
      <c r="C7" s="20" t="n">
        <f aca="false">SUM(Data!$F$2:$F$13)</f>
        <v>49726000</v>
      </c>
      <c r="D7" s="30" t="s">
        <v>108</v>
      </c>
    </row>
    <row r="8" customFormat="false" ht="15" hidden="false" customHeight="false" outlineLevel="0" collapsed="false">
      <c r="A8" s="28" t="s">
        <v>109</v>
      </c>
      <c r="B8" s="29" t="s">
        <v>110</v>
      </c>
      <c r="C8" s="20" t="n">
        <f aca="false">AVERAGE(Data!$F$2:$F$13)</f>
        <v>4143833.33333333</v>
      </c>
      <c r="D8" s="30" t="s">
        <v>111</v>
      </c>
    </row>
    <row r="9" customFormat="false" ht="15" hidden="false" customHeight="false" outlineLevel="0" collapsed="false">
      <c r="A9" s="28" t="s">
        <v>112</v>
      </c>
      <c r="B9" s="29" t="s">
        <v>113</v>
      </c>
      <c r="C9" s="20" t="n">
        <f aca="false">MAX(Data!$F$2:$F$13)</f>
        <v>4663000</v>
      </c>
      <c r="D9" s="30" t="s">
        <v>114</v>
      </c>
    </row>
    <row r="10" customFormat="false" ht="15" hidden="false" customHeight="false" outlineLevel="0" collapsed="false">
      <c r="A10" s="28" t="s">
        <v>115</v>
      </c>
      <c r="B10" s="29" t="s">
        <v>116</v>
      </c>
      <c r="C10" s="20" t="n">
        <f aca="false">MIN(Data!$F$2:$F$13)</f>
        <v>3794000</v>
      </c>
      <c r="D10" s="30" t="s">
        <v>117</v>
      </c>
    </row>
    <row r="11" customFormat="false" ht="15" hidden="false" customHeight="false" outlineLevel="0" collapsed="false">
      <c r="A11" s="28" t="s">
        <v>118</v>
      </c>
      <c r="B11" s="29" t="s">
        <v>119</v>
      </c>
      <c r="C11" s="22" t="str">
        <f aca="false">INDEX(Data!$B$2:$B$13,MATCH(MAX(Data!$F$2:$F$13),Data!$F$2:$F$13,0))</f>
        <v>Januari 2026</v>
      </c>
      <c r="D11" s="30" t="s">
        <v>120</v>
      </c>
    </row>
    <row r="12" customFormat="false" ht="15" hidden="false" customHeight="false" outlineLevel="0" collapsed="false">
      <c r="A12" s="28" t="s">
        <v>121</v>
      </c>
      <c r="B12" s="29" t="s">
        <v>122</v>
      </c>
      <c r="C12" s="22" t="str">
        <f aca="false">INDEX(Data!$B$2:$B$13,MATCH(MIN(Data!$F$2:$F$13),Data!$F$2:$F$13,0))</f>
        <v>April 2026</v>
      </c>
      <c r="D12" s="30" t="s">
        <v>120</v>
      </c>
    </row>
    <row r="13" customFormat="false" ht="15" hidden="false" customHeight="false" outlineLevel="0" collapsed="false">
      <c r="A13" s="28" t="s">
        <v>123</v>
      </c>
      <c r="B13" s="29" t="s">
        <v>124</v>
      </c>
      <c r="C13" s="23" t="n">
        <f aca="false">COUNTIF(Data!$H$2:$H$13,"Boros")</f>
        <v>4</v>
      </c>
      <c r="D13" s="30" t="s">
        <v>125</v>
      </c>
    </row>
    <row r="14" customFormat="false" ht="15" hidden="false" customHeight="false" outlineLevel="0" collapsed="false">
      <c r="A14" s="28" t="s">
        <v>126</v>
      </c>
      <c r="B14" s="29" t="s">
        <v>127</v>
      </c>
      <c r="C14" s="23" t="n">
        <f aca="false">COUNTIF(Data!$H$2:$H$13,"Hemat")</f>
        <v>8</v>
      </c>
      <c r="D14" s="30" t="s">
        <v>125</v>
      </c>
    </row>
    <row r="15" customFormat="false" ht="15" hidden="false" customHeight="false" outlineLevel="0" collapsed="false">
      <c r="A15" s="28" t="s">
        <v>59</v>
      </c>
      <c r="B15" s="29" t="s">
        <v>128</v>
      </c>
      <c r="C15" s="21" t="n">
        <f aca="false">SUM(Data!$C$2:$C$13)/SUM(Data!$F$2:$F$13)</f>
        <v>0.740558259260749</v>
      </c>
      <c r="D15" s="30" t="s">
        <v>129</v>
      </c>
    </row>
    <row r="16" customFormat="false" ht="15" hidden="false" customHeight="false" outlineLevel="0" collapsed="false">
      <c r="A16" s="28" t="s">
        <v>130</v>
      </c>
      <c r="B16" s="29" t="s">
        <v>131</v>
      </c>
      <c r="C16" s="20" t="n">
        <f aca="false">SUMIF(Data!$H$2:$H$13,"Boros",Data!$F$2:$F$13)</f>
        <v>18009000</v>
      </c>
      <c r="D16" s="30" t="s">
        <v>132</v>
      </c>
    </row>
    <row r="17" customFormat="false" ht="15" hidden="false" customHeight="false" outlineLevel="0" collapsed="false">
      <c r="A17" s="28" t="s">
        <v>133</v>
      </c>
      <c r="B17" s="29" t="s">
        <v>134</v>
      </c>
      <c r="C17" s="20" t="n">
        <f aca="false">C16-COUNTIF(Data!$H$2:$H$13,"Boros")*Data!$L$2</f>
        <v>809000</v>
      </c>
      <c r="D17" s="30" t="s">
        <v>135</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2026-10-14T23:33:40Z</dcterms:created>
  <dc:creator>PushExcel</dc:creator>
  <dc:description/>
  <dc:language>en-US</dc:language>
  <cp:lastModifiedBy/>
  <dcterms:modified xsi:type="dcterms:W3CDTF">2026-10-14T23:33:40Z</dcterms:modified>
  <cp:revision>0</cp:revision>
  <dc:subject/>
  <dc:title>Rekap Tagihan Listrik, Air, dan Internet Kantor - Kunci</dc:title>
</cp:coreProperties>
</file>

<file path=docProps/custom.xml><?xml version="1.0" encoding="utf-8"?>
<Properties xmlns="http://schemas.openxmlformats.org/officeDocument/2006/custom-properties" xmlns:vt="http://schemas.openxmlformats.org/officeDocument/2006/docPropsVTypes"/>
</file>