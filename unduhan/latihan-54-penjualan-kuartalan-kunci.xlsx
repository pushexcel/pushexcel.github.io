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<sst xmlns="http://schemas.openxmlformats.org/spreadsheetml/2006/main" count="202" uniqueCount="161">
  <si>
    <t xml:space="preserve">Kunci Jawaban: Laporan Penjualan Kuartalan Lima Produk</t>
  </si>
  <si>
    <t xml:space="preserve">Latihan 54 dari 56  |  Tingkat: Lanjutan  |  Perkiraan waktu: 70 menit  |  pushexcel.github.io/Pushexcel</t>
  </si>
  <si>
    <t xml:space="preserve">Skenario</t>
  </si>
  <si>
    <t xml:space="preserve">Kamu analis penjualan PT Nusa Rasa yang memasarkan lima produk di empat wilayah. Tabel berisi penjualan tiap kuartal tahun 2025 (dalam rupiah) dan target tahunan untuk 20 kombinasi produk dan wilayah. Capaian target adalah total setahun dibagi target. Status Tercapai bila capaian sama dengan atau di atas 100 persen, Hampir bila sama dengan atau di atas 90 persen, selain itu Belum. Tren Naik terus bila penjualan naik di setiap kuartal berturut-turut, Turun terus bila turun di setiap kuartal, selain itu Fluktuatif. Rekap per wilayah ada di sheet Acuan.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</si>
  <si>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</si>
  <si>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</si>
  <si>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</si>
  <si>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</si>
  <si>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</si>
  <si>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</si>
  <si>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</si>
  <si>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</si>
  <si>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</si>
  <si>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</si>
  <si>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</si>
  <si>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</si>
  <si>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</si>
  <si>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Daftar soal</t>
  </si>
  <si>
    <t xml:space="preserve">No</t>
  </si>
  <si>
    <t xml:space="preserve">Soal</t>
  </si>
  <si>
    <t xml:space="preserve">Jawab di</t>
  </si>
  <si>
    <t xml:space="preserve">Rumus kunci</t>
  </si>
  <si>
    <t xml:space="preserve">1</t>
  </si>
  <si>
    <t xml:space="preserve">Hitung total penjualan setahun: jumlah keempat kuartal.</t>
  </si>
  <si>
    <t xml:space="preserve">Sheet Data, kolom H (Total Setahun), baris 2 sampai 21</t>
  </si>
  <si>
    <t xml:space="preserve">=SUM(C2:F2)</t>
  </si>
  <si>
    <t xml:space="preserve">2</t>
  </si>
  <si>
    <t xml:space="preserve">Hitung rata-rata penjualan per kuartal.</t>
  </si>
  <si>
    <t xml:space="preserve">Sheet Data, kolom I (Rata-rata Kuartal), baris 2 sampai 21</t>
  </si>
  <si>
    <t xml:space="preserve">=AVERAGE(C2:F2)</t>
  </si>
  <si>
    <t xml:space="preserve">3</t>
  </si>
  <si>
    <t xml:space="preserve">Hitung pertumbuhan kuartal 4 terhadap kuartal 1: selisih K4 dan K1 dibagi K1. Boleh negatif.</t>
  </si>
  <si>
    <t xml:space="preserve">Sheet Data, kolom J (Pertumbuhan K4 vs K1), baris 2 sampai 21</t>
  </si>
  <si>
    <t xml:space="preserve">=(F2-C2)/C2</t>
  </si>
  <si>
    <t xml:space="preserve">4</t>
  </si>
  <si>
    <t xml:space="preserve">Tulis nama kuartal dengan penjualan tertinggi pada baris itu (Kuartal 1 sampai Kuartal 4).</t>
  </si>
  <si>
    <t xml:space="preserve">Sheet Data, kolom K (Kuartal Terbaik), baris 2 sampai 21</t>
  </si>
  <si>
    <t xml:space="preserve">=CHOOSE(MATCH(MAX(C2:F2);C2:F2;0);"Kuartal 1";"Kuartal 2";"Kuartal 3";"Kuartal 4")</t>
  </si>
  <si>
    <t xml:space="preserve">5</t>
  </si>
  <si>
    <t xml:space="preserve">Hitung capaian target: total setahun dibagi target tahunan.</t>
  </si>
  <si>
    <t xml:space="preserve">Sheet Data, kolom L (Capaian Target), baris 2 sampai 21</t>
  </si>
  <si>
    <t xml:space="preserve">=H2/G2</t>
  </si>
  <si>
    <t xml:space="preserve">6</t>
  </si>
  <si>
    <t xml:space="preserve">Beri status: Tercapai bila capaian 100 persen atau lebih, Hampir bila 90 persen atau lebih, selain itu Belum.</t>
  </si>
  <si>
    <t xml:space="preserve">Sheet Data, kolom M (Status Target), baris 2 sampai 21</t>
  </si>
  <si>
    <t xml:space="preserve">=IF(L2&gt;=1;"Tercapai";IF(L2&gt;=0.9;"Hampir";"Belum"))</t>
  </si>
  <si>
    <t xml:space="preserve">7</t>
  </si>
  <si>
    <t xml:space="preserve">Tentukan tren: Naik terus bila setiap kuartal lebih besar dari kuartal sebelumnya, Turun terus bila setiap kuartal lebih kecil, selain itu Fluktuatif.</t>
  </si>
  <si>
    <t xml:space="preserve">Sheet Data, kolom N (Tren), baris 2 sampai 21</t>
  </si>
  <si>
    <t xml:space="preserve">=IF(AND(D2&gt;C2;E2&gt;D2;F2&gt;E2);"Naik terus";IF(AND(D2&lt;C2;E2&lt;D2;F2&lt;E2);"Turun terus";"Fluktuatif"))</t>
  </si>
  <si>
    <t xml:space="preserve">8</t>
  </si>
  <si>
    <t xml:space="preserve">Beri peringkat tiap baris menurut total setahun, peringkat 1 untuk total terbesar.</t>
  </si>
  <si>
    <t xml:space="preserve">Sheet Data, kolom O (Peringkat), baris 2 sampai 21</t>
  </si>
  <si>
    <t xml:space="preserve">=RANK(H2;$H$2:$H$21;0)</t>
  </si>
  <si>
    <t xml:space="preserve">9</t>
  </si>
  <si>
    <t xml:space="preserve">Hitung kontribusi tiap baris terhadap seluruh penjualan: total setahun dibagi jumlah seluruh total setahun.</t>
  </si>
  <si>
    <t xml:space="preserve">Sheet Data, kolom P (Kontribusi), baris 2 sampai 21</t>
  </si>
  <si>
    <t xml:space="preserve">=H2/SUM($H$2:$H$21)</t>
  </si>
  <si>
    <t xml:space="preserve">10</t>
  </si>
  <si>
    <t xml:space="preserve">Pada sheet Acuan, hitung total setahun tiap wilayah.</t>
  </si>
  <si>
    <t xml:space="preserve">Sheet Acuan, kolom B (Total Wilayah), baris 2 sampai 5</t>
  </si>
  <si>
    <t xml:space="preserve">=SUMIF(Data!$B$2:$B$21;A2;Data!$H$2:$H$21)</t>
  </si>
  <si>
    <t xml:space="preserve">11</t>
  </si>
  <si>
    <t xml:space="preserve">Pada sheet Acuan, hitung capaian tiap wilayah: total wilayah dibagi total target tahunan wilayah itu.</t>
  </si>
  <si>
    <t xml:space="preserve">Sheet Acuan, kolom C (Capaian Wilayah), baris 2 sampai 5</t>
  </si>
  <si>
    <t xml:space="preserve">=B2/SUMIF(Data!$B$2:$B$21;A2;Data!$G$2:$G$21)</t>
  </si>
  <si>
    <t xml:space="preserve">12</t>
  </si>
  <si>
    <t xml:space="preserve">Pada sheet Acuan, beri peringkat wilayah menurut total wilayah, peringkat 1 untuk terbesar.</t>
  </si>
  <si>
    <t xml:space="preserve">Sheet Acuan, kolom D (Peringkat Wilayah), baris 2 sampai 5</t>
  </si>
  <si>
    <t xml:space="preserve">=RANK(B2;$B$2:$B$5;0)</t>
  </si>
  <si>
    <t xml:space="preserve">13</t>
  </si>
  <si>
    <t xml:space="preserve">Berapa total penjualan tiap kuartal (Kuartal 1 sampai 4) dan total setahun seluruhnya?</t>
  </si>
  <si>
    <t xml:space="preserve">Sheet Ringkasan, sel C4 sampai C8</t>
  </si>
  <si>
    <t xml:space="preserve">=SUM(Data!$C$2:$C$21)
=SUM(Data!$D$2:$D$21)
=SUM(Data!$E$2:$E$21)
=SUM(Data!$F$2:$F$21)
=SUM(Data!$H$2:$H$21)</t>
  </si>
  <si>
    <t xml:space="preserve">14</t>
  </si>
  <si>
    <t xml:space="preserve">Kombinasi apa (produk dan wilayah) yang total setahunnya terbesar?</t>
  </si>
  <si>
    <t xml:space="preserve">Sheet Ringkasan, sel C9 sampai C10</t>
  </si>
  <si>
    <t xml:space="preserve">=INDEX(Data!$A$2:$A$21;MATCH(MAX(Data!$H$2:$H$21);Data!$H$2:$H$21;0))
=INDEX(Data!$B$2:$B$21;MATCH(MAX(Data!$H$2:$H$21);Data!$H$2:$H$21;0))</t>
  </si>
  <si>
    <t xml:space="preserve">15</t>
  </si>
  <si>
    <t xml:space="preserve">Berapa kombinasi yang target tahunannya Tercapai, berapa yang trennya Naik terus, dan berapa yang Tercapai sekaligus Naik terus?</t>
  </si>
  <si>
    <t xml:space="preserve">Sheet Ringkasan, sel C11 sampai C13</t>
  </si>
  <si>
    <t xml:space="preserve">=COUNTIF(Data!$M$2:$M$21;"Tercapai")
=COUNTIF(Data!$N$2:$N$21;"Naik terus")
=COUNTIFS(Data!$M$2:$M$21;"Tercapai";Data!$N$2:$N$21;"Naik terus")</t>
  </si>
  <si>
    <t xml:space="preserve">16</t>
  </si>
  <si>
    <t xml:space="preserve">Wilayah mana yang peringkat 1, dan berapa total setahun produk Kopi Arabika di seluruh wilayah?</t>
  </si>
  <si>
    <t xml:space="preserve">Sheet Ringkasan, sel C14 sampai C15</t>
  </si>
  <si>
    <t xml:space="preserve">=INDEX(Acuan!$A$2:$A$5;MATCH(1;Acuan!$D$2:$D$5;0))
=SUMIF(Data!$A$2:$A$21;"Kopi Arabika";Data!$H$2:$H$21)</t>
  </si>
  <si>
    <t xml:space="preserve">17</t>
  </si>
  <si>
    <t xml:space="preserve">Berapa total setahun terbesar ketiga, dan berapa rata-rata capaian target seluruh kombinasi?</t>
  </si>
  <si>
    <t xml:space="preserve">Sheet Ringkasan, sel C16 sampai C17</t>
  </si>
  <si>
    <t xml:space="preserve">=LARGE(Data!$H$2:$H$21;3)
=AVERAGE(Data!$L$2:$L$21)</t>
  </si>
  <si>
    <t xml:space="preserve">Produk</t>
  </si>
  <si>
    <t xml:space="preserve">Wilayah</t>
  </si>
  <si>
    <t xml:space="preserve">Kuartal 1</t>
  </si>
  <si>
    <t xml:space="preserve">Kuartal 2</t>
  </si>
  <si>
    <t xml:space="preserve">Kuartal 3</t>
  </si>
  <si>
    <t xml:space="preserve">Kuartal 4</t>
  </si>
  <si>
    <t xml:space="preserve">Target Tahunan</t>
  </si>
  <si>
    <t xml:space="preserve">Total Setahun</t>
  </si>
  <si>
    <t xml:space="preserve">Rata-rata Kuartal</t>
  </si>
  <si>
    <t xml:space="preserve">Pertumbuhan K4 vs K1</t>
  </si>
  <si>
    <t xml:space="preserve">Kuartal Terbaik</t>
  </si>
  <si>
    <t xml:space="preserve">Capaian Target</t>
  </si>
  <si>
    <t xml:space="preserve">Status Target</t>
  </si>
  <si>
    <t xml:space="preserve">Tren</t>
  </si>
  <si>
    <t xml:space="preserve">Peringkat</t>
  </si>
  <si>
    <t xml:space="preserve">Kontribusi</t>
  </si>
  <si>
    <t xml:space="preserve">Kopi Arabika</t>
  </si>
  <si>
    <t xml:space="preserve">Jawa Tengah</t>
  </si>
  <si>
    <t xml:space="preserve">Jawa Barat</t>
  </si>
  <si>
    <t xml:space="preserve">Jawa Timur</t>
  </si>
  <si>
    <t xml:space="preserve">Sumatera</t>
  </si>
  <si>
    <t xml:space="preserve">Kopi Robusta</t>
  </si>
  <si>
    <t xml:space="preserve">Teh Hijau</t>
  </si>
  <si>
    <t xml:space="preserve">Cokelat Bubuk</t>
  </si>
  <si>
    <t xml:space="preserve">Gula Aren</t>
  </si>
  <si>
    <t xml:space="preserve">Total Wilayah</t>
  </si>
  <si>
    <t xml:space="preserve">Capaian Wilayah</t>
  </si>
  <si>
    <t xml:space="preserve">Peringkat Wilayah</t>
  </si>
  <si>
    <t xml:space="preserve">Ringkasan: lembar jawaban soal berjenis ringkasan</t>
  </si>
  <si>
    <t xml:space="preserve">Sel hijau berisi rumus kunci.</t>
  </si>
  <si>
    <t xml:space="preserve">Pertanyaan</t>
  </si>
  <si>
    <t xml:space="preserve">Jawaban</t>
  </si>
  <si>
    <t xml:space="preserve">Contoh format hasil</t>
  </si>
  <si>
    <t xml:space="preserve">13a</t>
  </si>
  <si>
    <t xml:space="preserve">Total Kuartal 1</t>
  </si>
  <si>
    <t xml:space="preserve">Rupiah, mis. Rp 1.000.000.000</t>
  </si>
  <si>
    <t xml:space="preserve">13b</t>
  </si>
  <si>
    <t xml:space="preserve">Total Kuartal 2</t>
  </si>
  <si>
    <t xml:space="preserve">13c</t>
  </si>
  <si>
    <t xml:space="preserve">Total Kuartal 3</t>
  </si>
  <si>
    <t xml:space="preserve">13d</t>
  </si>
  <si>
    <t xml:space="preserve">Total Kuartal 4</t>
  </si>
  <si>
    <t xml:space="preserve">13e</t>
  </si>
  <si>
    <t xml:space="preserve">Total setahun seluruhnya</t>
  </si>
  <si>
    <t xml:space="preserve">Rupiah, mis. Rp 4.000.000.000</t>
  </si>
  <si>
    <t xml:space="preserve">14a</t>
  </si>
  <si>
    <t xml:space="preserve">Produk pada total terbesar</t>
  </si>
  <si>
    <t xml:space="preserve">Teks: nama produk</t>
  </si>
  <si>
    <t xml:space="preserve">14b</t>
  </si>
  <si>
    <t xml:space="preserve">Wilayah pada total terbesar</t>
  </si>
  <si>
    <t xml:space="preserve">Teks: nama wilayah</t>
  </si>
  <si>
    <t xml:space="preserve">15a</t>
  </si>
  <si>
    <t xml:space="preserve">Kombinasi Tercapai</t>
  </si>
  <si>
    <t xml:space="preserve">Angka bulat, mis. 7</t>
  </si>
  <si>
    <t xml:space="preserve">15b</t>
  </si>
  <si>
    <t xml:space="preserve">Kombinasi Naik terus</t>
  </si>
  <si>
    <t xml:space="preserve">Angka bulat, mis. 5</t>
  </si>
  <si>
    <t xml:space="preserve">15c</t>
  </si>
  <si>
    <t xml:space="preserve">Tercapai sekaligus Naik terus</t>
  </si>
  <si>
    <t xml:space="preserve">Angka bulat, mis. 3</t>
  </si>
  <si>
    <t xml:space="preserve">16a</t>
  </si>
  <si>
    <t xml:space="preserve">Wilayah peringkat 1</t>
  </si>
  <si>
    <t xml:space="preserve">16b</t>
  </si>
  <si>
    <t xml:space="preserve">Total setahun Kopi Arabika</t>
  </si>
  <si>
    <t xml:space="preserve">Rupiah, mis. Rp 900.000.000</t>
  </si>
  <si>
    <t xml:space="preserve">17a</t>
  </si>
  <si>
    <t xml:space="preserve">Total setahun terbesar ketiga</t>
  </si>
  <si>
    <t xml:space="preserve">Rupiah, mis. Rp 600.000.000</t>
  </si>
  <si>
    <t xml:space="preserve">17b</t>
  </si>
  <si>
    <t xml:space="preserve">Rata-rata capaian target</t>
  </si>
  <si>
    <t xml:space="preserve">Persen, mis. 99,5%</t>
  </si>
</sst>
</file>

<file path=xl/styles.xml><?xml version="1.0" encoding="utf-8"?>
<styleSheet xmlns="http://schemas.openxmlformats.org/spreadsheetml/2006/main">
  <numFmts count="4">
    <numFmt numFmtId="164" formatCode="General"/>
    <numFmt numFmtId="165" formatCode="&quot;Rp &quot;#,##0"/>
    <numFmt numFmtId="166" formatCode="0.0%"/>
    <numFmt numFmtId="167" formatCode="0"/>
  </numFmts>
  <fonts count="12">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b val="true"/>
      <sz val="13"/>
      <color rgb="FF1F4E3D"/>
      <name val="Arial"/>
      <family val="0"/>
      <charset val="1"/>
    </font>
    <font>
      <i val="true"/>
      <sz val="9"/>
      <color rgb="FF595959"/>
      <name val="Arial"/>
      <family val="0"/>
      <charset val="1"/>
    </font>
  </fonts>
  <fills count="5">
    <fill>
      <patternFill patternType="none"/>
    </fill>
    <fill>
      <patternFill patternType="gray125"/>
    </fill>
    <fill>
      <patternFill patternType="solid">
        <fgColor rgb="FF1F4E3D"/>
        <bgColor rgb="FF003366"/>
      </patternFill>
    </fill>
    <fill>
      <patternFill patternType="solid">
        <fgColor rgb="FFB45F06"/>
        <bgColor rgb="FF8080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8" customFormat="false" ht="15" hidden="false" customHeight="false" outlineLevel="0" collapsed="false">
      <c r="A18" s="3" t="s">
        <v>17</v>
      </c>
    </row>
    <row r="19" customFormat="false" ht="15" hidden="false" customHeight="false" outlineLevel="0" collapsed="false">
      <c r="A19" s="10" t="s">
        <v>18</v>
      </c>
      <c r="B19" s="10" t="s">
        <v>19</v>
      </c>
      <c r="C19" s="10" t="s">
        <v>20</v>
      </c>
      <c r="D19" s="10" t="s">
        <v>21</v>
      </c>
    </row>
    <row r="20" customFormat="false" ht="30" hidden="false" customHeight="true" outlineLevel="0" collapsed="false">
      <c r="A20" s="11" t="s">
        <v>22</v>
      </c>
      <c r="B20" s="12" t="s">
        <v>23</v>
      </c>
      <c r="C20" s="12" t="s">
        <v>24</v>
      </c>
      <c r="D20" s="13" t="s">
        <v>25</v>
      </c>
    </row>
    <row r="21" customFormat="false" ht="30" hidden="false" customHeight="true" outlineLevel="0" collapsed="false">
      <c r="A21" s="11" t="s">
        <v>26</v>
      </c>
      <c r="B21" s="12" t="s">
        <v>27</v>
      </c>
      <c r="C21" s="12" t="s">
        <v>28</v>
      </c>
      <c r="D21" s="13" t="s">
        <v>29</v>
      </c>
    </row>
    <row r="22" customFormat="false" ht="30" hidden="false" customHeight="true" outlineLevel="0" collapsed="false">
      <c r="A22" s="11" t="s">
        <v>30</v>
      </c>
      <c r="B22" s="12" t="s">
        <v>31</v>
      </c>
      <c r="C22" s="12" t="s">
        <v>32</v>
      </c>
      <c r="D22" s="13" t="s">
        <v>33</v>
      </c>
    </row>
    <row r="23" customFormat="false" ht="30" hidden="false" customHeight="true" outlineLevel="0" collapsed="false">
      <c r="A23" s="11" t="s">
        <v>34</v>
      </c>
      <c r="B23" s="12" t="s">
        <v>35</v>
      </c>
      <c r="C23" s="12" t="s">
        <v>36</v>
      </c>
      <c r="D23" s="13" t="s">
        <v>37</v>
      </c>
    </row>
    <row r="24" customFormat="false" ht="30" hidden="false" customHeight="true" outlineLevel="0" collapsed="false">
      <c r="A24" s="11" t="s">
        <v>38</v>
      </c>
      <c r="B24" s="12" t="s">
        <v>39</v>
      </c>
      <c r="C24" s="12" t="s">
        <v>40</v>
      </c>
      <c r="D24" s="13" t="s">
        <v>41</v>
      </c>
    </row>
    <row r="25" customFormat="false" ht="30" hidden="false" customHeight="true" outlineLevel="0" collapsed="false">
      <c r="A25" s="11" t="s">
        <v>42</v>
      </c>
      <c r="B25" s="12" t="s">
        <v>43</v>
      </c>
      <c r="C25" s="12" t="s">
        <v>44</v>
      </c>
      <c r="D25" s="13" t="s">
        <v>45</v>
      </c>
    </row>
    <row r="26" customFormat="false" ht="42" hidden="false" customHeight="true" outlineLevel="0" collapsed="false">
      <c r="A26" s="11" t="s">
        <v>46</v>
      </c>
      <c r="B26" s="12" t="s">
        <v>47</v>
      </c>
      <c r="C26" s="12" t="s">
        <v>48</v>
      </c>
      <c r="D26" s="13" t="s">
        <v>49</v>
      </c>
    </row>
    <row r="27" customFormat="false" ht="30" hidden="false" customHeight="true" outlineLevel="0" collapsed="false">
      <c r="A27" s="11" t="s">
        <v>50</v>
      </c>
      <c r="B27" s="12" t="s">
        <v>51</v>
      </c>
      <c r="C27" s="12" t="s">
        <v>52</v>
      </c>
      <c r="D27" s="13" t="s">
        <v>53</v>
      </c>
    </row>
    <row r="28" customFormat="false" ht="30" hidden="false" customHeight="true" outlineLevel="0" collapsed="false">
      <c r="A28" s="11" t="s">
        <v>54</v>
      </c>
      <c r="B28" s="12" t="s">
        <v>55</v>
      </c>
      <c r="C28" s="12" t="s">
        <v>56</v>
      </c>
      <c r="D28" s="13" t="s">
        <v>57</v>
      </c>
    </row>
    <row r="29" customFormat="false" ht="30" hidden="false" customHeight="true" outlineLevel="0" collapsed="false">
      <c r="A29" s="11" t="s">
        <v>58</v>
      </c>
      <c r="B29" s="12" t="s">
        <v>59</v>
      </c>
      <c r="C29" s="12" t="s">
        <v>60</v>
      </c>
      <c r="D29" s="13" t="s">
        <v>61</v>
      </c>
    </row>
    <row r="30" customFormat="false" ht="30" hidden="false" customHeight="true" outlineLevel="0" collapsed="false">
      <c r="A30" s="11" t="s">
        <v>62</v>
      </c>
      <c r="B30" s="12" t="s">
        <v>63</v>
      </c>
      <c r="C30" s="12" t="s">
        <v>64</v>
      </c>
      <c r="D30" s="13" t="s">
        <v>65</v>
      </c>
    </row>
    <row r="31" customFormat="false" ht="30" hidden="false" customHeight="true" outlineLevel="0" collapsed="false">
      <c r="A31" s="11" t="s">
        <v>66</v>
      </c>
      <c r="B31" s="12" t="s">
        <v>67</v>
      </c>
      <c r="C31" s="12" t="s">
        <v>68</v>
      </c>
      <c r="D31" s="13" t="s">
        <v>69</v>
      </c>
    </row>
    <row r="32" customFormat="false" ht="85.5" hidden="false" customHeight="true" outlineLevel="0" collapsed="false">
      <c r="A32" s="11" t="s">
        <v>70</v>
      </c>
      <c r="B32" s="12" t="s">
        <v>71</v>
      </c>
      <c r="C32" s="12" t="s">
        <v>72</v>
      </c>
      <c r="D32" s="13" t="s">
        <v>73</v>
      </c>
    </row>
    <row r="33" customFormat="false" ht="55.5" hidden="false" customHeight="true" outlineLevel="0" collapsed="false">
      <c r="A33" s="11" t="s">
        <v>74</v>
      </c>
      <c r="B33" s="12" t="s">
        <v>75</v>
      </c>
      <c r="C33" s="12" t="s">
        <v>76</v>
      </c>
      <c r="D33" s="13" t="s">
        <v>77</v>
      </c>
    </row>
    <row r="34" customFormat="false" ht="69.75" hidden="false" customHeight="true" outlineLevel="0" collapsed="false">
      <c r="A34" s="11" t="s">
        <v>78</v>
      </c>
      <c r="B34" s="12" t="s">
        <v>79</v>
      </c>
      <c r="C34" s="12" t="s">
        <v>80</v>
      </c>
      <c r="D34" s="13" t="s">
        <v>81</v>
      </c>
    </row>
    <row r="35" customFormat="false" ht="43.5" hidden="false" customHeight="true" outlineLevel="0" collapsed="false">
      <c r="A35" s="11" t="s">
        <v>82</v>
      </c>
      <c r="B35" s="12" t="s">
        <v>83</v>
      </c>
      <c r="C35" s="12" t="s">
        <v>84</v>
      </c>
      <c r="D35" s="13" t="s">
        <v>85</v>
      </c>
    </row>
    <row r="36" customFormat="false" ht="43.5" hidden="false" customHeight="true" outlineLevel="0" collapsed="false">
      <c r="A36" s="11" t="s">
        <v>86</v>
      </c>
      <c r="B36" s="12" t="s">
        <v>87</v>
      </c>
      <c r="C36" s="12" t="s">
        <v>88</v>
      </c>
      <c r="D36" s="13" t="s">
        <v>89</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4"/>
    <col collapsed="false" customWidth="true" hidden="false" outlineLevel="0" max="6" min="3" style="0" width="15"/>
    <col collapsed="false" customWidth="true" hidden="false" outlineLevel="0" max="8" min="7" style="0" width="16"/>
    <col collapsed="false" customWidth="true" hidden="false" outlineLevel="0" max="9" min="9" style="0" width="17"/>
    <col collapsed="false" customWidth="true" hidden="false" outlineLevel="0" max="10" min="10" style="0" width="20"/>
    <col collapsed="false" customWidth="true" hidden="false" outlineLevel="0" max="11" min="11" style="0" width="15"/>
    <col collapsed="false" customWidth="true" hidden="false" outlineLevel="0" max="12" min="12" style="0" width="14"/>
    <col collapsed="false" customWidth="true" hidden="false" outlineLevel="0" max="14" min="13" style="0" width="13"/>
    <col collapsed="false" customWidth="true" hidden="false" outlineLevel="0" max="16" min="15" style="0" width="11"/>
  </cols>
  <sheetData>
    <row r="1" customFormat="false" ht="33.75" hidden="false" customHeight="true" outlineLevel="0" collapsed="false">
      <c r="A1" s="10" t="s">
        <v>90</v>
      </c>
      <c r="B1" s="10" t="s">
        <v>91</v>
      </c>
      <c r="C1" s="10" t="s">
        <v>92</v>
      </c>
      <c r="D1" s="10" t="s">
        <v>93</v>
      </c>
      <c r="E1" s="10" t="s">
        <v>94</v>
      </c>
      <c r="F1" s="10" t="s">
        <v>95</v>
      </c>
      <c r="G1" s="10" t="s">
        <v>96</v>
      </c>
      <c r="H1" s="14" t="s">
        <v>97</v>
      </c>
      <c r="I1" s="14" t="s">
        <v>98</v>
      </c>
      <c r="J1" s="14" t="s">
        <v>99</v>
      </c>
      <c r="K1" s="14" t="s">
        <v>100</v>
      </c>
      <c r="L1" s="14" t="s">
        <v>101</v>
      </c>
      <c r="M1" s="14" t="s">
        <v>102</v>
      </c>
      <c r="N1" s="14" t="s">
        <v>103</v>
      </c>
      <c r="O1" s="14" t="s">
        <v>104</v>
      </c>
      <c r="P1" s="14" t="s">
        <v>105</v>
      </c>
    </row>
    <row r="2" customFormat="false" ht="15" hidden="false" customHeight="false" outlineLevel="0" collapsed="false">
      <c r="A2" s="15" t="s">
        <v>106</v>
      </c>
      <c r="B2" s="15" t="s">
        <v>107</v>
      </c>
      <c r="C2" s="16" t="n">
        <v>89000000</v>
      </c>
      <c r="D2" s="16" t="n">
        <v>101000000</v>
      </c>
      <c r="E2" s="16" t="n">
        <v>112000000</v>
      </c>
      <c r="F2" s="16" t="n">
        <v>115000000</v>
      </c>
      <c r="G2" s="16" t="n">
        <v>345000000</v>
      </c>
      <c r="H2" s="17" t="n">
        <f aca="false">SUM(C2:F2)</f>
        <v>417000000</v>
      </c>
      <c r="I2" s="17" t="n">
        <f aca="false">AVERAGE(C2:F2)</f>
        <v>104250000</v>
      </c>
      <c r="J2" s="18" t="n">
        <f aca="false">(F2-C2)/C2</f>
        <v>0.292134831460674</v>
      </c>
      <c r="K2" s="19" t="str">
        <f aca="false">CHOOSE(MATCH(MAX(C2:F2),C2:F2,0),"Kuartal 1","Kuartal 2","Kuartal 3","Kuartal 4")</f>
        <v>Kuartal 4</v>
      </c>
      <c r="L2" s="18" t="n">
        <f aca="false">H2/G2</f>
        <v>1.20869565217391</v>
      </c>
      <c r="M2" s="19" t="str">
        <f aca="false">IF(L2&gt;=1,"Tercapai",IF(L2&gt;=0.9,"Hampir","Belum"))</f>
        <v>Tercapai</v>
      </c>
      <c r="N2" s="19" t="str">
        <f aca="false">IF(AND(D2&gt;C2,E2&gt;D2,F2&gt;E2),"Naik terus",IF(AND(D2&lt;C2,E2&lt;D2,F2&lt;E2),"Turun terus","Fluktuatif"))</f>
        <v>Naik terus</v>
      </c>
      <c r="O2" s="20" t="n">
        <f aca="false">RANK(H2,$H$2:$H$21,0)</f>
        <v>7</v>
      </c>
      <c r="P2" s="18" t="n">
        <f aca="false">H2/SUM($H$2:$H$21)</f>
        <v>0.0585181027224249</v>
      </c>
    </row>
    <row r="3" customFormat="false" ht="15" hidden="false" customHeight="false" outlineLevel="0" collapsed="false">
      <c r="A3" s="15" t="s">
        <v>106</v>
      </c>
      <c r="B3" s="15" t="s">
        <v>108</v>
      </c>
      <c r="C3" s="16" t="n">
        <v>136000000</v>
      </c>
      <c r="D3" s="16" t="n">
        <v>142000000</v>
      </c>
      <c r="E3" s="16" t="n">
        <v>126000000</v>
      </c>
      <c r="F3" s="16" t="n">
        <v>126000000</v>
      </c>
      <c r="G3" s="16" t="n">
        <v>600000000</v>
      </c>
      <c r="H3" s="17" t="n">
        <f aca="false">SUM(C3:F3)</f>
        <v>530000000</v>
      </c>
      <c r="I3" s="17" t="n">
        <f aca="false">AVERAGE(C3:F3)</f>
        <v>132500000</v>
      </c>
      <c r="J3" s="18" t="n">
        <f aca="false">(F3-C3)/C3</f>
        <v>-0.0735294117647059</v>
      </c>
      <c r="K3" s="19" t="str">
        <f aca="false">CHOOSE(MATCH(MAX(C3:F3),C3:F3,0),"Kuartal 1","Kuartal 2","Kuartal 3","Kuartal 4")</f>
        <v>Kuartal 2</v>
      </c>
      <c r="L3" s="18" t="n">
        <f aca="false">H3/G3</f>
        <v>0.883333333333333</v>
      </c>
      <c r="M3" s="19" t="str">
        <f aca="false">IF(L3&gt;=1,"Tercapai",IF(L3&gt;=0.9,"Hampir","Belum"))</f>
        <v>Belum</v>
      </c>
      <c r="N3" s="19" t="str">
        <f aca="false">IF(AND(D3&gt;C3,E3&gt;D3,F3&gt;E3),"Naik terus",IF(AND(D3&lt;C3,E3&lt;D3,F3&lt;E3),"Turun terus","Fluktuatif"))</f>
        <v>Fluktuatif</v>
      </c>
      <c r="O3" s="20" t="n">
        <f aca="false">RANK(H3,$H$2:$H$21,0)</f>
        <v>4</v>
      </c>
      <c r="P3" s="18" t="n">
        <f aca="false">H3/SUM($H$2:$H$21)</f>
        <v>0.074375526241931</v>
      </c>
    </row>
    <row r="4" customFormat="false" ht="15" hidden="false" customHeight="false" outlineLevel="0" collapsed="false">
      <c r="A4" s="15" t="s">
        <v>106</v>
      </c>
      <c r="B4" s="15" t="s">
        <v>109</v>
      </c>
      <c r="C4" s="16" t="n">
        <v>52000000</v>
      </c>
      <c r="D4" s="16" t="n">
        <v>57000000</v>
      </c>
      <c r="E4" s="16" t="n">
        <v>59000000</v>
      </c>
      <c r="F4" s="16" t="n">
        <v>69000000</v>
      </c>
      <c r="G4" s="16" t="n">
        <v>270000000</v>
      </c>
      <c r="H4" s="17" t="n">
        <f aca="false">SUM(C4:F4)</f>
        <v>237000000</v>
      </c>
      <c r="I4" s="17" t="n">
        <f aca="false">AVERAGE(C4:F4)</f>
        <v>59250000</v>
      </c>
      <c r="J4" s="18" t="n">
        <f aca="false">(F4-C4)/C4</f>
        <v>0.326923076923077</v>
      </c>
      <c r="K4" s="19" t="str">
        <f aca="false">CHOOSE(MATCH(MAX(C4:F4),C4:F4,0),"Kuartal 1","Kuartal 2","Kuartal 3","Kuartal 4")</f>
        <v>Kuartal 4</v>
      </c>
      <c r="L4" s="18" t="n">
        <f aca="false">H4/G4</f>
        <v>0.877777777777778</v>
      </c>
      <c r="M4" s="19" t="str">
        <f aca="false">IF(L4&gt;=1,"Tercapai",IF(L4&gt;=0.9,"Hampir","Belum"))</f>
        <v>Belum</v>
      </c>
      <c r="N4" s="19" t="str">
        <f aca="false">IF(AND(D4&gt;C4,E4&gt;D4,F4&gt;E4),"Naik terus",IF(AND(D4&lt;C4,E4&lt;D4,F4&lt;E4),"Turun terus","Fluktuatif"))</f>
        <v>Naik terus</v>
      </c>
      <c r="O4" s="20" t="n">
        <f aca="false">RANK(H4,$H$2:$H$21,0)</f>
        <v>16</v>
      </c>
      <c r="P4" s="18" t="n">
        <f aca="false">H4/SUM($H$2:$H$21)</f>
        <v>0.0332584900364861</v>
      </c>
    </row>
    <row r="5" customFormat="false" ht="15" hidden="false" customHeight="false" outlineLevel="0" collapsed="false">
      <c r="A5" s="15" t="s">
        <v>106</v>
      </c>
      <c r="B5" s="15" t="s">
        <v>110</v>
      </c>
      <c r="C5" s="16" t="n">
        <v>131000000</v>
      </c>
      <c r="D5" s="16" t="n">
        <v>120000000</v>
      </c>
      <c r="E5" s="16" t="n">
        <v>94000000</v>
      </c>
      <c r="F5" s="16" t="n">
        <v>91000000</v>
      </c>
      <c r="G5" s="16" t="n">
        <v>410000000</v>
      </c>
      <c r="H5" s="17" t="n">
        <f aca="false">SUM(C5:F5)</f>
        <v>436000000</v>
      </c>
      <c r="I5" s="17" t="n">
        <f aca="false">AVERAGE(C5:F5)</f>
        <v>109000000</v>
      </c>
      <c r="J5" s="18" t="n">
        <f aca="false">(F5-C5)/C5</f>
        <v>-0.305343511450382</v>
      </c>
      <c r="K5" s="19" t="str">
        <f aca="false">CHOOSE(MATCH(MAX(C5:F5),C5:F5,0),"Kuartal 1","Kuartal 2","Kuartal 3","Kuartal 4")</f>
        <v>Kuartal 1</v>
      </c>
      <c r="L5" s="18" t="n">
        <f aca="false">H5/G5</f>
        <v>1.06341463414634</v>
      </c>
      <c r="M5" s="19" t="str">
        <f aca="false">IF(L5&gt;=1,"Tercapai",IF(L5&gt;=0.9,"Hampir","Belum"))</f>
        <v>Tercapai</v>
      </c>
      <c r="N5" s="19" t="str">
        <f aca="false">IF(AND(D5&gt;C5,E5&gt;D5,F5&gt;E5),"Naik terus",IF(AND(D5&lt;C5,E5&lt;D5,F5&lt;E5),"Turun terus","Fluktuatif"))</f>
        <v>Turun terus</v>
      </c>
      <c r="O5" s="20" t="n">
        <f aca="false">RANK(H5,$H$2:$H$21,0)</f>
        <v>6</v>
      </c>
      <c r="P5" s="18" t="n">
        <f aca="false">H5/SUM($H$2:$H$21)</f>
        <v>0.0611843951726074</v>
      </c>
    </row>
    <row r="6" customFormat="false" ht="15" hidden="false" customHeight="false" outlineLevel="0" collapsed="false">
      <c r="A6" s="15" t="s">
        <v>111</v>
      </c>
      <c r="B6" s="15" t="s">
        <v>107</v>
      </c>
      <c r="C6" s="16" t="n">
        <v>87000000</v>
      </c>
      <c r="D6" s="16" t="n">
        <v>106000000</v>
      </c>
      <c r="E6" s="16" t="n">
        <v>107000000</v>
      </c>
      <c r="F6" s="16" t="n">
        <v>106000000</v>
      </c>
      <c r="G6" s="16" t="n">
        <v>460000000</v>
      </c>
      <c r="H6" s="17" t="n">
        <f aca="false">SUM(C6:F6)</f>
        <v>406000000</v>
      </c>
      <c r="I6" s="17" t="n">
        <f aca="false">AVERAGE(C6:F6)</f>
        <v>101500000</v>
      </c>
      <c r="J6" s="18" t="n">
        <f aca="false">(F6-C6)/C6</f>
        <v>0.218390804597701</v>
      </c>
      <c r="K6" s="19" t="str">
        <f aca="false">CHOOSE(MATCH(MAX(C6:F6),C6:F6,0),"Kuartal 1","Kuartal 2","Kuartal 3","Kuartal 4")</f>
        <v>Kuartal 3</v>
      </c>
      <c r="L6" s="18" t="n">
        <f aca="false">H6/G6</f>
        <v>0.882608695652174</v>
      </c>
      <c r="M6" s="19" t="str">
        <f aca="false">IF(L6&gt;=1,"Tercapai",IF(L6&gt;=0.9,"Hampir","Belum"))</f>
        <v>Belum</v>
      </c>
      <c r="N6" s="19" t="str">
        <f aca="false">IF(AND(D6&gt;C6,E6&gt;D6,F6&gt;E6),"Naik terus",IF(AND(D6&lt;C6,E6&lt;D6,F6&lt;E6),"Turun terus","Fluktuatif"))</f>
        <v>Fluktuatif</v>
      </c>
      <c r="O6" s="20" t="n">
        <f aca="false">RANK(H6,$H$2:$H$21,0)</f>
        <v>8</v>
      </c>
      <c r="P6" s="18" t="n">
        <f aca="false">H6/SUM($H$2:$H$21)</f>
        <v>0.0569744597249509</v>
      </c>
    </row>
    <row r="7" customFormat="false" ht="15" hidden="false" customHeight="false" outlineLevel="0" collapsed="false">
      <c r="A7" s="15" t="s">
        <v>111</v>
      </c>
      <c r="B7" s="15" t="s">
        <v>108</v>
      </c>
      <c r="C7" s="16" t="n">
        <v>59000000</v>
      </c>
      <c r="D7" s="16" t="n">
        <v>57000000</v>
      </c>
      <c r="E7" s="16" t="n">
        <v>50000000</v>
      </c>
      <c r="F7" s="16" t="n">
        <v>51000000</v>
      </c>
      <c r="G7" s="16" t="n">
        <v>180000000</v>
      </c>
      <c r="H7" s="17" t="n">
        <f aca="false">SUM(C7:F7)</f>
        <v>217000000</v>
      </c>
      <c r="I7" s="17" t="n">
        <f aca="false">AVERAGE(C7:F7)</f>
        <v>54250000</v>
      </c>
      <c r="J7" s="18" t="n">
        <f aca="false">(F7-C7)/C7</f>
        <v>-0.135593220338983</v>
      </c>
      <c r="K7" s="19" t="str">
        <f aca="false">CHOOSE(MATCH(MAX(C7:F7),C7:F7,0),"Kuartal 1","Kuartal 2","Kuartal 3","Kuartal 4")</f>
        <v>Kuartal 1</v>
      </c>
      <c r="L7" s="18" t="n">
        <f aca="false">H7/G7</f>
        <v>1.20555555555556</v>
      </c>
      <c r="M7" s="19" t="str">
        <f aca="false">IF(L7&gt;=1,"Tercapai",IF(L7&gt;=0.9,"Hampir","Belum"))</f>
        <v>Tercapai</v>
      </c>
      <c r="N7" s="19" t="str">
        <f aca="false">IF(AND(D7&gt;C7,E7&gt;D7,F7&gt;E7),"Naik terus",IF(AND(D7&lt;C7,E7&lt;D7,F7&lt;E7),"Turun terus","Fluktuatif"))</f>
        <v>Fluktuatif</v>
      </c>
      <c r="O7" s="20" t="n">
        <f aca="false">RANK(H7,$H$2:$H$21,0)</f>
        <v>17</v>
      </c>
      <c r="P7" s="18" t="n">
        <f aca="false">H7/SUM($H$2:$H$21)</f>
        <v>0.0304518664047151</v>
      </c>
    </row>
    <row r="8" customFormat="false" ht="15" hidden="false" customHeight="false" outlineLevel="0" collapsed="false">
      <c r="A8" s="15" t="s">
        <v>111</v>
      </c>
      <c r="B8" s="15" t="s">
        <v>109</v>
      </c>
      <c r="C8" s="16" t="n">
        <v>51000000</v>
      </c>
      <c r="D8" s="16" t="n">
        <v>64000000</v>
      </c>
      <c r="E8" s="16" t="n">
        <v>68000000</v>
      </c>
      <c r="F8" s="16" t="n">
        <v>64000000</v>
      </c>
      <c r="G8" s="16" t="n">
        <v>220000000</v>
      </c>
      <c r="H8" s="17" t="n">
        <f aca="false">SUM(C8:F8)</f>
        <v>247000000</v>
      </c>
      <c r="I8" s="17" t="n">
        <f aca="false">AVERAGE(C8:F8)</f>
        <v>61750000</v>
      </c>
      <c r="J8" s="18" t="n">
        <f aca="false">(F8-C8)/C8</f>
        <v>0.254901960784314</v>
      </c>
      <c r="K8" s="19" t="str">
        <f aca="false">CHOOSE(MATCH(MAX(C8:F8),C8:F8,0),"Kuartal 1","Kuartal 2","Kuartal 3","Kuartal 4")</f>
        <v>Kuartal 3</v>
      </c>
      <c r="L8" s="18" t="n">
        <f aca="false">H8/G8</f>
        <v>1.12272727272727</v>
      </c>
      <c r="M8" s="19" t="str">
        <f aca="false">IF(L8&gt;=1,"Tercapai",IF(L8&gt;=0.9,"Hampir","Belum"))</f>
        <v>Tercapai</v>
      </c>
      <c r="N8" s="19" t="str">
        <f aca="false">IF(AND(D8&gt;C8,E8&gt;D8,F8&gt;E8),"Naik terus",IF(AND(D8&lt;C8,E8&lt;D8,F8&lt;E8),"Turun terus","Fluktuatif"))</f>
        <v>Fluktuatif</v>
      </c>
      <c r="O8" s="20" t="n">
        <f aca="false">RANK(H8,$H$2:$H$21,0)</f>
        <v>14</v>
      </c>
      <c r="P8" s="18" t="n">
        <f aca="false">H8/SUM($H$2:$H$21)</f>
        <v>0.0346618018523716</v>
      </c>
    </row>
    <row r="9" customFormat="false" ht="15" hidden="false" customHeight="false" outlineLevel="0" collapsed="false">
      <c r="A9" s="15" t="s">
        <v>111</v>
      </c>
      <c r="B9" s="15" t="s">
        <v>110</v>
      </c>
      <c r="C9" s="16" t="n">
        <v>74000000</v>
      </c>
      <c r="D9" s="16" t="n">
        <v>80000000</v>
      </c>
      <c r="E9" s="16" t="n">
        <v>73000000</v>
      </c>
      <c r="F9" s="16" t="n">
        <v>81000000</v>
      </c>
      <c r="G9" s="16" t="n">
        <v>350000000</v>
      </c>
      <c r="H9" s="17" t="n">
        <f aca="false">SUM(C9:F9)</f>
        <v>308000000</v>
      </c>
      <c r="I9" s="17" t="n">
        <f aca="false">AVERAGE(C9:F9)</f>
        <v>77000000</v>
      </c>
      <c r="J9" s="18" t="n">
        <f aca="false">(F9-C9)/C9</f>
        <v>0.0945945945945946</v>
      </c>
      <c r="K9" s="19" t="str">
        <f aca="false">CHOOSE(MATCH(MAX(C9:F9),C9:F9,0),"Kuartal 1","Kuartal 2","Kuartal 3","Kuartal 4")</f>
        <v>Kuartal 4</v>
      </c>
      <c r="L9" s="18" t="n">
        <f aca="false">H9/G9</f>
        <v>0.88</v>
      </c>
      <c r="M9" s="19" t="str">
        <f aca="false">IF(L9&gt;=1,"Tercapai",IF(L9&gt;=0.9,"Hampir","Belum"))</f>
        <v>Belum</v>
      </c>
      <c r="N9" s="19" t="str">
        <f aca="false">IF(AND(D9&gt;C9,E9&gt;D9,F9&gt;E9),"Naik terus",IF(AND(D9&lt;C9,E9&lt;D9,F9&lt;E9),"Turun terus","Fluktuatif"))</f>
        <v>Fluktuatif</v>
      </c>
      <c r="O9" s="20" t="n">
        <f aca="false">RANK(H9,$H$2:$H$21,0)</f>
        <v>10</v>
      </c>
      <c r="P9" s="18" t="n">
        <f aca="false">H9/SUM($H$2:$H$21)</f>
        <v>0.0432220039292731</v>
      </c>
    </row>
    <row r="10" customFormat="false" ht="15" hidden="false" customHeight="false" outlineLevel="0" collapsed="false">
      <c r="A10" s="15" t="s">
        <v>112</v>
      </c>
      <c r="B10" s="15" t="s">
        <v>107</v>
      </c>
      <c r="C10" s="16" t="n">
        <v>43000000</v>
      </c>
      <c r="D10" s="16" t="n">
        <v>41000000</v>
      </c>
      <c r="E10" s="16" t="n">
        <v>44000000</v>
      </c>
      <c r="F10" s="16" t="n">
        <v>47000000</v>
      </c>
      <c r="G10" s="16" t="n">
        <v>190000000</v>
      </c>
      <c r="H10" s="17" t="n">
        <f aca="false">SUM(C10:F10)</f>
        <v>175000000</v>
      </c>
      <c r="I10" s="17" t="n">
        <f aca="false">AVERAGE(C10:F10)</f>
        <v>43750000</v>
      </c>
      <c r="J10" s="18" t="n">
        <f aca="false">(F10-C10)/C10</f>
        <v>0.0930232558139535</v>
      </c>
      <c r="K10" s="19" t="str">
        <f aca="false">CHOOSE(MATCH(MAX(C10:F10),C10:F10,0),"Kuartal 1","Kuartal 2","Kuartal 3","Kuartal 4")</f>
        <v>Kuartal 4</v>
      </c>
      <c r="L10" s="18" t="n">
        <f aca="false">H10/G10</f>
        <v>0.921052631578947</v>
      </c>
      <c r="M10" s="19" t="str">
        <f aca="false">IF(L10&gt;=1,"Tercapai",IF(L10&gt;=0.9,"Hampir","Belum"))</f>
        <v>Hampir</v>
      </c>
      <c r="N10" s="19" t="str">
        <f aca="false">IF(AND(D10&gt;C10,E10&gt;D10,F10&gt;E10),"Naik terus",IF(AND(D10&lt;C10,E10&lt;D10,F10&lt;E10),"Turun terus","Fluktuatif"))</f>
        <v>Fluktuatif</v>
      </c>
      <c r="O10" s="20" t="n">
        <f aca="false">RANK(H10,$H$2:$H$21,0)</f>
        <v>18</v>
      </c>
      <c r="P10" s="18" t="n">
        <f aca="false">H10/SUM($H$2:$H$21)</f>
        <v>0.0245579567779961</v>
      </c>
    </row>
    <row r="11" customFormat="false" ht="15" hidden="false" customHeight="false" outlineLevel="0" collapsed="false">
      <c r="A11" s="15" t="s">
        <v>112</v>
      </c>
      <c r="B11" s="15" t="s">
        <v>108</v>
      </c>
      <c r="C11" s="16" t="n">
        <v>124000000</v>
      </c>
      <c r="D11" s="16" t="n">
        <v>110000000</v>
      </c>
      <c r="E11" s="16" t="n">
        <v>121000000</v>
      </c>
      <c r="F11" s="16" t="n">
        <v>117000000</v>
      </c>
      <c r="G11" s="16" t="n">
        <v>520000000</v>
      </c>
      <c r="H11" s="17" t="n">
        <f aca="false">SUM(C11:F11)</f>
        <v>472000000</v>
      </c>
      <c r="I11" s="17" t="n">
        <f aca="false">AVERAGE(C11:F11)</f>
        <v>118000000</v>
      </c>
      <c r="J11" s="18" t="n">
        <f aca="false">(F11-C11)/C11</f>
        <v>-0.0564516129032258</v>
      </c>
      <c r="K11" s="19" t="str">
        <f aca="false">CHOOSE(MATCH(MAX(C11:F11),C11:F11,0),"Kuartal 1","Kuartal 2","Kuartal 3","Kuartal 4")</f>
        <v>Kuartal 1</v>
      </c>
      <c r="L11" s="18" t="n">
        <f aca="false">H11/G11</f>
        <v>0.907692307692308</v>
      </c>
      <c r="M11" s="19" t="str">
        <f aca="false">IF(L11&gt;=1,"Tercapai",IF(L11&gt;=0.9,"Hampir","Belum"))</f>
        <v>Hampir</v>
      </c>
      <c r="N11" s="19" t="str">
        <f aca="false">IF(AND(D11&gt;C11,E11&gt;D11,F11&gt;E11),"Naik terus",IF(AND(D11&lt;C11,E11&lt;D11,F11&lt;E11),"Turun terus","Fluktuatif"))</f>
        <v>Fluktuatif</v>
      </c>
      <c r="O11" s="20" t="n">
        <f aca="false">RANK(H11,$H$2:$H$21,0)</f>
        <v>5</v>
      </c>
      <c r="P11" s="18" t="n">
        <f aca="false">H11/SUM($H$2:$H$21)</f>
        <v>0.0662363177097951</v>
      </c>
    </row>
    <row r="12" customFormat="false" ht="15" hidden="false" customHeight="false" outlineLevel="0" collapsed="false">
      <c r="A12" s="15" t="s">
        <v>112</v>
      </c>
      <c r="B12" s="15" t="s">
        <v>109</v>
      </c>
      <c r="C12" s="16" t="n">
        <v>154000000</v>
      </c>
      <c r="D12" s="16" t="n">
        <v>168000000</v>
      </c>
      <c r="E12" s="16" t="n">
        <v>182000000</v>
      </c>
      <c r="F12" s="16" t="n">
        <v>183000000</v>
      </c>
      <c r="G12" s="16" t="n">
        <v>685000000</v>
      </c>
      <c r="H12" s="17" t="n">
        <f aca="false">SUM(C12:F12)</f>
        <v>687000000</v>
      </c>
      <c r="I12" s="17" t="n">
        <f aca="false">AVERAGE(C12:F12)</f>
        <v>171750000</v>
      </c>
      <c r="J12" s="18" t="n">
        <f aca="false">(F12-C12)/C12</f>
        <v>0.188311688311688</v>
      </c>
      <c r="K12" s="19" t="str">
        <f aca="false">CHOOSE(MATCH(MAX(C12:F12),C12:F12,0),"Kuartal 1","Kuartal 2","Kuartal 3","Kuartal 4")</f>
        <v>Kuartal 4</v>
      </c>
      <c r="L12" s="18" t="n">
        <f aca="false">H12/G12</f>
        <v>1.0029197080292</v>
      </c>
      <c r="M12" s="19" t="str">
        <f aca="false">IF(L12&gt;=1,"Tercapai",IF(L12&gt;=0.9,"Hampir","Belum"))</f>
        <v>Tercapai</v>
      </c>
      <c r="N12" s="19" t="str">
        <f aca="false">IF(AND(D12&gt;C12,E12&gt;D12,F12&gt;E12),"Naik terus",IF(AND(D12&lt;C12,E12&lt;D12,F12&lt;E12),"Turun terus","Fluktuatif"))</f>
        <v>Naik terus</v>
      </c>
      <c r="O12" s="20" t="n">
        <f aca="false">RANK(H12,$H$2:$H$21,0)</f>
        <v>1</v>
      </c>
      <c r="P12" s="18" t="n">
        <f aca="false">H12/SUM($H$2:$H$21)</f>
        <v>0.0964075217513331</v>
      </c>
    </row>
    <row r="13" customFormat="false" ht="15" hidden="false" customHeight="false" outlineLevel="0" collapsed="false">
      <c r="A13" s="15" t="s">
        <v>112</v>
      </c>
      <c r="B13" s="15" t="s">
        <v>110</v>
      </c>
      <c r="C13" s="16" t="n">
        <v>44000000</v>
      </c>
      <c r="D13" s="16" t="n">
        <v>37000000</v>
      </c>
      <c r="E13" s="16" t="n">
        <v>38000000</v>
      </c>
      <c r="F13" s="16" t="n">
        <v>40000000</v>
      </c>
      <c r="G13" s="16" t="n">
        <v>170000000</v>
      </c>
      <c r="H13" s="17" t="n">
        <f aca="false">SUM(C13:F13)</f>
        <v>159000000</v>
      </c>
      <c r="I13" s="17" t="n">
        <f aca="false">AVERAGE(C13:F13)</f>
        <v>39750000</v>
      </c>
      <c r="J13" s="18" t="n">
        <f aca="false">(F13-C13)/C13</f>
        <v>-0.0909090909090909</v>
      </c>
      <c r="K13" s="19" t="str">
        <f aca="false">CHOOSE(MATCH(MAX(C13:F13),C13:F13,0),"Kuartal 1","Kuartal 2","Kuartal 3","Kuartal 4")</f>
        <v>Kuartal 1</v>
      </c>
      <c r="L13" s="18" t="n">
        <f aca="false">H13/G13</f>
        <v>0.935294117647059</v>
      </c>
      <c r="M13" s="19" t="str">
        <f aca="false">IF(L13&gt;=1,"Tercapai",IF(L13&gt;=0.9,"Hampir","Belum"))</f>
        <v>Hampir</v>
      </c>
      <c r="N13" s="19" t="str">
        <f aca="false">IF(AND(D13&gt;C13,E13&gt;D13,F13&gt;E13),"Naik terus",IF(AND(D13&lt;C13,E13&lt;D13,F13&lt;E13),"Turun terus","Fluktuatif"))</f>
        <v>Fluktuatif</v>
      </c>
      <c r="O13" s="20" t="n">
        <f aca="false">RANK(H13,$H$2:$H$21,0)</f>
        <v>19</v>
      </c>
      <c r="P13" s="18" t="n">
        <f aca="false">H13/SUM($H$2:$H$21)</f>
        <v>0.0223126578725793</v>
      </c>
    </row>
    <row r="14" customFormat="false" ht="15" hidden="false" customHeight="false" outlineLevel="0" collapsed="false">
      <c r="A14" s="15" t="s">
        <v>113</v>
      </c>
      <c r="B14" s="15" t="s">
        <v>107</v>
      </c>
      <c r="C14" s="16" t="n">
        <v>71000000</v>
      </c>
      <c r="D14" s="16" t="n">
        <v>75000000</v>
      </c>
      <c r="E14" s="16" t="n">
        <v>68000000</v>
      </c>
      <c r="F14" s="16" t="n">
        <v>76000000</v>
      </c>
      <c r="G14" s="16" t="n">
        <v>260000000</v>
      </c>
      <c r="H14" s="17" t="n">
        <f aca="false">SUM(C14:F14)</f>
        <v>290000000</v>
      </c>
      <c r="I14" s="17" t="n">
        <f aca="false">AVERAGE(C14:F14)</f>
        <v>72500000</v>
      </c>
      <c r="J14" s="18" t="n">
        <f aca="false">(F14-C14)/C14</f>
        <v>0.0704225352112676</v>
      </c>
      <c r="K14" s="19" t="str">
        <f aca="false">CHOOSE(MATCH(MAX(C14:F14),C14:F14,0),"Kuartal 1","Kuartal 2","Kuartal 3","Kuartal 4")</f>
        <v>Kuartal 4</v>
      </c>
      <c r="L14" s="18" t="n">
        <f aca="false">H14/G14</f>
        <v>1.11538461538462</v>
      </c>
      <c r="M14" s="19" t="str">
        <f aca="false">IF(L14&gt;=1,"Tercapai",IF(L14&gt;=0.9,"Hampir","Belum"))</f>
        <v>Tercapai</v>
      </c>
      <c r="N14" s="19" t="str">
        <f aca="false">IF(AND(D14&gt;C14,E14&gt;D14,F14&gt;E14),"Naik terus",IF(AND(D14&lt;C14,E14&lt;D14,F14&lt;E14),"Turun terus","Fluktuatif"))</f>
        <v>Fluktuatif</v>
      </c>
      <c r="O14" s="20" t="n">
        <f aca="false">RANK(H14,$H$2:$H$21,0)</f>
        <v>12</v>
      </c>
      <c r="P14" s="18" t="n">
        <f aca="false">H14/SUM($H$2:$H$21)</f>
        <v>0.0406960426606792</v>
      </c>
    </row>
    <row r="15" customFormat="false" ht="15" hidden="false" customHeight="false" outlineLevel="0" collapsed="false">
      <c r="A15" s="15" t="s">
        <v>113</v>
      </c>
      <c r="B15" s="15" t="s">
        <v>108</v>
      </c>
      <c r="C15" s="16" t="n">
        <v>65000000</v>
      </c>
      <c r="D15" s="16" t="n">
        <v>62000000</v>
      </c>
      <c r="E15" s="16" t="n">
        <v>58000000</v>
      </c>
      <c r="F15" s="16" t="n">
        <v>57000000</v>
      </c>
      <c r="G15" s="16" t="n">
        <v>220000000</v>
      </c>
      <c r="H15" s="17" t="n">
        <f aca="false">SUM(C15:F15)</f>
        <v>242000000</v>
      </c>
      <c r="I15" s="17" t="n">
        <f aca="false">AVERAGE(C15:F15)</f>
        <v>60500000</v>
      </c>
      <c r="J15" s="18" t="n">
        <f aca="false">(F15-C15)/C15</f>
        <v>-0.123076923076923</v>
      </c>
      <c r="K15" s="19" t="str">
        <f aca="false">CHOOSE(MATCH(MAX(C15:F15),C15:F15,0),"Kuartal 1","Kuartal 2","Kuartal 3","Kuartal 4")</f>
        <v>Kuartal 1</v>
      </c>
      <c r="L15" s="18" t="n">
        <f aca="false">H15/G15</f>
        <v>1.1</v>
      </c>
      <c r="M15" s="19" t="str">
        <f aca="false">IF(L15&gt;=1,"Tercapai",IF(L15&gt;=0.9,"Hampir","Belum"))</f>
        <v>Tercapai</v>
      </c>
      <c r="N15" s="19" t="str">
        <f aca="false">IF(AND(D15&gt;C15,E15&gt;D15,F15&gt;E15),"Naik terus",IF(AND(D15&lt;C15,E15&lt;D15,F15&lt;E15),"Turun terus","Fluktuatif"))</f>
        <v>Turun terus</v>
      </c>
      <c r="O15" s="20" t="n">
        <f aca="false">RANK(H15,$H$2:$H$21,0)</f>
        <v>15</v>
      </c>
      <c r="P15" s="18" t="n">
        <f aca="false">H15/SUM($H$2:$H$21)</f>
        <v>0.0339601459444289</v>
      </c>
    </row>
    <row r="16" customFormat="false" ht="15" hidden="false" customHeight="false" outlineLevel="0" collapsed="false">
      <c r="A16" s="15" t="s">
        <v>113</v>
      </c>
      <c r="B16" s="15" t="s">
        <v>109</v>
      </c>
      <c r="C16" s="16" t="n">
        <v>141000000</v>
      </c>
      <c r="D16" s="16" t="n">
        <v>162000000</v>
      </c>
      <c r="E16" s="16" t="n">
        <v>148000000</v>
      </c>
      <c r="F16" s="16" t="n">
        <v>146000000</v>
      </c>
      <c r="G16" s="16" t="n">
        <v>500000000</v>
      </c>
      <c r="H16" s="17" t="n">
        <f aca="false">SUM(C16:F16)</f>
        <v>597000000</v>
      </c>
      <c r="I16" s="17" t="n">
        <f aca="false">AVERAGE(C16:F16)</f>
        <v>149250000</v>
      </c>
      <c r="J16" s="18" t="n">
        <f aca="false">(F16-C16)/C16</f>
        <v>0.0354609929078014</v>
      </c>
      <c r="K16" s="19" t="str">
        <f aca="false">CHOOSE(MATCH(MAX(C16:F16),C16:F16,0),"Kuartal 1","Kuartal 2","Kuartal 3","Kuartal 4")</f>
        <v>Kuartal 2</v>
      </c>
      <c r="L16" s="18" t="n">
        <f aca="false">H16/G16</f>
        <v>1.194</v>
      </c>
      <c r="M16" s="19" t="str">
        <f aca="false">IF(L16&gt;=1,"Tercapai",IF(L16&gt;=0.9,"Hampir","Belum"))</f>
        <v>Tercapai</v>
      </c>
      <c r="N16" s="19" t="str">
        <f aca="false">IF(AND(D16&gt;C16,E16&gt;D16,F16&gt;E16),"Naik terus",IF(AND(D16&lt;C16,E16&lt;D16,F16&lt;E16),"Turun terus","Fluktuatif"))</f>
        <v>Fluktuatif</v>
      </c>
      <c r="O16" s="20" t="n">
        <f aca="false">RANK(H16,$H$2:$H$21,0)</f>
        <v>3</v>
      </c>
      <c r="P16" s="18" t="n">
        <f aca="false">H16/SUM($H$2:$H$21)</f>
        <v>0.0837777154083637</v>
      </c>
    </row>
    <row r="17" customFormat="false" ht="15" hidden="false" customHeight="false" outlineLevel="0" collapsed="false">
      <c r="A17" s="15" t="s">
        <v>113</v>
      </c>
      <c r="B17" s="15" t="s">
        <v>110</v>
      </c>
      <c r="C17" s="16" t="n">
        <v>67000000</v>
      </c>
      <c r="D17" s="16" t="n">
        <v>68000000</v>
      </c>
      <c r="E17" s="16" t="n">
        <v>83000000</v>
      </c>
      <c r="F17" s="16" t="n">
        <v>79000000</v>
      </c>
      <c r="G17" s="16" t="n">
        <v>275000000</v>
      </c>
      <c r="H17" s="17" t="n">
        <f aca="false">SUM(C17:F17)</f>
        <v>297000000</v>
      </c>
      <c r="I17" s="17" t="n">
        <f aca="false">AVERAGE(C17:F17)</f>
        <v>74250000</v>
      </c>
      <c r="J17" s="18" t="n">
        <f aca="false">(F17-C17)/C17</f>
        <v>0.17910447761194</v>
      </c>
      <c r="K17" s="19" t="str">
        <f aca="false">CHOOSE(MATCH(MAX(C17:F17),C17:F17,0),"Kuartal 1","Kuartal 2","Kuartal 3","Kuartal 4")</f>
        <v>Kuartal 3</v>
      </c>
      <c r="L17" s="18" t="n">
        <f aca="false">H17/G17</f>
        <v>1.08</v>
      </c>
      <c r="M17" s="19" t="str">
        <f aca="false">IF(L17&gt;=1,"Tercapai",IF(L17&gt;=0.9,"Hampir","Belum"))</f>
        <v>Tercapai</v>
      </c>
      <c r="N17" s="19" t="str">
        <f aca="false">IF(AND(D17&gt;C17,E17&gt;D17,F17&gt;E17),"Naik terus",IF(AND(D17&lt;C17,E17&lt;D17,F17&lt;E17),"Turun terus","Fluktuatif"))</f>
        <v>Fluktuatif</v>
      </c>
      <c r="O17" s="20" t="n">
        <f aca="false">RANK(H17,$H$2:$H$21,0)</f>
        <v>11</v>
      </c>
      <c r="P17" s="18" t="n">
        <f aca="false">H17/SUM($H$2:$H$21)</f>
        <v>0.041678360931799</v>
      </c>
    </row>
    <row r="18" customFormat="false" ht="15" hidden="false" customHeight="false" outlineLevel="0" collapsed="false">
      <c r="A18" s="15" t="s">
        <v>114</v>
      </c>
      <c r="B18" s="15" t="s">
        <v>107</v>
      </c>
      <c r="C18" s="16" t="n">
        <v>94000000</v>
      </c>
      <c r="D18" s="16" t="n">
        <v>87000000</v>
      </c>
      <c r="E18" s="16" t="n">
        <v>82000000</v>
      </c>
      <c r="F18" s="16" t="n">
        <v>90000000</v>
      </c>
      <c r="G18" s="16" t="n">
        <v>305000000</v>
      </c>
      <c r="H18" s="17" t="n">
        <f aca="false">SUM(C18:F18)</f>
        <v>353000000</v>
      </c>
      <c r="I18" s="17" t="n">
        <f aca="false">AVERAGE(C18:F18)</f>
        <v>88250000</v>
      </c>
      <c r="J18" s="18" t="n">
        <f aca="false">(F18-C18)/C18</f>
        <v>-0.0425531914893617</v>
      </c>
      <c r="K18" s="19" t="str">
        <f aca="false">CHOOSE(MATCH(MAX(C18:F18),C18:F18,0),"Kuartal 1","Kuartal 2","Kuartal 3","Kuartal 4")</f>
        <v>Kuartal 1</v>
      </c>
      <c r="L18" s="18" t="n">
        <f aca="false">H18/G18</f>
        <v>1.15737704918033</v>
      </c>
      <c r="M18" s="19" t="str">
        <f aca="false">IF(L18&gt;=1,"Tercapai",IF(L18&gt;=0.9,"Hampir","Belum"))</f>
        <v>Tercapai</v>
      </c>
      <c r="N18" s="19" t="str">
        <f aca="false">IF(AND(D18&gt;C18,E18&gt;D18,F18&gt;E18),"Naik terus",IF(AND(D18&lt;C18,E18&lt;D18,F18&lt;E18),"Turun terus","Fluktuatif"))</f>
        <v>Fluktuatif</v>
      </c>
      <c r="O18" s="20" t="n">
        <f aca="false">RANK(H18,$H$2:$H$21,0)</f>
        <v>9</v>
      </c>
      <c r="P18" s="18" t="n">
        <f aca="false">H18/SUM($H$2:$H$21)</f>
        <v>0.0495369071007578</v>
      </c>
    </row>
    <row r="19" customFormat="false" ht="15" hidden="false" customHeight="false" outlineLevel="0" collapsed="false">
      <c r="A19" s="15" t="s">
        <v>114</v>
      </c>
      <c r="B19" s="15" t="s">
        <v>108</v>
      </c>
      <c r="C19" s="16" t="n">
        <v>41000000</v>
      </c>
      <c r="D19" s="16" t="n">
        <v>36000000</v>
      </c>
      <c r="E19" s="16" t="n">
        <v>36000000</v>
      </c>
      <c r="F19" s="16" t="n">
        <v>30000000</v>
      </c>
      <c r="G19" s="16" t="n">
        <v>160000000</v>
      </c>
      <c r="H19" s="17" t="n">
        <f aca="false">SUM(C19:F19)</f>
        <v>143000000</v>
      </c>
      <c r="I19" s="17" t="n">
        <f aca="false">AVERAGE(C19:F19)</f>
        <v>35750000</v>
      </c>
      <c r="J19" s="18" t="n">
        <f aca="false">(F19-C19)/C19</f>
        <v>-0.268292682926829</v>
      </c>
      <c r="K19" s="19" t="str">
        <f aca="false">CHOOSE(MATCH(MAX(C19:F19),C19:F19,0),"Kuartal 1","Kuartal 2","Kuartal 3","Kuartal 4")</f>
        <v>Kuartal 1</v>
      </c>
      <c r="L19" s="18" t="n">
        <f aca="false">H19/G19</f>
        <v>0.89375</v>
      </c>
      <c r="M19" s="19" t="str">
        <f aca="false">IF(L19&gt;=1,"Tercapai",IF(L19&gt;=0.9,"Hampir","Belum"))</f>
        <v>Belum</v>
      </c>
      <c r="N19" s="19" t="str">
        <f aca="false">IF(AND(D19&gt;C19,E19&gt;D19,F19&gt;E19),"Naik terus",IF(AND(D19&lt;C19,E19&lt;D19,F19&lt;E19),"Turun terus","Fluktuatif"))</f>
        <v>Fluktuatif</v>
      </c>
      <c r="O19" s="20" t="n">
        <f aca="false">RANK(H19,$H$2:$H$21,0)</f>
        <v>20</v>
      </c>
      <c r="P19" s="18" t="n">
        <f aca="false">H19/SUM($H$2:$H$21)</f>
        <v>0.0200673589671625</v>
      </c>
    </row>
    <row r="20" customFormat="false" ht="15" hidden="false" customHeight="false" outlineLevel="0" collapsed="false">
      <c r="A20" s="15" t="s">
        <v>114</v>
      </c>
      <c r="B20" s="15" t="s">
        <v>109</v>
      </c>
      <c r="C20" s="16" t="n">
        <v>146000000</v>
      </c>
      <c r="D20" s="16" t="n">
        <v>167000000</v>
      </c>
      <c r="E20" s="16" t="n">
        <v>177000000</v>
      </c>
      <c r="F20" s="16" t="n">
        <v>170000000</v>
      </c>
      <c r="G20" s="16" t="n">
        <v>620000000</v>
      </c>
      <c r="H20" s="17" t="n">
        <f aca="false">SUM(C20:F20)</f>
        <v>660000000</v>
      </c>
      <c r="I20" s="17" t="n">
        <f aca="false">AVERAGE(C20:F20)</f>
        <v>165000000</v>
      </c>
      <c r="J20" s="18" t="n">
        <f aca="false">(F20-C20)/C20</f>
        <v>0.164383561643836</v>
      </c>
      <c r="K20" s="19" t="str">
        <f aca="false">CHOOSE(MATCH(MAX(C20:F20),C20:F20,0),"Kuartal 1","Kuartal 2","Kuartal 3","Kuartal 4")</f>
        <v>Kuartal 3</v>
      </c>
      <c r="L20" s="18" t="n">
        <f aca="false">H20/G20</f>
        <v>1.06451612903226</v>
      </c>
      <c r="M20" s="19" t="str">
        <f aca="false">IF(L20&gt;=1,"Tercapai",IF(L20&gt;=0.9,"Hampir","Belum"))</f>
        <v>Tercapai</v>
      </c>
      <c r="N20" s="19" t="str">
        <f aca="false">IF(AND(D20&gt;C20,E20&gt;D20,F20&gt;E20),"Naik terus",IF(AND(D20&lt;C20,E20&lt;D20,F20&lt;E20),"Turun terus","Fluktuatif"))</f>
        <v>Fluktuatif</v>
      </c>
      <c r="O20" s="20" t="n">
        <f aca="false">RANK(H20,$H$2:$H$21,0)</f>
        <v>2</v>
      </c>
      <c r="P20" s="18" t="n">
        <f aca="false">H20/SUM($H$2:$H$21)</f>
        <v>0.0926185798484423</v>
      </c>
    </row>
    <row r="21" customFormat="false" ht="15" hidden="false" customHeight="false" outlineLevel="0" collapsed="false">
      <c r="A21" s="15" t="s">
        <v>114</v>
      </c>
      <c r="B21" s="15" t="s">
        <v>110</v>
      </c>
      <c r="C21" s="16" t="n">
        <v>53000000</v>
      </c>
      <c r="D21" s="16" t="n">
        <v>63000000</v>
      </c>
      <c r="E21" s="16" t="n">
        <v>64000000</v>
      </c>
      <c r="F21" s="16" t="n">
        <v>73000000</v>
      </c>
      <c r="G21" s="16" t="n">
        <v>290000000</v>
      </c>
      <c r="H21" s="17" t="n">
        <f aca="false">SUM(C21:F21)</f>
        <v>253000000</v>
      </c>
      <c r="I21" s="17" t="n">
        <f aca="false">AVERAGE(C21:F21)</f>
        <v>63250000</v>
      </c>
      <c r="J21" s="18" t="n">
        <f aca="false">(F21-C21)/C21</f>
        <v>0.377358490566038</v>
      </c>
      <c r="K21" s="19" t="str">
        <f aca="false">CHOOSE(MATCH(MAX(C21:F21),C21:F21,0),"Kuartal 1","Kuartal 2","Kuartal 3","Kuartal 4")</f>
        <v>Kuartal 4</v>
      </c>
      <c r="L21" s="18" t="n">
        <f aca="false">H21/G21</f>
        <v>0.872413793103448</v>
      </c>
      <c r="M21" s="19" t="str">
        <f aca="false">IF(L21&gt;=1,"Tercapai",IF(L21&gt;=0.9,"Hampir","Belum"))</f>
        <v>Belum</v>
      </c>
      <c r="N21" s="19" t="str">
        <f aca="false">IF(AND(D21&gt;C21,E21&gt;D21,F21&gt;E21),"Naik terus",IF(AND(D21&lt;C21,E21&lt;D21,F21&lt;E21),"Turun terus","Fluktuatif"))</f>
        <v>Naik terus</v>
      </c>
      <c r="O21" s="20" t="n">
        <f aca="false">RANK(H21,$H$2:$H$21,0)</f>
        <v>13</v>
      </c>
      <c r="P21" s="18" t="n">
        <f aca="false">H21/SUM($H$2:$H$21)</f>
        <v>0.0355037889419029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17"/>
  </cols>
  <sheetData>
    <row r="1" customFormat="false" ht="33.75" hidden="false" customHeight="true" outlineLevel="0" collapsed="false">
      <c r="A1" s="10" t="s">
        <v>91</v>
      </c>
      <c r="B1" s="14" t="s">
        <v>115</v>
      </c>
      <c r="C1" s="14" t="s">
        <v>116</v>
      </c>
      <c r="D1" s="14" t="s">
        <v>117</v>
      </c>
    </row>
    <row r="2" customFormat="false" ht="15" hidden="false" customHeight="false" outlineLevel="0" collapsed="false">
      <c r="A2" s="15" t="s">
        <v>107</v>
      </c>
      <c r="B2" s="17" t="n">
        <f aca="false">SUMIF(Data!$B$2:$B$21,A2,Data!$H$2:$H$21)</f>
        <v>1641000000</v>
      </c>
      <c r="C2" s="18" t="n">
        <f aca="false">B2/SUMIF(Data!$B$2:$B$21,A2,Data!$G$2:$G$21)</f>
        <v>1.05192307692308</v>
      </c>
      <c r="D2" s="20" t="n">
        <f aca="false">RANK(B2,$B$2:$B$5,0)</f>
        <v>2</v>
      </c>
    </row>
    <row r="3" customFormat="false" ht="15" hidden="false" customHeight="false" outlineLevel="0" collapsed="false">
      <c r="A3" s="15" t="s">
        <v>108</v>
      </c>
      <c r="B3" s="17" t="n">
        <f aca="false">SUMIF(Data!$B$2:$B$21,A3,Data!$H$2:$H$21)</f>
        <v>1604000000</v>
      </c>
      <c r="C3" s="18" t="n">
        <f aca="false">B3/SUMIF(Data!$B$2:$B$21,A3,Data!$G$2:$G$21)</f>
        <v>0.954761904761905</v>
      </c>
      <c r="D3" s="20" t="n">
        <f aca="false">RANK(B3,$B$2:$B$5,0)</f>
        <v>3</v>
      </c>
    </row>
    <row r="4" customFormat="false" ht="15" hidden="false" customHeight="false" outlineLevel="0" collapsed="false">
      <c r="A4" s="15" t="s">
        <v>109</v>
      </c>
      <c r="B4" s="17" t="n">
        <f aca="false">SUMIF(Data!$B$2:$B$21,A4,Data!$H$2:$H$21)</f>
        <v>2428000000</v>
      </c>
      <c r="C4" s="18" t="n">
        <f aca="false">B4/SUMIF(Data!$B$2:$B$21,A4,Data!$G$2:$G$21)</f>
        <v>1.05795206971678</v>
      </c>
      <c r="D4" s="20" t="n">
        <f aca="false">RANK(B4,$B$2:$B$5,0)</f>
        <v>1</v>
      </c>
    </row>
    <row r="5" customFormat="false" ht="15" hidden="false" customHeight="false" outlineLevel="0" collapsed="false">
      <c r="A5" s="15" t="s">
        <v>110</v>
      </c>
      <c r="B5" s="17" t="n">
        <f aca="false">SUMIF(Data!$B$2:$B$21,A5,Data!$H$2:$H$21)</f>
        <v>1453000000</v>
      </c>
      <c r="C5" s="18" t="n">
        <f aca="false">B5/SUMIF(Data!$B$2:$B$21,A5,Data!$G$2:$G$21)</f>
        <v>0.97190635451505</v>
      </c>
      <c r="D5" s="20" t="n">
        <f aca="false">RANK(B5,$B$2:$B$5,0)</f>
        <v>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1" t="s">
        <v>118</v>
      </c>
      <c r="B1" s="21"/>
      <c r="C1" s="21"/>
      <c r="D1" s="21"/>
    </row>
    <row r="2" customFormat="false" ht="15" hidden="false" customHeight="false" outlineLevel="0" collapsed="false">
      <c r="A2" s="22" t="s">
        <v>119</v>
      </c>
      <c r="B2" s="22"/>
      <c r="C2" s="22"/>
      <c r="D2" s="22"/>
    </row>
    <row r="3" customFormat="false" ht="15" hidden="false" customHeight="false" outlineLevel="0" collapsed="false">
      <c r="A3" s="10" t="s">
        <v>18</v>
      </c>
      <c r="B3" s="10" t="s">
        <v>120</v>
      </c>
      <c r="C3" s="10" t="s">
        <v>121</v>
      </c>
      <c r="D3" s="10" t="s">
        <v>122</v>
      </c>
    </row>
    <row r="4" customFormat="false" ht="15" hidden="false" customHeight="false" outlineLevel="0" collapsed="false">
      <c r="A4" s="23" t="s">
        <v>123</v>
      </c>
      <c r="B4" s="24" t="s">
        <v>124</v>
      </c>
      <c r="C4" s="17" t="n">
        <f aca="false">SUM(Data!$C$2:$C$21)</f>
        <v>1722000000</v>
      </c>
      <c r="D4" s="25" t="s">
        <v>125</v>
      </c>
    </row>
    <row r="5" customFormat="false" ht="15" hidden="false" customHeight="false" outlineLevel="0" collapsed="false">
      <c r="A5" s="23" t="s">
        <v>126</v>
      </c>
      <c r="B5" s="24" t="s">
        <v>127</v>
      </c>
      <c r="C5" s="17" t="n">
        <f aca="false">SUM(Data!$D$2:$D$21)</f>
        <v>1803000000</v>
      </c>
      <c r="D5" s="25" t="s">
        <v>125</v>
      </c>
    </row>
    <row r="6" customFormat="false" ht="15" hidden="false" customHeight="false" outlineLevel="0" collapsed="false">
      <c r="A6" s="23" t="s">
        <v>128</v>
      </c>
      <c r="B6" s="24" t="s">
        <v>129</v>
      </c>
      <c r="C6" s="17" t="n">
        <f aca="false">SUM(Data!$E$2:$E$21)</f>
        <v>1790000000</v>
      </c>
      <c r="D6" s="25" t="s">
        <v>125</v>
      </c>
    </row>
    <row r="7" customFormat="false" ht="15" hidden="false" customHeight="false" outlineLevel="0" collapsed="false">
      <c r="A7" s="23" t="s">
        <v>130</v>
      </c>
      <c r="B7" s="24" t="s">
        <v>131</v>
      </c>
      <c r="C7" s="17" t="n">
        <f aca="false">SUM(Data!$F$2:$F$21)</f>
        <v>1811000000</v>
      </c>
      <c r="D7" s="25" t="s">
        <v>125</v>
      </c>
    </row>
    <row r="8" customFormat="false" ht="15" hidden="false" customHeight="false" outlineLevel="0" collapsed="false">
      <c r="A8" s="23" t="s">
        <v>132</v>
      </c>
      <c r="B8" s="24" t="s">
        <v>133</v>
      </c>
      <c r="C8" s="17" t="n">
        <f aca="false">SUM(Data!$H$2:$H$21)</f>
        <v>7126000000</v>
      </c>
      <c r="D8" s="25" t="s">
        <v>134</v>
      </c>
    </row>
    <row r="9" customFormat="false" ht="15" hidden="false" customHeight="false" outlineLevel="0" collapsed="false">
      <c r="A9" s="23" t="s">
        <v>135</v>
      </c>
      <c r="B9" s="24" t="s">
        <v>136</v>
      </c>
      <c r="C9" s="19" t="str">
        <f aca="false">INDEX(Data!$A$2:$A$21,MATCH(MAX(Data!$H$2:$H$21),Data!$H$2:$H$21,0))</f>
        <v>Teh Hijau</v>
      </c>
      <c r="D9" s="25" t="s">
        <v>137</v>
      </c>
    </row>
    <row r="10" customFormat="false" ht="15" hidden="false" customHeight="false" outlineLevel="0" collapsed="false">
      <c r="A10" s="23" t="s">
        <v>138</v>
      </c>
      <c r="B10" s="24" t="s">
        <v>139</v>
      </c>
      <c r="C10" s="19" t="str">
        <f aca="false">INDEX(Data!$B$2:$B$21,MATCH(MAX(Data!$H$2:$H$21),Data!$H$2:$H$21,0))</f>
        <v>Jawa Timur</v>
      </c>
      <c r="D10" s="25" t="s">
        <v>140</v>
      </c>
    </row>
    <row r="11" customFormat="false" ht="15" hidden="false" customHeight="false" outlineLevel="0" collapsed="false">
      <c r="A11" s="23" t="s">
        <v>141</v>
      </c>
      <c r="B11" s="24" t="s">
        <v>142</v>
      </c>
      <c r="C11" s="20" t="n">
        <f aca="false">COUNTIF(Data!$M$2:$M$21,"Tercapai")</f>
        <v>11</v>
      </c>
      <c r="D11" s="25" t="s">
        <v>143</v>
      </c>
    </row>
    <row r="12" customFormat="false" ht="15" hidden="false" customHeight="false" outlineLevel="0" collapsed="false">
      <c r="A12" s="23" t="s">
        <v>144</v>
      </c>
      <c r="B12" s="24" t="s">
        <v>145</v>
      </c>
      <c r="C12" s="20" t="n">
        <f aca="false">COUNTIF(Data!$N$2:$N$21,"Naik terus")</f>
        <v>4</v>
      </c>
      <c r="D12" s="25" t="s">
        <v>146</v>
      </c>
    </row>
    <row r="13" customFormat="false" ht="15" hidden="false" customHeight="false" outlineLevel="0" collapsed="false">
      <c r="A13" s="23" t="s">
        <v>147</v>
      </c>
      <c r="B13" s="24" t="s">
        <v>148</v>
      </c>
      <c r="C13" s="20" t="n">
        <f aca="false">COUNTIFS(Data!$M$2:$M$21,"Tercapai",Data!$N$2:$N$21,"Naik terus")</f>
        <v>2</v>
      </c>
      <c r="D13" s="25" t="s">
        <v>149</v>
      </c>
    </row>
    <row r="14" customFormat="false" ht="15" hidden="false" customHeight="false" outlineLevel="0" collapsed="false">
      <c r="A14" s="23" t="s">
        <v>150</v>
      </c>
      <c r="B14" s="24" t="s">
        <v>151</v>
      </c>
      <c r="C14" s="19" t="str">
        <f aca="false">INDEX(Acuan!$A$2:$A$5,MATCH(1,Acuan!$D$2:$D$5,0))</f>
        <v>Jawa Timur</v>
      </c>
      <c r="D14" s="25" t="s">
        <v>140</v>
      </c>
    </row>
    <row r="15" customFormat="false" ht="15" hidden="false" customHeight="false" outlineLevel="0" collapsed="false">
      <c r="A15" s="23" t="s">
        <v>152</v>
      </c>
      <c r="B15" s="24" t="s">
        <v>153</v>
      </c>
      <c r="C15" s="17" t="n">
        <f aca="false">SUMIF(Data!$A$2:$A$21,"Kopi Arabika",Data!$H$2:$H$21)</f>
        <v>1620000000</v>
      </c>
      <c r="D15" s="25" t="s">
        <v>154</v>
      </c>
    </row>
    <row r="16" customFormat="false" ht="15" hidden="false" customHeight="false" outlineLevel="0" collapsed="false">
      <c r="A16" s="23" t="s">
        <v>155</v>
      </c>
      <c r="B16" s="24" t="s">
        <v>156</v>
      </c>
      <c r="C16" s="17" t="n">
        <f aca="false">LARGE(Data!$H$2:$H$21,3)</f>
        <v>597000000</v>
      </c>
      <c r="D16" s="25" t="s">
        <v>157</v>
      </c>
    </row>
    <row r="17" customFormat="false" ht="15" hidden="false" customHeight="false" outlineLevel="0" collapsed="false">
      <c r="A17" s="23" t="s">
        <v>158</v>
      </c>
      <c r="B17" s="24" t="s">
        <v>159</v>
      </c>
      <c r="C17" s="18" t="n">
        <f aca="false">AVERAGE(Data!$L$2:$L$21)</f>
        <v>1.01842566365073</v>
      </c>
      <c r="D17" s="25" t="s">
        <v>160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2026-10-14T23:34:18Z</dcterms:created>
  <dc:creator>PushExcel</dc:creator>
  <dc:description/>
  <dc:language>en-US</dc:language>
  <cp:lastModifiedBy/>
  <dcterms:modified xsi:type="dcterms:W3CDTF">2026-10-14T23:34:18Z</dcterms:modified>
  <cp:revision>0</cp:revision>
  <dc:subject/>
  <dc:title>Laporan Penjualan Kuartalan Lima Produk - Kunci</dc:title>
</cp:coreProperties>
</file>

<file path=docProps/custom.xml><?xml version="1.0" encoding="utf-8"?>
<Properties xmlns="http://schemas.openxmlformats.org/officeDocument/2006/custom-properties" xmlns:vt="http://schemas.openxmlformats.org/officeDocument/2006/docPropsVTypes"/>
</file>