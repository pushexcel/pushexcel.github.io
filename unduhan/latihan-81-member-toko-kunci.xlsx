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<sst xmlns="http://schemas.openxmlformats.org/spreadsheetml/2006/main" count="195" uniqueCount="191">
  <si>
    <t xml:space="preserve">Kunci Jawaban: Program Member Toko: Poin, Tingkat, dan Diskon</t>
  </si>
  <si>
    <t xml:space="preserve">Latihan 81 dari 40  |  Tingkat: Menengah  |  Perkiraan waktu: 50 menit  |  pushexcel.github.io/Pushexcel</t>
  </si>
  <si>
    <t xml:space="preserve">Skenario</t>
  </si>
  <si>
    <t xml:space="preserve">Kamu staf pemasaran Toko Sinar Mulia yang mengelola program member untuk 30 pelanggan. Setiap pelanggan punya total belanja setahun, jumlah kunjungan, dan poin yang sudah dipakai. Poin didapat 1 poin untuk setiap Rp 10.000 belanja (pecahan dibuang, nilai ada di blok Parameter). Tingkat member dan persen diskon ditentukan dari tabel di sheet Acuan memakai total belanja: Silver mulai Rp 0, Gold mulai Rp 3.000.000, Platinum mulai Rp 8.000.000. Kamu juga menghitung nilai diskon yang didapat tiap member dan rata-rata belanja per kunjungan.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</si>
  <si>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</si>
  <si>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</si>
  <si>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</si>
  <si>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</si>
  <si>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</si>
  <si>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</si>
  <si>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</si>
  <si>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</si>
  <si>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</si>
  <si>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</si>
  <si>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</si>
  <si>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</si>
  <si>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</si>
  <si>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</si>
  <si>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</si>
  <si>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</si>
  <si>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</si>
  <si>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</si>
  <si>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</si>
  <si>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</si>
  <si>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poin yang didapat: total belanja dibagi belanja per poin, pecahan dibuang.</t>
  </si>
  <si>
    <t xml:space="preserve">Sheet Data, kolom F (Poin Didapat), baris 2 sampai 31</t>
  </si>
  <si>
    <t xml:space="preserve">=INT(C2/$N$2)</t>
  </si>
  <si>
    <t xml:space="preserve">2</t>
  </si>
  <si>
    <t xml:space="preserve">Hitung sisa poin: poin didapat dikurangi poin terpakai.</t>
  </si>
  <si>
    <t xml:space="preserve">Sheet Data, kolom G (Sisa Poin), baris 2 sampai 31</t>
  </si>
  <si>
    <t xml:space="preserve">=F2-E2</t>
  </si>
  <si>
    <t xml:space="preserve">3</t>
  </si>
  <si>
    <t xml:space="preserve">Tentukan tingkat member dari total belanja memakai tabel di sheet Acuan (pencocokan perkiraan, bukan persis).</t>
  </si>
  <si>
    <t xml:space="preserve">Sheet Data, kolom H (Tingkat), baris 2 sampai 31</t>
  </si>
  <si>
    <t xml:space="preserve">=VLOOKUP(C2;Acuan!$A$2:$C$4;2;TRUE)</t>
  </si>
  <si>
    <t xml:space="preserve">4</t>
  </si>
  <si>
    <t xml:space="preserve">Ambil persen diskon member dari tabel Acuan berdasarkan total belanja.</t>
  </si>
  <si>
    <t xml:space="preserve">Sheet Data, kolom I (Diskon), baris 2 sampai 31</t>
  </si>
  <si>
    <t xml:space="preserve">=VLOOKUP(C2;Acuan!$A$2:$C$4;3;TRUE)</t>
  </si>
  <si>
    <t xml:space="preserve">5</t>
  </si>
  <si>
    <t xml:space="preserve">Hitung nilai diskon dalam rupiah: total belanja dikali persen diskon, dibulatkan ke rupiah.</t>
  </si>
  <si>
    <t xml:space="preserve">Sheet Data, kolom J (Nilai Diskon), baris 2 sampai 31</t>
  </si>
  <si>
    <t xml:space="preserve">=ROUND(C2*I2;0)</t>
  </si>
  <si>
    <t xml:space="preserve">6</t>
  </si>
  <si>
    <t xml:space="preserve">Hitung rata-rata belanja per kunjungan: total belanja dibagi jumlah kunjungan, dibulatkan ke rupiah.</t>
  </si>
  <si>
    <t xml:space="preserve">Sheet Data, kolom K (Rata-rata per Kunjungan), baris 2 sampai 31</t>
  </si>
  <si>
    <t xml:space="preserve">=ROUND(C2/D2;0)</t>
  </si>
  <si>
    <t xml:space="preserve">7</t>
  </si>
  <si>
    <t xml:space="preserve">Pada sheet Acuan, hitung jumlah member untuk tiap tingkat.</t>
  </si>
  <si>
    <t xml:space="preserve">Sheet Acuan, kolom D (Jumlah Member), baris 2 sampai 4</t>
  </si>
  <si>
    <t xml:space="preserve">=COUNTIF(Data!$H$2:$H$31;B2)</t>
  </si>
  <si>
    <t xml:space="preserve">8</t>
  </si>
  <si>
    <t xml:space="preserve">Pada sheet Acuan, hitung total belanja seluruh member di tiap tingkat.</t>
  </si>
  <si>
    <t xml:space="preserve">Sheet Acuan, kolom E (Total Belanja Tingkat), baris 2 sampai 4</t>
  </si>
  <si>
    <t xml:space="preserve">=SUMIF(Data!$H$2:$H$31;B2;Data!$C$2:$C$31)</t>
  </si>
  <si>
    <t xml:space="preserve">9</t>
  </si>
  <si>
    <t xml:space="preserve">Berapa total belanja seluruh member, dan berapa rata-rata total belanja per member?</t>
  </si>
  <si>
    <t xml:space="preserve">Sheet Ringkasan, sel C4 sampai C5</t>
  </si>
  <si>
    <t xml:space="preserve">=SUM(Data!$C$2:$C$31)
=AVERAGE(Data!$C$2:$C$31)</t>
  </si>
  <si>
    <t xml:space="preserve">10</t>
  </si>
  <si>
    <t xml:space="preserve">Berapa member berpoin tersisa lebih dari 500, dan berapa total nilai diskon seluruh member?</t>
  </si>
  <si>
    <t xml:space="preserve">Sheet Ringkasan, sel C6 sampai C7</t>
  </si>
  <si>
    <t xml:space="preserve">=COUNTIF(Data!$G$2:$G$31;"&gt;500")
=SUM(Data!$J$2:$J$31)</t>
  </si>
  <si>
    <t xml:space="preserve">11</t>
  </si>
  <si>
    <t xml:space="preserve">Siapa member dengan total belanja terbesar, dan siapa yang sisa poinnya terbanyak?</t>
  </si>
  <si>
    <t xml:space="preserve">Sheet Ringkasan, sel C8 sampai C9</t>
  </si>
  <si>
    <t xml:space="preserve">=INDEX(Data!$B$2:$B$31;MATCH(MAX(Data!$C$2:$C$31);Data!$C$2:$C$31;0))
=INDEX(Data!$B$2:$B$31;MATCH(MAX(Data!$G$2:$G$31);Data!$G$2:$G$31;0))</t>
  </si>
  <si>
    <t xml:space="preserve">12</t>
  </si>
  <si>
    <t xml:space="preserve">Tingkat apa yang total belanjanya terbesar, dan berapa total belanja member Platinum?</t>
  </si>
  <si>
    <t xml:space="preserve">Sheet Ringkasan, sel C10 sampai C11</t>
  </si>
  <si>
    <t xml:space="preserve">=INDEX(Acuan!$B$2:$B$4;MATCH(MAX(Acuan!$E$2:$E$4);Acuan!$E$2:$E$4;0))
=SUMIF(Data!$H$2:$H$31;"Platinum";Data!$C$2:$C$31)</t>
  </si>
  <si>
    <t xml:space="preserve">13</t>
  </si>
  <si>
    <t xml:space="preserve">Berapa member Gold yang berkunjung 20 kali atau lebih, dan berapa rata-rata sisa poin member Silver?</t>
  </si>
  <si>
    <t xml:space="preserve">Sheet Ringkasan, sel C12 sampai C13</t>
  </si>
  <si>
    <t xml:space="preserve">=COUNTIFS(Data!$H$2:$H$31;"Gold";Data!$D$2:$D$31;"&gt;=20")
=AVERAGEIF(Data!$H$2:$H$31;"Silver";Data!$G$2:$G$31)</t>
  </si>
  <si>
    <t xml:space="preserve">ID Member</t>
  </si>
  <si>
    <t xml:space="preserve">Nama Member</t>
  </si>
  <si>
    <t xml:space="preserve">Total Belanja</t>
  </si>
  <si>
    <t xml:space="preserve">Jumlah Kunjungan</t>
  </si>
  <si>
    <t xml:space="preserve">Poin Terpakai</t>
  </si>
  <si>
    <t xml:space="preserve">Poin Didapat</t>
  </si>
  <si>
    <t xml:space="preserve">Sisa Poin</t>
  </si>
  <si>
    <t xml:space="preserve">Tingkat</t>
  </si>
  <si>
    <t xml:space="preserve">Diskon</t>
  </si>
  <si>
    <t xml:space="preserve">Nilai Diskon</t>
  </si>
  <si>
    <t xml:space="preserve">Rata-rata per Kunjungan</t>
  </si>
  <si>
    <t xml:space="preserve">Parameter</t>
  </si>
  <si>
    <t xml:space="preserve">Nilai</t>
  </si>
  <si>
    <t xml:space="preserve">Keterangan</t>
  </si>
  <si>
    <t xml:space="preserve">M-001</t>
  </si>
  <si>
    <t xml:space="preserve">Eko Sari</t>
  </si>
  <si>
    <t xml:space="preserve">Belanja per poin</t>
  </si>
  <si>
    <t xml:space="preserve">Setiap kelipatan ini dihitung 1 poin</t>
  </si>
  <si>
    <t xml:space="preserve">M-002</t>
  </si>
  <si>
    <t xml:space="preserve">Maman Amalia</t>
  </si>
  <si>
    <t xml:space="preserve">M-003</t>
  </si>
  <si>
    <t xml:space="preserve">Ayu Permana</t>
  </si>
  <si>
    <t xml:space="preserve">M-004</t>
  </si>
  <si>
    <t xml:space="preserve">Gita Nugroho</t>
  </si>
  <si>
    <t xml:space="preserve">M-005</t>
  </si>
  <si>
    <t xml:space="preserve">Yoga Sari</t>
  </si>
  <si>
    <t xml:space="preserve">M-006</t>
  </si>
  <si>
    <t xml:space="preserve">Khoirul Susanto</t>
  </si>
  <si>
    <t xml:space="preserve">M-007</t>
  </si>
  <si>
    <t xml:space="preserve">Utami Santoso</t>
  </si>
  <si>
    <t xml:space="preserve">M-008</t>
  </si>
  <si>
    <t xml:space="preserve">Vina Amalia</t>
  </si>
  <si>
    <t xml:space="preserve">M-009</t>
  </si>
  <si>
    <t xml:space="preserve">Putri Kurniawan</t>
  </si>
  <si>
    <t xml:space="preserve">M-010</t>
  </si>
  <si>
    <t xml:space="preserve">Mulyadi Hidayat</t>
  </si>
  <si>
    <t xml:space="preserve">M-011</t>
  </si>
  <si>
    <t xml:space="preserve">Wawan Ramadhan</t>
  </si>
  <si>
    <t xml:space="preserve">M-012</t>
  </si>
  <si>
    <t xml:space="preserve">Yuni Handayani</t>
  </si>
  <si>
    <t xml:space="preserve">M-013</t>
  </si>
  <si>
    <t xml:space="preserve">Khoirul Fauzi</t>
  </si>
  <si>
    <t xml:space="preserve">M-014</t>
  </si>
  <si>
    <t xml:space="preserve">Khoirul Handayani</t>
  </si>
  <si>
    <t xml:space="preserve">M-015</t>
  </si>
  <si>
    <t xml:space="preserve">Prasetyo Yulianto</t>
  </si>
  <si>
    <t xml:space="preserve">M-016</t>
  </si>
  <si>
    <t xml:space="preserve">Siti Anggraini</t>
  </si>
  <si>
    <t xml:space="preserve">M-017</t>
  </si>
  <si>
    <t xml:space="preserve">Putri Putra</t>
  </si>
  <si>
    <t xml:space="preserve">M-018</t>
  </si>
  <si>
    <t xml:space="preserve">Fitri Susanto</t>
  </si>
  <si>
    <t xml:space="preserve">M-019</t>
  </si>
  <si>
    <t xml:space="preserve">Nurul Maharani</t>
  </si>
  <si>
    <t xml:space="preserve">M-020</t>
  </si>
  <si>
    <t xml:space="preserve">Umar Setiawan</t>
  </si>
  <si>
    <t xml:space="preserve">M-021</t>
  </si>
  <si>
    <t xml:space="preserve">Sari Kurniawan</t>
  </si>
  <si>
    <t xml:space="preserve">M-022</t>
  </si>
  <si>
    <t xml:space="preserve">Umar Wijaya</t>
  </si>
  <si>
    <t xml:space="preserve">M-023</t>
  </si>
  <si>
    <t xml:space="preserve">Lestari Susanto</t>
  </si>
  <si>
    <t xml:space="preserve">M-024</t>
  </si>
  <si>
    <t xml:space="preserve">Edi Kurniawan</t>
  </si>
  <si>
    <t xml:space="preserve">M-025</t>
  </si>
  <si>
    <t xml:space="preserve">Tono Fauzi</t>
  </si>
  <si>
    <t xml:space="preserve">M-026</t>
  </si>
  <si>
    <t xml:space="preserve">Rahmat Saputra</t>
  </si>
  <si>
    <t xml:space="preserve">M-027</t>
  </si>
  <si>
    <t xml:space="preserve">Yuni Yulianto</t>
  </si>
  <si>
    <t xml:space="preserve">M-028</t>
  </si>
  <si>
    <t xml:space="preserve">Lina Permana</t>
  </si>
  <si>
    <t xml:space="preserve">M-029</t>
  </si>
  <si>
    <t xml:space="preserve">Fajar Syahputra</t>
  </si>
  <si>
    <t xml:space="preserve">M-030</t>
  </si>
  <si>
    <t xml:space="preserve">Joko Nugroho</t>
  </si>
  <si>
    <t xml:space="preserve">Belanja Minimal</t>
  </si>
  <si>
    <t xml:space="preserve">Jumlah Member</t>
  </si>
  <si>
    <t xml:space="preserve">Total Belanja Tingkat</t>
  </si>
  <si>
    <t xml:space="preserve">Silver</t>
  </si>
  <si>
    <t xml:space="preserve">Gold</t>
  </si>
  <si>
    <t xml:space="preserve">Platinum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</si>
  <si>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</si>
  <si>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</si>
  <si>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</si>
  <si>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</si>
  <si>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</si>
  <si>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9a</t>
  </si>
  <si>
    <t xml:space="preserve">Total belanja seluruh member</t>
  </si>
  <si>
    <t xml:space="preserve">Rupiah, mis. Rp 150.000.000</t>
  </si>
  <si>
    <t xml:space="preserve">9b</t>
  </si>
  <si>
    <t xml:space="preserve">Rata-rata belanja per member</t>
  </si>
  <si>
    <t xml:space="preserve">Rupiah, mis. Rp 4.500.000</t>
  </si>
  <si>
    <t xml:space="preserve">10a</t>
  </si>
  <si>
    <t xml:space="preserve">Member dengan sisa poin di atas 500</t>
  </si>
  <si>
    <t xml:space="preserve">Angka bulat, mis. 9</t>
  </si>
  <si>
    <t xml:space="preserve">10b</t>
  </si>
  <si>
    <t xml:space="preserve">Total nilai diskon</t>
  </si>
  <si>
    <t xml:space="preserve">Rupiah, mis. Rp 6.000.000</t>
  </si>
  <si>
    <t xml:space="preserve">11a</t>
  </si>
  <si>
    <t xml:space="preserve">Member dengan belanja terbesar</t>
  </si>
  <si>
    <t xml:space="preserve">Teks: nama member</t>
  </si>
  <si>
    <t xml:space="preserve">11b</t>
  </si>
  <si>
    <t xml:space="preserve">Member dengan sisa poin terbanyak</t>
  </si>
  <si>
    <t xml:space="preserve">12a</t>
  </si>
  <si>
    <t xml:space="preserve">Tingkat dengan total belanja terbesar</t>
  </si>
  <si>
    <t xml:space="preserve">Teks: nama tingkat</t>
  </si>
  <si>
    <t xml:space="preserve">12b</t>
  </si>
  <si>
    <t xml:space="preserve">Total belanja member Platinum</t>
  </si>
  <si>
    <t xml:space="preserve">Rupiah, mis. Rp 50.000.000</t>
  </si>
  <si>
    <t xml:space="preserve">13a</t>
  </si>
  <si>
    <t xml:space="preserve">Member Gold dengan 20 kunjungan atau lebih</t>
  </si>
  <si>
    <t xml:space="preserve">Angka bulat, mis. 5</t>
  </si>
  <si>
    <t xml:space="preserve">13b</t>
  </si>
  <si>
    <t xml:space="preserve">Rata-rata sisa poin member Silver</t>
  </si>
  <si>
    <t xml:space="preserve">Angka desimal, mis. 350,5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</si>
</sst>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p &quot;#,##0"/>
    <numFmt numFmtId="166" formatCode="0"/>
    <numFmt numFmtId="167" formatCode="#,##0"/>
    <numFmt numFmtId="168" formatCode="0%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6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7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1" t="s">
        <v>19</v>
      </c>
      <c r="B20" s="11" t="s">
        <v>20</v>
      </c>
      <c r="C20" s="11" t="s">
        <v>21</v>
      </c>
      <c r="D20" s="11" t="s">
        <v>22</v>
      </c>
    </row>
    <row r="21" customFormat="false" ht="30" hidden="false" customHeight="true" outlineLevel="0" collapsed="false">
      <c r="A21" s="12" t="s">
        <v>23</v>
      </c>
      <c r="B21" s="13" t="s">
        <v>24</v>
      </c>
      <c r="C21" s="13" t="s">
        <v>25</v>
      </c>
      <c r="D21" s="14" t="s">
        <v>26</v>
      </c>
    </row>
    <row r="22" customFormat="false" ht="30" hidden="false" customHeight="true" outlineLevel="0" collapsed="false">
      <c r="A22" s="12" t="s">
        <v>27</v>
      </c>
      <c r="B22" s="13" t="s">
        <v>28</v>
      </c>
      <c r="C22" s="13" t="s">
        <v>29</v>
      </c>
      <c r="D22" s="14" t="s">
        <v>30</v>
      </c>
    </row>
    <row r="23" customFormat="false" ht="30" hidden="false" customHeight="true" outlineLevel="0" collapsed="false">
      <c r="A23" s="12" t="s">
        <v>31</v>
      </c>
      <c r="B23" s="13" t="s">
        <v>32</v>
      </c>
      <c r="C23" s="13" t="s">
        <v>33</v>
      </c>
      <c r="D23" s="14" t="s">
        <v>34</v>
      </c>
    </row>
    <row r="24" customFormat="false" ht="30" hidden="false" customHeight="true" outlineLevel="0" collapsed="false">
      <c r="A24" s="12" t="s">
        <v>35</v>
      </c>
      <c r="B24" s="13" t="s">
        <v>36</v>
      </c>
      <c r="C24" s="13" t="s">
        <v>37</v>
      </c>
      <c r="D24" s="14" t="s">
        <v>38</v>
      </c>
    </row>
    <row r="25" customFormat="false" ht="30" hidden="false" customHeight="true" outlineLevel="0" collapsed="false">
      <c r="A25" s="12" t="s">
        <v>39</v>
      </c>
      <c r="B25" s="13" t="s">
        <v>40</v>
      </c>
      <c r="C25" s="13" t="s">
        <v>41</v>
      </c>
      <c r="D25" s="14" t="s">
        <v>42</v>
      </c>
    </row>
    <row r="26" customFormat="false" ht="30" hidden="false" customHeight="true" outlineLevel="0" collapsed="false">
      <c r="A26" s="12" t="s">
        <v>43</v>
      </c>
      <c r="B26" s="13" t="s">
        <v>44</v>
      </c>
      <c r="C26" s="13" t="s">
        <v>45</v>
      </c>
      <c r="D26" s="14" t="s">
        <v>46</v>
      </c>
    </row>
    <row r="27" customFormat="false" ht="30" hidden="false" customHeight="true" outlineLevel="0" collapsed="false">
      <c r="A27" s="12" t="s">
        <v>47</v>
      </c>
      <c r="B27" s="13" t="s">
        <v>48</v>
      </c>
      <c r="C27" s="13" t="s">
        <v>49</v>
      </c>
      <c r="D27" s="14" t="s">
        <v>50</v>
      </c>
    </row>
    <row r="28" customFormat="false" ht="30" hidden="false" customHeight="true" outlineLevel="0" collapsed="false">
      <c r="A28" s="12" t="s">
        <v>51</v>
      </c>
      <c r="B28" s="13" t="s">
        <v>52</v>
      </c>
      <c r="C28" s="13" t="s">
        <v>53</v>
      </c>
      <c r="D28" s="14" t="s">
        <v>54</v>
      </c>
    </row>
    <row r="29" customFormat="false" ht="43.5" hidden="false" customHeight="true" outlineLevel="0" collapsed="false">
      <c r="A29" s="12" t="s">
        <v>55</v>
      </c>
      <c r="B29" s="13" t="s">
        <v>56</v>
      </c>
      <c r="C29" s="13" t="s">
        <v>57</v>
      </c>
      <c r="D29" s="14" t="s">
        <v>58</v>
      </c>
    </row>
    <row r="30" customFormat="false" ht="43.5" hidden="false" customHeight="true" outlineLevel="0" collapsed="false">
      <c r="A30" s="12" t="s">
        <v>59</v>
      </c>
      <c r="B30" s="13" t="s">
        <v>60</v>
      </c>
      <c r="C30" s="13" t="s">
        <v>61</v>
      </c>
      <c r="D30" s="14" t="s">
        <v>62</v>
      </c>
    </row>
    <row r="31" customFormat="false" ht="55.5" hidden="false" customHeight="true" outlineLevel="0" collapsed="false">
      <c r="A31" s="12" t="s">
        <v>63</v>
      </c>
      <c r="B31" s="13" t="s">
        <v>64</v>
      </c>
      <c r="C31" s="13" t="s">
        <v>65</v>
      </c>
      <c r="D31" s="14" t="s">
        <v>66</v>
      </c>
    </row>
    <row r="32" customFormat="false" ht="43.5" hidden="false" customHeight="true" outlineLevel="0" collapsed="false">
      <c r="A32" s="12" t="s">
        <v>67</v>
      </c>
      <c r="B32" s="13" t="s">
        <v>68</v>
      </c>
      <c r="C32" s="13" t="s">
        <v>69</v>
      </c>
      <c r="D32" s="14" t="s">
        <v>70</v>
      </c>
    </row>
    <row r="33" customFormat="false" ht="43.5" hidden="false" customHeight="true" outlineLevel="0" collapsed="false">
      <c r="A33" s="12" t="s">
        <v>71</v>
      </c>
      <c r="B33" s="13" t="s">
        <v>72</v>
      </c>
      <c r="C33" s="13" t="s">
        <v>73</v>
      </c>
      <c r="D33" s="14" t="s">
        <v>74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6" min="5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3"/>
    <col collapsed="false" customWidth="true" hidden="false" outlineLevel="0" max="13" min="13" style="0" width="30"/>
    <col collapsed="false" customWidth="true" hidden="false" outlineLevel="0" max="14" min="14" style="0" width="16"/>
    <col collapsed="false" customWidth="true" hidden="false" outlineLevel="0" max="15" min="15" style="0" width="42"/>
  </cols>
  <sheetData>
    <row r="1" customFormat="false" ht="33.75" hidden="false" customHeight="true" outlineLevel="0" collapsed="false">
      <c r="A1" s="11" t="s">
        <v>75</v>
      </c>
      <c r="B1" s="11" t="s">
        <v>76</v>
      </c>
      <c r="C1" s="11" t="s">
        <v>77</v>
      </c>
      <c r="D1" s="11" t="s">
        <v>78</v>
      </c>
      <c r="E1" s="11" t="s">
        <v>79</v>
      </c>
      <c r="F1" s="15" t="s">
        <v>80</v>
      </c>
      <c r="G1" s="15" t="s">
        <v>81</v>
      </c>
      <c r="H1" s="15" t="s">
        <v>82</v>
      </c>
      <c r="I1" s="15" t="s">
        <v>83</v>
      </c>
      <c r="J1" s="15" t="s">
        <v>84</v>
      </c>
      <c r="K1" s="15" t="s">
        <v>85</v>
      </c>
      <c r="M1" s="16" t="s">
        <v>86</v>
      </c>
      <c r="N1" s="16" t="s">
        <v>87</v>
      </c>
      <c r="O1" s="16" t="s">
        <v>88</v>
      </c>
    </row>
    <row r="2" customFormat="false" ht="15" hidden="false" customHeight="false" outlineLevel="0" collapsed="false">
      <c r="A2" s="17" t="s">
        <v>89</v>
      </c>
      <c r="B2" s="17" t="s">
        <v>90</v>
      </c>
      <c r="C2" s="18" t="n">
        <v>3900300</v>
      </c>
      <c r="D2" s="19" t="n">
        <v>11</v>
      </c>
      <c r="E2" s="20" t="n">
        <v>200</v>
      </c>
      <c r="F2" s="21" t="n">
        <f aca="false">INT(C2/$N$2)</f>
        <v>390</v>
      </c>
      <c r="G2" s="21" t="n">
        <f aca="false">F2-E2</f>
        <v>190</v>
      </c>
      <c r="H2" s="22" t="str">
        <f aca="false">VLOOKUP(C2,Acuan!$A$2:$C$4,2,TRUE())</f>
        <v>Gold</v>
      </c>
      <c r="I2" s="23" t="n">
        <f aca="false">VLOOKUP(C2,Acuan!$A$2:$C$4,3,TRUE())</f>
        <v>0.05</v>
      </c>
      <c r="J2" s="24" t="n">
        <f aca="false">ROUND(C2*I2,0)</f>
        <v>195015</v>
      </c>
      <c r="K2" s="24" t="n">
        <f aca="false">ROUND(C2/D2,0)</f>
        <v>354573</v>
      </c>
      <c r="M2" s="25" t="s">
        <v>91</v>
      </c>
      <c r="N2" s="26" t="n">
        <v>10000</v>
      </c>
      <c r="O2" s="25" t="s">
        <v>92</v>
      </c>
    </row>
    <row r="3" customFormat="false" ht="15" hidden="false" customHeight="false" outlineLevel="0" collapsed="false">
      <c r="A3" s="17" t="s">
        <v>93</v>
      </c>
      <c r="B3" s="17" t="s">
        <v>94</v>
      </c>
      <c r="C3" s="18" t="n">
        <v>3604800</v>
      </c>
      <c r="D3" s="19" t="n">
        <v>4</v>
      </c>
      <c r="E3" s="20" t="n">
        <v>200</v>
      </c>
      <c r="F3" s="21" t="n">
        <f aca="false">INT(C3/$N$2)</f>
        <v>360</v>
      </c>
      <c r="G3" s="21" t="n">
        <f aca="false">F3-E3</f>
        <v>160</v>
      </c>
      <c r="H3" s="22" t="str">
        <f aca="false">VLOOKUP(C3,Acuan!$A$2:$C$4,2,TRUE())</f>
        <v>Gold</v>
      </c>
      <c r="I3" s="23" t="n">
        <f aca="false">VLOOKUP(C3,Acuan!$A$2:$C$4,3,TRUE())</f>
        <v>0.05</v>
      </c>
      <c r="J3" s="24" t="n">
        <f aca="false">ROUND(C3*I3,0)</f>
        <v>180240</v>
      </c>
      <c r="K3" s="24" t="n">
        <f aca="false">ROUND(C3/D3,0)</f>
        <v>901200</v>
      </c>
    </row>
    <row r="4" customFormat="false" ht="15" hidden="false" customHeight="false" outlineLevel="0" collapsed="false">
      <c r="A4" s="17" t="s">
        <v>95</v>
      </c>
      <c r="B4" s="17" t="s">
        <v>96</v>
      </c>
      <c r="C4" s="18" t="n">
        <v>1563800</v>
      </c>
      <c r="D4" s="19" t="n">
        <v>16</v>
      </c>
      <c r="E4" s="20" t="n">
        <v>0</v>
      </c>
      <c r="F4" s="21" t="n">
        <f aca="false">INT(C4/$N$2)</f>
        <v>156</v>
      </c>
      <c r="G4" s="21" t="n">
        <f aca="false">F4-E4</f>
        <v>156</v>
      </c>
      <c r="H4" s="22" t="str">
        <f aca="false">VLOOKUP(C4,Acuan!$A$2:$C$4,2,TRUE())</f>
        <v>Silver</v>
      </c>
      <c r="I4" s="23" t="n">
        <f aca="false">VLOOKUP(C4,Acuan!$A$2:$C$4,3,TRUE())</f>
        <v>0.02</v>
      </c>
      <c r="J4" s="24" t="n">
        <f aca="false">ROUND(C4*I4,0)</f>
        <v>31276</v>
      </c>
      <c r="K4" s="24" t="n">
        <f aca="false">ROUND(C4/D4,0)</f>
        <v>97738</v>
      </c>
    </row>
    <row r="5" customFormat="false" ht="15" hidden="false" customHeight="false" outlineLevel="0" collapsed="false">
      <c r="A5" s="17" t="s">
        <v>97</v>
      </c>
      <c r="B5" s="17" t="s">
        <v>98</v>
      </c>
      <c r="C5" s="18" t="n">
        <v>12843600</v>
      </c>
      <c r="D5" s="19" t="n">
        <v>22</v>
      </c>
      <c r="E5" s="20" t="n">
        <v>100</v>
      </c>
      <c r="F5" s="21" t="n">
        <f aca="false">INT(C5/$N$2)</f>
        <v>1284</v>
      </c>
      <c r="G5" s="21" t="n">
        <f aca="false">F5-E5</f>
        <v>1184</v>
      </c>
      <c r="H5" s="22" t="str">
        <f aca="false">VLOOKUP(C5,Acuan!$A$2:$C$4,2,TRUE())</f>
        <v>Platinum</v>
      </c>
      <c r="I5" s="23" t="n">
        <f aca="false">VLOOKUP(C5,Acuan!$A$2:$C$4,3,TRUE())</f>
        <v>0.08</v>
      </c>
      <c r="J5" s="24" t="n">
        <f aca="false">ROUND(C5*I5,0)</f>
        <v>1027488</v>
      </c>
      <c r="K5" s="24" t="n">
        <f aca="false">ROUND(C5/D5,0)</f>
        <v>583800</v>
      </c>
    </row>
    <row r="6" customFormat="false" ht="15" hidden="false" customHeight="false" outlineLevel="0" collapsed="false">
      <c r="A6" s="17" t="s">
        <v>99</v>
      </c>
      <c r="B6" s="17" t="s">
        <v>100</v>
      </c>
      <c r="C6" s="18" t="n">
        <v>9016900</v>
      </c>
      <c r="D6" s="19" t="n">
        <v>11</v>
      </c>
      <c r="E6" s="20" t="n">
        <v>300</v>
      </c>
      <c r="F6" s="21" t="n">
        <f aca="false">INT(C6/$N$2)</f>
        <v>901</v>
      </c>
      <c r="G6" s="21" t="n">
        <f aca="false">F6-E6</f>
        <v>601</v>
      </c>
      <c r="H6" s="22" t="str">
        <f aca="false">VLOOKUP(C6,Acuan!$A$2:$C$4,2,TRUE())</f>
        <v>Platinum</v>
      </c>
      <c r="I6" s="23" t="n">
        <f aca="false">VLOOKUP(C6,Acuan!$A$2:$C$4,3,TRUE())</f>
        <v>0.08</v>
      </c>
      <c r="J6" s="24" t="n">
        <f aca="false">ROUND(C6*I6,0)</f>
        <v>721352</v>
      </c>
      <c r="K6" s="24" t="n">
        <f aca="false">ROUND(C6/D6,0)</f>
        <v>819718</v>
      </c>
    </row>
    <row r="7" customFormat="false" ht="15" hidden="false" customHeight="false" outlineLevel="0" collapsed="false">
      <c r="A7" s="17" t="s">
        <v>101</v>
      </c>
      <c r="B7" s="17" t="s">
        <v>102</v>
      </c>
      <c r="C7" s="18" t="n">
        <v>6365300</v>
      </c>
      <c r="D7" s="19" t="n">
        <v>35</v>
      </c>
      <c r="E7" s="20" t="n">
        <v>0</v>
      </c>
      <c r="F7" s="21" t="n">
        <f aca="false">INT(C7/$N$2)</f>
        <v>636</v>
      </c>
      <c r="G7" s="21" t="n">
        <f aca="false">F7-E7</f>
        <v>636</v>
      </c>
      <c r="H7" s="22" t="str">
        <f aca="false">VLOOKUP(C7,Acuan!$A$2:$C$4,2,TRUE())</f>
        <v>Gold</v>
      </c>
      <c r="I7" s="23" t="n">
        <f aca="false">VLOOKUP(C7,Acuan!$A$2:$C$4,3,TRUE())</f>
        <v>0.05</v>
      </c>
      <c r="J7" s="24" t="n">
        <f aca="false">ROUND(C7*I7,0)</f>
        <v>318265</v>
      </c>
      <c r="K7" s="24" t="n">
        <f aca="false">ROUND(C7/D7,0)</f>
        <v>181866</v>
      </c>
    </row>
    <row r="8" customFormat="false" ht="15" hidden="false" customHeight="false" outlineLevel="0" collapsed="false">
      <c r="A8" s="17" t="s">
        <v>103</v>
      </c>
      <c r="B8" s="17" t="s">
        <v>104</v>
      </c>
      <c r="C8" s="18" t="n">
        <v>2502800</v>
      </c>
      <c r="D8" s="19" t="n">
        <v>28</v>
      </c>
      <c r="E8" s="20" t="n">
        <v>0</v>
      </c>
      <c r="F8" s="21" t="n">
        <f aca="false">INT(C8/$N$2)</f>
        <v>250</v>
      </c>
      <c r="G8" s="21" t="n">
        <f aca="false">F8-E8</f>
        <v>250</v>
      </c>
      <c r="H8" s="22" t="str">
        <f aca="false">VLOOKUP(C8,Acuan!$A$2:$C$4,2,TRUE())</f>
        <v>Silver</v>
      </c>
      <c r="I8" s="23" t="n">
        <f aca="false">VLOOKUP(C8,Acuan!$A$2:$C$4,3,TRUE())</f>
        <v>0.02</v>
      </c>
      <c r="J8" s="24" t="n">
        <f aca="false">ROUND(C8*I8,0)</f>
        <v>50056</v>
      </c>
      <c r="K8" s="24" t="n">
        <f aca="false">ROUND(C8/D8,0)</f>
        <v>89386</v>
      </c>
    </row>
    <row r="9" customFormat="false" ht="15" hidden="false" customHeight="false" outlineLevel="0" collapsed="false">
      <c r="A9" s="17" t="s">
        <v>105</v>
      </c>
      <c r="B9" s="17" t="s">
        <v>106</v>
      </c>
      <c r="C9" s="18" t="n">
        <v>15484500</v>
      </c>
      <c r="D9" s="19" t="n">
        <v>29</v>
      </c>
      <c r="E9" s="20" t="n">
        <v>800</v>
      </c>
      <c r="F9" s="21" t="n">
        <f aca="false">INT(C9/$N$2)</f>
        <v>1548</v>
      </c>
      <c r="G9" s="21" t="n">
        <f aca="false">F9-E9</f>
        <v>748</v>
      </c>
      <c r="H9" s="22" t="str">
        <f aca="false">VLOOKUP(C9,Acuan!$A$2:$C$4,2,TRUE())</f>
        <v>Platinum</v>
      </c>
      <c r="I9" s="23" t="n">
        <f aca="false">VLOOKUP(C9,Acuan!$A$2:$C$4,3,TRUE())</f>
        <v>0.08</v>
      </c>
      <c r="J9" s="24" t="n">
        <f aca="false">ROUND(C9*I9,0)</f>
        <v>1238760</v>
      </c>
      <c r="K9" s="24" t="n">
        <f aca="false">ROUND(C9/D9,0)</f>
        <v>533948</v>
      </c>
    </row>
    <row r="10" customFormat="false" ht="15" hidden="false" customHeight="false" outlineLevel="0" collapsed="false">
      <c r="A10" s="17" t="s">
        <v>107</v>
      </c>
      <c r="B10" s="17" t="s">
        <v>108</v>
      </c>
      <c r="C10" s="18" t="n">
        <v>7357800</v>
      </c>
      <c r="D10" s="19" t="n">
        <v>40</v>
      </c>
      <c r="E10" s="20" t="n">
        <v>0</v>
      </c>
      <c r="F10" s="21" t="n">
        <f aca="false">INT(C10/$N$2)</f>
        <v>735</v>
      </c>
      <c r="G10" s="21" t="n">
        <f aca="false">F10-E10</f>
        <v>735</v>
      </c>
      <c r="H10" s="22" t="str">
        <f aca="false">VLOOKUP(C10,Acuan!$A$2:$C$4,2,TRUE())</f>
        <v>Gold</v>
      </c>
      <c r="I10" s="23" t="n">
        <f aca="false">VLOOKUP(C10,Acuan!$A$2:$C$4,3,TRUE())</f>
        <v>0.05</v>
      </c>
      <c r="J10" s="24" t="n">
        <f aca="false">ROUND(C10*I10,0)</f>
        <v>367890</v>
      </c>
      <c r="K10" s="24" t="n">
        <f aca="false">ROUND(C10/D10,0)</f>
        <v>183945</v>
      </c>
    </row>
    <row r="11" customFormat="false" ht="15" hidden="false" customHeight="false" outlineLevel="0" collapsed="false">
      <c r="A11" s="17" t="s">
        <v>109</v>
      </c>
      <c r="B11" s="17" t="s">
        <v>110</v>
      </c>
      <c r="C11" s="18" t="n">
        <v>1652200</v>
      </c>
      <c r="D11" s="19" t="n">
        <v>6</v>
      </c>
      <c r="E11" s="20" t="n">
        <v>0</v>
      </c>
      <c r="F11" s="21" t="n">
        <f aca="false">INT(C11/$N$2)</f>
        <v>165</v>
      </c>
      <c r="G11" s="21" t="n">
        <f aca="false">F11-E11</f>
        <v>165</v>
      </c>
      <c r="H11" s="22" t="str">
        <f aca="false">VLOOKUP(C11,Acuan!$A$2:$C$4,2,TRUE())</f>
        <v>Silver</v>
      </c>
      <c r="I11" s="23" t="n">
        <f aca="false">VLOOKUP(C11,Acuan!$A$2:$C$4,3,TRUE())</f>
        <v>0.02</v>
      </c>
      <c r="J11" s="24" t="n">
        <f aca="false">ROUND(C11*I11,0)</f>
        <v>33044</v>
      </c>
      <c r="K11" s="24" t="n">
        <f aca="false">ROUND(C11/D11,0)</f>
        <v>275367</v>
      </c>
    </row>
    <row r="12" customFormat="false" ht="15" hidden="false" customHeight="false" outlineLevel="0" collapsed="false">
      <c r="A12" s="17" t="s">
        <v>111</v>
      </c>
      <c r="B12" s="17" t="s">
        <v>112</v>
      </c>
      <c r="C12" s="18" t="n">
        <v>8600800</v>
      </c>
      <c r="D12" s="19" t="n">
        <v>15</v>
      </c>
      <c r="E12" s="20" t="n">
        <v>0</v>
      </c>
      <c r="F12" s="21" t="n">
        <f aca="false">INT(C12/$N$2)</f>
        <v>860</v>
      </c>
      <c r="G12" s="21" t="n">
        <f aca="false">F12-E12</f>
        <v>860</v>
      </c>
      <c r="H12" s="22" t="str">
        <f aca="false">VLOOKUP(C12,Acuan!$A$2:$C$4,2,TRUE())</f>
        <v>Platinum</v>
      </c>
      <c r="I12" s="23" t="n">
        <f aca="false">VLOOKUP(C12,Acuan!$A$2:$C$4,3,TRUE())</f>
        <v>0.08</v>
      </c>
      <c r="J12" s="24" t="n">
        <f aca="false">ROUND(C12*I12,0)</f>
        <v>688064</v>
      </c>
      <c r="K12" s="24" t="n">
        <f aca="false">ROUND(C12/D12,0)</f>
        <v>573387</v>
      </c>
    </row>
    <row r="13" customFormat="false" ht="15" hidden="false" customHeight="false" outlineLevel="0" collapsed="false">
      <c r="A13" s="17" t="s">
        <v>113</v>
      </c>
      <c r="B13" s="17" t="s">
        <v>114</v>
      </c>
      <c r="C13" s="18" t="n">
        <v>6551400</v>
      </c>
      <c r="D13" s="19" t="n">
        <v>10</v>
      </c>
      <c r="E13" s="20" t="n">
        <v>300</v>
      </c>
      <c r="F13" s="21" t="n">
        <f aca="false">INT(C13/$N$2)</f>
        <v>655</v>
      </c>
      <c r="G13" s="21" t="n">
        <f aca="false">F13-E13</f>
        <v>355</v>
      </c>
      <c r="H13" s="22" t="str">
        <f aca="false">VLOOKUP(C13,Acuan!$A$2:$C$4,2,TRUE())</f>
        <v>Gold</v>
      </c>
      <c r="I13" s="23" t="n">
        <f aca="false">VLOOKUP(C13,Acuan!$A$2:$C$4,3,TRUE())</f>
        <v>0.05</v>
      </c>
      <c r="J13" s="24" t="n">
        <f aca="false">ROUND(C13*I13,0)</f>
        <v>327570</v>
      </c>
      <c r="K13" s="24" t="n">
        <f aca="false">ROUND(C13/D13,0)</f>
        <v>655140</v>
      </c>
    </row>
    <row r="14" customFormat="false" ht="15" hidden="false" customHeight="false" outlineLevel="0" collapsed="false">
      <c r="A14" s="17" t="s">
        <v>115</v>
      </c>
      <c r="B14" s="17" t="s">
        <v>116</v>
      </c>
      <c r="C14" s="18" t="n">
        <v>976100</v>
      </c>
      <c r="D14" s="19" t="n">
        <v>25</v>
      </c>
      <c r="E14" s="20" t="n">
        <v>0</v>
      </c>
      <c r="F14" s="21" t="n">
        <f aca="false">INT(C14/$N$2)</f>
        <v>97</v>
      </c>
      <c r="G14" s="21" t="n">
        <f aca="false">F14-E14</f>
        <v>97</v>
      </c>
      <c r="H14" s="22" t="str">
        <f aca="false">VLOOKUP(C14,Acuan!$A$2:$C$4,2,TRUE())</f>
        <v>Silver</v>
      </c>
      <c r="I14" s="23" t="n">
        <f aca="false">VLOOKUP(C14,Acuan!$A$2:$C$4,3,TRUE())</f>
        <v>0.02</v>
      </c>
      <c r="J14" s="24" t="n">
        <f aca="false">ROUND(C14*I14,0)</f>
        <v>19522</v>
      </c>
      <c r="K14" s="24" t="n">
        <f aca="false">ROUND(C14/D14,0)</f>
        <v>39044</v>
      </c>
    </row>
    <row r="15" customFormat="false" ht="15" hidden="false" customHeight="false" outlineLevel="0" collapsed="false">
      <c r="A15" s="17" t="s">
        <v>117</v>
      </c>
      <c r="B15" s="17" t="s">
        <v>118</v>
      </c>
      <c r="C15" s="18" t="n">
        <v>2726800</v>
      </c>
      <c r="D15" s="19" t="n">
        <v>11</v>
      </c>
      <c r="E15" s="20" t="n">
        <v>0</v>
      </c>
      <c r="F15" s="21" t="n">
        <f aca="false">INT(C15/$N$2)</f>
        <v>272</v>
      </c>
      <c r="G15" s="21" t="n">
        <f aca="false">F15-E15</f>
        <v>272</v>
      </c>
      <c r="H15" s="22" t="str">
        <f aca="false">VLOOKUP(C15,Acuan!$A$2:$C$4,2,TRUE())</f>
        <v>Silver</v>
      </c>
      <c r="I15" s="23" t="n">
        <f aca="false">VLOOKUP(C15,Acuan!$A$2:$C$4,3,TRUE())</f>
        <v>0.02</v>
      </c>
      <c r="J15" s="24" t="n">
        <f aca="false">ROUND(C15*I15,0)</f>
        <v>54536</v>
      </c>
      <c r="K15" s="24" t="n">
        <f aca="false">ROUND(C15/D15,0)</f>
        <v>247891</v>
      </c>
    </row>
    <row r="16" customFormat="false" ht="15" hidden="false" customHeight="false" outlineLevel="0" collapsed="false">
      <c r="A16" s="17" t="s">
        <v>119</v>
      </c>
      <c r="B16" s="17" t="s">
        <v>120</v>
      </c>
      <c r="C16" s="18" t="n">
        <v>3709300</v>
      </c>
      <c r="D16" s="19" t="n">
        <v>6</v>
      </c>
      <c r="E16" s="20" t="n">
        <v>0</v>
      </c>
      <c r="F16" s="21" t="n">
        <f aca="false">INT(C16/$N$2)</f>
        <v>370</v>
      </c>
      <c r="G16" s="21" t="n">
        <f aca="false">F16-E16</f>
        <v>370</v>
      </c>
      <c r="H16" s="22" t="str">
        <f aca="false">VLOOKUP(C16,Acuan!$A$2:$C$4,2,TRUE())</f>
        <v>Gold</v>
      </c>
      <c r="I16" s="23" t="n">
        <f aca="false">VLOOKUP(C16,Acuan!$A$2:$C$4,3,TRUE())</f>
        <v>0.05</v>
      </c>
      <c r="J16" s="24" t="n">
        <f aca="false">ROUND(C16*I16,0)</f>
        <v>185465</v>
      </c>
      <c r="K16" s="24" t="n">
        <f aca="false">ROUND(C16/D16,0)</f>
        <v>618217</v>
      </c>
    </row>
    <row r="17" customFormat="false" ht="15" hidden="false" customHeight="false" outlineLevel="0" collapsed="false">
      <c r="A17" s="17" t="s">
        <v>121</v>
      </c>
      <c r="B17" s="17" t="s">
        <v>122</v>
      </c>
      <c r="C17" s="18" t="n">
        <v>6668700</v>
      </c>
      <c r="D17" s="19" t="n">
        <v>22</v>
      </c>
      <c r="E17" s="20" t="n">
        <v>500</v>
      </c>
      <c r="F17" s="21" t="n">
        <f aca="false">INT(C17/$N$2)</f>
        <v>666</v>
      </c>
      <c r="G17" s="21" t="n">
        <f aca="false">F17-E17</f>
        <v>166</v>
      </c>
      <c r="H17" s="22" t="str">
        <f aca="false">VLOOKUP(C17,Acuan!$A$2:$C$4,2,TRUE())</f>
        <v>Gold</v>
      </c>
      <c r="I17" s="23" t="n">
        <f aca="false">VLOOKUP(C17,Acuan!$A$2:$C$4,3,TRUE())</f>
        <v>0.05</v>
      </c>
      <c r="J17" s="24" t="n">
        <f aca="false">ROUND(C17*I17,0)</f>
        <v>333435</v>
      </c>
      <c r="K17" s="24" t="n">
        <f aca="false">ROUND(C17/D17,0)</f>
        <v>303123</v>
      </c>
    </row>
    <row r="18" customFormat="false" ht="15" hidden="false" customHeight="false" outlineLevel="0" collapsed="false">
      <c r="A18" s="17" t="s">
        <v>123</v>
      </c>
      <c r="B18" s="17" t="s">
        <v>124</v>
      </c>
      <c r="C18" s="18" t="n">
        <v>5154500</v>
      </c>
      <c r="D18" s="19" t="n">
        <v>25</v>
      </c>
      <c r="E18" s="20" t="n">
        <v>100</v>
      </c>
      <c r="F18" s="21" t="n">
        <f aca="false">INT(C18/$N$2)</f>
        <v>515</v>
      </c>
      <c r="G18" s="21" t="n">
        <f aca="false">F18-E18</f>
        <v>415</v>
      </c>
      <c r="H18" s="22" t="str">
        <f aca="false">VLOOKUP(C18,Acuan!$A$2:$C$4,2,TRUE())</f>
        <v>Gold</v>
      </c>
      <c r="I18" s="23" t="n">
        <f aca="false">VLOOKUP(C18,Acuan!$A$2:$C$4,3,TRUE())</f>
        <v>0.05</v>
      </c>
      <c r="J18" s="24" t="n">
        <f aca="false">ROUND(C18*I18,0)</f>
        <v>257725</v>
      </c>
      <c r="K18" s="24" t="n">
        <f aca="false">ROUND(C18/D18,0)</f>
        <v>206180</v>
      </c>
    </row>
    <row r="19" customFormat="false" ht="15" hidden="false" customHeight="false" outlineLevel="0" collapsed="false">
      <c r="A19" s="17" t="s">
        <v>125</v>
      </c>
      <c r="B19" s="17" t="s">
        <v>126</v>
      </c>
      <c r="C19" s="18" t="n">
        <v>8544800</v>
      </c>
      <c r="D19" s="19" t="n">
        <v>25</v>
      </c>
      <c r="E19" s="20" t="n">
        <v>200</v>
      </c>
      <c r="F19" s="21" t="n">
        <f aca="false">INT(C19/$N$2)</f>
        <v>854</v>
      </c>
      <c r="G19" s="21" t="n">
        <f aca="false">F19-E19</f>
        <v>654</v>
      </c>
      <c r="H19" s="22" t="str">
        <f aca="false">VLOOKUP(C19,Acuan!$A$2:$C$4,2,TRUE())</f>
        <v>Platinum</v>
      </c>
      <c r="I19" s="23" t="n">
        <f aca="false">VLOOKUP(C19,Acuan!$A$2:$C$4,3,TRUE())</f>
        <v>0.08</v>
      </c>
      <c r="J19" s="24" t="n">
        <f aca="false">ROUND(C19*I19,0)</f>
        <v>683584</v>
      </c>
      <c r="K19" s="24" t="n">
        <f aca="false">ROUND(C19/D19,0)</f>
        <v>341792</v>
      </c>
    </row>
    <row r="20" customFormat="false" ht="15" hidden="false" customHeight="false" outlineLevel="0" collapsed="false">
      <c r="A20" s="17" t="s">
        <v>127</v>
      </c>
      <c r="B20" s="17" t="s">
        <v>128</v>
      </c>
      <c r="C20" s="18" t="n">
        <v>6705200</v>
      </c>
      <c r="D20" s="19" t="n">
        <v>35</v>
      </c>
      <c r="E20" s="20" t="n">
        <v>500</v>
      </c>
      <c r="F20" s="21" t="n">
        <f aca="false">INT(C20/$N$2)</f>
        <v>670</v>
      </c>
      <c r="G20" s="21" t="n">
        <f aca="false">F20-E20</f>
        <v>170</v>
      </c>
      <c r="H20" s="22" t="str">
        <f aca="false">VLOOKUP(C20,Acuan!$A$2:$C$4,2,TRUE())</f>
        <v>Gold</v>
      </c>
      <c r="I20" s="23" t="n">
        <f aca="false">VLOOKUP(C20,Acuan!$A$2:$C$4,3,TRUE())</f>
        <v>0.05</v>
      </c>
      <c r="J20" s="24" t="n">
        <f aca="false">ROUND(C20*I20,0)</f>
        <v>335260</v>
      </c>
      <c r="K20" s="24" t="n">
        <f aca="false">ROUND(C20/D20,0)</f>
        <v>191577</v>
      </c>
    </row>
    <row r="21" customFormat="false" ht="15" hidden="false" customHeight="false" outlineLevel="0" collapsed="false">
      <c r="A21" s="17" t="s">
        <v>129</v>
      </c>
      <c r="B21" s="17" t="s">
        <v>130</v>
      </c>
      <c r="C21" s="18" t="n">
        <v>14212500</v>
      </c>
      <c r="D21" s="19" t="n">
        <v>12</v>
      </c>
      <c r="E21" s="20" t="n">
        <v>0</v>
      </c>
      <c r="F21" s="21" t="n">
        <f aca="false">INT(C21/$N$2)</f>
        <v>1421</v>
      </c>
      <c r="G21" s="21" t="n">
        <f aca="false">F21-E21</f>
        <v>1421</v>
      </c>
      <c r="H21" s="22" t="str">
        <f aca="false">VLOOKUP(C21,Acuan!$A$2:$C$4,2,TRUE())</f>
        <v>Platinum</v>
      </c>
      <c r="I21" s="23" t="n">
        <f aca="false">VLOOKUP(C21,Acuan!$A$2:$C$4,3,TRUE())</f>
        <v>0.08</v>
      </c>
      <c r="J21" s="24" t="n">
        <f aca="false">ROUND(C21*I21,0)</f>
        <v>1137000</v>
      </c>
      <c r="K21" s="24" t="n">
        <f aca="false">ROUND(C21/D21,0)</f>
        <v>1184375</v>
      </c>
    </row>
    <row r="22" customFormat="false" ht="15" hidden="false" customHeight="false" outlineLevel="0" collapsed="false">
      <c r="A22" s="17" t="s">
        <v>131</v>
      </c>
      <c r="B22" s="17" t="s">
        <v>132</v>
      </c>
      <c r="C22" s="18" t="n">
        <v>15020500</v>
      </c>
      <c r="D22" s="19" t="n">
        <v>26</v>
      </c>
      <c r="E22" s="20" t="n">
        <v>300</v>
      </c>
      <c r="F22" s="21" t="n">
        <f aca="false">INT(C22/$N$2)</f>
        <v>1502</v>
      </c>
      <c r="G22" s="21" t="n">
        <f aca="false">F22-E22</f>
        <v>1202</v>
      </c>
      <c r="H22" s="22" t="str">
        <f aca="false">VLOOKUP(C22,Acuan!$A$2:$C$4,2,TRUE())</f>
        <v>Platinum</v>
      </c>
      <c r="I22" s="23" t="n">
        <f aca="false">VLOOKUP(C22,Acuan!$A$2:$C$4,3,TRUE())</f>
        <v>0.08</v>
      </c>
      <c r="J22" s="24" t="n">
        <f aca="false">ROUND(C22*I22,0)</f>
        <v>1201640</v>
      </c>
      <c r="K22" s="24" t="n">
        <f aca="false">ROUND(C22/D22,0)</f>
        <v>577712</v>
      </c>
    </row>
    <row r="23" customFormat="false" ht="15" hidden="false" customHeight="false" outlineLevel="0" collapsed="false">
      <c r="A23" s="17" t="s">
        <v>133</v>
      </c>
      <c r="B23" s="17" t="s">
        <v>134</v>
      </c>
      <c r="C23" s="18" t="n">
        <v>7713600</v>
      </c>
      <c r="D23" s="19" t="n">
        <v>36</v>
      </c>
      <c r="E23" s="20" t="n">
        <v>200</v>
      </c>
      <c r="F23" s="21" t="n">
        <f aca="false">INT(C23/$N$2)</f>
        <v>771</v>
      </c>
      <c r="G23" s="21" t="n">
        <f aca="false">F23-E23</f>
        <v>571</v>
      </c>
      <c r="H23" s="22" t="str">
        <f aca="false">VLOOKUP(C23,Acuan!$A$2:$C$4,2,TRUE())</f>
        <v>Gold</v>
      </c>
      <c r="I23" s="23" t="n">
        <f aca="false">VLOOKUP(C23,Acuan!$A$2:$C$4,3,TRUE())</f>
        <v>0.05</v>
      </c>
      <c r="J23" s="24" t="n">
        <f aca="false">ROUND(C23*I23,0)</f>
        <v>385680</v>
      </c>
      <c r="K23" s="24" t="n">
        <f aca="false">ROUND(C23/D23,0)</f>
        <v>214267</v>
      </c>
    </row>
    <row r="24" customFormat="false" ht="15" hidden="false" customHeight="false" outlineLevel="0" collapsed="false">
      <c r="A24" s="17" t="s">
        <v>135</v>
      </c>
      <c r="B24" s="17" t="s">
        <v>136</v>
      </c>
      <c r="C24" s="18" t="n">
        <v>10414200</v>
      </c>
      <c r="D24" s="19" t="n">
        <v>9</v>
      </c>
      <c r="E24" s="20" t="n">
        <v>800</v>
      </c>
      <c r="F24" s="21" t="n">
        <f aca="false">INT(C24/$N$2)</f>
        <v>1041</v>
      </c>
      <c r="G24" s="21" t="n">
        <f aca="false">F24-E24</f>
        <v>241</v>
      </c>
      <c r="H24" s="22" t="str">
        <f aca="false">VLOOKUP(C24,Acuan!$A$2:$C$4,2,TRUE())</f>
        <v>Platinum</v>
      </c>
      <c r="I24" s="23" t="n">
        <f aca="false">VLOOKUP(C24,Acuan!$A$2:$C$4,3,TRUE())</f>
        <v>0.08</v>
      </c>
      <c r="J24" s="24" t="n">
        <f aca="false">ROUND(C24*I24,0)</f>
        <v>833136</v>
      </c>
      <c r="K24" s="24" t="n">
        <f aca="false">ROUND(C24/D24,0)</f>
        <v>1157133</v>
      </c>
    </row>
    <row r="25" customFormat="false" ht="15" hidden="false" customHeight="false" outlineLevel="0" collapsed="false">
      <c r="A25" s="17" t="s">
        <v>137</v>
      </c>
      <c r="B25" s="17" t="s">
        <v>138</v>
      </c>
      <c r="C25" s="18" t="n">
        <v>931300</v>
      </c>
      <c r="D25" s="19" t="n">
        <v>17</v>
      </c>
      <c r="E25" s="20" t="n">
        <v>0</v>
      </c>
      <c r="F25" s="21" t="n">
        <f aca="false">INT(C25/$N$2)</f>
        <v>93</v>
      </c>
      <c r="G25" s="21" t="n">
        <f aca="false">F25-E25</f>
        <v>93</v>
      </c>
      <c r="H25" s="22" t="str">
        <f aca="false">VLOOKUP(C25,Acuan!$A$2:$C$4,2,TRUE())</f>
        <v>Silver</v>
      </c>
      <c r="I25" s="23" t="n">
        <f aca="false">VLOOKUP(C25,Acuan!$A$2:$C$4,3,TRUE())</f>
        <v>0.02</v>
      </c>
      <c r="J25" s="24" t="n">
        <f aca="false">ROUND(C25*I25,0)</f>
        <v>18626</v>
      </c>
      <c r="K25" s="24" t="n">
        <f aca="false">ROUND(C25/D25,0)</f>
        <v>54782</v>
      </c>
    </row>
    <row r="26" customFormat="false" ht="15" hidden="false" customHeight="false" outlineLevel="0" collapsed="false">
      <c r="A26" s="17" t="s">
        <v>139</v>
      </c>
      <c r="B26" s="17" t="s">
        <v>140</v>
      </c>
      <c r="C26" s="18" t="n">
        <v>14606800</v>
      </c>
      <c r="D26" s="19" t="n">
        <v>29</v>
      </c>
      <c r="E26" s="20" t="n">
        <v>500</v>
      </c>
      <c r="F26" s="21" t="n">
        <f aca="false">INT(C26/$N$2)</f>
        <v>1460</v>
      </c>
      <c r="G26" s="21" t="n">
        <f aca="false">F26-E26</f>
        <v>960</v>
      </c>
      <c r="H26" s="22" t="str">
        <f aca="false">VLOOKUP(C26,Acuan!$A$2:$C$4,2,TRUE())</f>
        <v>Platinum</v>
      </c>
      <c r="I26" s="23" t="n">
        <f aca="false">VLOOKUP(C26,Acuan!$A$2:$C$4,3,TRUE())</f>
        <v>0.08</v>
      </c>
      <c r="J26" s="24" t="n">
        <f aca="false">ROUND(C26*I26,0)</f>
        <v>1168544</v>
      </c>
      <c r="K26" s="24" t="n">
        <f aca="false">ROUND(C26/D26,0)</f>
        <v>503683</v>
      </c>
    </row>
    <row r="27" customFormat="false" ht="15" hidden="false" customHeight="false" outlineLevel="0" collapsed="false">
      <c r="A27" s="17" t="s">
        <v>141</v>
      </c>
      <c r="B27" s="17" t="s">
        <v>142</v>
      </c>
      <c r="C27" s="18" t="n">
        <v>2090700</v>
      </c>
      <c r="D27" s="19" t="n">
        <v>20</v>
      </c>
      <c r="E27" s="20" t="n">
        <v>0</v>
      </c>
      <c r="F27" s="21" t="n">
        <f aca="false">INT(C27/$N$2)</f>
        <v>209</v>
      </c>
      <c r="G27" s="21" t="n">
        <f aca="false">F27-E27</f>
        <v>209</v>
      </c>
      <c r="H27" s="22" t="str">
        <f aca="false">VLOOKUP(C27,Acuan!$A$2:$C$4,2,TRUE())</f>
        <v>Silver</v>
      </c>
      <c r="I27" s="23" t="n">
        <f aca="false">VLOOKUP(C27,Acuan!$A$2:$C$4,3,TRUE())</f>
        <v>0.02</v>
      </c>
      <c r="J27" s="24" t="n">
        <f aca="false">ROUND(C27*I27,0)</f>
        <v>41814</v>
      </c>
      <c r="K27" s="24" t="n">
        <f aca="false">ROUND(C27/D27,0)</f>
        <v>104535</v>
      </c>
    </row>
    <row r="28" customFormat="false" ht="15" hidden="false" customHeight="false" outlineLevel="0" collapsed="false">
      <c r="A28" s="17" t="s">
        <v>143</v>
      </c>
      <c r="B28" s="17" t="s">
        <v>144</v>
      </c>
      <c r="C28" s="18" t="n">
        <v>7228800</v>
      </c>
      <c r="D28" s="19" t="n">
        <v>8</v>
      </c>
      <c r="E28" s="20" t="n">
        <v>200</v>
      </c>
      <c r="F28" s="21" t="n">
        <f aca="false">INT(C28/$N$2)</f>
        <v>722</v>
      </c>
      <c r="G28" s="21" t="n">
        <f aca="false">F28-E28</f>
        <v>522</v>
      </c>
      <c r="H28" s="22" t="str">
        <f aca="false">VLOOKUP(C28,Acuan!$A$2:$C$4,2,TRUE())</f>
        <v>Gold</v>
      </c>
      <c r="I28" s="23" t="n">
        <f aca="false">VLOOKUP(C28,Acuan!$A$2:$C$4,3,TRUE())</f>
        <v>0.05</v>
      </c>
      <c r="J28" s="24" t="n">
        <f aca="false">ROUND(C28*I28,0)</f>
        <v>361440</v>
      </c>
      <c r="K28" s="24" t="n">
        <f aca="false">ROUND(C28/D28,0)</f>
        <v>903600</v>
      </c>
    </row>
    <row r="29" customFormat="false" ht="15" hidden="false" customHeight="false" outlineLevel="0" collapsed="false">
      <c r="A29" s="17" t="s">
        <v>145</v>
      </c>
      <c r="B29" s="17" t="s">
        <v>146</v>
      </c>
      <c r="C29" s="18" t="n">
        <v>6806700</v>
      </c>
      <c r="D29" s="19" t="n">
        <v>18</v>
      </c>
      <c r="E29" s="20" t="n">
        <v>100</v>
      </c>
      <c r="F29" s="21" t="n">
        <f aca="false">INT(C29/$N$2)</f>
        <v>680</v>
      </c>
      <c r="G29" s="21" t="n">
        <f aca="false">F29-E29</f>
        <v>580</v>
      </c>
      <c r="H29" s="22" t="str">
        <f aca="false">VLOOKUP(C29,Acuan!$A$2:$C$4,2,TRUE())</f>
        <v>Gold</v>
      </c>
      <c r="I29" s="23" t="n">
        <f aca="false">VLOOKUP(C29,Acuan!$A$2:$C$4,3,TRUE())</f>
        <v>0.05</v>
      </c>
      <c r="J29" s="24" t="n">
        <f aca="false">ROUND(C29*I29,0)</f>
        <v>340335</v>
      </c>
      <c r="K29" s="24" t="n">
        <f aca="false">ROUND(C29/D29,0)</f>
        <v>378150</v>
      </c>
    </row>
    <row r="30" customFormat="false" ht="15" hidden="false" customHeight="false" outlineLevel="0" collapsed="false">
      <c r="A30" s="17" t="s">
        <v>147</v>
      </c>
      <c r="B30" s="17" t="s">
        <v>148</v>
      </c>
      <c r="C30" s="18" t="n">
        <v>839200</v>
      </c>
      <c r="D30" s="19" t="n">
        <v>6</v>
      </c>
      <c r="E30" s="20" t="n">
        <v>0</v>
      </c>
      <c r="F30" s="21" t="n">
        <f aca="false">INT(C30/$N$2)</f>
        <v>83</v>
      </c>
      <c r="G30" s="21" t="n">
        <f aca="false">F30-E30</f>
        <v>83</v>
      </c>
      <c r="H30" s="22" t="str">
        <f aca="false">VLOOKUP(C30,Acuan!$A$2:$C$4,2,TRUE())</f>
        <v>Silver</v>
      </c>
      <c r="I30" s="23" t="n">
        <f aca="false">VLOOKUP(C30,Acuan!$A$2:$C$4,3,TRUE())</f>
        <v>0.02</v>
      </c>
      <c r="J30" s="24" t="n">
        <f aca="false">ROUND(C30*I30,0)</f>
        <v>16784</v>
      </c>
      <c r="K30" s="24" t="n">
        <f aca="false">ROUND(C30/D30,0)</f>
        <v>139867</v>
      </c>
    </row>
    <row r="31" customFormat="false" ht="15" hidden="false" customHeight="false" outlineLevel="0" collapsed="false">
      <c r="A31" s="17" t="s">
        <v>149</v>
      </c>
      <c r="B31" s="17" t="s">
        <v>150</v>
      </c>
      <c r="C31" s="18" t="n">
        <v>955300</v>
      </c>
      <c r="D31" s="19" t="n">
        <v>23</v>
      </c>
      <c r="E31" s="20" t="n">
        <v>0</v>
      </c>
      <c r="F31" s="21" t="n">
        <f aca="false">INT(C31/$N$2)</f>
        <v>95</v>
      </c>
      <c r="G31" s="21" t="n">
        <f aca="false">F31-E31</f>
        <v>95</v>
      </c>
      <c r="H31" s="22" t="str">
        <f aca="false">VLOOKUP(C31,Acuan!$A$2:$C$4,2,TRUE())</f>
        <v>Silver</v>
      </c>
      <c r="I31" s="23" t="n">
        <f aca="false">VLOOKUP(C31,Acuan!$A$2:$C$4,3,TRUE())</f>
        <v>0.02</v>
      </c>
      <c r="J31" s="24" t="n">
        <f aca="false">ROUND(C31*I31,0)</f>
        <v>19106</v>
      </c>
      <c r="K31" s="24" t="n">
        <f aca="false">ROUND(C31/D31,0)</f>
        <v>41535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21"/>
  </cols>
  <sheetData>
    <row r="1" customFormat="false" ht="33.75" hidden="false" customHeight="true" outlineLevel="0" collapsed="false">
      <c r="A1" s="11" t="s">
        <v>151</v>
      </c>
      <c r="B1" s="11" t="s">
        <v>82</v>
      </c>
      <c r="C1" s="11" t="s">
        <v>83</v>
      </c>
      <c r="D1" s="15" t="s">
        <v>152</v>
      </c>
      <c r="E1" s="15" t="s">
        <v>153</v>
      </c>
    </row>
    <row r="2" customFormat="false" ht="15" hidden="false" customHeight="false" outlineLevel="0" collapsed="false">
      <c r="A2" s="18" t="n">
        <v>0</v>
      </c>
      <c r="B2" s="17" t="s">
        <v>154</v>
      </c>
      <c r="C2" s="27" t="n">
        <v>0.02</v>
      </c>
      <c r="D2" s="28" t="n">
        <f aca="false">COUNTIF(Data!$H$2:$H$31,B2)</f>
        <v>9</v>
      </c>
      <c r="E2" s="24" t="n">
        <f aca="false">SUMIF(Data!$H$2:$H$31,B2,Data!$C$2:$C$31)</f>
        <v>14238200</v>
      </c>
    </row>
    <row r="3" customFormat="false" ht="15" hidden="false" customHeight="false" outlineLevel="0" collapsed="false">
      <c r="A3" s="18" t="n">
        <v>3000000</v>
      </c>
      <c r="B3" s="17" t="s">
        <v>155</v>
      </c>
      <c r="C3" s="27" t="n">
        <v>0.05</v>
      </c>
      <c r="D3" s="28" t="n">
        <f aca="false">COUNTIF(Data!$H$2:$H$31,B3)</f>
        <v>12</v>
      </c>
      <c r="E3" s="24" t="n">
        <f aca="false">SUMIF(Data!$H$2:$H$31,B3,Data!$C$2:$C$31)</f>
        <v>71766400</v>
      </c>
    </row>
    <row r="4" customFormat="false" ht="15" hidden="false" customHeight="false" outlineLevel="0" collapsed="false">
      <c r="A4" s="18" t="n">
        <v>8000000</v>
      </c>
      <c r="B4" s="17" t="s">
        <v>156</v>
      </c>
      <c r="C4" s="27" t="n">
        <v>0.08</v>
      </c>
      <c r="D4" s="28" t="n">
        <f aca="false">COUNTIF(Data!$H$2:$H$31,B4)</f>
        <v>9</v>
      </c>
      <c r="E4" s="24" t="n">
        <f aca="false">SUMIF(Data!$H$2:$H$31,B4,Data!$C$2:$C$31)</f>
        <v>108744600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9" t="s">
        <v>157</v>
      </c>
      <c r="B1" s="29"/>
      <c r="C1" s="29"/>
      <c r="D1" s="29"/>
    </row>
    <row r="2" customFormat="false" ht="15" hidden="false" customHeight="false" outlineLevel="0" collapsed="false">
      <c r="A2" s="30" t="s">
        <v>158</v>
      </c>
      <c r="B2" s="30"/>
      <c r="C2" s="30"/>
      <c r="D2" s="30"/>
    </row>
    <row r="3" customFormat="false" ht="15" hidden="false" customHeight="false" outlineLevel="0" collapsed="false">
      <c r="A3" s="11" t="s">
        <v>19</v>
      </c>
      <c r="B3" s="11" t="s">
        <v>159</v>
      </c>
      <c r="C3" s="11" t="s">
        <v>160</v>
      </c>
      <c r="D3" s="11" t="s">
        <v>161</v>
      </c>
    </row>
    <row r="4" customFormat="false" ht="15" hidden="false" customHeight="false" outlineLevel="0" collapsed="false">
      <c r="A4" s="31" t="s">
        <v>162</v>
      </c>
      <c r="B4" s="32" t="s">
        <v>163</v>
      </c>
      <c r="C4" s="24" t="n">
        <f aca="false">SUM(Data!$C$2:$C$31)</f>
        <v>194749200</v>
      </c>
      <c r="D4" s="33" t="s">
        <v>164</v>
      </c>
    </row>
    <row r="5" customFormat="false" ht="15" hidden="false" customHeight="false" outlineLevel="0" collapsed="false">
      <c r="A5" s="31" t="s">
        <v>165</v>
      </c>
      <c r="B5" s="32" t="s">
        <v>166</v>
      </c>
      <c r="C5" s="24" t="n">
        <f aca="false">AVERAGE(Data!$C$2:$C$31)</f>
        <v>6491640</v>
      </c>
      <c r="D5" s="33" t="s">
        <v>167</v>
      </c>
    </row>
    <row r="6" customFormat="false" ht="15" hidden="false" customHeight="false" outlineLevel="0" collapsed="false">
      <c r="A6" s="31" t="s">
        <v>168</v>
      </c>
      <c r="B6" s="32" t="s">
        <v>169</v>
      </c>
      <c r="C6" s="28" t="n">
        <f aca="false">COUNTIF(Data!$G$2:$G$31,"&gt;500")</f>
        <v>13</v>
      </c>
      <c r="D6" s="33" t="s">
        <v>170</v>
      </c>
    </row>
    <row r="7" customFormat="false" ht="15" hidden="false" customHeight="false" outlineLevel="0" collapsed="false">
      <c r="A7" s="31" t="s">
        <v>171</v>
      </c>
      <c r="B7" s="32" t="s">
        <v>172</v>
      </c>
      <c r="C7" s="24" t="n">
        <f aca="false">SUM(Data!$J$2:$J$31)</f>
        <v>12572652</v>
      </c>
      <c r="D7" s="33" t="s">
        <v>173</v>
      </c>
    </row>
    <row r="8" customFormat="false" ht="15" hidden="false" customHeight="false" outlineLevel="0" collapsed="false">
      <c r="A8" s="31" t="s">
        <v>174</v>
      </c>
      <c r="B8" s="32" t="s">
        <v>175</v>
      </c>
      <c r="C8" s="22" t="str">
        <f aca="false">INDEX(Data!$B$2:$B$31,MATCH(MAX(Data!$C$2:$C$31),Data!$C$2:$C$31,0))</f>
        <v>Vina Amalia</v>
      </c>
      <c r="D8" s="33" t="s">
        <v>176</v>
      </c>
    </row>
    <row r="9" customFormat="false" ht="15" hidden="false" customHeight="false" outlineLevel="0" collapsed="false">
      <c r="A9" s="31" t="s">
        <v>177</v>
      </c>
      <c r="B9" s="32" t="s">
        <v>178</v>
      </c>
      <c r="C9" s="22" t="str">
        <f aca="false">INDEX(Data!$B$2:$B$31,MATCH(MAX(Data!$G$2:$G$31),Data!$G$2:$G$31,0))</f>
        <v>Umar Setiawan</v>
      </c>
      <c r="D9" s="33" t="s">
        <v>176</v>
      </c>
    </row>
    <row r="10" customFormat="false" ht="15" hidden="false" customHeight="false" outlineLevel="0" collapsed="false">
      <c r="A10" s="31" t="s">
        <v>179</v>
      </c>
      <c r="B10" s="32" t="s">
        <v>180</v>
      </c>
      <c r="C10" s="22" t="str">
        <f aca="false">INDEX(Acuan!$B$2:$B$4,MATCH(MAX(Acuan!$E$2:$E$4),Acuan!$E$2:$E$4,0))</f>
        <v>Platinum</v>
      </c>
      <c r="D10" s="33" t="s">
        <v>181</v>
      </c>
    </row>
    <row r="11" customFormat="false" ht="15" hidden="false" customHeight="false" outlineLevel="0" collapsed="false">
      <c r="A11" s="31" t="s">
        <v>182</v>
      </c>
      <c r="B11" s="32" t="s">
        <v>183</v>
      </c>
      <c r="C11" s="24" t="n">
        <f aca="false">SUMIF(Data!$H$2:$H$31,"Platinum",Data!$C$2:$C$31)</f>
        <v>108744600</v>
      </c>
      <c r="D11" s="33" t="s">
        <v>184</v>
      </c>
    </row>
    <row r="12" customFormat="false" ht="15" hidden="false" customHeight="false" outlineLevel="0" collapsed="false">
      <c r="A12" s="31" t="s">
        <v>185</v>
      </c>
      <c r="B12" s="32" t="s">
        <v>186</v>
      </c>
      <c r="C12" s="28" t="n">
        <f aca="false">COUNTIFS(Data!$H$2:$H$31,"Gold",Data!$D$2:$D$31,"&gt;=20")</f>
        <v>6</v>
      </c>
      <c r="D12" s="33" t="s">
        <v>187</v>
      </c>
    </row>
    <row r="13" customFormat="false" ht="15" hidden="false" customHeight="false" outlineLevel="0" collapsed="false">
      <c r="A13" s="31" t="s">
        <v>188</v>
      </c>
      <c r="B13" s="32" t="s">
        <v>189</v>
      </c>
      <c r="C13" s="34" t="n">
        <f aca="false">AVERAGEIF(Data!$H$2:$H$31,"Silver",Data!$G$2:$G$31)</f>
        <v>157.777777777778</v>
      </c>
      <c r="D13" s="33" t="s">
        <v>190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2026-10-16T23:46:27Z</dcterms:created>
  <dc:creator>PushExcel</dc:creator>
  <dc:description/>
  <dc:language>en-US</dc:language>
  <cp:lastModifiedBy/>
  <dcterms:modified xsi:type="dcterms:W3CDTF">2026-10-16T23:46:27Z</dcterms:modified>
  <cp:revision>0</cp:revision>
  <dc:subject/>
  <dc:title>Program Member Toko: Poin, Tingkat, dan Diskon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