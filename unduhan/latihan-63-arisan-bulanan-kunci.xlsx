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<sst xmlns="http://schemas.openxmlformats.org/spreadsheetml/2006/main" count="145" uniqueCount="142">
  <si>
    <t xml:space="preserve">Kunci Jawaban: Arisan Bulanan: Setoran, Giliran, dan Status Bayar</t>
  </si>
  <si>
    <t xml:space="preserve">Latihan 63 dari 40  |  Tingkat: Pemula  |  Perkiraan waktu: 35 menit  |  pushexcel.github.io/Pushexcel</t>
  </si>
  <si>
    <t xml:space="preserve">Skenario</t>
  </si>
  <si>
    <t xml:space="preserve">Kamu bendahara arisan ibu-ibu RW 03 yang beranggotakan 24 peserta. Setiap bulan tiap peserta menyetor Rp 100.000, dan dana yang terkumpul diterima satu peserta sesuai nomor giliran (giliran 1 pada bulan ke-1, dan seterusnya). Sekarang sudah bulan ke-6. Kolom Bulan Dibayar berisi berapa bulan yang sudah dibayar peserta, dihitung berurutan dari bulan ke-1. Status bayar: Lunas bila tidak ada bulan kurang, Menunggak bila kurang 3 bulan atau lebih, selain itu Terlambat. Angka tetap ada di blok Parameter.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</si>
  <si>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</si>
  <si>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</si>
  <si>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</si>
  <si>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</si>
  <si>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</si>
  <si>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</si>
  <si>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</si>
  <si>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</si>
  <si>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</si>
  <si>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</si>
  <si>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</si>
  <si>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</si>
  <si>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</si>
  <si>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</si>
  <si>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</si>
  <si>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</si>
  <si>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</si>
  <si>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</si>
  <si>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</si>
  <si>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</si>
  <si>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total setoran tiap peserta: bulan dibayar dikali setoran per bulan.</t>
  </si>
  <si>
    <t xml:space="preserve">Sheet Data, kolom E (Total Setoran), baris 2 sampai 25</t>
  </si>
  <si>
    <t xml:space="preserve">=D2*$K$2</t>
  </si>
  <si>
    <t xml:space="preserve">2</t>
  </si>
  <si>
    <t xml:space="preserve">Hitung bulan kurang: bulan berjalan dikurangi bulan dibayar.</t>
  </si>
  <si>
    <t xml:space="preserve">Sheet Data, kolom F (Bulan Kurang), baris 2 sampai 25</t>
  </si>
  <si>
    <t xml:space="preserve">=$K$3-D2</t>
  </si>
  <si>
    <t xml:space="preserve">3</t>
  </si>
  <si>
    <t xml:space="preserve">Beri status: Lunas bila bulan kurang 0, Menunggak bila sama dengan atau lebih dari batas menunggak, selain itu Terlambat.</t>
  </si>
  <si>
    <t xml:space="preserve">Sheet Data, kolom G (Status Bayar), baris 2 sampai 25</t>
  </si>
  <si>
    <t xml:space="preserve">=IF(F2=0;"Lunas";IF(F2&gt;=$K$4;"Menunggak";"Terlambat"))</t>
  </si>
  <si>
    <t xml:space="preserve">4</t>
  </si>
  <si>
    <t xml:space="preserve">Beri status Sudah Menerima bila nomor giliran sama dengan atau lebih kecil dari bulan berjalan. Selain itu Belum Menerima.</t>
  </si>
  <si>
    <t xml:space="preserve">Sheet Data, kolom H (Status Giliran), baris 2 sampai 25</t>
  </si>
  <si>
    <t xml:space="preserve">=IF(C2&lt;=$K$3;"Sudah Menerima";"Belum Menerima")</t>
  </si>
  <si>
    <t xml:space="preserve">5</t>
  </si>
  <si>
    <t xml:space="preserve">Pada sheet Acuan, cari nama penerima arisan tiap bulan: peserta yang nomor gilirannya sama dengan bulan ke.</t>
  </si>
  <si>
    <t xml:space="preserve">Sheet Acuan, kolom B (Penerima Arisan), baris 2 sampai 7</t>
  </si>
  <si>
    <t xml:space="preserve">=INDEX(Data!$B$2:$B$25;MATCH(A2;Data!$C$2:$C$25;0))</t>
  </si>
  <si>
    <t xml:space="preserve">6</t>
  </si>
  <si>
    <t xml:space="preserve">Pada sheet Acuan, hitung berapa peserta yang sudah membayar sampai bulan itu, yaitu yang bulan dibayarnya sama dengan atau lebih dari bulan ke.</t>
  </si>
  <si>
    <t xml:space="preserve">Sheet Acuan, kolom C (Peserta Sudah Bayar), baris 2 sampai 7</t>
  </si>
  <si>
    <t xml:space="preserve">=COUNTIF(Data!$D$2:$D$25;"&gt;="&amp;A2)</t>
  </si>
  <si>
    <t xml:space="preserve">7</t>
  </si>
  <si>
    <t xml:space="preserve">Pada sheet Acuan, hitung dana yang terkumpul tiap bulan: peserta sudah bayar dikali setoran per bulan.</t>
  </si>
  <si>
    <t xml:space="preserve">Sheet Acuan, kolom D (Total Terkumpul), baris 2 sampai 7</t>
  </si>
  <si>
    <t xml:space="preserve">=C2*Data!$K$2</t>
  </si>
  <si>
    <t xml:space="preserve">8</t>
  </si>
  <si>
    <t xml:space="preserve">Berapa peserta yang Lunas, Terlambat, dan Menunggak?</t>
  </si>
  <si>
    <t xml:space="preserve">Sheet Ringkasan, sel C4 sampai C6</t>
  </si>
  <si>
    <t xml:space="preserve">=COUNTIF(Data!$G$2:$G$25;"Lunas")
=COUNTIF(Data!$G$2:$G$25;"Terlambat")
=COUNTIF(Data!$G$2:$G$25;"Menunggak")</t>
  </si>
  <si>
    <t xml:space="preserve">9</t>
  </si>
  <si>
    <t xml:space="preserve">Berapa total setoran seluruh peserta sampai bulan ke-6, dan berapa kekurangan dana dibanding bila semua peserta lunas?</t>
  </si>
  <si>
    <t xml:space="preserve">Sheet Ringkasan, sel C7 sampai C8</t>
  </si>
  <si>
    <t xml:space="preserve">=SUM(Data!$E$2:$E$25)
=Data!$K$5*Data!$K$3*Data!$K$2-C7</t>
  </si>
  <si>
    <t xml:space="preserve">10</t>
  </si>
  <si>
    <t xml:space="preserve">Siapa peserta yang menerima arisan pada bulan ke-4, dan siapa yang akan menerima pada giliran ke-10?</t>
  </si>
  <si>
    <t xml:space="preserve">Sheet Ringkasan, sel C9 sampai C10</t>
  </si>
  <si>
    <t xml:space="preserve">=INDEX(Data!$B$2:$B$25;MATCH(4;Data!$C$2:$C$25;0))
=INDEX(Data!$B$2:$B$25;MATCH(10;Data!$C$2:$C$25;0))</t>
  </si>
  <si>
    <t xml:space="preserve">11</t>
  </si>
  <si>
    <t xml:space="preserve">Berapa peserta yang sudah menerima arisan tetapi belum Lunas, dan berapa peserta yang belum menerima tetapi sudah Lunas?</t>
  </si>
  <si>
    <t xml:space="preserve">Sheet Ringkasan, sel C11 sampai C12</t>
  </si>
  <si>
    <t xml:space="preserve">=COUNTIFS(Data!$H$2:$H$25;"Sudah Menerima";Data!$G$2:$G$25;"&lt;&gt;Lunas")
=COUNTIFS(Data!$H$2:$H$25;"Belum Menerima";Data!$G$2:$G$25;"Lunas")</t>
  </si>
  <si>
    <t xml:space="preserve">Nama Peserta</t>
  </si>
  <si>
    <t xml:space="preserve">Nomor Giliran</t>
  </si>
  <si>
    <t xml:space="preserve">Bulan Dibayar</t>
  </si>
  <si>
    <t xml:space="preserve">Total Setoran</t>
  </si>
  <si>
    <t xml:space="preserve">Bulan Kurang</t>
  </si>
  <si>
    <t xml:space="preserve">Status Bayar</t>
  </si>
  <si>
    <t xml:space="preserve">Status Giliran</t>
  </si>
  <si>
    <t xml:space="preserve">Parameter</t>
  </si>
  <si>
    <t xml:space="preserve">Nilai</t>
  </si>
  <si>
    <t xml:space="preserve">Keterangan</t>
  </si>
  <si>
    <t xml:space="preserve">Fajar Kusuma</t>
  </si>
  <si>
    <t xml:space="preserve">Setoran per bulan</t>
  </si>
  <si>
    <t xml:space="preserve">Fajar Kurniawan</t>
  </si>
  <si>
    <t xml:space="preserve">Bulan berjalan</t>
  </si>
  <si>
    <t xml:space="preserve">Bulan ke berapa arisan sekarang</t>
  </si>
  <si>
    <t xml:space="preserve">Ayu Permana</t>
  </si>
  <si>
    <t xml:space="preserve">Batas menunggak</t>
  </si>
  <si>
    <t xml:space="preserve">Bulan kurang sama dengan atau lebih dari angka ini</t>
  </si>
  <si>
    <t xml:space="preserve">Novi Hidayat</t>
  </si>
  <si>
    <t xml:space="preserve">Jumlah peserta</t>
  </si>
  <si>
    <t xml:space="preserve">Khoirul Putra</t>
  </si>
  <si>
    <t xml:space="preserve">Eka Kusuma</t>
  </si>
  <si>
    <t xml:space="preserve">Lestari Susanto</t>
  </si>
  <si>
    <t xml:space="preserve">Siti Permana</t>
  </si>
  <si>
    <t xml:space="preserve">Novi Yulianto</t>
  </si>
  <si>
    <t xml:space="preserve">Siti Hidayat</t>
  </si>
  <si>
    <t xml:space="preserve">Yuni Hartono</t>
  </si>
  <si>
    <t xml:space="preserve">Citra Setiawan</t>
  </si>
  <si>
    <t xml:space="preserve">Jihan Hartono</t>
  </si>
  <si>
    <t xml:space="preserve">Galih Kurniawan</t>
  </si>
  <si>
    <t xml:space="preserve">Utami Lestari</t>
  </si>
  <si>
    <t xml:space="preserve">Gita Wibowo</t>
  </si>
  <si>
    <t xml:space="preserve">Galih Utomo</t>
  </si>
  <si>
    <t xml:space="preserve">Maman Nugroho</t>
  </si>
  <si>
    <t xml:space="preserve">Mulyadi Firmansyah</t>
  </si>
  <si>
    <t xml:space="preserve">Edi Hartono</t>
  </si>
  <si>
    <t xml:space="preserve">Dewi Santoso</t>
  </si>
  <si>
    <t xml:space="preserve">Lina Putra</t>
  </si>
  <si>
    <t xml:space="preserve">Putri Ramadhan</t>
  </si>
  <si>
    <t xml:space="preserve">Rahmat Hartono</t>
  </si>
  <si>
    <t xml:space="preserve">Bulan Ke</t>
  </si>
  <si>
    <t xml:space="preserve">Penerima Arisan</t>
  </si>
  <si>
    <t xml:space="preserve">Peserta Sudah Bayar</t>
  </si>
  <si>
    <t xml:space="preserve">Total Terkumpul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</si>
  <si>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</si>
  <si>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</si>
  <si>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</si>
  <si>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</si>
  <si>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</si>
  <si>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8a</t>
  </si>
  <si>
    <t xml:space="preserve">Peserta Lunas</t>
  </si>
  <si>
    <t xml:space="preserve">Angka bulat, mis. 10</t>
  </si>
  <si>
    <t xml:space="preserve">8b</t>
  </si>
  <si>
    <t xml:space="preserve">Peserta Terlambat</t>
  </si>
  <si>
    <t xml:space="preserve">Angka bulat, mis. 8</t>
  </si>
  <si>
    <t xml:space="preserve">8c</t>
  </si>
  <si>
    <t xml:space="preserve">Peserta Menunggak</t>
  </si>
  <si>
    <t xml:space="preserve">Angka bulat, mis. 6</t>
  </si>
  <si>
    <t xml:space="preserve">9a</t>
  </si>
  <si>
    <t xml:space="preserve">Total setoran seluruh peserta</t>
  </si>
  <si>
    <t xml:space="preserve">Rupiah, mis. Rp 12.000.000</t>
  </si>
  <si>
    <t xml:space="preserve">9b</t>
  </si>
  <si>
    <t xml:space="preserve">Kekurangan dana</t>
  </si>
  <si>
    <t xml:space="preserve">Rupiah, mis. Rp 1.500.000</t>
  </si>
  <si>
    <t xml:space="preserve">10a</t>
  </si>
  <si>
    <t xml:space="preserve">Penerima bulan ke-4</t>
  </si>
  <si>
    <t xml:space="preserve">Teks: nama peserta</t>
  </si>
  <si>
    <t xml:space="preserve">10b</t>
  </si>
  <si>
    <t xml:space="preserve">Penerima giliran ke-10</t>
  </si>
  <si>
    <t xml:space="preserve">11a</t>
  </si>
  <si>
    <t xml:space="preserve">Sudah menerima, belum lunas</t>
  </si>
  <si>
    <t xml:space="preserve">Angka bulat, mis. 2</t>
  </si>
  <si>
    <t xml:space="preserve">11b</t>
  </si>
  <si>
    <t xml:space="preserve">Belum menerima, sudah lunas</t>
  </si>
  <si>
    <t xml:space="preserve">Angka bulat, mis. 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</si>
</sst>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&quot;Rp &quot;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6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42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42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42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30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57.75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43.5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43.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55.5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42"/>
  </cols>
  <sheetData>
    <row r="1" customFormat="false" ht="33.75" hidden="false" customHeight="true" outlineLevel="0" collapsed="false">
      <c r="A1" s="11" t="s">
        <v>19</v>
      </c>
      <c r="B1" s="11" t="s">
        <v>67</v>
      </c>
      <c r="C1" s="11" t="s">
        <v>68</v>
      </c>
      <c r="D1" s="11" t="s">
        <v>69</v>
      </c>
      <c r="E1" s="15" t="s">
        <v>70</v>
      </c>
      <c r="F1" s="15" t="s">
        <v>71</v>
      </c>
      <c r="G1" s="15" t="s">
        <v>72</v>
      </c>
      <c r="H1" s="15" t="s">
        <v>73</v>
      </c>
      <c r="J1" s="16" t="s">
        <v>74</v>
      </c>
      <c r="K1" s="16" t="s">
        <v>75</v>
      </c>
      <c r="L1" s="16" t="s">
        <v>76</v>
      </c>
    </row>
    <row r="2" customFormat="false" ht="15" hidden="false" customHeight="false" outlineLevel="0" collapsed="false">
      <c r="A2" s="17" t="n">
        <v>1</v>
      </c>
      <c r="B2" s="18" t="s">
        <v>77</v>
      </c>
      <c r="C2" s="17" t="n">
        <v>16</v>
      </c>
      <c r="D2" s="17" t="n">
        <v>6</v>
      </c>
      <c r="E2" s="19" t="n">
        <f aca="false">D2*$K$2</f>
        <v>600000</v>
      </c>
      <c r="F2" s="20" t="n">
        <f aca="false">$K$3-D2</f>
        <v>0</v>
      </c>
      <c r="G2" s="21" t="str">
        <f aca="false">IF(F2=0,"Lunas",IF(F2&gt;=$K$4,"Menunggak","Terlambat"))</f>
        <v>Lunas</v>
      </c>
      <c r="H2" s="21" t="str">
        <f aca="false">IF(C2&lt;=$K$3,"Sudah Menerima","Belum Menerima")</f>
        <v>Belum Menerima</v>
      </c>
      <c r="J2" s="22" t="s">
        <v>78</v>
      </c>
      <c r="K2" s="23" t="n">
        <v>100000</v>
      </c>
      <c r="L2" s="22"/>
    </row>
    <row r="3" customFormat="false" ht="15" hidden="false" customHeight="false" outlineLevel="0" collapsed="false">
      <c r="A3" s="17" t="n">
        <v>2</v>
      </c>
      <c r="B3" s="18" t="s">
        <v>79</v>
      </c>
      <c r="C3" s="17" t="n">
        <v>4</v>
      </c>
      <c r="D3" s="17" t="n">
        <v>6</v>
      </c>
      <c r="E3" s="19" t="n">
        <f aca="false">D3*$K$2</f>
        <v>600000</v>
      </c>
      <c r="F3" s="20" t="n">
        <f aca="false">$K$3-D3</f>
        <v>0</v>
      </c>
      <c r="G3" s="21" t="str">
        <f aca="false">IF(F3=0,"Lunas",IF(F3&gt;=$K$4,"Menunggak","Terlambat"))</f>
        <v>Lunas</v>
      </c>
      <c r="H3" s="21" t="str">
        <f aca="false">IF(C3&lt;=$K$3,"Sudah Menerima","Belum Menerima")</f>
        <v>Sudah Menerima</v>
      </c>
      <c r="J3" s="22" t="s">
        <v>80</v>
      </c>
      <c r="K3" s="24" t="n">
        <v>6</v>
      </c>
      <c r="L3" s="22" t="s">
        <v>81</v>
      </c>
    </row>
    <row r="4" customFormat="false" ht="15" hidden="false" customHeight="false" outlineLevel="0" collapsed="false">
      <c r="A4" s="17" t="n">
        <v>3</v>
      </c>
      <c r="B4" s="18" t="s">
        <v>82</v>
      </c>
      <c r="C4" s="17" t="n">
        <v>13</v>
      </c>
      <c r="D4" s="17" t="n">
        <v>6</v>
      </c>
      <c r="E4" s="19" t="n">
        <f aca="false">D4*$K$2</f>
        <v>600000</v>
      </c>
      <c r="F4" s="20" t="n">
        <f aca="false">$K$3-D4</f>
        <v>0</v>
      </c>
      <c r="G4" s="21" t="str">
        <f aca="false">IF(F4=0,"Lunas",IF(F4&gt;=$K$4,"Menunggak","Terlambat"))</f>
        <v>Lunas</v>
      </c>
      <c r="H4" s="21" t="str">
        <f aca="false">IF(C4&lt;=$K$3,"Sudah Menerima","Belum Menerima")</f>
        <v>Belum Menerima</v>
      </c>
      <c r="J4" s="22" t="s">
        <v>83</v>
      </c>
      <c r="K4" s="24" t="n">
        <v>3</v>
      </c>
      <c r="L4" s="22" t="s">
        <v>84</v>
      </c>
    </row>
    <row r="5" customFormat="false" ht="15" hidden="false" customHeight="false" outlineLevel="0" collapsed="false">
      <c r="A5" s="17" t="n">
        <v>4</v>
      </c>
      <c r="B5" s="18" t="s">
        <v>85</v>
      </c>
      <c r="C5" s="17" t="n">
        <v>11</v>
      </c>
      <c r="D5" s="17" t="n">
        <v>6</v>
      </c>
      <c r="E5" s="19" t="n">
        <f aca="false">D5*$K$2</f>
        <v>600000</v>
      </c>
      <c r="F5" s="20" t="n">
        <f aca="false">$K$3-D5</f>
        <v>0</v>
      </c>
      <c r="G5" s="21" t="str">
        <f aca="false">IF(F5=0,"Lunas",IF(F5&gt;=$K$4,"Menunggak","Terlambat"))</f>
        <v>Lunas</v>
      </c>
      <c r="H5" s="21" t="str">
        <f aca="false">IF(C5&lt;=$K$3,"Sudah Menerima","Belum Menerima")</f>
        <v>Belum Menerima</v>
      </c>
      <c r="J5" s="22" t="s">
        <v>86</v>
      </c>
      <c r="K5" s="24" t="n">
        <v>24</v>
      </c>
      <c r="L5" s="22"/>
    </row>
    <row r="6" customFormat="false" ht="15" hidden="false" customHeight="false" outlineLevel="0" collapsed="false">
      <c r="A6" s="17" t="n">
        <v>5</v>
      </c>
      <c r="B6" s="18" t="s">
        <v>87</v>
      </c>
      <c r="C6" s="17" t="n">
        <v>9</v>
      </c>
      <c r="D6" s="17" t="n">
        <v>6</v>
      </c>
      <c r="E6" s="19" t="n">
        <f aca="false">D6*$K$2</f>
        <v>600000</v>
      </c>
      <c r="F6" s="20" t="n">
        <f aca="false">$K$3-D6</f>
        <v>0</v>
      </c>
      <c r="G6" s="21" t="str">
        <f aca="false">IF(F6=0,"Lunas",IF(F6&gt;=$K$4,"Menunggak","Terlambat"))</f>
        <v>Lunas</v>
      </c>
      <c r="H6" s="21" t="str">
        <f aca="false">IF(C6&lt;=$K$3,"Sudah Menerima","Belum Menerima")</f>
        <v>Belum Menerima</v>
      </c>
    </row>
    <row r="7" customFormat="false" ht="15" hidden="false" customHeight="false" outlineLevel="0" collapsed="false">
      <c r="A7" s="17" t="n">
        <v>6</v>
      </c>
      <c r="B7" s="18" t="s">
        <v>88</v>
      </c>
      <c r="C7" s="17" t="n">
        <v>23</v>
      </c>
      <c r="D7" s="17" t="n">
        <v>6</v>
      </c>
      <c r="E7" s="19" t="n">
        <f aca="false">D7*$K$2</f>
        <v>600000</v>
      </c>
      <c r="F7" s="20" t="n">
        <f aca="false">$K$3-D7</f>
        <v>0</v>
      </c>
      <c r="G7" s="21" t="str">
        <f aca="false">IF(F7=0,"Lunas",IF(F7&gt;=$K$4,"Menunggak","Terlambat"))</f>
        <v>Lunas</v>
      </c>
      <c r="H7" s="21" t="str">
        <f aca="false">IF(C7&lt;=$K$3,"Sudah Menerima","Belum Menerima")</f>
        <v>Belum Menerima</v>
      </c>
    </row>
    <row r="8" customFormat="false" ht="15" hidden="false" customHeight="false" outlineLevel="0" collapsed="false">
      <c r="A8" s="17" t="n">
        <v>7</v>
      </c>
      <c r="B8" s="18" t="s">
        <v>89</v>
      </c>
      <c r="C8" s="17" t="n">
        <v>15</v>
      </c>
      <c r="D8" s="17" t="n">
        <v>6</v>
      </c>
      <c r="E8" s="19" t="n">
        <f aca="false">D8*$K$2</f>
        <v>600000</v>
      </c>
      <c r="F8" s="20" t="n">
        <f aca="false">$K$3-D8</f>
        <v>0</v>
      </c>
      <c r="G8" s="21" t="str">
        <f aca="false">IF(F8=0,"Lunas",IF(F8&gt;=$K$4,"Menunggak","Terlambat"))</f>
        <v>Lunas</v>
      </c>
      <c r="H8" s="21" t="str">
        <f aca="false">IF(C8&lt;=$K$3,"Sudah Menerima","Belum Menerima")</f>
        <v>Belum Menerima</v>
      </c>
    </row>
    <row r="9" customFormat="false" ht="15" hidden="false" customHeight="false" outlineLevel="0" collapsed="false">
      <c r="A9" s="17" t="n">
        <v>8</v>
      </c>
      <c r="B9" s="18" t="s">
        <v>90</v>
      </c>
      <c r="C9" s="17" t="n">
        <v>14</v>
      </c>
      <c r="D9" s="17" t="n">
        <v>6</v>
      </c>
      <c r="E9" s="19" t="n">
        <f aca="false">D9*$K$2</f>
        <v>600000</v>
      </c>
      <c r="F9" s="20" t="n">
        <f aca="false">$K$3-D9</f>
        <v>0</v>
      </c>
      <c r="G9" s="21" t="str">
        <f aca="false">IF(F9=0,"Lunas",IF(F9&gt;=$K$4,"Menunggak","Terlambat"))</f>
        <v>Lunas</v>
      </c>
      <c r="H9" s="21" t="str">
        <f aca="false">IF(C9&lt;=$K$3,"Sudah Menerima","Belum Menerima")</f>
        <v>Belum Menerima</v>
      </c>
    </row>
    <row r="10" customFormat="false" ht="15" hidden="false" customHeight="false" outlineLevel="0" collapsed="false">
      <c r="A10" s="17" t="n">
        <v>9</v>
      </c>
      <c r="B10" s="18" t="s">
        <v>91</v>
      </c>
      <c r="C10" s="17" t="n">
        <v>1</v>
      </c>
      <c r="D10" s="17" t="n">
        <v>1</v>
      </c>
      <c r="E10" s="19" t="n">
        <f aca="false">D10*$K$2</f>
        <v>100000</v>
      </c>
      <c r="F10" s="20" t="n">
        <f aca="false">$K$3-D10</f>
        <v>5</v>
      </c>
      <c r="G10" s="21" t="str">
        <f aca="false">IF(F10=0,"Lunas",IF(F10&gt;=$K$4,"Menunggak","Terlambat"))</f>
        <v>Menunggak</v>
      </c>
      <c r="H10" s="21" t="str">
        <f aca="false">IF(C10&lt;=$K$3,"Sudah Menerima","Belum Menerima")</f>
        <v>Sudah Menerima</v>
      </c>
    </row>
    <row r="11" customFormat="false" ht="15" hidden="false" customHeight="false" outlineLevel="0" collapsed="false">
      <c r="A11" s="17" t="n">
        <v>10</v>
      </c>
      <c r="B11" s="18" t="s">
        <v>92</v>
      </c>
      <c r="C11" s="17" t="n">
        <v>24</v>
      </c>
      <c r="D11" s="17" t="n">
        <v>4</v>
      </c>
      <c r="E11" s="19" t="n">
        <f aca="false">D11*$K$2</f>
        <v>400000</v>
      </c>
      <c r="F11" s="20" t="n">
        <f aca="false">$K$3-D11</f>
        <v>2</v>
      </c>
      <c r="G11" s="21" t="str">
        <f aca="false">IF(F11=0,"Lunas",IF(F11&gt;=$K$4,"Menunggak","Terlambat"))</f>
        <v>Terlambat</v>
      </c>
      <c r="H11" s="21" t="str">
        <f aca="false">IF(C11&lt;=$K$3,"Sudah Menerima","Belum Menerima")</f>
        <v>Belum Menerima</v>
      </c>
    </row>
    <row r="12" customFormat="false" ht="15" hidden="false" customHeight="false" outlineLevel="0" collapsed="false">
      <c r="A12" s="17" t="n">
        <v>11</v>
      </c>
      <c r="B12" s="18" t="s">
        <v>93</v>
      </c>
      <c r="C12" s="17" t="n">
        <v>21</v>
      </c>
      <c r="D12" s="17" t="n">
        <v>6</v>
      </c>
      <c r="E12" s="19" t="n">
        <f aca="false">D12*$K$2</f>
        <v>600000</v>
      </c>
      <c r="F12" s="20" t="n">
        <f aca="false">$K$3-D12</f>
        <v>0</v>
      </c>
      <c r="G12" s="21" t="str">
        <f aca="false">IF(F12=0,"Lunas",IF(F12&gt;=$K$4,"Menunggak","Terlambat"))</f>
        <v>Lunas</v>
      </c>
      <c r="H12" s="21" t="str">
        <f aca="false">IF(C12&lt;=$K$3,"Sudah Menerima","Belum Menerima")</f>
        <v>Belum Menerima</v>
      </c>
    </row>
    <row r="13" customFormat="false" ht="15" hidden="false" customHeight="false" outlineLevel="0" collapsed="false">
      <c r="A13" s="17" t="n">
        <v>12</v>
      </c>
      <c r="B13" s="18" t="s">
        <v>94</v>
      </c>
      <c r="C13" s="17" t="n">
        <v>17</v>
      </c>
      <c r="D13" s="17" t="n">
        <v>6</v>
      </c>
      <c r="E13" s="19" t="n">
        <f aca="false">D13*$K$2</f>
        <v>600000</v>
      </c>
      <c r="F13" s="20" t="n">
        <f aca="false">$K$3-D13</f>
        <v>0</v>
      </c>
      <c r="G13" s="21" t="str">
        <f aca="false">IF(F13=0,"Lunas",IF(F13&gt;=$K$4,"Menunggak","Terlambat"))</f>
        <v>Lunas</v>
      </c>
      <c r="H13" s="21" t="str">
        <f aca="false">IF(C13&lt;=$K$3,"Sudah Menerima","Belum Menerima")</f>
        <v>Belum Menerima</v>
      </c>
    </row>
    <row r="14" customFormat="false" ht="15" hidden="false" customHeight="false" outlineLevel="0" collapsed="false">
      <c r="A14" s="17" t="n">
        <v>13</v>
      </c>
      <c r="B14" s="18" t="s">
        <v>95</v>
      </c>
      <c r="C14" s="17" t="n">
        <v>8</v>
      </c>
      <c r="D14" s="17" t="n">
        <v>4</v>
      </c>
      <c r="E14" s="19" t="n">
        <f aca="false">D14*$K$2</f>
        <v>400000</v>
      </c>
      <c r="F14" s="20" t="n">
        <f aca="false">$K$3-D14</f>
        <v>2</v>
      </c>
      <c r="G14" s="21" t="str">
        <f aca="false">IF(F14=0,"Lunas",IF(F14&gt;=$K$4,"Menunggak","Terlambat"))</f>
        <v>Terlambat</v>
      </c>
      <c r="H14" s="21" t="str">
        <f aca="false">IF(C14&lt;=$K$3,"Sudah Menerima","Belum Menerima")</f>
        <v>Belum Menerima</v>
      </c>
    </row>
    <row r="15" customFormat="false" ht="15" hidden="false" customHeight="false" outlineLevel="0" collapsed="false">
      <c r="A15" s="17" t="n">
        <v>14</v>
      </c>
      <c r="B15" s="18" t="s">
        <v>96</v>
      </c>
      <c r="C15" s="17" t="n">
        <v>10</v>
      </c>
      <c r="D15" s="17" t="n">
        <v>0</v>
      </c>
      <c r="E15" s="19" t="n">
        <f aca="false">D15*$K$2</f>
        <v>0</v>
      </c>
      <c r="F15" s="20" t="n">
        <f aca="false">$K$3-D15</f>
        <v>6</v>
      </c>
      <c r="G15" s="21" t="str">
        <f aca="false">IF(F15=0,"Lunas",IF(F15&gt;=$K$4,"Menunggak","Terlambat"))</f>
        <v>Menunggak</v>
      </c>
      <c r="H15" s="21" t="str">
        <f aca="false">IF(C15&lt;=$K$3,"Sudah Menerima","Belum Menerima")</f>
        <v>Belum Menerima</v>
      </c>
    </row>
    <row r="16" customFormat="false" ht="15" hidden="false" customHeight="false" outlineLevel="0" collapsed="false">
      <c r="A16" s="17" t="n">
        <v>15</v>
      </c>
      <c r="B16" s="18" t="s">
        <v>97</v>
      </c>
      <c r="C16" s="17" t="n">
        <v>19</v>
      </c>
      <c r="D16" s="17" t="n">
        <v>3</v>
      </c>
      <c r="E16" s="19" t="n">
        <f aca="false">D16*$K$2</f>
        <v>300000</v>
      </c>
      <c r="F16" s="20" t="n">
        <f aca="false">$K$3-D16</f>
        <v>3</v>
      </c>
      <c r="G16" s="21" t="str">
        <f aca="false">IF(F16=0,"Lunas",IF(F16&gt;=$K$4,"Menunggak","Terlambat"))</f>
        <v>Menunggak</v>
      </c>
      <c r="H16" s="21" t="str">
        <f aca="false">IF(C16&lt;=$K$3,"Sudah Menerima","Belum Menerima")</f>
        <v>Belum Menerima</v>
      </c>
    </row>
    <row r="17" customFormat="false" ht="15" hidden="false" customHeight="false" outlineLevel="0" collapsed="false">
      <c r="A17" s="17" t="n">
        <v>16</v>
      </c>
      <c r="B17" s="18" t="s">
        <v>98</v>
      </c>
      <c r="C17" s="17" t="n">
        <v>18</v>
      </c>
      <c r="D17" s="17" t="n">
        <v>4</v>
      </c>
      <c r="E17" s="19" t="n">
        <f aca="false">D17*$K$2</f>
        <v>400000</v>
      </c>
      <c r="F17" s="20" t="n">
        <f aca="false">$K$3-D17</f>
        <v>2</v>
      </c>
      <c r="G17" s="21" t="str">
        <f aca="false">IF(F17=0,"Lunas",IF(F17&gt;=$K$4,"Menunggak","Terlambat"))</f>
        <v>Terlambat</v>
      </c>
      <c r="H17" s="21" t="str">
        <f aca="false">IF(C17&lt;=$K$3,"Sudah Menerima","Belum Menerima")</f>
        <v>Belum Menerima</v>
      </c>
    </row>
    <row r="18" customFormat="false" ht="15" hidden="false" customHeight="false" outlineLevel="0" collapsed="false">
      <c r="A18" s="17" t="n">
        <v>17</v>
      </c>
      <c r="B18" s="18" t="s">
        <v>99</v>
      </c>
      <c r="C18" s="17" t="n">
        <v>22</v>
      </c>
      <c r="D18" s="17" t="n">
        <v>3</v>
      </c>
      <c r="E18" s="19" t="n">
        <f aca="false">D18*$K$2</f>
        <v>300000</v>
      </c>
      <c r="F18" s="20" t="n">
        <f aca="false">$K$3-D18</f>
        <v>3</v>
      </c>
      <c r="G18" s="21" t="str">
        <f aca="false">IF(F18=0,"Lunas",IF(F18&gt;=$K$4,"Menunggak","Terlambat"))</f>
        <v>Menunggak</v>
      </c>
      <c r="H18" s="21" t="str">
        <f aca="false">IF(C18&lt;=$K$3,"Sudah Menerima","Belum Menerima")</f>
        <v>Belum Menerima</v>
      </c>
    </row>
    <row r="19" customFormat="false" ht="15" hidden="false" customHeight="false" outlineLevel="0" collapsed="false">
      <c r="A19" s="17" t="n">
        <v>18</v>
      </c>
      <c r="B19" s="18" t="s">
        <v>100</v>
      </c>
      <c r="C19" s="17" t="n">
        <v>12</v>
      </c>
      <c r="D19" s="17" t="n">
        <v>2</v>
      </c>
      <c r="E19" s="19" t="n">
        <f aca="false">D19*$K$2</f>
        <v>200000</v>
      </c>
      <c r="F19" s="20" t="n">
        <f aca="false">$K$3-D19</f>
        <v>4</v>
      </c>
      <c r="G19" s="21" t="str">
        <f aca="false">IF(F19=0,"Lunas",IF(F19&gt;=$K$4,"Menunggak","Terlambat"))</f>
        <v>Menunggak</v>
      </c>
      <c r="H19" s="21" t="str">
        <f aca="false">IF(C19&lt;=$K$3,"Sudah Menerima","Belum Menerima")</f>
        <v>Belum Menerima</v>
      </c>
    </row>
    <row r="20" customFormat="false" ht="15" hidden="false" customHeight="false" outlineLevel="0" collapsed="false">
      <c r="A20" s="17" t="n">
        <v>19</v>
      </c>
      <c r="B20" s="18" t="s">
        <v>101</v>
      </c>
      <c r="C20" s="17" t="n">
        <v>2</v>
      </c>
      <c r="D20" s="17" t="n">
        <v>4</v>
      </c>
      <c r="E20" s="19" t="n">
        <f aca="false">D20*$K$2</f>
        <v>400000</v>
      </c>
      <c r="F20" s="20" t="n">
        <f aca="false">$K$3-D20</f>
        <v>2</v>
      </c>
      <c r="G20" s="21" t="str">
        <f aca="false">IF(F20=0,"Lunas",IF(F20&gt;=$K$4,"Menunggak","Terlambat"))</f>
        <v>Terlambat</v>
      </c>
      <c r="H20" s="21" t="str">
        <f aca="false">IF(C20&lt;=$K$3,"Sudah Menerima","Belum Menerima")</f>
        <v>Sudah Menerima</v>
      </c>
    </row>
    <row r="21" customFormat="false" ht="15" hidden="false" customHeight="false" outlineLevel="0" collapsed="false">
      <c r="A21" s="17" t="n">
        <v>20</v>
      </c>
      <c r="B21" s="18" t="s">
        <v>102</v>
      </c>
      <c r="C21" s="17" t="n">
        <v>7</v>
      </c>
      <c r="D21" s="17" t="n">
        <v>6</v>
      </c>
      <c r="E21" s="19" t="n">
        <f aca="false">D21*$K$2</f>
        <v>600000</v>
      </c>
      <c r="F21" s="20" t="n">
        <f aca="false">$K$3-D21</f>
        <v>0</v>
      </c>
      <c r="G21" s="21" t="str">
        <f aca="false">IF(F21=0,"Lunas",IF(F21&gt;=$K$4,"Menunggak","Terlambat"))</f>
        <v>Lunas</v>
      </c>
      <c r="H21" s="21" t="str">
        <f aca="false">IF(C21&lt;=$K$3,"Sudah Menerima","Belum Menerima")</f>
        <v>Belum Menerima</v>
      </c>
    </row>
    <row r="22" customFormat="false" ht="15" hidden="false" customHeight="false" outlineLevel="0" collapsed="false">
      <c r="A22" s="17" t="n">
        <v>21</v>
      </c>
      <c r="B22" s="18" t="s">
        <v>103</v>
      </c>
      <c r="C22" s="17" t="n">
        <v>5</v>
      </c>
      <c r="D22" s="17" t="n">
        <v>5</v>
      </c>
      <c r="E22" s="19" t="n">
        <f aca="false">D22*$K$2</f>
        <v>500000</v>
      </c>
      <c r="F22" s="20" t="n">
        <f aca="false">$K$3-D22</f>
        <v>1</v>
      </c>
      <c r="G22" s="21" t="str">
        <f aca="false">IF(F22=0,"Lunas",IF(F22&gt;=$K$4,"Menunggak","Terlambat"))</f>
        <v>Terlambat</v>
      </c>
      <c r="H22" s="21" t="str">
        <f aca="false">IF(C22&lt;=$K$3,"Sudah Menerima","Belum Menerima")</f>
        <v>Sudah Menerima</v>
      </c>
    </row>
    <row r="23" customFormat="false" ht="15" hidden="false" customHeight="false" outlineLevel="0" collapsed="false">
      <c r="A23" s="17" t="n">
        <v>22</v>
      </c>
      <c r="B23" s="18" t="s">
        <v>104</v>
      </c>
      <c r="C23" s="17" t="n">
        <v>6</v>
      </c>
      <c r="D23" s="17" t="n">
        <v>3</v>
      </c>
      <c r="E23" s="19" t="n">
        <f aca="false">D23*$K$2</f>
        <v>300000</v>
      </c>
      <c r="F23" s="20" t="n">
        <f aca="false">$K$3-D23</f>
        <v>3</v>
      </c>
      <c r="G23" s="21" t="str">
        <f aca="false">IF(F23=0,"Lunas",IF(F23&gt;=$K$4,"Menunggak","Terlambat"))</f>
        <v>Menunggak</v>
      </c>
      <c r="H23" s="21" t="str">
        <f aca="false">IF(C23&lt;=$K$3,"Sudah Menerima","Belum Menerima")</f>
        <v>Sudah Menerima</v>
      </c>
    </row>
    <row r="24" customFormat="false" ht="15" hidden="false" customHeight="false" outlineLevel="0" collapsed="false">
      <c r="A24" s="17" t="n">
        <v>23</v>
      </c>
      <c r="B24" s="18" t="s">
        <v>105</v>
      </c>
      <c r="C24" s="17" t="n">
        <v>3</v>
      </c>
      <c r="D24" s="17" t="n">
        <v>6</v>
      </c>
      <c r="E24" s="19" t="n">
        <f aca="false">D24*$K$2</f>
        <v>600000</v>
      </c>
      <c r="F24" s="20" t="n">
        <f aca="false">$K$3-D24</f>
        <v>0</v>
      </c>
      <c r="G24" s="21" t="str">
        <f aca="false">IF(F24=0,"Lunas",IF(F24&gt;=$K$4,"Menunggak","Terlambat"))</f>
        <v>Lunas</v>
      </c>
      <c r="H24" s="21" t="str">
        <f aca="false">IF(C24&lt;=$K$3,"Sudah Menerima","Belum Menerima")</f>
        <v>Sudah Menerima</v>
      </c>
    </row>
    <row r="25" customFormat="false" ht="15" hidden="false" customHeight="false" outlineLevel="0" collapsed="false">
      <c r="A25" s="17" t="n">
        <v>24</v>
      </c>
      <c r="B25" s="18" t="s">
        <v>106</v>
      </c>
      <c r="C25" s="17" t="n">
        <v>20</v>
      </c>
      <c r="D25" s="17" t="n">
        <v>2</v>
      </c>
      <c r="E25" s="19" t="n">
        <f aca="false">D25*$K$2</f>
        <v>200000</v>
      </c>
      <c r="F25" s="20" t="n">
        <f aca="false">$K$3-D25</f>
        <v>4</v>
      </c>
      <c r="G25" s="21" t="str">
        <f aca="false">IF(F25=0,"Lunas",IF(F25&gt;=$K$4,"Menunggak","Terlambat"))</f>
        <v>Menunggak</v>
      </c>
      <c r="H25" s="21" t="str">
        <f aca="false">IF(C25&lt;=$K$3,"Sudah Menerima","Belum Menerima")</f>
        <v>Belum Menerima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1" t="s">
        <v>107</v>
      </c>
      <c r="B1" s="15" t="s">
        <v>108</v>
      </c>
      <c r="C1" s="15" t="s">
        <v>109</v>
      </c>
      <c r="D1" s="15" t="s">
        <v>110</v>
      </c>
    </row>
    <row r="2" customFormat="false" ht="15" hidden="false" customHeight="false" outlineLevel="0" collapsed="false">
      <c r="A2" s="17" t="n">
        <v>1</v>
      </c>
      <c r="B2" s="21" t="str">
        <f aca="false">INDEX(Data!$B$2:$B$25,MATCH(A2,Data!$C$2:$C$25,0))</f>
        <v>Novi Yulianto</v>
      </c>
      <c r="C2" s="20" t="n">
        <f aca="false">COUNTIF(Data!$D$2:$D$25,"&gt;="&amp;A2)</f>
        <v>23</v>
      </c>
      <c r="D2" s="19" t="n">
        <f aca="false">C2*Data!$K$2</f>
        <v>2300000</v>
      </c>
    </row>
    <row r="3" customFormat="false" ht="15" hidden="false" customHeight="false" outlineLevel="0" collapsed="false">
      <c r="A3" s="17" t="n">
        <v>2</v>
      </c>
      <c r="B3" s="21" t="str">
        <f aca="false">INDEX(Data!$B$2:$B$25,MATCH(A3,Data!$C$2:$C$25,0))</f>
        <v>Mulyadi Firmansyah</v>
      </c>
      <c r="C3" s="20" t="n">
        <f aca="false">COUNTIF(Data!$D$2:$D$25,"&gt;="&amp;A3)</f>
        <v>22</v>
      </c>
      <c r="D3" s="19" t="n">
        <f aca="false">C3*Data!$K$2</f>
        <v>2200000</v>
      </c>
    </row>
    <row r="4" customFormat="false" ht="15" hidden="false" customHeight="false" outlineLevel="0" collapsed="false">
      <c r="A4" s="17" t="n">
        <v>3</v>
      </c>
      <c r="B4" s="21" t="str">
        <f aca="false">INDEX(Data!$B$2:$B$25,MATCH(A4,Data!$C$2:$C$25,0))</f>
        <v>Putri Ramadhan</v>
      </c>
      <c r="C4" s="20" t="n">
        <f aca="false">COUNTIF(Data!$D$2:$D$25,"&gt;="&amp;A4)</f>
        <v>20</v>
      </c>
      <c r="D4" s="19" t="n">
        <f aca="false">C4*Data!$K$2</f>
        <v>2000000</v>
      </c>
    </row>
    <row r="5" customFormat="false" ht="15" hidden="false" customHeight="false" outlineLevel="0" collapsed="false">
      <c r="A5" s="17" t="n">
        <v>4</v>
      </c>
      <c r="B5" s="21" t="str">
        <f aca="false">INDEX(Data!$B$2:$B$25,MATCH(A5,Data!$C$2:$C$25,0))</f>
        <v>Fajar Kurniawan</v>
      </c>
      <c r="C5" s="20" t="n">
        <f aca="false">COUNTIF(Data!$D$2:$D$25,"&gt;="&amp;A5)</f>
        <v>17</v>
      </c>
      <c r="D5" s="19" t="n">
        <f aca="false">C5*Data!$K$2</f>
        <v>1700000</v>
      </c>
    </row>
    <row r="6" customFormat="false" ht="15" hidden="false" customHeight="false" outlineLevel="0" collapsed="false">
      <c r="A6" s="17" t="n">
        <v>5</v>
      </c>
      <c r="B6" s="21" t="str">
        <f aca="false">INDEX(Data!$B$2:$B$25,MATCH(A6,Data!$C$2:$C$25,0))</f>
        <v>Dewi Santoso</v>
      </c>
      <c r="C6" s="20" t="n">
        <f aca="false">COUNTIF(Data!$D$2:$D$25,"&gt;="&amp;A6)</f>
        <v>13</v>
      </c>
      <c r="D6" s="19" t="n">
        <f aca="false">C6*Data!$K$2</f>
        <v>1300000</v>
      </c>
    </row>
    <row r="7" customFormat="false" ht="15" hidden="false" customHeight="false" outlineLevel="0" collapsed="false">
      <c r="A7" s="17" t="n">
        <v>6</v>
      </c>
      <c r="B7" s="21" t="str">
        <f aca="false">INDEX(Data!$B$2:$B$25,MATCH(A7,Data!$C$2:$C$25,0))</f>
        <v>Lina Putra</v>
      </c>
      <c r="C7" s="20" t="n">
        <f aca="false">COUNTIF(Data!$D$2:$D$25,"&gt;="&amp;A7)</f>
        <v>12</v>
      </c>
      <c r="D7" s="19" t="n">
        <f aca="false">C7*Data!$K$2</f>
        <v>1200000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5" t="s">
        <v>111</v>
      </c>
      <c r="B1" s="25"/>
      <c r="C1" s="25"/>
      <c r="D1" s="25"/>
    </row>
    <row r="2" customFormat="false" ht="15" hidden="false" customHeight="false" outlineLevel="0" collapsed="false">
      <c r="A2" s="26" t="s">
        <v>112</v>
      </c>
      <c r="B2" s="26"/>
      <c r="C2" s="26"/>
      <c r="D2" s="26"/>
    </row>
    <row r="3" customFormat="false" ht="15" hidden="false" customHeight="false" outlineLevel="0" collapsed="false">
      <c r="A3" s="11" t="s">
        <v>19</v>
      </c>
      <c r="B3" s="11" t="s">
        <v>113</v>
      </c>
      <c r="C3" s="11" t="s">
        <v>114</v>
      </c>
      <c r="D3" s="11" t="s">
        <v>115</v>
      </c>
    </row>
    <row r="4" customFormat="false" ht="15" hidden="false" customHeight="false" outlineLevel="0" collapsed="false">
      <c r="A4" s="27" t="s">
        <v>116</v>
      </c>
      <c r="B4" s="28" t="s">
        <v>117</v>
      </c>
      <c r="C4" s="20" t="n">
        <f aca="false">COUNTIF(Data!$G$2:$G$25,"Lunas")</f>
        <v>12</v>
      </c>
      <c r="D4" s="29" t="s">
        <v>118</v>
      </c>
    </row>
    <row r="5" customFormat="false" ht="15" hidden="false" customHeight="false" outlineLevel="0" collapsed="false">
      <c r="A5" s="27" t="s">
        <v>119</v>
      </c>
      <c r="B5" s="28" t="s">
        <v>120</v>
      </c>
      <c r="C5" s="20" t="n">
        <f aca="false">COUNTIF(Data!$G$2:$G$25,"Terlambat")</f>
        <v>5</v>
      </c>
      <c r="D5" s="29" t="s">
        <v>121</v>
      </c>
    </row>
    <row r="6" customFormat="false" ht="15" hidden="false" customHeight="false" outlineLevel="0" collapsed="false">
      <c r="A6" s="27" t="s">
        <v>122</v>
      </c>
      <c r="B6" s="28" t="s">
        <v>123</v>
      </c>
      <c r="C6" s="20" t="n">
        <f aca="false">COUNTIF(Data!$G$2:$G$25,"Menunggak")</f>
        <v>7</v>
      </c>
      <c r="D6" s="29" t="s">
        <v>124</v>
      </c>
    </row>
    <row r="7" customFormat="false" ht="15" hidden="false" customHeight="false" outlineLevel="0" collapsed="false">
      <c r="A7" s="27" t="s">
        <v>125</v>
      </c>
      <c r="B7" s="28" t="s">
        <v>126</v>
      </c>
      <c r="C7" s="19" t="n">
        <f aca="false">SUM(Data!$E$2:$E$25)</f>
        <v>10700000</v>
      </c>
      <c r="D7" s="29" t="s">
        <v>127</v>
      </c>
    </row>
    <row r="8" customFormat="false" ht="15" hidden="false" customHeight="false" outlineLevel="0" collapsed="false">
      <c r="A8" s="27" t="s">
        <v>128</v>
      </c>
      <c r="B8" s="28" t="s">
        <v>129</v>
      </c>
      <c r="C8" s="19" t="n">
        <f aca="false">Data!$K$5*Data!$K$3*Data!$K$2-C7</f>
        <v>3700000</v>
      </c>
      <c r="D8" s="29" t="s">
        <v>130</v>
      </c>
    </row>
    <row r="9" customFormat="false" ht="15" hidden="false" customHeight="false" outlineLevel="0" collapsed="false">
      <c r="A9" s="27" t="s">
        <v>131</v>
      </c>
      <c r="B9" s="28" t="s">
        <v>132</v>
      </c>
      <c r="C9" s="21" t="str">
        <f aca="false">INDEX(Data!$B$2:$B$25,MATCH(4,Data!$C$2:$C$25,0))</f>
        <v>Fajar Kurniawan</v>
      </c>
      <c r="D9" s="29" t="s">
        <v>133</v>
      </c>
    </row>
    <row r="10" customFormat="false" ht="15" hidden="false" customHeight="false" outlineLevel="0" collapsed="false">
      <c r="A10" s="27" t="s">
        <v>134</v>
      </c>
      <c r="B10" s="28" t="s">
        <v>135</v>
      </c>
      <c r="C10" s="21" t="str">
        <f aca="false">INDEX(Data!$B$2:$B$25,MATCH(10,Data!$C$2:$C$25,0))</f>
        <v>Galih Kurniawan</v>
      </c>
      <c r="D10" s="29" t="s">
        <v>133</v>
      </c>
    </row>
    <row r="11" customFormat="false" ht="15" hidden="false" customHeight="false" outlineLevel="0" collapsed="false">
      <c r="A11" s="27" t="s">
        <v>136</v>
      </c>
      <c r="B11" s="28" t="s">
        <v>137</v>
      </c>
      <c r="C11" s="20" t="n">
        <f aca="false">COUNTIFS(Data!$H$2:$H$25,"Sudah Menerima",Data!$G$2:$G$25,"&lt;&gt;Lunas")</f>
        <v>4</v>
      </c>
      <c r="D11" s="29" t="s">
        <v>138</v>
      </c>
    </row>
    <row r="12" customFormat="false" ht="15" hidden="false" customHeight="false" outlineLevel="0" collapsed="false">
      <c r="A12" s="27" t="s">
        <v>139</v>
      </c>
      <c r="B12" s="28" t="s">
        <v>140</v>
      </c>
      <c r="C12" s="20" t="n">
        <f aca="false">COUNTIFS(Data!$H$2:$H$25,"Belum Menerima",Data!$G$2:$G$25,"Lunas")</f>
        <v>10</v>
      </c>
      <c r="D12" s="29" t="s">
        <v>141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2026-10-15T23:39:13Z</dcterms:created>
  <dc:creator>PushExcel</dc:creator>
  <dc:description/>
  <dc:language>en-US</dc:language>
  <cp:lastModifiedBy/>
  <dcterms:modified xsi:type="dcterms:W3CDTF">2026-10-15T23:39:13Z</dcterms:modified>
  <cp:revision>0</cp:revision>
  <dc:subject/>
  <dc:title>Arisan Bulanan: Setoran, Giliran, dan Status Bayar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