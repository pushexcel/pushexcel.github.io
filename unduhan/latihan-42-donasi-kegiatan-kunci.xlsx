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<sst xmlns="http://schemas.openxmlformats.org/spreadsheetml/2006/main" count="218" uniqueCount="160">
  <si>
    <t xml:space="preserve">Kunci Jawaban: Rekap Donasi Kegiatan Sosial</t>
  </si>
  <si>
    <t xml:space="preserve">Latihan 42 dari 56  |  Tingkat: Pemula  |  Perkiraan waktu: 35 menit  |  pushexcel.github.io/Pushexcel</t>
  </si>
  <si>
    <t xml:space="preserve">Skenario</t>
  </si>
  <si>
    <t xml:space="preserve">Kamu bendahara panitia bakti sosial Warga Peduli. Selama September sampai Oktober 2026 masuk 28 donasi dari perorangan. perusahaan. dan komunitas lewat transfer. tunai. atau QRIS. Donasi lewat QRIS dikenai biaya admin 0.7 persen. Donasi sama dengan atau di atas Rp 1.000.000 masuk kategori Besar. di atas atau sama dengan Rp 250.000 kategori Sedang. selain itu Kecil. Perusahaan dan donasi kategori Besar mendapat piagam. donatur lain mendapat ucapan terima kasih. Target dana kegiatan Rp 29.000.000.</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</si>
  <si>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</si>
  <si>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</si>
  <si>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</si>
  <si>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</si>
  <si>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</si>
  <si>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</si>
  <si>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</si>
  <si>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</si>
  <si>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</si>
  <si>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</si>
  <si>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</si>
  <si>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</si>
  <si>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</si>
  <si>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</si>
  <si>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</si>
  <si>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</si>
  <si>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</si>
  <si>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</si>
  <si>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</si>
  <si>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</si>
  <si>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biaya admin: donasi lewat QRIS dikenai persen biaya QRIS dari jumlah donasi, dibulatkan ke rupiah. Metode lain 0.</t>
  </si>
  <si>
    <t xml:space="preserve">Sheet Data, kolom G (Biaya Admin), baris 2 sampai 29</t>
  </si>
  <si>
    <t xml:space="preserve">=IF(E2="QRIS";ROUND(F2*$M$2;0);0)</t>
  </si>
  <si>
    <t xml:space="preserve">2</t>
  </si>
  <si>
    <t xml:space="preserve">Hitung donasi bersih: jumlah donasi dikurangi biaya admin.</t>
  </si>
  <si>
    <t xml:space="preserve">Sheet Data, kolom H (Donasi Bersih), baris 2 sampai 29</t>
  </si>
  <si>
    <t xml:space="preserve">=F2-G2</t>
  </si>
  <si>
    <t xml:space="preserve">3</t>
  </si>
  <si>
    <t xml:space="preserve">Tentukan kategori: Besar bila sama dengan atau di atas batas Besar, Sedang bila sama dengan atau di atas batas Sedang, selain itu Kecil.</t>
  </si>
  <si>
    <t xml:space="preserve">Sheet Data, kolom I (Kategori Donasi), baris 2 sampai 29</t>
  </si>
  <si>
    <t xml:space="preserve">=IF(F2&gt;=$M$3;"Besar";IF(F2&gt;=$M$4;"Sedang";"Kecil"))</t>
  </si>
  <si>
    <t xml:space="preserve">4</t>
  </si>
  <si>
    <t xml:space="preserve">Beri Piagam bila donatur berjenis Perusahaan atau kategori donasinya Besar. Selain itu Ucapan.</t>
  </si>
  <si>
    <t xml:space="preserve">Sheet Data, kolom J (Penghargaan), baris 2 sampai 29</t>
  </si>
  <si>
    <t xml:space="preserve">=IF(OR(D2="Perusahaan";I2="Besar");"Piagam";"Ucapan")</t>
  </si>
  <si>
    <t xml:space="preserve">5</t>
  </si>
  <si>
    <t xml:space="preserve">Pada sheet Acuan, hitung jumlah donasi (baris) untuk tiap jenis donatur.</t>
  </si>
  <si>
    <t xml:space="preserve">Sheet Acuan, kolom B (Jumlah Donatur), baris 2 sampai 4</t>
  </si>
  <si>
    <t xml:space="preserve">=COUNTIF(Data!$D$2:$D$29;A2)</t>
  </si>
  <si>
    <t xml:space="preserve">6</t>
  </si>
  <si>
    <t xml:space="preserve">Pada sheet Acuan, hitung total donasi bersih tiap jenis donatur.</t>
  </si>
  <si>
    <t xml:space="preserve">Sheet Acuan, kolom C (Total Donasi Bersih), baris 2 sampai 4</t>
  </si>
  <si>
    <t xml:space="preserve">=SUMIF(Data!$D$2:$D$29;A2;Data!$H$2:$H$29)</t>
  </si>
  <si>
    <t xml:space="preserve">7</t>
  </si>
  <si>
    <t xml:space="preserve">Pada sheet Acuan, hitung rata-rata jumlah donasi tiap jenis donatur.</t>
  </si>
  <si>
    <t xml:space="preserve">Sheet Acuan, kolom D (Rata-rata Donasi), baris 2 sampai 4</t>
  </si>
  <si>
    <t xml:space="preserve">=AVERAGEIF(Data!$D$2:$D$29;A2;Data!$F$2:$F$29)</t>
  </si>
  <si>
    <t xml:space="preserve">8</t>
  </si>
  <si>
    <t xml:space="preserve">Berapa total jumlah donasi, total biaya admin, dan total donasi bersih?</t>
  </si>
  <si>
    <t xml:space="preserve">Sheet Ringkasan, sel C4 sampai C6</t>
  </si>
  <si>
    <t xml:space="preserve">=SUM(Data!$F$2:$F$29)
=SUM(Data!$G$2:$G$29)
=SUM(Data!$H$2:$H$29)</t>
  </si>
  <si>
    <t xml:space="preserve">9</t>
  </si>
  <si>
    <t xml:space="preserve">Berapa persen dana yang terkumpul (donasi bersih) terhadap target dana, dan berapa kekurangannya?</t>
  </si>
  <si>
    <t xml:space="preserve">Sheet Ringkasan, sel C7 sampai C8</t>
  </si>
  <si>
    <t xml:space="preserve">=C6/Data!$M$5
=Data!$M$5-C6</t>
  </si>
  <si>
    <t xml:space="preserve">10</t>
  </si>
  <si>
    <t xml:space="preserve">Berapa donasi yang masuk lewat QRIS, dan berapa penerima piagam?</t>
  </si>
  <si>
    <t xml:space="preserve">Sheet Ringkasan, sel C9 sampai C10</t>
  </si>
  <si>
    <t xml:space="preserve">=COUNTIF(Data!$E$2:$E$29;"QRIS")
=COUNTIF(Data!$J$2:$J$29;"Piagam")</t>
  </si>
  <si>
    <t xml:space="preserve">11</t>
  </si>
  <si>
    <t xml:space="preserve">Siapa donatur dengan donasi terbesar, dan jenis donatur mana yang total donasi bersihnya terbesar?</t>
  </si>
  <si>
    <t xml:space="preserve">Sheet Ringkasan, sel C11 sampai C12</t>
  </si>
  <si>
    <t xml:space="preserve">=INDEX(Data!$C$2:$C$29;MATCH(MAX(Data!$F$2:$F$29);Data!$F$2:$F$29;0))
=INDEX(Acuan!$A$2:$A$4;MATCH(MAX(Acuan!$C$2:$C$4);Acuan!$C$2:$C$4;0))</t>
  </si>
  <si>
    <t xml:space="preserve">12</t>
  </si>
  <si>
    <t xml:space="preserve">Berapa total donasi tunai, dan berapa donasi perorangan yang masuk kategori Kecil?</t>
  </si>
  <si>
    <t xml:space="preserve">Sheet Ringkasan, sel C13 sampai C14</t>
  </si>
  <si>
    <t xml:space="preserve">=SUMIF(Data!$E$2:$E$29;"Tunai";Data!$F$2:$F$29)
=COUNTIFS(Data!$D$2:$D$29;"Perorangan";Data!$I$2:$I$29;"Kecil")</t>
  </si>
  <si>
    <t xml:space="preserve">Tanggal</t>
  </si>
  <si>
    <t xml:space="preserve">Donatur</t>
  </si>
  <si>
    <t xml:space="preserve">Jenis Donatur</t>
  </si>
  <si>
    <t xml:space="preserve">Metode</t>
  </si>
  <si>
    <t xml:space="preserve">Jumlah Donasi</t>
  </si>
  <si>
    <t xml:space="preserve">Biaya Admin</t>
  </si>
  <si>
    <t xml:space="preserve">Donasi Bersih</t>
  </si>
  <si>
    <t xml:space="preserve">Kategori Donasi</t>
  </si>
  <si>
    <t xml:space="preserve">Penghargaan</t>
  </si>
  <si>
    <t xml:space="preserve">Parameter</t>
  </si>
  <si>
    <t xml:space="preserve">Nilai</t>
  </si>
  <si>
    <t xml:space="preserve">Keterangan</t>
  </si>
  <si>
    <t xml:space="preserve">CV Maju Bersama</t>
  </si>
  <si>
    <t xml:space="preserve">Perusahaan</t>
  </si>
  <si>
    <t xml:space="preserve">Tunai</t>
  </si>
  <si>
    <t xml:space="preserve">Biaya QRIS</t>
  </si>
  <si>
    <t xml:space="preserve">Joko Handayani</t>
  </si>
  <si>
    <t xml:space="preserve">Perorangan</t>
  </si>
  <si>
    <t xml:space="preserve">Batas Besar</t>
  </si>
  <si>
    <t xml:space="preserve">Vina Susanto</t>
  </si>
  <si>
    <t xml:space="preserve">Batas Sedang</t>
  </si>
  <si>
    <t xml:space="preserve">Target dana</t>
  </si>
  <si>
    <t xml:space="preserve">Tika Hartono</t>
  </si>
  <si>
    <t xml:space="preserve">QRIS</t>
  </si>
  <si>
    <t xml:space="preserve">PT Karya Sentosa</t>
  </si>
  <si>
    <t xml:space="preserve">Transfer</t>
  </si>
  <si>
    <t xml:space="preserve">Vivi Wibowo</t>
  </si>
  <si>
    <t xml:space="preserve">Ayu Kusuma</t>
  </si>
  <si>
    <t xml:space="preserve">Sari Permana</t>
  </si>
  <si>
    <t xml:space="preserve">Edi Santoso</t>
  </si>
  <si>
    <t xml:space="preserve">Karang Taruna Tunas</t>
  </si>
  <si>
    <t xml:space="preserve">Komunitas</t>
  </si>
  <si>
    <t xml:space="preserve">PT Nusa Pangan</t>
  </si>
  <si>
    <t xml:space="preserve">Fajar Syahputra</t>
  </si>
  <si>
    <t xml:space="preserve">Yuni Syahputra</t>
  </si>
  <si>
    <t xml:space="preserve">Vina Setiawan</t>
  </si>
  <si>
    <t xml:space="preserve">Paguyuban Warga Asri</t>
  </si>
  <si>
    <t xml:space="preserve">CV Cahaya Mulia</t>
  </si>
  <si>
    <t xml:space="preserve">UD Berkah Tani</t>
  </si>
  <si>
    <t xml:space="preserve">Majelis Taklim Al Hikmah</t>
  </si>
  <si>
    <t xml:space="preserve">Arisan Ibu Melati</t>
  </si>
  <si>
    <t xml:space="preserve">Bayu Anggraini</t>
  </si>
  <si>
    <t xml:space="preserve">Vivi Putra</t>
  </si>
  <si>
    <t xml:space="preserve">Eka Permana</t>
  </si>
  <si>
    <t xml:space="preserve">Prasetyo Ramadhan</t>
  </si>
  <si>
    <t xml:space="preserve">Khoirul Hartono</t>
  </si>
  <si>
    <t xml:space="preserve">Komunitas Pemuda Mekar</t>
  </si>
  <si>
    <t xml:space="preserve">Toko Sumber Rejeki</t>
  </si>
  <si>
    <t xml:space="preserve">Jumlah Donatur</t>
  </si>
  <si>
    <t xml:space="preserve">Total Donasi Bersih</t>
  </si>
  <si>
    <t xml:space="preserve">Rata-rata Donasi</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</si>
  <si>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</si>
  <si>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</si>
  <si>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</si>
  <si>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</si>
  <si>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</si>
  <si>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</si>
  <si>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Total jumlah donasi</t>
  </si>
  <si>
    <t xml:space="preserve">Rupiah, mis. Rp 20.000.000</t>
  </si>
  <si>
    <t xml:space="preserve">8b</t>
  </si>
  <si>
    <t xml:space="preserve">Total biaya admin</t>
  </si>
  <si>
    <t xml:space="preserve">Rupiah, mis. Rp 50.000</t>
  </si>
  <si>
    <t xml:space="preserve">8c</t>
  </si>
  <si>
    <t xml:space="preserve">Total donasi bersih</t>
  </si>
  <si>
    <t xml:space="preserve">Rupiah, mis. Rp 19.950.000</t>
  </si>
  <si>
    <t xml:space="preserve">9a</t>
  </si>
  <si>
    <t xml:space="preserve">Persen capaian target</t>
  </si>
  <si>
    <t xml:space="preserve">Persen, mis. 75,5%</t>
  </si>
  <si>
    <t xml:space="preserve">9b</t>
  </si>
  <si>
    <t xml:space="preserve">Kekurangan dana</t>
  </si>
  <si>
    <t xml:space="preserve">Rupiah, mis. Rp 5.000.000</t>
  </si>
  <si>
    <t xml:space="preserve">10a</t>
  </si>
  <si>
    <t xml:space="preserve">Jumlah donasi lewat QRIS</t>
  </si>
  <si>
    <t xml:space="preserve">Angka bulat, mis. 8</t>
  </si>
  <si>
    <t xml:space="preserve">10b</t>
  </si>
  <si>
    <t xml:space="preserve">Jumlah penerima piagam</t>
  </si>
  <si>
    <t xml:space="preserve">Angka bulat, mis. 9</t>
  </si>
  <si>
    <t xml:space="preserve">11a</t>
  </si>
  <si>
    <t xml:space="preserve">Donatur dengan donasi terbesar</t>
  </si>
  <si>
    <t xml:space="preserve">Teks: nama donatur</t>
  </si>
  <si>
    <t xml:space="preserve">11b</t>
  </si>
  <si>
    <t xml:space="preserve">Jenis donatur dengan total bersih terbesar</t>
  </si>
  <si>
    <t xml:space="preserve">Teks: jenis donatur</t>
  </si>
  <si>
    <t xml:space="preserve">12a</t>
  </si>
  <si>
    <t xml:space="preserve">Total donasi tunai</t>
  </si>
  <si>
    <t xml:space="preserve">Rupiah, mis. Rp 3.000.000</t>
  </si>
  <si>
    <t xml:space="preserve">12b</t>
  </si>
  <si>
    <t xml:space="preserve">Donasi perorangan kategori Kecil</t>
  </si>
  <si>
    <t xml:space="preserve">Angka bulat, mis. 6</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</si>
</sst>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42"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55.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4" min="4" style="0" width="14"/>
    <col collapsed="false" customWidth="true" hidden="false" outlineLevel="0" max="5" min="5" style="0" width="11"/>
    <col collapsed="false" customWidth="true" hidden="false" outlineLevel="0" max="6" min="6" style="0" width="15"/>
    <col collapsed="false" customWidth="true" hidden="false" outlineLevel="0" max="7" min="7" style="0" width="13"/>
    <col collapsed="false" customWidth="true" hidden="false" outlineLevel="0" max="8" min="8" style="0" width="15"/>
    <col collapsed="false" customWidth="true" hidden="false" outlineLevel="0" max="9" min="9" style="0" width="14"/>
    <col collapsed="false" customWidth="true" hidden="false" outlineLevel="0" max="10" min="10" style="0" width="13"/>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19</v>
      </c>
      <c r="B1" s="11" t="s">
        <v>71</v>
      </c>
      <c r="C1" s="11" t="s">
        <v>72</v>
      </c>
      <c r="D1" s="11" t="s">
        <v>73</v>
      </c>
      <c r="E1" s="11" t="s">
        <v>74</v>
      </c>
      <c r="F1" s="11" t="s">
        <v>75</v>
      </c>
      <c r="G1" s="15" t="s">
        <v>76</v>
      </c>
      <c r="H1" s="15" t="s">
        <v>77</v>
      </c>
      <c r="I1" s="15" t="s">
        <v>78</v>
      </c>
      <c r="J1" s="15" t="s">
        <v>79</v>
      </c>
      <c r="L1" s="16" t="s">
        <v>80</v>
      </c>
      <c r="M1" s="16" t="s">
        <v>81</v>
      </c>
      <c r="N1" s="16" t="s">
        <v>82</v>
      </c>
    </row>
    <row r="2" customFormat="false" ht="15" hidden="false" customHeight="false" outlineLevel="0" collapsed="false">
      <c r="A2" s="17" t="n">
        <v>1</v>
      </c>
      <c r="B2" s="18" t="n">
        <v>46266</v>
      </c>
      <c r="C2" s="19" t="s">
        <v>83</v>
      </c>
      <c r="D2" s="19" t="s">
        <v>84</v>
      </c>
      <c r="E2" s="19" t="s">
        <v>85</v>
      </c>
      <c r="F2" s="20" t="n">
        <v>2500000</v>
      </c>
      <c r="G2" s="21" t="n">
        <f aca="false">IF(E2="QRIS",ROUND(F2*$M$2,0),0)</f>
        <v>0</v>
      </c>
      <c r="H2" s="21" t="n">
        <f aca="false">F2-G2</f>
        <v>2500000</v>
      </c>
      <c r="I2" s="22" t="str">
        <f aca="false">IF(F2&gt;=$M$3,"Besar",IF(F2&gt;=$M$4,"Sedang","Kecil"))</f>
        <v>Besar</v>
      </c>
      <c r="J2" s="22" t="str">
        <f aca="false">IF(OR(D2="Perusahaan",I2="Besar"),"Piagam","Ucapan")</f>
        <v>Piagam</v>
      </c>
      <c r="L2" s="23" t="s">
        <v>86</v>
      </c>
      <c r="M2" s="24" t="n">
        <v>0.007</v>
      </c>
      <c r="N2" s="23"/>
    </row>
    <row r="3" customFormat="false" ht="15" hidden="false" customHeight="false" outlineLevel="0" collapsed="false">
      <c r="A3" s="17" t="n">
        <v>2</v>
      </c>
      <c r="B3" s="18" t="n">
        <v>46269</v>
      </c>
      <c r="C3" s="19" t="s">
        <v>87</v>
      </c>
      <c r="D3" s="19" t="s">
        <v>88</v>
      </c>
      <c r="E3" s="19" t="s">
        <v>85</v>
      </c>
      <c r="F3" s="20" t="n">
        <v>300000</v>
      </c>
      <c r="G3" s="21" t="n">
        <f aca="false">IF(E3="QRIS",ROUND(F3*$M$2,0),0)</f>
        <v>0</v>
      </c>
      <c r="H3" s="21" t="n">
        <f aca="false">F3-G3</f>
        <v>300000</v>
      </c>
      <c r="I3" s="22" t="str">
        <f aca="false">IF(F3&gt;=$M$3,"Besar",IF(F3&gt;=$M$4,"Sedang","Kecil"))</f>
        <v>Sedang</v>
      </c>
      <c r="J3" s="22" t="str">
        <f aca="false">IF(OR(D3="Perusahaan",I3="Besar"),"Piagam","Ucapan")</f>
        <v>Ucapan</v>
      </c>
      <c r="L3" s="23" t="s">
        <v>89</v>
      </c>
      <c r="M3" s="25" t="n">
        <v>1000000</v>
      </c>
      <c r="N3" s="23"/>
    </row>
    <row r="4" customFormat="false" ht="15" hidden="false" customHeight="false" outlineLevel="0" collapsed="false">
      <c r="A4" s="17" t="n">
        <v>3</v>
      </c>
      <c r="B4" s="18" t="n">
        <v>46270</v>
      </c>
      <c r="C4" s="19" t="s">
        <v>90</v>
      </c>
      <c r="D4" s="19" t="s">
        <v>88</v>
      </c>
      <c r="E4" s="19" t="s">
        <v>85</v>
      </c>
      <c r="F4" s="20" t="n">
        <v>150000</v>
      </c>
      <c r="G4" s="21" t="n">
        <f aca="false">IF(E4="QRIS",ROUND(F4*$M$2,0),0)</f>
        <v>0</v>
      </c>
      <c r="H4" s="21" t="n">
        <f aca="false">F4-G4</f>
        <v>150000</v>
      </c>
      <c r="I4" s="22" t="str">
        <f aca="false">IF(F4&gt;=$M$3,"Besar",IF(F4&gt;=$M$4,"Sedang","Kecil"))</f>
        <v>Kecil</v>
      </c>
      <c r="J4" s="22" t="str">
        <f aca="false">IF(OR(D4="Perusahaan",I4="Besar"),"Piagam","Ucapan")</f>
        <v>Ucapan</v>
      </c>
      <c r="L4" s="23" t="s">
        <v>91</v>
      </c>
      <c r="M4" s="25" t="n">
        <v>250000</v>
      </c>
      <c r="N4" s="23"/>
    </row>
    <row r="5" customFormat="false" ht="15" hidden="false" customHeight="false" outlineLevel="0" collapsed="false">
      <c r="A5" s="17" t="n">
        <v>4</v>
      </c>
      <c r="B5" s="18" t="n">
        <v>46271</v>
      </c>
      <c r="C5" s="19" t="s">
        <v>83</v>
      </c>
      <c r="D5" s="19" t="s">
        <v>84</v>
      </c>
      <c r="E5" s="19" t="s">
        <v>85</v>
      </c>
      <c r="F5" s="20" t="n">
        <v>2500000</v>
      </c>
      <c r="G5" s="21" t="n">
        <f aca="false">IF(E5="QRIS",ROUND(F5*$M$2,0),0)</f>
        <v>0</v>
      </c>
      <c r="H5" s="21" t="n">
        <f aca="false">F5-G5</f>
        <v>2500000</v>
      </c>
      <c r="I5" s="22" t="str">
        <f aca="false">IF(F5&gt;=$M$3,"Besar",IF(F5&gt;=$M$4,"Sedang","Kecil"))</f>
        <v>Besar</v>
      </c>
      <c r="J5" s="22" t="str">
        <f aca="false">IF(OR(D5="Perusahaan",I5="Besar"),"Piagam","Ucapan")</f>
        <v>Piagam</v>
      </c>
      <c r="L5" s="23" t="s">
        <v>92</v>
      </c>
      <c r="M5" s="25" t="n">
        <v>29000000</v>
      </c>
      <c r="N5" s="23"/>
    </row>
    <row r="6" customFormat="false" ht="15" hidden="false" customHeight="false" outlineLevel="0" collapsed="false">
      <c r="A6" s="17" t="n">
        <v>5</v>
      </c>
      <c r="B6" s="18" t="n">
        <v>46272</v>
      </c>
      <c r="C6" s="19" t="s">
        <v>93</v>
      </c>
      <c r="D6" s="19" t="s">
        <v>88</v>
      </c>
      <c r="E6" s="19" t="s">
        <v>94</v>
      </c>
      <c r="F6" s="20" t="n">
        <v>150000</v>
      </c>
      <c r="G6" s="21" t="n">
        <f aca="false">IF(E6="QRIS",ROUND(F6*$M$2,0),0)</f>
        <v>1050</v>
      </c>
      <c r="H6" s="21" t="n">
        <f aca="false">F6-G6</f>
        <v>148950</v>
      </c>
      <c r="I6" s="22" t="str">
        <f aca="false">IF(F6&gt;=$M$3,"Besar",IF(F6&gt;=$M$4,"Sedang","Kecil"))</f>
        <v>Kecil</v>
      </c>
      <c r="J6" s="22" t="str">
        <f aca="false">IF(OR(D6="Perusahaan",I6="Besar"),"Piagam","Ucapan")</f>
        <v>Ucapan</v>
      </c>
    </row>
    <row r="7" customFormat="false" ht="15" hidden="false" customHeight="false" outlineLevel="0" collapsed="false">
      <c r="A7" s="17" t="n">
        <v>6</v>
      </c>
      <c r="B7" s="18" t="n">
        <v>46276</v>
      </c>
      <c r="C7" s="19" t="s">
        <v>95</v>
      </c>
      <c r="D7" s="19" t="s">
        <v>84</v>
      </c>
      <c r="E7" s="19" t="s">
        <v>96</v>
      </c>
      <c r="F7" s="20" t="n">
        <v>1500000</v>
      </c>
      <c r="G7" s="21" t="n">
        <f aca="false">IF(E7="QRIS",ROUND(F7*$M$2,0),0)</f>
        <v>0</v>
      </c>
      <c r="H7" s="21" t="n">
        <f aca="false">F7-G7</f>
        <v>1500000</v>
      </c>
      <c r="I7" s="22" t="str">
        <f aca="false">IF(F7&gt;=$M$3,"Besar",IF(F7&gt;=$M$4,"Sedang","Kecil"))</f>
        <v>Besar</v>
      </c>
      <c r="J7" s="22" t="str">
        <f aca="false">IF(OR(D7="Perusahaan",I7="Besar"),"Piagam","Ucapan")</f>
        <v>Piagam</v>
      </c>
    </row>
    <row r="8" customFormat="false" ht="15" hidden="false" customHeight="false" outlineLevel="0" collapsed="false">
      <c r="A8" s="17" t="n">
        <v>7</v>
      </c>
      <c r="B8" s="18" t="n">
        <v>46278</v>
      </c>
      <c r="C8" s="19" t="s">
        <v>97</v>
      </c>
      <c r="D8" s="19" t="s">
        <v>88</v>
      </c>
      <c r="E8" s="19" t="s">
        <v>96</v>
      </c>
      <c r="F8" s="20" t="n">
        <v>50000</v>
      </c>
      <c r="G8" s="21" t="n">
        <f aca="false">IF(E8="QRIS",ROUND(F8*$M$2,0),0)</f>
        <v>0</v>
      </c>
      <c r="H8" s="21" t="n">
        <f aca="false">F8-G8</f>
        <v>50000</v>
      </c>
      <c r="I8" s="22" t="str">
        <f aca="false">IF(F8&gt;=$M$3,"Besar",IF(F8&gt;=$M$4,"Sedang","Kecil"))</f>
        <v>Kecil</v>
      </c>
      <c r="J8" s="22" t="str">
        <f aca="false">IF(OR(D8="Perusahaan",I8="Besar"),"Piagam","Ucapan")</f>
        <v>Ucapan</v>
      </c>
    </row>
    <row r="9" customFormat="false" ht="15" hidden="false" customHeight="false" outlineLevel="0" collapsed="false">
      <c r="A9" s="17" t="n">
        <v>8</v>
      </c>
      <c r="B9" s="18" t="n">
        <v>46278</v>
      </c>
      <c r="C9" s="19" t="s">
        <v>98</v>
      </c>
      <c r="D9" s="19" t="s">
        <v>88</v>
      </c>
      <c r="E9" s="19" t="s">
        <v>85</v>
      </c>
      <c r="F9" s="20" t="n">
        <v>500000</v>
      </c>
      <c r="G9" s="21" t="n">
        <f aca="false">IF(E9="QRIS",ROUND(F9*$M$2,0),0)</f>
        <v>0</v>
      </c>
      <c r="H9" s="21" t="n">
        <f aca="false">F9-G9</f>
        <v>500000</v>
      </c>
      <c r="I9" s="22" t="str">
        <f aca="false">IF(F9&gt;=$M$3,"Besar",IF(F9&gt;=$M$4,"Sedang","Kecil"))</f>
        <v>Sedang</v>
      </c>
      <c r="J9" s="22" t="str">
        <f aca="false">IF(OR(D9="Perusahaan",I9="Besar"),"Piagam","Ucapan")</f>
        <v>Ucapan</v>
      </c>
    </row>
    <row r="10" customFormat="false" ht="15" hidden="false" customHeight="false" outlineLevel="0" collapsed="false">
      <c r="A10" s="17" t="n">
        <v>9</v>
      </c>
      <c r="B10" s="18" t="n">
        <v>46278</v>
      </c>
      <c r="C10" s="19" t="s">
        <v>99</v>
      </c>
      <c r="D10" s="19" t="s">
        <v>88</v>
      </c>
      <c r="E10" s="19" t="s">
        <v>85</v>
      </c>
      <c r="F10" s="20" t="n">
        <v>500000</v>
      </c>
      <c r="G10" s="21" t="n">
        <f aca="false">IF(E10="QRIS",ROUND(F10*$M$2,0),0)</f>
        <v>0</v>
      </c>
      <c r="H10" s="21" t="n">
        <f aca="false">F10-G10</f>
        <v>500000</v>
      </c>
      <c r="I10" s="22" t="str">
        <f aca="false">IF(F10&gt;=$M$3,"Besar",IF(F10&gt;=$M$4,"Sedang","Kecil"))</f>
        <v>Sedang</v>
      </c>
      <c r="J10" s="22" t="str">
        <f aca="false">IF(OR(D10="Perusahaan",I10="Besar"),"Piagam","Ucapan")</f>
        <v>Ucapan</v>
      </c>
    </row>
    <row r="11" customFormat="false" ht="15" hidden="false" customHeight="false" outlineLevel="0" collapsed="false">
      <c r="A11" s="17" t="n">
        <v>10</v>
      </c>
      <c r="B11" s="18" t="n">
        <v>46280</v>
      </c>
      <c r="C11" s="19" t="s">
        <v>100</v>
      </c>
      <c r="D11" s="19" t="s">
        <v>88</v>
      </c>
      <c r="E11" s="19" t="s">
        <v>85</v>
      </c>
      <c r="F11" s="20" t="n">
        <v>150000</v>
      </c>
      <c r="G11" s="21" t="n">
        <f aca="false">IF(E11="QRIS",ROUND(F11*$M$2,0),0)</f>
        <v>0</v>
      </c>
      <c r="H11" s="21" t="n">
        <f aca="false">F11-G11</f>
        <v>150000</v>
      </c>
      <c r="I11" s="22" t="str">
        <f aca="false">IF(F11&gt;=$M$3,"Besar",IF(F11&gt;=$M$4,"Sedang","Kecil"))</f>
        <v>Kecil</v>
      </c>
      <c r="J11" s="22" t="str">
        <f aca="false">IF(OR(D11="Perusahaan",I11="Besar"),"Piagam","Ucapan")</f>
        <v>Ucapan</v>
      </c>
    </row>
    <row r="12" customFormat="false" ht="15" hidden="false" customHeight="false" outlineLevel="0" collapsed="false">
      <c r="A12" s="17" t="n">
        <v>11</v>
      </c>
      <c r="B12" s="18" t="n">
        <v>46281</v>
      </c>
      <c r="C12" s="19" t="s">
        <v>95</v>
      </c>
      <c r="D12" s="19" t="s">
        <v>84</v>
      </c>
      <c r="E12" s="19" t="s">
        <v>85</v>
      </c>
      <c r="F12" s="20" t="n">
        <v>3000000</v>
      </c>
      <c r="G12" s="21" t="n">
        <f aca="false">IF(E12="QRIS",ROUND(F12*$M$2,0),0)</f>
        <v>0</v>
      </c>
      <c r="H12" s="21" t="n">
        <f aca="false">F12-G12</f>
        <v>3000000</v>
      </c>
      <c r="I12" s="22" t="str">
        <f aca="false">IF(F12&gt;=$M$3,"Besar",IF(F12&gt;=$M$4,"Sedang","Kecil"))</f>
        <v>Besar</v>
      </c>
      <c r="J12" s="22" t="str">
        <f aca="false">IF(OR(D12="Perusahaan",I12="Besar"),"Piagam","Ucapan")</f>
        <v>Piagam</v>
      </c>
    </row>
    <row r="13" customFormat="false" ht="15" hidden="false" customHeight="false" outlineLevel="0" collapsed="false">
      <c r="A13" s="17" t="n">
        <v>12</v>
      </c>
      <c r="B13" s="18" t="n">
        <v>46281</v>
      </c>
      <c r="C13" s="19" t="s">
        <v>101</v>
      </c>
      <c r="D13" s="19" t="s">
        <v>102</v>
      </c>
      <c r="E13" s="19" t="s">
        <v>96</v>
      </c>
      <c r="F13" s="20" t="n">
        <v>1250000</v>
      </c>
      <c r="G13" s="21" t="n">
        <f aca="false">IF(E13="QRIS",ROUND(F13*$M$2,0),0)</f>
        <v>0</v>
      </c>
      <c r="H13" s="21" t="n">
        <f aca="false">F13-G13</f>
        <v>1250000</v>
      </c>
      <c r="I13" s="22" t="str">
        <f aca="false">IF(F13&gt;=$M$3,"Besar",IF(F13&gt;=$M$4,"Sedang","Kecil"))</f>
        <v>Besar</v>
      </c>
      <c r="J13" s="22" t="str">
        <f aca="false">IF(OR(D13="Perusahaan",I13="Besar"),"Piagam","Ucapan")</f>
        <v>Piagam</v>
      </c>
    </row>
    <row r="14" customFormat="false" ht="15" hidden="false" customHeight="false" outlineLevel="0" collapsed="false">
      <c r="A14" s="17" t="n">
        <v>13</v>
      </c>
      <c r="B14" s="18" t="n">
        <v>46282</v>
      </c>
      <c r="C14" s="19" t="s">
        <v>103</v>
      </c>
      <c r="D14" s="19" t="s">
        <v>84</v>
      </c>
      <c r="E14" s="19" t="s">
        <v>94</v>
      </c>
      <c r="F14" s="20" t="n">
        <v>1000000</v>
      </c>
      <c r="G14" s="21" t="n">
        <f aca="false">IF(E14="QRIS",ROUND(F14*$M$2,0),0)</f>
        <v>7000</v>
      </c>
      <c r="H14" s="21" t="n">
        <f aca="false">F14-G14</f>
        <v>993000</v>
      </c>
      <c r="I14" s="22" t="str">
        <f aca="false">IF(F14&gt;=$M$3,"Besar",IF(F14&gt;=$M$4,"Sedang","Kecil"))</f>
        <v>Besar</v>
      </c>
      <c r="J14" s="22" t="str">
        <f aca="false">IF(OR(D14="Perusahaan",I14="Besar"),"Piagam","Ucapan")</f>
        <v>Piagam</v>
      </c>
    </row>
    <row r="15" customFormat="false" ht="15" hidden="false" customHeight="false" outlineLevel="0" collapsed="false">
      <c r="A15" s="17" t="n">
        <v>14</v>
      </c>
      <c r="B15" s="18" t="n">
        <v>46283</v>
      </c>
      <c r="C15" s="19" t="s">
        <v>104</v>
      </c>
      <c r="D15" s="19" t="s">
        <v>88</v>
      </c>
      <c r="E15" s="19" t="s">
        <v>96</v>
      </c>
      <c r="F15" s="20" t="n">
        <v>50000</v>
      </c>
      <c r="G15" s="21" t="n">
        <f aca="false">IF(E15="QRIS",ROUND(F15*$M$2,0),0)</f>
        <v>0</v>
      </c>
      <c r="H15" s="21" t="n">
        <f aca="false">F15-G15</f>
        <v>50000</v>
      </c>
      <c r="I15" s="22" t="str">
        <f aca="false">IF(F15&gt;=$M$3,"Besar",IF(F15&gt;=$M$4,"Sedang","Kecil"))</f>
        <v>Kecil</v>
      </c>
      <c r="J15" s="22" t="str">
        <f aca="false">IF(OR(D15="Perusahaan",I15="Besar"),"Piagam","Ucapan")</f>
        <v>Ucapan</v>
      </c>
    </row>
    <row r="16" customFormat="false" ht="15" hidden="false" customHeight="false" outlineLevel="0" collapsed="false">
      <c r="A16" s="17" t="n">
        <v>15</v>
      </c>
      <c r="B16" s="18" t="n">
        <v>46284</v>
      </c>
      <c r="C16" s="19" t="s">
        <v>105</v>
      </c>
      <c r="D16" s="19" t="s">
        <v>88</v>
      </c>
      <c r="E16" s="19" t="s">
        <v>85</v>
      </c>
      <c r="F16" s="20" t="n">
        <v>250000</v>
      </c>
      <c r="G16" s="21" t="n">
        <f aca="false">IF(E16="QRIS",ROUND(F16*$M$2,0),0)</f>
        <v>0</v>
      </c>
      <c r="H16" s="21" t="n">
        <f aca="false">F16-G16</f>
        <v>250000</v>
      </c>
      <c r="I16" s="22" t="str">
        <f aca="false">IF(F16&gt;=$M$3,"Besar",IF(F16&gt;=$M$4,"Sedang","Kecil"))</f>
        <v>Sedang</v>
      </c>
      <c r="J16" s="22" t="str">
        <f aca="false">IF(OR(D16="Perusahaan",I16="Besar"),"Piagam","Ucapan")</f>
        <v>Ucapan</v>
      </c>
    </row>
    <row r="17" customFormat="false" ht="15" hidden="false" customHeight="false" outlineLevel="0" collapsed="false">
      <c r="A17" s="17" t="n">
        <v>16</v>
      </c>
      <c r="B17" s="18" t="n">
        <v>46284</v>
      </c>
      <c r="C17" s="19" t="s">
        <v>106</v>
      </c>
      <c r="D17" s="19" t="s">
        <v>88</v>
      </c>
      <c r="E17" s="19" t="s">
        <v>94</v>
      </c>
      <c r="F17" s="20" t="n">
        <v>250000</v>
      </c>
      <c r="G17" s="21" t="n">
        <f aca="false">IF(E17="QRIS",ROUND(F17*$M$2,0),0)</f>
        <v>1750</v>
      </c>
      <c r="H17" s="21" t="n">
        <f aca="false">F17-G17</f>
        <v>248250</v>
      </c>
      <c r="I17" s="22" t="str">
        <f aca="false">IF(F17&gt;=$M$3,"Besar",IF(F17&gt;=$M$4,"Sedang","Kecil"))</f>
        <v>Sedang</v>
      </c>
      <c r="J17" s="22" t="str">
        <f aca="false">IF(OR(D17="Perusahaan",I17="Besar"),"Piagam","Ucapan")</f>
        <v>Ucapan</v>
      </c>
    </row>
    <row r="18" customFormat="false" ht="15" hidden="false" customHeight="false" outlineLevel="0" collapsed="false">
      <c r="A18" s="17" t="n">
        <v>17</v>
      </c>
      <c r="B18" s="18" t="n">
        <v>46284</v>
      </c>
      <c r="C18" s="19" t="s">
        <v>107</v>
      </c>
      <c r="D18" s="19" t="s">
        <v>102</v>
      </c>
      <c r="E18" s="19" t="s">
        <v>94</v>
      </c>
      <c r="F18" s="20" t="n">
        <v>750000</v>
      </c>
      <c r="G18" s="21" t="n">
        <f aca="false">IF(E18="QRIS",ROUND(F18*$M$2,0),0)</f>
        <v>5250</v>
      </c>
      <c r="H18" s="21" t="n">
        <f aca="false">F18-G18</f>
        <v>744750</v>
      </c>
      <c r="I18" s="22" t="str">
        <f aca="false">IF(F18&gt;=$M$3,"Besar",IF(F18&gt;=$M$4,"Sedang","Kecil"))</f>
        <v>Sedang</v>
      </c>
      <c r="J18" s="22" t="str">
        <f aca="false">IF(OR(D18="Perusahaan",I18="Besar"),"Piagam","Ucapan")</f>
        <v>Ucapan</v>
      </c>
    </row>
    <row r="19" customFormat="false" ht="15" hidden="false" customHeight="false" outlineLevel="0" collapsed="false">
      <c r="A19" s="17" t="n">
        <v>18</v>
      </c>
      <c r="B19" s="18" t="n">
        <v>46285</v>
      </c>
      <c r="C19" s="19" t="s">
        <v>108</v>
      </c>
      <c r="D19" s="19" t="s">
        <v>84</v>
      </c>
      <c r="E19" s="19" t="s">
        <v>85</v>
      </c>
      <c r="F19" s="20" t="n">
        <v>2500000</v>
      </c>
      <c r="G19" s="21" t="n">
        <f aca="false">IF(E19="QRIS",ROUND(F19*$M$2,0),0)</f>
        <v>0</v>
      </c>
      <c r="H19" s="21" t="n">
        <f aca="false">F19-G19</f>
        <v>2500000</v>
      </c>
      <c r="I19" s="22" t="str">
        <f aca="false">IF(F19&gt;=$M$3,"Besar",IF(F19&gt;=$M$4,"Sedang","Kecil"))</f>
        <v>Besar</v>
      </c>
      <c r="J19" s="22" t="str">
        <f aca="false">IF(OR(D19="Perusahaan",I19="Besar"),"Piagam","Ucapan")</f>
        <v>Piagam</v>
      </c>
    </row>
    <row r="20" customFormat="false" ht="15" hidden="false" customHeight="false" outlineLevel="0" collapsed="false">
      <c r="A20" s="17" t="n">
        <v>19</v>
      </c>
      <c r="B20" s="18" t="n">
        <v>46288</v>
      </c>
      <c r="C20" s="19" t="s">
        <v>109</v>
      </c>
      <c r="D20" s="19" t="s">
        <v>84</v>
      </c>
      <c r="E20" s="19" t="s">
        <v>96</v>
      </c>
      <c r="F20" s="20" t="n">
        <v>1500000</v>
      </c>
      <c r="G20" s="21" t="n">
        <f aca="false">IF(E20="QRIS",ROUND(F20*$M$2,0),0)</f>
        <v>0</v>
      </c>
      <c r="H20" s="21" t="n">
        <f aca="false">F20-G20</f>
        <v>1500000</v>
      </c>
      <c r="I20" s="22" t="str">
        <f aca="false">IF(F20&gt;=$M$3,"Besar",IF(F20&gt;=$M$4,"Sedang","Kecil"))</f>
        <v>Besar</v>
      </c>
      <c r="J20" s="22" t="str">
        <f aca="false">IF(OR(D20="Perusahaan",I20="Besar"),"Piagam","Ucapan")</f>
        <v>Piagam</v>
      </c>
    </row>
    <row r="21" customFormat="false" ht="15" hidden="false" customHeight="false" outlineLevel="0" collapsed="false">
      <c r="A21" s="17" t="n">
        <v>20</v>
      </c>
      <c r="B21" s="18" t="n">
        <v>46291</v>
      </c>
      <c r="C21" s="19" t="s">
        <v>110</v>
      </c>
      <c r="D21" s="19" t="s">
        <v>102</v>
      </c>
      <c r="E21" s="19" t="s">
        <v>94</v>
      </c>
      <c r="F21" s="20" t="n">
        <v>1500000</v>
      </c>
      <c r="G21" s="21" t="n">
        <f aca="false">IF(E21="QRIS",ROUND(F21*$M$2,0),0)</f>
        <v>10500</v>
      </c>
      <c r="H21" s="21" t="n">
        <f aca="false">F21-G21</f>
        <v>1489500</v>
      </c>
      <c r="I21" s="22" t="str">
        <f aca="false">IF(F21&gt;=$M$3,"Besar",IF(F21&gt;=$M$4,"Sedang","Kecil"))</f>
        <v>Besar</v>
      </c>
      <c r="J21" s="22" t="str">
        <f aca="false">IF(OR(D21="Perusahaan",I21="Besar"),"Piagam","Ucapan")</f>
        <v>Piagam</v>
      </c>
    </row>
    <row r="22" customFormat="false" ht="15" hidden="false" customHeight="false" outlineLevel="0" collapsed="false">
      <c r="A22" s="17" t="n">
        <v>21</v>
      </c>
      <c r="B22" s="18" t="n">
        <v>46292</v>
      </c>
      <c r="C22" s="19" t="s">
        <v>111</v>
      </c>
      <c r="D22" s="19" t="s">
        <v>102</v>
      </c>
      <c r="E22" s="19" t="s">
        <v>85</v>
      </c>
      <c r="F22" s="20" t="n">
        <v>500000</v>
      </c>
      <c r="G22" s="21" t="n">
        <f aca="false">IF(E22="QRIS",ROUND(F22*$M$2,0),0)</f>
        <v>0</v>
      </c>
      <c r="H22" s="21" t="n">
        <f aca="false">F22-G22</f>
        <v>500000</v>
      </c>
      <c r="I22" s="22" t="str">
        <f aca="false">IF(F22&gt;=$M$3,"Besar",IF(F22&gt;=$M$4,"Sedang","Kecil"))</f>
        <v>Sedang</v>
      </c>
      <c r="J22" s="22" t="str">
        <f aca="false">IF(OR(D22="Perusahaan",I22="Besar"),"Piagam","Ucapan")</f>
        <v>Ucapan</v>
      </c>
    </row>
    <row r="23" customFormat="false" ht="15" hidden="false" customHeight="false" outlineLevel="0" collapsed="false">
      <c r="A23" s="17" t="n">
        <v>22</v>
      </c>
      <c r="B23" s="18" t="n">
        <v>46292</v>
      </c>
      <c r="C23" s="19" t="s">
        <v>112</v>
      </c>
      <c r="D23" s="19" t="s">
        <v>88</v>
      </c>
      <c r="E23" s="19" t="s">
        <v>96</v>
      </c>
      <c r="F23" s="20" t="n">
        <v>200000</v>
      </c>
      <c r="G23" s="21" t="n">
        <f aca="false">IF(E23="QRIS",ROUND(F23*$M$2,0),0)</f>
        <v>0</v>
      </c>
      <c r="H23" s="21" t="n">
        <f aca="false">F23-G23</f>
        <v>200000</v>
      </c>
      <c r="I23" s="22" t="str">
        <f aca="false">IF(F23&gt;=$M$3,"Besar",IF(F23&gt;=$M$4,"Sedang","Kecil"))</f>
        <v>Kecil</v>
      </c>
      <c r="J23" s="22" t="str">
        <f aca="false">IF(OR(D23="Perusahaan",I23="Besar"),"Piagam","Ucapan")</f>
        <v>Ucapan</v>
      </c>
    </row>
    <row r="24" customFormat="false" ht="15" hidden="false" customHeight="false" outlineLevel="0" collapsed="false">
      <c r="A24" s="17" t="n">
        <v>23</v>
      </c>
      <c r="B24" s="18" t="n">
        <v>46295</v>
      </c>
      <c r="C24" s="19" t="s">
        <v>113</v>
      </c>
      <c r="D24" s="19" t="s">
        <v>88</v>
      </c>
      <c r="E24" s="19" t="s">
        <v>94</v>
      </c>
      <c r="F24" s="20" t="n">
        <v>200000</v>
      </c>
      <c r="G24" s="21" t="n">
        <f aca="false">IF(E24="QRIS",ROUND(F24*$M$2,0),0)</f>
        <v>1400</v>
      </c>
      <c r="H24" s="21" t="n">
        <f aca="false">F24-G24</f>
        <v>198600</v>
      </c>
      <c r="I24" s="22" t="str">
        <f aca="false">IF(F24&gt;=$M$3,"Besar",IF(F24&gt;=$M$4,"Sedang","Kecil"))</f>
        <v>Kecil</v>
      </c>
      <c r="J24" s="22" t="str">
        <f aca="false">IF(OR(D24="Perusahaan",I24="Besar"),"Piagam","Ucapan")</f>
        <v>Ucapan</v>
      </c>
    </row>
    <row r="25" customFormat="false" ht="15" hidden="false" customHeight="false" outlineLevel="0" collapsed="false">
      <c r="A25" s="17" t="n">
        <v>24</v>
      </c>
      <c r="B25" s="18" t="n">
        <v>46295</v>
      </c>
      <c r="C25" s="19" t="s">
        <v>114</v>
      </c>
      <c r="D25" s="19" t="s">
        <v>88</v>
      </c>
      <c r="E25" s="19" t="s">
        <v>94</v>
      </c>
      <c r="F25" s="20" t="n">
        <v>100000</v>
      </c>
      <c r="G25" s="21" t="n">
        <f aca="false">IF(E25="QRIS",ROUND(F25*$M$2,0),0)</f>
        <v>700</v>
      </c>
      <c r="H25" s="21" t="n">
        <f aca="false">F25-G25</f>
        <v>99300</v>
      </c>
      <c r="I25" s="22" t="str">
        <f aca="false">IF(F25&gt;=$M$3,"Besar",IF(F25&gt;=$M$4,"Sedang","Kecil"))</f>
        <v>Kecil</v>
      </c>
      <c r="J25" s="22" t="str">
        <f aca="false">IF(OR(D25="Perusahaan",I25="Besar"),"Piagam","Ucapan")</f>
        <v>Ucapan</v>
      </c>
    </row>
    <row r="26" customFormat="false" ht="15" hidden="false" customHeight="false" outlineLevel="0" collapsed="false">
      <c r="A26" s="17" t="n">
        <v>25</v>
      </c>
      <c r="B26" s="18" t="n">
        <v>46295</v>
      </c>
      <c r="C26" s="19" t="s">
        <v>115</v>
      </c>
      <c r="D26" s="19" t="s">
        <v>88</v>
      </c>
      <c r="E26" s="19" t="s">
        <v>96</v>
      </c>
      <c r="F26" s="20" t="n">
        <v>500000</v>
      </c>
      <c r="G26" s="21" t="n">
        <f aca="false">IF(E26="QRIS",ROUND(F26*$M$2,0),0)</f>
        <v>0</v>
      </c>
      <c r="H26" s="21" t="n">
        <f aca="false">F26-G26</f>
        <v>500000</v>
      </c>
      <c r="I26" s="22" t="str">
        <f aca="false">IF(F26&gt;=$M$3,"Besar",IF(F26&gt;=$M$4,"Sedang","Kecil"))</f>
        <v>Sedang</v>
      </c>
      <c r="J26" s="22" t="str">
        <f aca="false">IF(OR(D26="Perusahaan",I26="Besar"),"Piagam","Ucapan")</f>
        <v>Ucapan</v>
      </c>
    </row>
    <row r="27" customFormat="false" ht="15" hidden="false" customHeight="false" outlineLevel="0" collapsed="false">
      <c r="A27" s="17" t="n">
        <v>26</v>
      </c>
      <c r="B27" s="18" t="n">
        <v>46299</v>
      </c>
      <c r="C27" s="19" t="s">
        <v>116</v>
      </c>
      <c r="D27" s="19" t="s">
        <v>88</v>
      </c>
      <c r="E27" s="19" t="s">
        <v>96</v>
      </c>
      <c r="F27" s="20" t="n">
        <v>50000</v>
      </c>
      <c r="G27" s="21" t="n">
        <f aca="false">IF(E27="QRIS",ROUND(F27*$M$2,0),0)</f>
        <v>0</v>
      </c>
      <c r="H27" s="21" t="n">
        <f aca="false">F27-G27</f>
        <v>50000</v>
      </c>
      <c r="I27" s="22" t="str">
        <f aca="false">IF(F27&gt;=$M$3,"Besar",IF(F27&gt;=$M$4,"Sedang","Kecil"))</f>
        <v>Kecil</v>
      </c>
      <c r="J27" s="22" t="str">
        <f aca="false">IF(OR(D27="Perusahaan",I27="Besar"),"Piagam","Ucapan")</f>
        <v>Ucapan</v>
      </c>
    </row>
    <row r="28" customFormat="false" ht="15" hidden="false" customHeight="false" outlineLevel="0" collapsed="false">
      <c r="A28" s="17" t="n">
        <v>27</v>
      </c>
      <c r="B28" s="18" t="n">
        <v>46300</v>
      </c>
      <c r="C28" s="19" t="s">
        <v>117</v>
      </c>
      <c r="D28" s="19" t="s">
        <v>102</v>
      </c>
      <c r="E28" s="19" t="s">
        <v>96</v>
      </c>
      <c r="F28" s="20" t="n">
        <v>1250000</v>
      </c>
      <c r="G28" s="21" t="n">
        <f aca="false">IF(E28="QRIS",ROUND(F28*$M$2,0),0)</f>
        <v>0</v>
      </c>
      <c r="H28" s="21" t="n">
        <f aca="false">F28-G28</f>
        <v>1250000</v>
      </c>
      <c r="I28" s="22" t="str">
        <f aca="false">IF(F28&gt;=$M$3,"Besar",IF(F28&gt;=$M$4,"Sedang","Kecil"))</f>
        <v>Besar</v>
      </c>
      <c r="J28" s="22" t="str">
        <f aca="false">IF(OR(D28="Perusahaan",I28="Besar"),"Piagam","Ucapan")</f>
        <v>Piagam</v>
      </c>
    </row>
    <row r="29" customFormat="false" ht="15" hidden="false" customHeight="false" outlineLevel="0" collapsed="false">
      <c r="A29" s="17" t="n">
        <v>28</v>
      </c>
      <c r="B29" s="18" t="n">
        <v>46306</v>
      </c>
      <c r="C29" s="19" t="s">
        <v>118</v>
      </c>
      <c r="D29" s="19" t="s">
        <v>84</v>
      </c>
      <c r="E29" s="19" t="s">
        <v>85</v>
      </c>
      <c r="F29" s="20" t="n">
        <v>2000000</v>
      </c>
      <c r="G29" s="21" t="n">
        <f aca="false">IF(E29="QRIS",ROUND(F29*$M$2,0),0)</f>
        <v>0</v>
      </c>
      <c r="H29" s="21" t="n">
        <f aca="false">F29-G29</f>
        <v>2000000</v>
      </c>
      <c r="I29" s="22" t="str">
        <f aca="false">IF(F29&gt;=$M$3,"Besar",IF(F29&gt;=$M$4,"Sedang","Kecil"))</f>
        <v>Besar</v>
      </c>
      <c r="J29" s="22" t="str">
        <f aca="false">IF(OR(D29="Perusahaan",I29="Besar"),"Piagam","Ucapan")</f>
        <v>Piagam</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5"/>
    <col collapsed="false" customWidth="true" hidden="false" outlineLevel="0" max="3" min="3" style="0" width="19"/>
    <col collapsed="false" customWidth="true" hidden="false" outlineLevel="0" max="4" min="4" style="0" width="16"/>
  </cols>
  <sheetData>
    <row r="1" customFormat="false" ht="33.75" hidden="false" customHeight="true" outlineLevel="0" collapsed="false">
      <c r="A1" s="11" t="s">
        <v>73</v>
      </c>
      <c r="B1" s="15" t="s">
        <v>119</v>
      </c>
      <c r="C1" s="15" t="s">
        <v>120</v>
      </c>
      <c r="D1" s="15" t="s">
        <v>121</v>
      </c>
    </row>
    <row r="2" customFormat="false" ht="15" hidden="false" customHeight="false" outlineLevel="0" collapsed="false">
      <c r="A2" s="19" t="s">
        <v>88</v>
      </c>
      <c r="B2" s="26" t="n">
        <f aca="false">COUNTIF(Data!$D$2:$D$29,A2)</f>
        <v>15</v>
      </c>
      <c r="C2" s="21" t="n">
        <f aca="false">SUMIF(Data!$D$2:$D$29,A2,Data!$H$2:$H$29)</f>
        <v>3395100</v>
      </c>
      <c r="D2" s="21" t="n">
        <f aca="false">AVERAGEIF(Data!$D$2:$D$29,A2,Data!$F$2:$F$29)</f>
        <v>226666.666666667</v>
      </c>
    </row>
    <row r="3" customFormat="false" ht="15" hidden="false" customHeight="false" outlineLevel="0" collapsed="false">
      <c r="A3" s="19" t="s">
        <v>84</v>
      </c>
      <c r="B3" s="26" t="n">
        <f aca="false">COUNTIF(Data!$D$2:$D$29,A3)</f>
        <v>8</v>
      </c>
      <c r="C3" s="21" t="n">
        <f aca="false">SUMIF(Data!$D$2:$D$29,A3,Data!$H$2:$H$29)</f>
        <v>16493000</v>
      </c>
      <c r="D3" s="21" t="n">
        <f aca="false">AVERAGEIF(Data!$D$2:$D$29,A3,Data!$F$2:$F$29)</f>
        <v>2062500</v>
      </c>
    </row>
    <row r="4" customFormat="false" ht="15" hidden="false" customHeight="false" outlineLevel="0" collapsed="false">
      <c r="A4" s="19" t="s">
        <v>102</v>
      </c>
      <c r="B4" s="26" t="n">
        <f aca="false">COUNTIF(Data!$D$2:$D$29,A4)</f>
        <v>5</v>
      </c>
      <c r="C4" s="21" t="n">
        <f aca="false">SUMIF(Data!$D$2:$D$29,A4,Data!$H$2:$H$29)</f>
        <v>5234250</v>
      </c>
      <c r="D4" s="21" t="n">
        <f aca="false">AVERAGEIF(Data!$D$2:$D$29,A4,Data!$F$2:$F$29)</f>
        <v>1050000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122</v>
      </c>
      <c r="B1" s="27"/>
      <c r="C1" s="27"/>
      <c r="D1" s="27"/>
    </row>
    <row r="2" customFormat="false" ht="15" hidden="false" customHeight="false" outlineLevel="0" collapsed="false">
      <c r="A2" s="28" t="s">
        <v>123</v>
      </c>
      <c r="B2" s="28"/>
      <c r="C2" s="28"/>
      <c r="D2" s="28"/>
    </row>
    <row r="3" customFormat="false" ht="15" hidden="false" customHeight="false" outlineLevel="0" collapsed="false">
      <c r="A3" s="11" t="s">
        <v>19</v>
      </c>
      <c r="B3" s="11" t="s">
        <v>124</v>
      </c>
      <c r="C3" s="11" t="s">
        <v>125</v>
      </c>
      <c r="D3" s="11" t="s">
        <v>126</v>
      </c>
    </row>
    <row r="4" customFormat="false" ht="15" hidden="false" customHeight="false" outlineLevel="0" collapsed="false">
      <c r="A4" s="29" t="s">
        <v>127</v>
      </c>
      <c r="B4" s="30" t="s">
        <v>128</v>
      </c>
      <c r="C4" s="21" t="n">
        <f aca="false">SUM(Data!$F$2:$F$29)</f>
        <v>25150000</v>
      </c>
      <c r="D4" s="31" t="s">
        <v>129</v>
      </c>
    </row>
    <row r="5" customFormat="false" ht="15" hidden="false" customHeight="false" outlineLevel="0" collapsed="false">
      <c r="A5" s="29" t="s">
        <v>130</v>
      </c>
      <c r="B5" s="30" t="s">
        <v>131</v>
      </c>
      <c r="C5" s="21" t="n">
        <f aca="false">SUM(Data!$G$2:$G$29)</f>
        <v>27650</v>
      </c>
      <c r="D5" s="31" t="s">
        <v>132</v>
      </c>
    </row>
    <row r="6" customFormat="false" ht="15" hidden="false" customHeight="false" outlineLevel="0" collapsed="false">
      <c r="A6" s="29" t="s">
        <v>133</v>
      </c>
      <c r="B6" s="30" t="s">
        <v>134</v>
      </c>
      <c r="C6" s="21" t="n">
        <f aca="false">SUM(Data!$H$2:$H$29)</f>
        <v>25122350</v>
      </c>
      <c r="D6" s="31" t="s">
        <v>135</v>
      </c>
    </row>
    <row r="7" customFormat="false" ht="15" hidden="false" customHeight="false" outlineLevel="0" collapsed="false">
      <c r="A7" s="29" t="s">
        <v>136</v>
      </c>
      <c r="B7" s="30" t="s">
        <v>137</v>
      </c>
      <c r="C7" s="32" t="n">
        <f aca="false">C6/Data!$M$5</f>
        <v>0.866287931034483</v>
      </c>
      <c r="D7" s="31" t="s">
        <v>138</v>
      </c>
    </row>
    <row r="8" customFormat="false" ht="15" hidden="false" customHeight="false" outlineLevel="0" collapsed="false">
      <c r="A8" s="29" t="s">
        <v>139</v>
      </c>
      <c r="B8" s="30" t="s">
        <v>140</v>
      </c>
      <c r="C8" s="21" t="n">
        <f aca="false">Data!$M$5-C6</f>
        <v>3877650</v>
      </c>
      <c r="D8" s="31" t="s">
        <v>141</v>
      </c>
    </row>
    <row r="9" customFormat="false" ht="15" hidden="false" customHeight="false" outlineLevel="0" collapsed="false">
      <c r="A9" s="29" t="s">
        <v>142</v>
      </c>
      <c r="B9" s="30" t="s">
        <v>143</v>
      </c>
      <c r="C9" s="26" t="n">
        <f aca="false">COUNTIF(Data!$E$2:$E$29,"QRIS")</f>
        <v>7</v>
      </c>
      <c r="D9" s="31" t="s">
        <v>144</v>
      </c>
    </row>
    <row r="10" customFormat="false" ht="15" hidden="false" customHeight="false" outlineLevel="0" collapsed="false">
      <c r="A10" s="29" t="s">
        <v>145</v>
      </c>
      <c r="B10" s="30" t="s">
        <v>146</v>
      </c>
      <c r="C10" s="26" t="n">
        <f aca="false">COUNTIF(Data!$J$2:$J$29,"Piagam")</f>
        <v>11</v>
      </c>
      <c r="D10" s="31" t="s">
        <v>147</v>
      </c>
    </row>
    <row r="11" customFormat="false" ht="15" hidden="false" customHeight="false" outlineLevel="0" collapsed="false">
      <c r="A11" s="29" t="s">
        <v>148</v>
      </c>
      <c r="B11" s="30" t="s">
        <v>149</v>
      </c>
      <c r="C11" s="22" t="str">
        <f aca="false">INDEX(Data!$C$2:$C$29,MATCH(MAX(Data!$F$2:$F$29),Data!$F$2:$F$29,0))</f>
        <v>PT Karya Sentosa</v>
      </c>
      <c r="D11" s="31" t="s">
        <v>150</v>
      </c>
    </row>
    <row r="12" customFormat="false" ht="15" hidden="false" customHeight="false" outlineLevel="0" collapsed="false">
      <c r="A12" s="29" t="s">
        <v>151</v>
      </c>
      <c r="B12" s="30" t="s">
        <v>152</v>
      </c>
      <c r="C12" s="22" t="str">
        <f aca="false">INDEX(Acuan!$A$2:$A$4,MATCH(MAX(Acuan!$C$2:$C$4),Acuan!$C$2:$C$4,0))</f>
        <v>Perusahaan</v>
      </c>
      <c r="D12" s="31" t="s">
        <v>153</v>
      </c>
    </row>
    <row r="13" customFormat="false" ht="15" hidden="false" customHeight="false" outlineLevel="0" collapsed="false">
      <c r="A13" s="29" t="s">
        <v>154</v>
      </c>
      <c r="B13" s="30" t="s">
        <v>155</v>
      </c>
      <c r="C13" s="21" t="n">
        <f aca="false">SUMIF(Data!$E$2:$E$29,"Tunai",Data!$F$2:$F$29)</f>
        <v>14850000</v>
      </c>
      <c r="D13" s="31" t="s">
        <v>156</v>
      </c>
    </row>
    <row r="14" customFormat="false" ht="15" hidden="false" customHeight="false" outlineLevel="0" collapsed="false">
      <c r="A14" s="29" t="s">
        <v>157</v>
      </c>
      <c r="B14" s="30" t="s">
        <v>158</v>
      </c>
      <c r="C14" s="26" t="n">
        <f aca="false">COUNTIFS(Data!$D$2:$D$29,"Perorangan",Data!$I$2:$I$29,"Kecil")</f>
        <v>9</v>
      </c>
      <c r="D14" s="31" t="s">
        <v>159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2026-10-14T23:34:01Z</dcterms:created>
  <dc:creator>PushExcel</dc:creator>
  <dc:description/>
  <dc:language>en-US</dc:language>
  <cp:lastModifiedBy/>
  <dcterms:modified xsi:type="dcterms:W3CDTF">2026-10-14T23:34:01Z</dcterms:modified>
  <cp:revision>0</cp:revision>
  <dc:subject/>
  <dc:title>Rekap Donasi Kegiatan Sosial - Kunci</dc:title>
</cp:coreProperties>
</file>

<file path=docProps/custom.xml><?xml version="1.0" encoding="utf-8"?>
<Properties xmlns="http://schemas.openxmlformats.org/officeDocument/2006/custom-properties" xmlns:vt="http://schemas.openxmlformats.org/officeDocument/2006/docPropsVTypes"/>
</file>