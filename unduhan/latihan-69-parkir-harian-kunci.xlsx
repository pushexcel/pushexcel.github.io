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<sst xmlns="http://schemas.openxmlformats.org/spreadsheetml/2006/main" count="183" uniqueCount="148">
  <si>
    <t xml:space="preserve">Kunci Jawaban: Pendapatan Parkir Harian Motor dan Mobil</t>
  </si>
  <si>
    <t xml:space="preserve">Latihan 69 dari 40  |  Tingkat: Pemula  |  Perkiraan waktu: 35 menit  |  pushexcel.github.io/Pushexcel</t>
  </si>
  <si>
    <t xml:space="preserve">Skenario</t>
  </si>
  <si>
    <t xml:space="preserve">Kamu petugas pencatat di Parkiran Pasar Tengah yang buka pukul 06.00 sampai 23.00. Kamu mencatat 32 kendaraan dalam satu hari lengkap dengan jenis kendaraan, jam masuk, dan jam keluar. Tarif per jam ada di sheet Acuan: motor dan mobil berbeda. Lama parkir ditagih per jam penuh, jadi sisa menit dibulatkan ke atas ke jam berikutnya. Sesi masuk dibagi dari jam masuk: sebelum pukul 12 Pagi, sebelum pukul 15 Siang, selain itu Sore.</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</si>
  <si>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</si>
  <si>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</si>
  <si>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</si>
  <si>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</si>
  <si>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</si>
  <si>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</si>
  <si>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</si>
  <si>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</si>
  <si>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</si>
  <si>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</si>
  <si>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</si>
  <si>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</si>
  <si>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</si>
  <si>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</si>
  <si>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</si>
  <si>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</si>
  <si>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</si>
  <si>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</si>
  <si>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</si>
  <si>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</si>
  <si>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Hitung durasi parkir dalam menit dari jam masuk sampai jam keluar. Ubah jam ke menit dengan mengalikan 60.</t>
  </si>
  <si>
    <t xml:space="preserve">Sheet Data, kolom E (Durasi (Menit)), baris 2 sampai 33</t>
  </si>
  <si>
    <t xml:space="preserve">=(HOUR(D2)-HOUR(C2))*60+MINUTE(D2)-MINUTE(C2)</t>
  </si>
  <si>
    <t xml:space="preserve">2</t>
  </si>
  <si>
    <t xml:space="preserve">Hitung jam tagih: durasi dalam menit dibagi 60, dibulatkan ke atas ke bilangan bulat.</t>
  </si>
  <si>
    <t xml:space="preserve">Sheet Data, kolom F (Jam Tagih), baris 2 sampai 33</t>
  </si>
  <si>
    <t xml:space="preserve">=ROUNDUP(E2/60;0)</t>
  </si>
  <si>
    <t xml:space="preserve">3</t>
  </si>
  <si>
    <t xml:space="preserve">Ambil tarif per jam tiap kendaraan dari tabel tarif di sheet Acuan berdasarkan jenis kendaraannya (pencocokan persis).</t>
  </si>
  <si>
    <t xml:space="preserve">Sheet Data, kolom G (Tarif per Jam), baris 2 sampai 33</t>
  </si>
  <si>
    <t xml:space="preserve">=VLOOKUP(B2;Acuan!$A$2:$B$3;2;FALSE)</t>
  </si>
  <si>
    <t xml:space="preserve">4</t>
  </si>
  <si>
    <t xml:space="preserve">Hitung total bayar: jam tagih dikali tarif per jam.</t>
  </si>
  <si>
    <t xml:space="preserve">Sheet Data, kolom H (Total Bayar), baris 2 sampai 33</t>
  </si>
  <si>
    <t xml:space="preserve">=F2*G2</t>
  </si>
  <si>
    <t xml:space="preserve">5</t>
  </si>
  <si>
    <t xml:space="preserve">Tentukan sesi masuk dari jam masuk: Pagi bila jam sebelum batas pagi, Siang bila sebelum batas siang, selain itu Sore.</t>
  </si>
  <si>
    <t xml:space="preserve">Sheet Data, kolom I (Sesi Masuk), baris 2 sampai 33</t>
  </si>
  <si>
    <t xml:space="preserve">=IF(HOUR(C2)&lt;$L$2;"Pagi";IF(HOUR(C2)&lt;$L$3;"Siang";"Sore"))</t>
  </si>
  <si>
    <t xml:space="preserve">6</t>
  </si>
  <si>
    <t xml:space="preserve">Pada sheet Acuan, hitung jumlah kendaraan tiap jenis.</t>
  </si>
  <si>
    <t xml:space="preserve">Sheet Acuan, kolom C (Jumlah Kendaraan), baris 2 sampai 3</t>
  </si>
  <si>
    <t xml:space="preserve">=COUNTIF(Data!$B$2:$B$33;A2)</t>
  </si>
  <si>
    <t xml:space="preserve">7</t>
  </si>
  <si>
    <t xml:space="preserve">Pada sheet Acuan, hitung total pendapatan parkir tiap jenis kendaraan.</t>
  </si>
  <si>
    <t xml:space="preserve">Sheet Acuan, kolom D (Total Pendapatan), baris 2 sampai 3</t>
  </si>
  <si>
    <t xml:space="preserve">=SUMIF(Data!$B$2:$B$33;A2;Data!$H$2:$H$33)</t>
  </si>
  <si>
    <t xml:space="preserve">8</t>
  </si>
  <si>
    <t xml:space="preserve">Berapa jumlah kendaraan yang parkir, dan berapa total pendapatan parkir hari itu?</t>
  </si>
  <si>
    <t xml:space="preserve">Sheet Ringkasan, sel C4 sampai C5</t>
  </si>
  <si>
    <t xml:space="preserve">=COUNTA(Data!$A$2:$A$33)
=SUM(Data!$H$2:$H$33)</t>
  </si>
  <si>
    <t xml:space="preserve">9</t>
  </si>
  <si>
    <t xml:space="preserve">Berapa rata-rata durasi parkir (menit), dan berapa total jam tagih seluruh kendaraan?</t>
  </si>
  <si>
    <t xml:space="preserve">Sheet Ringkasan, sel C6 sampai C7</t>
  </si>
  <si>
    <t xml:space="preserve">=AVERAGE(Data!$E$2:$E$33)
=SUM(Data!$F$2:$F$33)</t>
  </si>
  <si>
    <t xml:space="preserve">10</t>
  </si>
  <si>
    <t xml:space="preserve">Kendaraan dengan nomor karcis berapa yang parkir paling lama, dan jenis kendaraan apa yang pendapatannya terbesar?</t>
  </si>
  <si>
    <t xml:space="preserve">Sheet Ringkasan, sel C8 sampai C9</t>
  </si>
  <si>
    <t xml:space="preserve">=INDEX(Data!$A$2:$A$33;MATCH(MAX(Data!$E$2:$E$33);Data!$E$2:$E$33;0))
=INDEX(Acuan!$A$2:$A$3;MATCH(MAX(Acuan!$D$2:$D$3);Acuan!$D$2:$D$3;0))</t>
  </si>
  <si>
    <t xml:space="preserve">11</t>
  </si>
  <si>
    <t xml:space="preserve">Berapa mobil yang masuk pada sesi Pagi, dan berapa total bayar kendaraan yang masuk pada sesi Sore?</t>
  </si>
  <si>
    <t xml:space="preserve">Sheet Ringkasan, sel C10 sampai C11</t>
  </si>
  <si>
    <t xml:space="preserve">=COUNTIFS(Data!$B$2:$B$33;"Mobil";Data!$I$2:$I$33;"Pagi")
=SUMIF(Data!$I$2:$I$33;"Sore";Data!$H$2:$H$33)</t>
  </si>
  <si>
    <t xml:space="preserve">No Karcis</t>
  </si>
  <si>
    <t xml:space="preserve">Jenis Kendaraan</t>
  </si>
  <si>
    <t xml:space="preserve">Jam Masuk</t>
  </si>
  <si>
    <t xml:space="preserve">Jam Keluar</t>
  </si>
  <si>
    <t xml:space="preserve">Durasi (Menit)</t>
  </si>
  <si>
    <t xml:space="preserve">Jam Tagih</t>
  </si>
  <si>
    <t xml:space="preserve">Tarif per Jam</t>
  </si>
  <si>
    <t xml:space="preserve">Total Bayar</t>
  </si>
  <si>
    <t xml:space="preserve">Sesi Masuk</t>
  </si>
  <si>
    <t xml:space="preserve">Parameter</t>
  </si>
  <si>
    <t xml:space="preserve">Nilai</t>
  </si>
  <si>
    <t xml:space="preserve">Keterangan</t>
  </si>
  <si>
    <t xml:space="preserve">K-001</t>
  </si>
  <si>
    <t xml:space="preserve">Motor</t>
  </si>
  <si>
    <t xml:space="preserve">Batas pagi</t>
  </si>
  <si>
    <t xml:space="preserve">Jam masuk sebelum jam ini = Pagi</t>
  </si>
  <si>
    <t xml:space="preserve">K-002</t>
  </si>
  <si>
    <t xml:space="preserve">Mobil</t>
  </si>
  <si>
    <t xml:space="preserve">Batas siang</t>
  </si>
  <si>
    <t xml:space="preserve">Jam masuk sebelum jam ini = Siang</t>
  </si>
  <si>
    <t xml:space="preserve">K-003</t>
  </si>
  <si>
    <t xml:space="preserve">K-004</t>
  </si>
  <si>
    <t xml:space="preserve">K-005</t>
  </si>
  <si>
    <t xml:space="preserve">K-006</t>
  </si>
  <si>
    <t xml:space="preserve">K-007</t>
  </si>
  <si>
    <t xml:space="preserve">K-008</t>
  </si>
  <si>
    <t xml:space="preserve">K-009</t>
  </si>
  <si>
    <t xml:space="preserve">K-010</t>
  </si>
  <si>
    <t xml:space="preserve">K-011</t>
  </si>
  <si>
    <t xml:space="preserve">K-012</t>
  </si>
  <si>
    <t xml:space="preserve">K-013</t>
  </si>
  <si>
    <t xml:space="preserve">K-014</t>
  </si>
  <si>
    <t xml:space="preserve">K-015</t>
  </si>
  <si>
    <t xml:space="preserve">K-016</t>
  </si>
  <si>
    <t xml:space="preserve">K-017</t>
  </si>
  <si>
    <t xml:space="preserve">K-018</t>
  </si>
  <si>
    <t xml:space="preserve">K-019</t>
  </si>
  <si>
    <t xml:space="preserve">K-020</t>
  </si>
  <si>
    <t xml:space="preserve">K-021</t>
  </si>
  <si>
    <t xml:space="preserve">K-022</t>
  </si>
  <si>
    <t xml:space="preserve">K-023</t>
  </si>
  <si>
    <t xml:space="preserve">K-024</t>
  </si>
  <si>
    <t xml:space="preserve">K-025</t>
  </si>
  <si>
    <t xml:space="preserve">K-026</t>
  </si>
  <si>
    <t xml:space="preserve">K-027</t>
  </si>
  <si>
    <t xml:space="preserve">K-028</t>
  </si>
  <si>
    <t xml:space="preserve">K-029</t>
  </si>
  <si>
    <t xml:space="preserve">K-030</t>
  </si>
  <si>
    <t xml:space="preserve">K-031</t>
  </si>
  <si>
    <t xml:space="preserve">K-032</t>
  </si>
  <si>
    <t xml:space="preserve">Jumlah Kendaraan</t>
  </si>
  <si>
    <t xml:space="preserve">Total Pendapatan</t>
  </si>
  <si>
    <t xml:space="preserve">Ringkasan: lembar jawaban soal berjenis ringkasan</t>
  </si>
  <si>
    <t xml:space="preserve">Sel hijau berisi rumus kunci.</t>
  </si>
  <si>
    <t xml:space="preserve">Pertanyaan</t>
  </si>
  <si>
    <t xml:space="preserve">Jawaban</t>
  </si>
  <si>
    <t xml:space="preserve">Contoh format hasil</t>
  </si>
  <si>
    <t xml:space="preserve">8a</t>
  </si>
  <si>
    <t xml:space="preserve">Jumlah kendaraan</t>
  </si>
  <si>
    <t xml:space="preserve">Angka bulat, mis. 40</t>
  </si>
  <si>
    <t xml:space="preserve">8b</t>
  </si>
  <si>
    <t xml:space="preserve">Total pendapatan parkir</t>
  </si>
  <si>
    <t xml:space="preserve">Rupiah, mis. Rp 250.000</t>
  </si>
  <si>
    <t xml:space="preserve">9a</t>
  </si>
  <si>
    <t xml:space="preserve">Rata-rata durasi parkir (menit)</t>
  </si>
  <si>
    <t xml:space="preserve">Angka desimal, mis. 110,5</t>
  </si>
  <si>
    <t xml:space="preserve">9b</t>
  </si>
  <si>
    <t xml:space="preserve">Total jam tagih</t>
  </si>
  <si>
    <t xml:space="preserve">Angka bulat, mis. 85</t>
  </si>
  <si>
    <t xml:space="preserve">10a</t>
  </si>
  <si>
    <t xml:space="preserve">Karcis dengan parkir terlama</t>
  </si>
  <si>
    <t xml:space="preserve">Teks: nomor karcis</t>
  </si>
  <si>
    <t xml:space="preserve">10b</t>
  </si>
  <si>
    <t xml:space="preserve">Jenis kendaraan dengan pendapatan terbesar</t>
  </si>
  <si>
    <t xml:space="preserve">Teks: jenis kendaraan</t>
  </si>
  <si>
    <t xml:space="preserve">11a</t>
  </si>
  <si>
    <t xml:space="preserve">Mobil sesi Pagi</t>
  </si>
  <si>
    <t xml:space="preserve">Angka bulat, mis. 5</t>
  </si>
  <si>
    <t xml:space="preserve">11b</t>
  </si>
  <si>
    <t xml:space="preserve">Total bayar sesi Sore</t>
  </si>
  <si>
    <t xml:space="preserve">Rupiah, mis. Rp 60.000</t>
  </si>
</sst>
</file>

<file path=xl/styles.xml><?xml version="1.0" encoding="utf-8"?>
<styleSheet xmlns="http://schemas.openxmlformats.org/spreadsheetml/2006/main">
  <numFmts count="5">
    <numFmt numFmtId="164" formatCode="General"/>
    <numFmt numFmtId="165" formatCode="hh:mm"/>
    <numFmt numFmtId="166" formatCode="0"/>
    <numFmt numFmtId="167" formatCode="&quot;Rp &quot;#,##0"/>
    <numFmt numFmtId="168" formatCode="0.0"/>
  </numFmts>
  <fonts count="13">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sz val="10"/>
      <color rgb="FF0000FF"/>
      <name val="Arial"/>
      <family val="0"/>
      <charset val="1"/>
    </font>
    <font>
      <b val="true"/>
      <sz val="13"/>
      <color rgb="FF1F4E3D"/>
      <name val="Arial"/>
      <family val="0"/>
      <charset val="1"/>
    </font>
    <font>
      <i val="true"/>
      <sz val="9"/>
      <color rgb="FF595959"/>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true" applyProtection="false">
      <alignment horizontal="right" vertical="center" textRotation="0" wrapText="false" indent="0" shrinkToFit="false"/>
      <protection locked="true" hidden="false"/>
    </xf>
    <xf numFmtId="167" fontId="7" fillId="0"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8" fontId="7" fillId="4" borderId="1"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0"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7" t="s">
        <v>17</v>
      </c>
    </row>
    <row r="19" customFormat="false" ht="15" hidden="false" customHeight="false" outlineLevel="0" collapsed="false">
      <c r="A19" s="3" t="s">
        <v>18</v>
      </c>
    </row>
    <row r="20" customFormat="false" ht="15" hidden="false" customHeight="false" outlineLevel="0" collapsed="false">
      <c r="A20" s="11" t="s">
        <v>19</v>
      </c>
      <c r="B20" s="11" t="s">
        <v>20</v>
      </c>
      <c r="C20" s="11" t="s">
        <v>21</v>
      </c>
      <c r="D20" s="11" t="s">
        <v>22</v>
      </c>
    </row>
    <row r="21" customFormat="false" ht="30" hidden="false" customHeight="true" outlineLevel="0" collapsed="false">
      <c r="A21" s="12" t="s">
        <v>23</v>
      </c>
      <c r="B21" s="13" t="s">
        <v>24</v>
      </c>
      <c r="C21" s="13" t="s">
        <v>25</v>
      </c>
      <c r="D21" s="14" t="s">
        <v>26</v>
      </c>
    </row>
    <row r="22" customFormat="false" ht="30" hidden="false" customHeight="true" outlineLevel="0" collapsed="false">
      <c r="A22" s="12" t="s">
        <v>27</v>
      </c>
      <c r="B22" s="13" t="s">
        <v>28</v>
      </c>
      <c r="C22" s="13" t="s">
        <v>29</v>
      </c>
      <c r="D22" s="14" t="s">
        <v>30</v>
      </c>
    </row>
    <row r="23" customFormat="false" ht="30" hidden="false" customHeight="true" outlineLevel="0" collapsed="false">
      <c r="A23" s="12" t="s">
        <v>31</v>
      </c>
      <c r="B23" s="13" t="s">
        <v>32</v>
      </c>
      <c r="C23" s="13" t="s">
        <v>33</v>
      </c>
      <c r="D23" s="14" t="s">
        <v>34</v>
      </c>
    </row>
    <row r="24" customFormat="false" ht="30" hidden="false" customHeight="true" outlineLevel="0" collapsed="false">
      <c r="A24" s="12" t="s">
        <v>35</v>
      </c>
      <c r="B24" s="13" t="s">
        <v>36</v>
      </c>
      <c r="C24" s="13" t="s">
        <v>37</v>
      </c>
      <c r="D24" s="14" t="s">
        <v>38</v>
      </c>
    </row>
    <row r="25" customFormat="false" ht="30" hidden="false" customHeight="true" outlineLevel="0" collapsed="false">
      <c r="A25" s="12" t="s">
        <v>39</v>
      </c>
      <c r="B25" s="13" t="s">
        <v>40</v>
      </c>
      <c r="C25" s="13" t="s">
        <v>41</v>
      </c>
      <c r="D25" s="14" t="s">
        <v>42</v>
      </c>
    </row>
    <row r="26" customFormat="false" ht="30" hidden="false" customHeight="true" outlineLevel="0" collapsed="false">
      <c r="A26" s="12" t="s">
        <v>43</v>
      </c>
      <c r="B26" s="13" t="s">
        <v>44</v>
      </c>
      <c r="C26" s="13" t="s">
        <v>45</v>
      </c>
      <c r="D26" s="14" t="s">
        <v>46</v>
      </c>
    </row>
    <row r="27" customFormat="false" ht="30" hidden="false" customHeight="true" outlineLevel="0" collapsed="false">
      <c r="A27" s="12" t="s">
        <v>47</v>
      </c>
      <c r="B27" s="13" t="s">
        <v>48</v>
      </c>
      <c r="C27" s="13" t="s">
        <v>49</v>
      </c>
      <c r="D27" s="14" t="s">
        <v>50</v>
      </c>
    </row>
    <row r="28" customFormat="false" ht="43.5" hidden="false" customHeight="true" outlineLevel="0" collapsed="false">
      <c r="A28" s="12" t="s">
        <v>51</v>
      </c>
      <c r="B28" s="13" t="s">
        <v>52</v>
      </c>
      <c r="C28" s="13" t="s">
        <v>53</v>
      </c>
      <c r="D28" s="14" t="s">
        <v>54</v>
      </c>
    </row>
    <row r="29" customFormat="false" ht="43.5" hidden="false" customHeight="true" outlineLevel="0" collapsed="false">
      <c r="A29" s="12" t="s">
        <v>55</v>
      </c>
      <c r="B29" s="13" t="s">
        <v>56</v>
      </c>
      <c r="C29" s="13" t="s">
        <v>57</v>
      </c>
      <c r="D29" s="14" t="s">
        <v>58</v>
      </c>
    </row>
    <row r="30" customFormat="false" ht="55.5" hidden="false" customHeight="true" outlineLevel="0" collapsed="false">
      <c r="A30" s="12" t="s">
        <v>59</v>
      </c>
      <c r="B30" s="13" t="s">
        <v>60</v>
      </c>
      <c r="C30" s="13" t="s">
        <v>61</v>
      </c>
      <c r="D30" s="14" t="s">
        <v>62</v>
      </c>
    </row>
    <row r="31" customFormat="false" ht="43.5" hidden="false" customHeight="true" outlineLevel="0" collapsed="false">
      <c r="A31" s="12" t="s">
        <v>63</v>
      </c>
      <c r="B31" s="13" t="s">
        <v>64</v>
      </c>
      <c r="C31" s="13" t="s">
        <v>65</v>
      </c>
      <c r="D31" s="14" t="s">
        <v>66</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5"/>
    <col collapsed="false" customWidth="true" hidden="false" outlineLevel="0" max="4" min="3" style="0" width="11"/>
    <col collapsed="false" customWidth="true" hidden="false" outlineLevel="0" max="5" min="5" style="0" width="13"/>
    <col collapsed="false" customWidth="true" hidden="false" outlineLevel="0" max="6" min="6" style="0" width="10"/>
    <col collapsed="false" customWidth="true" hidden="false" outlineLevel="0" max="8" min="7" style="0" width="12"/>
    <col collapsed="false" customWidth="true" hidden="false" outlineLevel="0" max="9" min="9" style="0" width="11"/>
    <col collapsed="false" customWidth="true" hidden="false" outlineLevel="0" max="10" min="10" style="0" width="3"/>
    <col collapsed="false" customWidth="true" hidden="false" outlineLevel="0" max="11" min="11" style="0" width="30"/>
    <col collapsed="false" customWidth="true" hidden="false" outlineLevel="0" max="12" min="12" style="0" width="16"/>
    <col collapsed="false" customWidth="true" hidden="false" outlineLevel="0" max="13" min="13" style="0" width="42"/>
  </cols>
  <sheetData>
    <row r="1" customFormat="false" ht="33.75" hidden="false" customHeight="true" outlineLevel="0" collapsed="false">
      <c r="A1" s="11" t="s">
        <v>67</v>
      </c>
      <c r="B1" s="11" t="s">
        <v>68</v>
      </c>
      <c r="C1" s="11" t="s">
        <v>69</v>
      </c>
      <c r="D1" s="11" t="s">
        <v>70</v>
      </c>
      <c r="E1" s="15" t="s">
        <v>71</v>
      </c>
      <c r="F1" s="15" t="s">
        <v>72</v>
      </c>
      <c r="G1" s="15" t="s">
        <v>73</v>
      </c>
      <c r="H1" s="15" t="s">
        <v>74</v>
      </c>
      <c r="I1" s="15" t="s">
        <v>75</v>
      </c>
      <c r="K1" s="16" t="s">
        <v>76</v>
      </c>
      <c r="L1" s="16" t="s">
        <v>77</v>
      </c>
      <c r="M1" s="16" t="s">
        <v>78</v>
      </c>
    </row>
    <row r="2" customFormat="false" ht="15" hidden="false" customHeight="false" outlineLevel="0" collapsed="false">
      <c r="A2" s="17" t="s">
        <v>79</v>
      </c>
      <c r="B2" s="17" t="s">
        <v>80</v>
      </c>
      <c r="C2" s="18" t="n">
        <v>0.260416666666667</v>
      </c>
      <c r="D2" s="18" t="n">
        <v>0.40625</v>
      </c>
      <c r="E2" s="19" t="n">
        <f aca="false">(HOUR(D2)-HOUR(C2))*60+MINUTE(D2)-MINUTE(C2)</f>
        <v>210</v>
      </c>
      <c r="F2" s="19" t="n">
        <f aca="false">ROUNDUP(E2/60,0)</f>
        <v>4</v>
      </c>
      <c r="G2" s="20" t="n">
        <f aca="false">VLOOKUP(B2,Acuan!$A$2:$B$3,2,FALSE())</f>
        <v>2000</v>
      </c>
      <c r="H2" s="20" t="n">
        <f aca="false">F2*G2</f>
        <v>8000</v>
      </c>
      <c r="I2" s="21" t="str">
        <f aca="false">IF(HOUR(C2)&lt;$L$2,"Pagi",IF(HOUR(C2)&lt;$L$3,"Siang","Sore"))</f>
        <v>Pagi</v>
      </c>
      <c r="K2" s="22" t="s">
        <v>81</v>
      </c>
      <c r="L2" s="23" t="n">
        <v>12</v>
      </c>
      <c r="M2" s="22" t="s">
        <v>82</v>
      </c>
    </row>
    <row r="3" customFormat="false" ht="15" hidden="false" customHeight="false" outlineLevel="0" collapsed="false">
      <c r="A3" s="17" t="s">
        <v>83</v>
      </c>
      <c r="B3" s="17" t="s">
        <v>84</v>
      </c>
      <c r="C3" s="18" t="n">
        <v>0.267361111111111</v>
      </c>
      <c r="D3" s="18" t="n">
        <v>0.319444444444444</v>
      </c>
      <c r="E3" s="19" t="n">
        <f aca="false">(HOUR(D3)-HOUR(C3))*60+MINUTE(D3)-MINUTE(C3)</f>
        <v>75</v>
      </c>
      <c r="F3" s="19" t="n">
        <f aca="false">ROUNDUP(E3/60,0)</f>
        <v>2</v>
      </c>
      <c r="G3" s="20" t="n">
        <f aca="false">VLOOKUP(B3,Acuan!$A$2:$B$3,2,FALSE())</f>
        <v>4000</v>
      </c>
      <c r="H3" s="20" t="n">
        <f aca="false">F3*G3</f>
        <v>8000</v>
      </c>
      <c r="I3" s="21" t="str">
        <f aca="false">IF(HOUR(C3)&lt;$L$2,"Pagi",IF(HOUR(C3)&lt;$L$3,"Siang","Sore"))</f>
        <v>Pagi</v>
      </c>
      <c r="K3" s="22" t="s">
        <v>85</v>
      </c>
      <c r="L3" s="23" t="n">
        <v>15</v>
      </c>
      <c r="M3" s="22" t="s">
        <v>86</v>
      </c>
    </row>
    <row r="4" customFormat="false" ht="15" hidden="false" customHeight="false" outlineLevel="0" collapsed="false">
      <c r="A4" s="17" t="s">
        <v>87</v>
      </c>
      <c r="B4" s="17" t="s">
        <v>80</v>
      </c>
      <c r="C4" s="18" t="n">
        <v>0.288194444444444</v>
      </c>
      <c r="D4" s="18" t="n">
        <v>0.434027777777778</v>
      </c>
      <c r="E4" s="19" t="n">
        <f aca="false">(HOUR(D4)-HOUR(C4))*60+MINUTE(D4)-MINUTE(C4)</f>
        <v>210</v>
      </c>
      <c r="F4" s="19" t="n">
        <f aca="false">ROUNDUP(E4/60,0)</f>
        <v>4</v>
      </c>
      <c r="G4" s="20" t="n">
        <f aca="false">VLOOKUP(B4,Acuan!$A$2:$B$3,2,FALSE())</f>
        <v>2000</v>
      </c>
      <c r="H4" s="20" t="n">
        <f aca="false">F4*G4</f>
        <v>8000</v>
      </c>
      <c r="I4" s="21" t="str">
        <f aca="false">IF(HOUR(C4)&lt;$L$2,"Pagi",IF(HOUR(C4)&lt;$L$3,"Siang","Sore"))</f>
        <v>Pagi</v>
      </c>
    </row>
    <row r="5" customFormat="false" ht="15" hidden="false" customHeight="false" outlineLevel="0" collapsed="false">
      <c r="A5" s="17" t="s">
        <v>88</v>
      </c>
      <c r="B5" s="17" t="s">
        <v>80</v>
      </c>
      <c r="C5" s="18" t="n">
        <v>0.298611111111111</v>
      </c>
      <c r="D5" s="18" t="n">
        <v>0.3125</v>
      </c>
      <c r="E5" s="19" t="n">
        <f aca="false">(HOUR(D5)-HOUR(C5))*60+MINUTE(D5)-MINUTE(C5)</f>
        <v>20</v>
      </c>
      <c r="F5" s="19" t="n">
        <f aca="false">ROUNDUP(E5/60,0)</f>
        <v>1</v>
      </c>
      <c r="G5" s="20" t="n">
        <f aca="false">VLOOKUP(B5,Acuan!$A$2:$B$3,2,FALSE())</f>
        <v>2000</v>
      </c>
      <c r="H5" s="20" t="n">
        <f aca="false">F5*G5</f>
        <v>2000</v>
      </c>
      <c r="I5" s="21" t="str">
        <f aca="false">IF(HOUR(C5)&lt;$L$2,"Pagi",IF(HOUR(C5)&lt;$L$3,"Siang","Sore"))</f>
        <v>Pagi</v>
      </c>
    </row>
    <row r="6" customFormat="false" ht="15" hidden="false" customHeight="false" outlineLevel="0" collapsed="false">
      <c r="A6" s="17" t="s">
        <v>89</v>
      </c>
      <c r="B6" s="17" t="s">
        <v>80</v>
      </c>
      <c r="C6" s="18" t="n">
        <v>0.329861111111111</v>
      </c>
      <c r="D6" s="18" t="n">
        <v>0.350694444444444</v>
      </c>
      <c r="E6" s="19" t="n">
        <f aca="false">(HOUR(D6)-HOUR(C6))*60+MINUTE(D6)-MINUTE(C6)</f>
        <v>30</v>
      </c>
      <c r="F6" s="19" t="n">
        <f aca="false">ROUNDUP(E6/60,0)</f>
        <v>1</v>
      </c>
      <c r="G6" s="20" t="n">
        <f aca="false">VLOOKUP(B6,Acuan!$A$2:$B$3,2,FALSE())</f>
        <v>2000</v>
      </c>
      <c r="H6" s="20" t="n">
        <f aca="false">F6*G6</f>
        <v>2000</v>
      </c>
      <c r="I6" s="21" t="str">
        <f aca="false">IF(HOUR(C6)&lt;$L$2,"Pagi",IF(HOUR(C6)&lt;$L$3,"Siang","Sore"))</f>
        <v>Pagi</v>
      </c>
    </row>
    <row r="7" customFormat="false" ht="15" hidden="false" customHeight="false" outlineLevel="0" collapsed="false">
      <c r="A7" s="17" t="s">
        <v>90</v>
      </c>
      <c r="B7" s="17" t="s">
        <v>80</v>
      </c>
      <c r="C7" s="18" t="n">
        <v>0.388888888888889</v>
      </c>
      <c r="D7" s="18" t="n">
        <v>0.472222222222222</v>
      </c>
      <c r="E7" s="19" t="n">
        <f aca="false">(HOUR(D7)-HOUR(C7))*60+MINUTE(D7)-MINUTE(C7)</f>
        <v>120</v>
      </c>
      <c r="F7" s="19" t="n">
        <f aca="false">ROUNDUP(E7/60,0)</f>
        <v>2</v>
      </c>
      <c r="G7" s="20" t="n">
        <f aca="false">VLOOKUP(B7,Acuan!$A$2:$B$3,2,FALSE())</f>
        <v>2000</v>
      </c>
      <c r="H7" s="20" t="n">
        <f aca="false">F7*G7</f>
        <v>4000</v>
      </c>
      <c r="I7" s="21" t="str">
        <f aca="false">IF(HOUR(C7)&lt;$L$2,"Pagi",IF(HOUR(C7)&lt;$L$3,"Siang","Sore"))</f>
        <v>Pagi</v>
      </c>
    </row>
    <row r="8" customFormat="false" ht="15" hidden="false" customHeight="false" outlineLevel="0" collapsed="false">
      <c r="A8" s="17" t="s">
        <v>91</v>
      </c>
      <c r="B8" s="17" t="s">
        <v>84</v>
      </c>
      <c r="C8" s="18" t="n">
        <v>0.392361111111111</v>
      </c>
      <c r="D8" s="18" t="n">
        <v>0.559027777777778</v>
      </c>
      <c r="E8" s="19" t="n">
        <f aca="false">(HOUR(D8)-HOUR(C8))*60+MINUTE(D8)-MINUTE(C8)</f>
        <v>240</v>
      </c>
      <c r="F8" s="19" t="n">
        <f aca="false">ROUNDUP(E8/60,0)</f>
        <v>4</v>
      </c>
      <c r="G8" s="20" t="n">
        <f aca="false">VLOOKUP(B8,Acuan!$A$2:$B$3,2,FALSE())</f>
        <v>4000</v>
      </c>
      <c r="H8" s="20" t="n">
        <f aca="false">F8*G8</f>
        <v>16000</v>
      </c>
      <c r="I8" s="21" t="str">
        <f aca="false">IF(HOUR(C8)&lt;$L$2,"Pagi",IF(HOUR(C8)&lt;$L$3,"Siang","Sore"))</f>
        <v>Pagi</v>
      </c>
    </row>
    <row r="9" customFormat="false" ht="15" hidden="false" customHeight="false" outlineLevel="0" collapsed="false">
      <c r="A9" s="17" t="s">
        <v>92</v>
      </c>
      <c r="B9" s="17" t="s">
        <v>80</v>
      </c>
      <c r="C9" s="18" t="n">
        <v>0.420138888888889</v>
      </c>
      <c r="D9" s="18" t="n">
        <v>0.434027777777778</v>
      </c>
      <c r="E9" s="19" t="n">
        <f aca="false">(HOUR(D9)-HOUR(C9))*60+MINUTE(D9)-MINUTE(C9)</f>
        <v>20</v>
      </c>
      <c r="F9" s="19" t="n">
        <f aca="false">ROUNDUP(E9/60,0)</f>
        <v>1</v>
      </c>
      <c r="G9" s="20" t="n">
        <f aca="false">VLOOKUP(B9,Acuan!$A$2:$B$3,2,FALSE())</f>
        <v>2000</v>
      </c>
      <c r="H9" s="20" t="n">
        <f aca="false">F9*G9</f>
        <v>2000</v>
      </c>
      <c r="I9" s="21" t="str">
        <f aca="false">IF(HOUR(C9)&lt;$L$2,"Pagi",IF(HOUR(C9)&lt;$L$3,"Siang","Sore"))</f>
        <v>Pagi</v>
      </c>
    </row>
    <row r="10" customFormat="false" ht="15" hidden="false" customHeight="false" outlineLevel="0" collapsed="false">
      <c r="A10" s="17" t="s">
        <v>93</v>
      </c>
      <c r="B10" s="17" t="s">
        <v>84</v>
      </c>
      <c r="C10" s="18" t="n">
        <v>0.4375</v>
      </c>
      <c r="D10" s="18" t="n">
        <v>0.46875</v>
      </c>
      <c r="E10" s="19" t="n">
        <f aca="false">(HOUR(D10)-HOUR(C10))*60+MINUTE(D10)-MINUTE(C10)</f>
        <v>45</v>
      </c>
      <c r="F10" s="19" t="n">
        <f aca="false">ROUNDUP(E10/60,0)</f>
        <v>1</v>
      </c>
      <c r="G10" s="20" t="n">
        <f aca="false">VLOOKUP(B10,Acuan!$A$2:$B$3,2,FALSE())</f>
        <v>4000</v>
      </c>
      <c r="H10" s="20" t="n">
        <f aca="false">F10*G10</f>
        <v>4000</v>
      </c>
      <c r="I10" s="21" t="str">
        <f aca="false">IF(HOUR(C10)&lt;$L$2,"Pagi",IF(HOUR(C10)&lt;$L$3,"Siang","Sore"))</f>
        <v>Pagi</v>
      </c>
    </row>
    <row r="11" customFormat="false" ht="15" hidden="false" customHeight="false" outlineLevel="0" collapsed="false">
      <c r="A11" s="17" t="s">
        <v>94</v>
      </c>
      <c r="B11" s="17" t="s">
        <v>80</v>
      </c>
      <c r="C11" s="18" t="n">
        <v>0.4375</v>
      </c>
      <c r="D11" s="18" t="n">
        <v>0.458333333333333</v>
      </c>
      <c r="E11" s="19" t="n">
        <f aca="false">(HOUR(D11)-HOUR(C11))*60+MINUTE(D11)-MINUTE(C11)</f>
        <v>30</v>
      </c>
      <c r="F11" s="19" t="n">
        <f aca="false">ROUNDUP(E11/60,0)</f>
        <v>1</v>
      </c>
      <c r="G11" s="20" t="n">
        <f aca="false">VLOOKUP(B11,Acuan!$A$2:$B$3,2,FALSE())</f>
        <v>2000</v>
      </c>
      <c r="H11" s="20" t="n">
        <f aca="false">F11*G11</f>
        <v>2000</v>
      </c>
      <c r="I11" s="21" t="str">
        <f aca="false">IF(HOUR(C11)&lt;$L$2,"Pagi",IF(HOUR(C11)&lt;$L$3,"Siang","Sore"))</f>
        <v>Pagi</v>
      </c>
    </row>
    <row r="12" customFormat="false" ht="15" hidden="false" customHeight="false" outlineLevel="0" collapsed="false">
      <c r="A12" s="17" t="s">
        <v>95</v>
      </c>
      <c r="B12" s="17" t="s">
        <v>80</v>
      </c>
      <c r="C12" s="18" t="n">
        <v>0.465277777777778</v>
      </c>
      <c r="D12" s="18" t="n">
        <v>0.673611111111111</v>
      </c>
      <c r="E12" s="19" t="n">
        <f aca="false">(HOUR(D12)-HOUR(C12))*60+MINUTE(D12)-MINUTE(C12)</f>
        <v>300</v>
      </c>
      <c r="F12" s="19" t="n">
        <f aca="false">ROUNDUP(E12/60,0)</f>
        <v>5</v>
      </c>
      <c r="G12" s="20" t="n">
        <f aca="false">VLOOKUP(B12,Acuan!$A$2:$B$3,2,FALSE())</f>
        <v>2000</v>
      </c>
      <c r="H12" s="20" t="n">
        <f aca="false">F12*G12</f>
        <v>10000</v>
      </c>
      <c r="I12" s="21" t="str">
        <f aca="false">IF(HOUR(C12)&lt;$L$2,"Pagi",IF(HOUR(C12)&lt;$L$3,"Siang","Sore"))</f>
        <v>Pagi</v>
      </c>
    </row>
    <row r="13" customFormat="false" ht="15" hidden="false" customHeight="false" outlineLevel="0" collapsed="false">
      <c r="A13" s="17" t="s">
        <v>96</v>
      </c>
      <c r="B13" s="17" t="s">
        <v>80</v>
      </c>
      <c r="C13" s="18" t="n">
        <v>0.482638888888889</v>
      </c>
      <c r="D13" s="18" t="n">
        <v>0.586805555555556</v>
      </c>
      <c r="E13" s="19" t="n">
        <f aca="false">(HOUR(D13)-HOUR(C13))*60+MINUTE(D13)-MINUTE(C13)</f>
        <v>150</v>
      </c>
      <c r="F13" s="19" t="n">
        <f aca="false">ROUNDUP(E13/60,0)</f>
        <v>3</v>
      </c>
      <c r="G13" s="20" t="n">
        <f aca="false">VLOOKUP(B13,Acuan!$A$2:$B$3,2,FALSE())</f>
        <v>2000</v>
      </c>
      <c r="H13" s="20" t="n">
        <f aca="false">F13*G13</f>
        <v>6000</v>
      </c>
      <c r="I13" s="21" t="str">
        <f aca="false">IF(HOUR(C13)&lt;$L$2,"Pagi",IF(HOUR(C13)&lt;$L$3,"Siang","Sore"))</f>
        <v>Pagi</v>
      </c>
    </row>
    <row r="14" customFormat="false" ht="15" hidden="false" customHeight="false" outlineLevel="0" collapsed="false">
      <c r="A14" s="17" t="s">
        <v>97</v>
      </c>
      <c r="B14" s="17" t="s">
        <v>80</v>
      </c>
      <c r="C14" s="18" t="n">
        <v>0.5</v>
      </c>
      <c r="D14" s="18" t="n">
        <v>0.5625</v>
      </c>
      <c r="E14" s="19" t="n">
        <f aca="false">(HOUR(D14)-HOUR(C14))*60+MINUTE(D14)-MINUTE(C14)</f>
        <v>90</v>
      </c>
      <c r="F14" s="19" t="n">
        <f aca="false">ROUNDUP(E14/60,0)</f>
        <v>2</v>
      </c>
      <c r="G14" s="20" t="n">
        <f aca="false">VLOOKUP(B14,Acuan!$A$2:$B$3,2,FALSE())</f>
        <v>2000</v>
      </c>
      <c r="H14" s="20" t="n">
        <f aca="false">F14*G14</f>
        <v>4000</v>
      </c>
      <c r="I14" s="21" t="str">
        <f aca="false">IF(HOUR(C14)&lt;$L$2,"Pagi",IF(HOUR(C14)&lt;$L$3,"Siang","Sore"))</f>
        <v>Siang</v>
      </c>
    </row>
    <row r="15" customFormat="false" ht="15" hidden="false" customHeight="false" outlineLevel="0" collapsed="false">
      <c r="A15" s="17" t="s">
        <v>98</v>
      </c>
      <c r="B15" s="17" t="s">
        <v>84</v>
      </c>
      <c r="C15" s="18" t="n">
        <v>0.510416666666667</v>
      </c>
      <c r="D15" s="18" t="n">
        <v>0.760416666666667</v>
      </c>
      <c r="E15" s="19" t="n">
        <f aca="false">(HOUR(D15)-HOUR(C15))*60+MINUTE(D15)-MINUTE(C15)</f>
        <v>360</v>
      </c>
      <c r="F15" s="19" t="n">
        <f aca="false">ROUNDUP(E15/60,0)</f>
        <v>6</v>
      </c>
      <c r="G15" s="20" t="n">
        <f aca="false">VLOOKUP(B15,Acuan!$A$2:$B$3,2,FALSE())</f>
        <v>4000</v>
      </c>
      <c r="H15" s="20" t="n">
        <f aca="false">F15*G15</f>
        <v>24000</v>
      </c>
      <c r="I15" s="21" t="str">
        <f aca="false">IF(HOUR(C15)&lt;$L$2,"Pagi",IF(HOUR(C15)&lt;$L$3,"Siang","Sore"))</f>
        <v>Siang</v>
      </c>
    </row>
    <row r="16" customFormat="false" ht="15" hidden="false" customHeight="false" outlineLevel="0" collapsed="false">
      <c r="A16" s="17" t="s">
        <v>99</v>
      </c>
      <c r="B16" s="17" t="s">
        <v>80</v>
      </c>
      <c r="C16" s="18" t="n">
        <v>0.524305555555556</v>
      </c>
      <c r="D16" s="18" t="n">
        <v>0.555555555555556</v>
      </c>
      <c r="E16" s="19" t="n">
        <f aca="false">(HOUR(D16)-HOUR(C16))*60+MINUTE(D16)-MINUTE(C16)</f>
        <v>45</v>
      </c>
      <c r="F16" s="19" t="n">
        <f aca="false">ROUNDUP(E16/60,0)</f>
        <v>1</v>
      </c>
      <c r="G16" s="20" t="n">
        <f aca="false">VLOOKUP(B16,Acuan!$A$2:$B$3,2,FALSE())</f>
        <v>2000</v>
      </c>
      <c r="H16" s="20" t="n">
        <f aca="false">F16*G16</f>
        <v>2000</v>
      </c>
      <c r="I16" s="21" t="str">
        <f aca="false">IF(HOUR(C16)&lt;$L$2,"Pagi",IF(HOUR(C16)&lt;$L$3,"Siang","Sore"))</f>
        <v>Siang</v>
      </c>
    </row>
    <row r="17" customFormat="false" ht="15" hidden="false" customHeight="false" outlineLevel="0" collapsed="false">
      <c r="A17" s="17" t="s">
        <v>100</v>
      </c>
      <c r="B17" s="17" t="s">
        <v>84</v>
      </c>
      <c r="C17" s="18" t="n">
        <v>0.572916666666667</v>
      </c>
      <c r="D17" s="18" t="n">
        <v>0.739583333333333</v>
      </c>
      <c r="E17" s="19" t="n">
        <f aca="false">(HOUR(D17)-HOUR(C17))*60+MINUTE(D17)-MINUTE(C17)</f>
        <v>240</v>
      </c>
      <c r="F17" s="19" t="n">
        <f aca="false">ROUNDUP(E17/60,0)</f>
        <v>4</v>
      </c>
      <c r="G17" s="20" t="n">
        <f aca="false">VLOOKUP(B17,Acuan!$A$2:$B$3,2,FALSE())</f>
        <v>4000</v>
      </c>
      <c r="H17" s="20" t="n">
        <f aca="false">F17*G17</f>
        <v>16000</v>
      </c>
      <c r="I17" s="21" t="str">
        <f aca="false">IF(HOUR(C17)&lt;$L$2,"Pagi",IF(HOUR(C17)&lt;$L$3,"Siang","Sore"))</f>
        <v>Siang</v>
      </c>
    </row>
    <row r="18" customFormat="false" ht="15" hidden="false" customHeight="false" outlineLevel="0" collapsed="false">
      <c r="A18" s="17" t="s">
        <v>101</v>
      </c>
      <c r="B18" s="17" t="s">
        <v>84</v>
      </c>
      <c r="C18" s="18" t="n">
        <v>0.576388888888889</v>
      </c>
      <c r="D18" s="18" t="n">
        <v>0.618055555555556</v>
      </c>
      <c r="E18" s="19" t="n">
        <f aca="false">(HOUR(D18)-HOUR(C18))*60+MINUTE(D18)-MINUTE(C18)</f>
        <v>60</v>
      </c>
      <c r="F18" s="19" t="n">
        <f aca="false">ROUNDUP(E18/60,0)</f>
        <v>1</v>
      </c>
      <c r="G18" s="20" t="n">
        <f aca="false">VLOOKUP(B18,Acuan!$A$2:$B$3,2,FALSE())</f>
        <v>4000</v>
      </c>
      <c r="H18" s="20" t="n">
        <f aca="false">F18*G18</f>
        <v>4000</v>
      </c>
      <c r="I18" s="21" t="str">
        <f aca="false">IF(HOUR(C18)&lt;$L$2,"Pagi",IF(HOUR(C18)&lt;$L$3,"Siang","Sore"))</f>
        <v>Siang</v>
      </c>
    </row>
    <row r="19" customFormat="false" ht="15" hidden="false" customHeight="false" outlineLevel="0" collapsed="false">
      <c r="A19" s="17" t="s">
        <v>102</v>
      </c>
      <c r="B19" s="17" t="s">
        <v>84</v>
      </c>
      <c r="C19" s="18" t="n">
        <v>0.586805555555556</v>
      </c>
      <c r="D19" s="18" t="n">
        <v>0.690972222222222</v>
      </c>
      <c r="E19" s="19" t="n">
        <f aca="false">(HOUR(D19)-HOUR(C19))*60+MINUTE(D19)-MINUTE(C19)</f>
        <v>150</v>
      </c>
      <c r="F19" s="19" t="n">
        <f aca="false">ROUNDUP(E19/60,0)</f>
        <v>3</v>
      </c>
      <c r="G19" s="20" t="n">
        <f aca="false">VLOOKUP(B19,Acuan!$A$2:$B$3,2,FALSE())</f>
        <v>4000</v>
      </c>
      <c r="H19" s="20" t="n">
        <f aca="false">F19*G19</f>
        <v>12000</v>
      </c>
      <c r="I19" s="21" t="str">
        <f aca="false">IF(HOUR(C19)&lt;$L$2,"Pagi",IF(HOUR(C19)&lt;$L$3,"Siang","Sore"))</f>
        <v>Siang</v>
      </c>
    </row>
    <row r="20" customFormat="false" ht="15" hidden="false" customHeight="false" outlineLevel="0" collapsed="false">
      <c r="A20" s="17" t="s">
        <v>103</v>
      </c>
      <c r="B20" s="17" t="s">
        <v>80</v>
      </c>
      <c r="C20" s="18" t="n">
        <v>0.586805555555556</v>
      </c>
      <c r="D20" s="18" t="n">
        <v>0.680555555555556</v>
      </c>
      <c r="E20" s="19" t="n">
        <f aca="false">(HOUR(D20)-HOUR(C20))*60+MINUTE(D20)-MINUTE(C20)</f>
        <v>135</v>
      </c>
      <c r="F20" s="19" t="n">
        <f aca="false">ROUNDUP(E20/60,0)</f>
        <v>3</v>
      </c>
      <c r="G20" s="20" t="n">
        <f aca="false">VLOOKUP(B20,Acuan!$A$2:$B$3,2,FALSE())</f>
        <v>2000</v>
      </c>
      <c r="H20" s="20" t="n">
        <f aca="false">F20*G20</f>
        <v>6000</v>
      </c>
      <c r="I20" s="21" t="str">
        <f aca="false">IF(HOUR(C20)&lt;$L$2,"Pagi",IF(HOUR(C20)&lt;$L$3,"Siang","Sore"))</f>
        <v>Siang</v>
      </c>
    </row>
    <row r="21" customFormat="false" ht="15" hidden="false" customHeight="false" outlineLevel="0" collapsed="false">
      <c r="A21" s="17" t="s">
        <v>104</v>
      </c>
      <c r="B21" s="17" t="s">
        <v>84</v>
      </c>
      <c r="C21" s="18" t="n">
        <v>0.590277777777778</v>
      </c>
      <c r="D21" s="18" t="n">
        <v>0.631944444444444</v>
      </c>
      <c r="E21" s="19" t="n">
        <f aca="false">(HOUR(D21)-HOUR(C21))*60+MINUTE(D21)-MINUTE(C21)</f>
        <v>60</v>
      </c>
      <c r="F21" s="19" t="n">
        <f aca="false">ROUNDUP(E21/60,0)</f>
        <v>1</v>
      </c>
      <c r="G21" s="20" t="n">
        <f aca="false">VLOOKUP(B21,Acuan!$A$2:$B$3,2,FALSE())</f>
        <v>4000</v>
      </c>
      <c r="H21" s="20" t="n">
        <f aca="false">F21*G21</f>
        <v>4000</v>
      </c>
      <c r="I21" s="21" t="str">
        <f aca="false">IF(HOUR(C21)&lt;$L$2,"Pagi",IF(HOUR(C21)&lt;$L$3,"Siang","Sore"))</f>
        <v>Siang</v>
      </c>
    </row>
    <row r="22" customFormat="false" ht="15" hidden="false" customHeight="false" outlineLevel="0" collapsed="false">
      <c r="A22" s="17" t="s">
        <v>105</v>
      </c>
      <c r="B22" s="17" t="s">
        <v>80</v>
      </c>
      <c r="C22" s="18" t="n">
        <v>0.607638888888889</v>
      </c>
      <c r="D22" s="18" t="n">
        <v>0.628472222222222</v>
      </c>
      <c r="E22" s="19" t="n">
        <f aca="false">(HOUR(D22)-HOUR(C22))*60+MINUTE(D22)-MINUTE(C22)</f>
        <v>30</v>
      </c>
      <c r="F22" s="19" t="n">
        <f aca="false">ROUNDUP(E22/60,0)</f>
        <v>1</v>
      </c>
      <c r="G22" s="20" t="n">
        <f aca="false">VLOOKUP(B22,Acuan!$A$2:$B$3,2,FALSE())</f>
        <v>2000</v>
      </c>
      <c r="H22" s="20" t="n">
        <f aca="false">F22*G22</f>
        <v>2000</v>
      </c>
      <c r="I22" s="21" t="str">
        <f aca="false">IF(HOUR(C22)&lt;$L$2,"Pagi",IF(HOUR(C22)&lt;$L$3,"Siang","Sore"))</f>
        <v>Siang</v>
      </c>
    </row>
    <row r="23" customFormat="false" ht="15" hidden="false" customHeight="false" outlineLevel="0" collapsed="false">
      <c r="A23" s="17" t="s">
        <v>106</v>
      </c>
      <c r="B23" s="17" t="s">
        <v>80</v>
      </c>
      <c r="C23" s="18" t="n">
        <v>0.614583333333333</v>
      </c>
      <c r="D23" s="18" t="n">
        <v>0.677083333333333</v>
      </c>
      <c r="E23" s="19" t="n">
        <f aca="false">(HOUR(D23)-HOUR(C23))*60+MINUTE(D23)-MINUTE(C23)</f>
        <v>90</v>
      </c>
      <c r="F23" s="19" t="n">
        <f aca="false">ROUNDUP(E23/60,0)</f>
        <v>2</v>
      </c>
      <c r="G23" s="20" t="n">
        <f aca="false">VLOOKUP(B23,Acuan!$A$2:$B$3,2,FALSE())</f>
        <v>2000</v>
      </c>
      <c r="H23" s="20" t="n">
        <f aca="false">F23*G23</f>
        <v>4000</v>
      </c>
      <c r="I23" s="21" t="str">
        <f aca="false">IF(HOUR(C23)&lt;$L$2,"Pagi",IF(HOUR(C23)&lt;$L$3,"Siang","Sore"))</f>
        <v>Siang</v>
      </c>
    </row>
    <row r="24" customFormat="false" ht="15" hidden="false" customHeight="false" outlineLevel="0" collapsed="false">
      <c r="A24" s="17" t="s">
        <v>107</v>
      </c>
      <c r="B24" s="17" t="s">
        <v>84</v>
      </c>
      <c r="C24" s="18" t="n">
        <v>0.621527777777778</v>
      </c>
      <c r="D24" s="18" t="n">
        <v>0.663194444444444</v>
      </c>
      <c r="E24" s="19" t="n">
        <f aca="false">(HOUR(D24)-HOUR(C24))*60+MINUTE(D24)-MINUTE(C24)</f>
        <v>60</v>
      </c>
      <c r="F24" s="19" t="n">
        <f aca="false">ROUNDUP(E24/60,0)</f>
        <v>1</v>
      </c>
      <c r="G24" s="20" t="n">
        <f aca="false">VLOOKUP(B24,Acuan!$A$2:$B$3,2,FALSE())</f>
        <v>4000</v>
      </c>
      <c r="H24" s="20" t="n">
        <f aca="false">F24*G24</f>
        <v>4000</v>
      </c>
      <c r="I24" s="21" t="str">
        <f aca="false">IF(HOUR(C24)&lt;$L$2,"Pagi",IF(HOUR(C24)&lt;$L$3,"Siang","Sore"))</f>
        <v>Siang</v>
      </c>
    </row>
    <row r="25" customFormat="false" ht="15" hidden="false" customHeight="false" outlineLevel="0" collapsed="false">
      <c r="A25" s="17" t="s">
        <v>108</v>
      </c>
      <c r="B25" s="17" t="s">
        <v>84</v>
      </c>
      <c r="C25" s="18" t="n">
        <v>0.642361111111111</v>
      </c>
      <c r="D25" s="18" t="n">
        <v>0.704861111111111</v>
      </c>
      <c r="E25" s="19" t="n">
        <f aca="false">(HOUR(D25)-HOUR(C25))*60+MINUTE(D25)-MINUTE(C25)</f>
        <v>90</v>
      </c>
      <c r="F25" s="19" t="n">
        <f aca="false">ROUNDUP(E25/60,0)</f>
        <v>2</v>
      </c>
      <c r="G25" s="20" t="n">
        <f aca="false">VLOOKUP(B25,Acuan!$A$2:$B$3,2,FALSE())</f>
        <v>4000</v>
      </c>
      <c r="H25" s="20" t="n">
        <f aca="false">F25*G25</f>
        <v>8000</v>
      </c>
      <c r="I25" s="21" t="str">
        <f aca="false">IF(HOUR(C25)&lt;$L$2,"Pagi",IF(HOUR(C25)&lt;$L$3,"Siang","Sore"))</f>
        <v>Sore</v>
      </c>
    </row>
    <row r="26" customFormat="false" ht="15" hidden="false" customHeight="false" outlineLevel="0" collapsed="false">
      <c r="A26" s="17" t="s">
        <v>109</v>
      </c>
      <c r="B26" s="17" t="s">
        <v>80</v>
      </c>
      <c r="C26" s="18" t="n">
        <v>0.642361111111111</v>
      </c>
      <c r="D26" s="18" t="n">
        <v>0.746527777777778</v>
      </c>
      <c r="E26" s="19" t="n">
        <f aca="false">(HOUR(D26)-HOUR(C26))*60+MINUTE(D26)-MINUTE(C26)</f>
        <v>150</v>
      </c>
      <c r="F26" s="19" t="n">
        <f aca="false">ROUNDUP(E26/60,0)</f>
        <v>3</v>
      </c>
      <c r="G26" s="20" t="n">
        <f aca="false">VLOOKUP(B26,Acuan!$A$2:$B$3,2,FALSE())</f>
        <v>2000</v>
      </c>
      <c r="H26" s="20" t="n">
        <f aca="false">F26*G26</f>
        <v>6000</v>
      </c>
      <c r="I26" s="21" t="str">
        <f aca="false">IF(HOUR(C26)&lt;$L$2,"Pagi",IF(HOUR(C26)&lt;$L$3,"Siang","Sore"))</f>
        <v>Sore</v>
      </c>
    </row>
    <row r="27" customFormat="false" ht="15" hidden="false" customHeight="false" outlineLevel="0" collapsed="false">
      <c r="A27" s="17" t="s">
        <v>110</v>
      </c>
      <c r="B27" s="17" t="s">
        <v>80</v>
      </c>
      <c r="C27" s="18" t="n">
        <v>0.663194444444444</v>
      </c>
      <c r="D27" s="18" t="n">
        <v>0.677083333333333</v>
      </c>
      <c r="E27" s="19" t="n">
        <f aca="false">(HOUR(D27)-HOUR(C27))*60+MINUTE(D27)-MINUTE(C27)</f>
        <v>20</v>
      </c>
      <c r="F27" s="19" t="n">
        <f aca="false">ROUNDUP(E27/60,0)</f>
        <v>1</v>
      </c>
      <c r="G27" s="20" t="n">
        <f aca="false">VLOOKUP(B27,Acuan!$A$2:$B$3,2,FALSE())</f>
        <v>2000</v>
      </c>
      <c r="H27" s="20" t="n">
        <f aca="false">F27*G27</f>
        <v>2000</v>
      </c>
      <c r="I27" s="21" t="str">
        <f aca="false">IF(HOUR(C27)&lt;$L$2,"Pagi",IF(HOUR(C27)&lt;$L$3,"Siang","Sore"))</f>
        <v>Sore</v>
      </c>
    </row>
    <row r="28" customFormat="false" ht="15" hidden="false" customHeight="false" outlineLevel="0" collapsed="false">
      <c r="A28" s="17" t="s">
        <v>111</v>
      </c>
      <c r="B28" s="17" t="s">
        <v>84</v>
      </c>
      <c r="C28" s="18" t="n">
        <v>0.670138888888889</v>
      </c>
      <c r="D28" s="18" t="n">
        <v>0.878472222222222</v>
      </c>
      <c r="E28" s="19" t="n">
        <f aca="false">(HOUR(D28)-HOUR(C28))*60+MINUTE(D28)-MINUTE(C28)</f>
        <v>300</v>
      </c>
      <c r="F28" s="19" t="n">
        <f aca="false">ROUNDUP(E28/60,0)</f>
        <v>5</v>
      </c>
      <c r="G28" s="20" t="n">
        <f aca="false">VLOOKUP(B28,Acuan!$A$2:$B$3,2,FALSE())</f>
        <v>4000</v>
      </c>
      <c r="H28" s="20" t="n">
        <f aca="false">F28*G28</f>
        <v>20000</v>
      </c>
      <c r="I28" s="21" t="str">
        <f aca="false">IF(HOUR(C28)&lt;$L$2,"Pagi",IF(HOUR(C28)&lt;$L$3,"Siang","Sore"))</f>
        <v>Sore</v>
      </c>
    </row>
    <row r="29" customFormat="false" ht="15" hidden="false" customHeight="false" outlineLevel="0" collapsed="false">
      <c r="A29" s="17" t="s">
        <v>112</v>
      </c>
      <c r="B29" s="17" t="s">
        <v>84</v>
      </c>
      <c r="C29" s="18" t="n">
        <v>0.708333333333333</v>
      </c>
      <c r="D29" s="18" t="n">
        <v>0.791666666666667</v>
      </c>
      <c r="E29" s="19" t="n">
        <f aca="false">(HOUR(D29)-HOUR(C29))*60+MINUTE(D29)-MINUTE(C29)</f>
        <v>120</v>
      </c>
      <c r="F29" s="19" t="n">
        <f aca="false">ROUNDUP(E29/60,0)</f>
        <v>2</v>
      </c>
      <c r="G29" s="20" t="n">
        <f aca="false">VLOOKUP(B29,Acuan!$A$2:$B$3,2,FALSE())</f>
        <v>4000</v>
      </c>
      <c r="H29" s="20" t="n">
        <f aca="false">F29*G29</f>
        <v>8000</v>
      </c>
      <c r="I29" s="21" t="str">
        <f aca="false">IF(HOUR(C29)&lt;$L$2,"Pagi",IF(HOUR(C29)&lt;$L$3,"Siang","Sore"))</f>
        <v>Sore</v>
      </c>
    </row>
    <row r="30" customFormat="false" ht="15" hidden="false" customHeight="false" outlineLevel="0" collapsed="false">
      <c r="A30" s="17" t="s">
        <v>113</v>
      </c>
      <c r="B30" s="17" t="s">
        <v>84</v>
      </c>
      <c r="C30" s="18" t="n">
        <v>0.71875</v>
      </c>
      <c r="D30" s="18" t="n">
        <v>0.885416666666667</v>
      </c>
      <c r="E30" s="19" t="n">
        <f aca="false">(HOUR(D30)-HOUR(C30))*60+MINUTE(D30)-MINUTE(C30)</f>
        <v>240</v>
      </c>
      <c r="F30" s="19" t="n">
        <f aca="false">ROUNDUP(E30/60,0)</f>
        <v>4</v>
      </c>
      <c r="G30" s="20" t="n">
        <f aca="false">VLOOKUP(B30,Acuan!$A$2:$B$3,2,FALSE())</f>
        <v>4000</v>
      </c>
      <c r="H30" s="20" t="n">
        <f aca="false">F30*G30</f>
        <v>16000</v>
      </c>
      <c r="I30" s="21" t="str">
        <f aca="false">IF(HOUR(C30)&lt;$L$2,"Pagi",IF(HOUR(C30)&lt;$L$3,"Siang","Sore"))</f>
        <v>Sore</v>
      </c>
    </row>
    <row r="31" customFormat="false" ht="15" hidden="false" customHeight="false" outlineLevel="0" collapsed="false">
      <c r="A31" s="17" t="s">
        <v>114</v>
      </c>
      <c r="B31" s="17" t="s">
        <v>80</v>
      </c>
      <c r="C31" s="18" t="n">
        <v>0.732638888888889</v>
      </c>
      <c r="D31" s="18" t="n">
        <v>0.857638888888889</v>
      </c>
      <c r="E31" s="19" t="n">
        <f aca="false">(HOUR(D31)-HOUR(C31))*60+MINUTE(D31)-MINUTE(C31)</f>
        <v>180</v>
      </c>
      <c r="F31" s="19" t="n">
        <f aca="false">ROUNDUP(E31/60,0)</f>
        <v>3</v>
      </c>
      <c r="G31" s="20" t="n">
        <f aca="false">VLOOKUP(B31,Acuan!$A$2:$B$3,2,FALSE())</f>
        <v>2000</v>
      </c>
      <c r="H31" s="20" t="n">
        <f aca="false">F31*G31</f>
        <v>6000</v>
      </c>
      <c r="I31" s="21" t="str">
        <f aca="false">IF(HOUR(C31)&lt;$L$2,"Pagi",IF(HOUR(C31)&lt;$L$3,"Siang","Sore"))</f>
        <v>Sore</v>
      </c>
    </row>
    <row r="32" customFormat="false" ht="15" hidden="false" customHeight="false" outlineLevel="0" collapsed="false">
      <c r="A32" s="17" t="s">
        <v>115</v>
      </c>
      <c r="B32" s="17" t="s">
        <v>80</v>
      </c>
      <c r="C32" s="18" t="n">
        <v>0.732638888888889</v>
      </c>
      <c r="D32" s="18" t="n">
        <v>0.899305555555556</v>
      </c>
      <c r="E32" s="19" t="n">
        <f aca="false">(HOUR(D32)-HOUR(C32))*60+MINUTE(D32)-MINUTE(C32)</f>
        <v>240</v>
      </c>
      <c r="F32" s="19" t="n">
        <f aca="false">ROUNDUP(E32/60,0)</f>
        <v>4</v>
      </c>
      <c r="G32" s="20" t="n">
        <f aca="false">VLOOKUP(B32,Acuan!$A$2:$B$3,2,FALSE())</f>
        <v>2000</v>
      </c>
      <c r="H32" s="20" t="n">
        <f aca="false">F32*G32</f>
        <v>8000</v>
      </c>
      <c r="I32" s="21" t="str">
        <f aca="false">IF(HOUR(C32)&lt;$L$2,"Pagi",IF(HOUR(C32)&lt;$L$3,"Siang","Sore"))</f>
        <v>Sore</v>
      </c>
    </row>
    <row r="33" customFormat="false" ht="15" hidden="false" customHeight="false" outlineLevel="0" collapsed="false">
      <c r="A33" s="17" t="s">
        <v>116</v>
      </c>
      <c r="B33" s="17" t="s">
        <v>80</v>
      </c>
      <c r="C33" s="18" t="n">
        <v>0.739583333333333</v>
      </c>
      <c r="D33" s="18" t="n">
        <v>0.864583333333333</v>
      </c>
      <c r="E33" s="19" t="n">
        <f aca="false">(HOUR(D33)-HOUR(C33))*60+MINUTE(D33)-MINUTE(C33)</f>
        <v>180</v>
      </c>
      <c r="F33" s="19" t="n">
        <f aca="false">ROUNDUP(E33/60,0)</f>
        <v>3</v>
      </c>
      <c r="G33" s="20" t="n">
        <f aca="false">VLOOKUP(B33,Acuan!$A$2:$B$3,2,FALSE())</f>
        <v>2000</v>
      </c>
      <c r="H33" s="20" t="n">
        <f aca="false">F33*G33</f>
        <v>6000</v>
      </c>
      <c r="I33" s="21" t="str">
        <f aca="false">IF(HOUR(C33)&lt;$L$2,"Pagi",IF(HOUR(C33)&lt;$L$3,"Siang","Sore"))</f>
        <v>Sore</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2"/>
    <col collapsed="false" customWidth="true" hidden="false" outlineLevel="0" max="3" min="3" style="0" width="16"/>
    <col collapsed="false" customWidth="true" hidden="false" outlineLevel="0" max="4" min="4" style="0" width="17"/>
  </cols>
  <sheetData>
    <row r="1" customFormat="false" ht="33.75" hidden="false" customHeight="true" outlineLevel="0" collapsed="false">
      <c r="A1" s="11" t="s">
        <v>68</v>
      </c>
      <c r="B1" s="11" t="s">
        <v>73</v>
      </c>
      <c r="C1" s="15" t="s">
        <v>117</v>
      </c>
      <c r="D1" s="15" t="s">
        <v>118</v>
      </c>
    </row>
    <row r="2" customFormat="false" ht="15" hidden="false" customHeight="false" outlineLevel="0" collapsed="false">
      <c r="A2" s="17" t="s">
        <v>80</v>
      </c>
      <c r="B2" s="24" t="n">
        <v>2000</v>
      </c>
      <c r="C2" s="19" t="n">
        <f aca="false">COUNTIF(Data!$B$2:$B$33,A2)</f>
        <v>19</v>
      </c>
      <c r="D2" s="20" t="n">
        <f aca="false">SUMIF(Data!$B$2:$B$33,A2,Data!$H$2:$H$33)</f>
        <v>90000</v>
      </c>
    </row>
    <row r="3" customFormat="false" ht="15" hidden="false" customHeight="false" outlineLevel="0" collapsed="false">
      <c r="A3" s="17" t="s">
        <v>84</v>
      </c>
      <c r="B3" s="24" t="n">
        <v>4000</v>
      </c>
      <c r="C3" s="19" t="n">
        <f aca="false">COUNTIF(Data!$B$2:$B$33,A3)</f>
        <v>13</v>
      </c>
      <c r="D3" s="20" t="n">
        <f aca="false">SUMIF(Data!$B$2:$B$33,A3,Data!$H$2:$H$33)</f>
        <v>144000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5" t="s">
        <v>119</v>
      </c>
      <c r="B1" s="25"/>
      <c r="C1" s="25"/>
      <c r="D1" s="25"/>
    </row>
    <row r="2" customFormat="false" ht="15" hidden="false" customHeight="false" outlineLevel="0" collapsed="false">
      <c r="A2" s="26" t="s">
        <v>120</v>
      </c>
      <c r="B2" s="26"/>
      <c r="C2" s="26"/>
      <c r="D2" s="26"/>
    </row>
    <row r="3" customFormat="false" ht="15" hidden="false" customHeight="false" outlineLevel="0" collapsed="false">
      <c r="A3" s="11" t="s">
        <v>19</v>
      </c>
      <c r="B3" s="11" t="s">
        <v>121</v>
      </c>
      <c r="C3" s="11" t="s">
        <v>122</v>
      </c>
      <c r="D3" s="11" t="s">
        <v>123</v>
      </c>
    </row>
    <row r="4" customFormat="false" ht="15" hidden="false" customHeight="false" outlineLevel="0" collapsed="false">
      <c r="A4" s="27" t="s">
        <v>124</v>
      </c>
      <c r="B4" s="28" t="s">
        <v>125</v>
      </c>
      <c r="C4" s="19" t="n">
        <f aca="false">COUNTA(Data!$A$2:$A$33)</f>
        <v>32</v>
      </c>
      <c r="D4" s="29" t="s">
        <v>126</v>
      </c>
    </row>
    <row r="5" customFormat="false" ht="15" hidden="false" customHeight="false" outlineLevel="0" collapsed="false">
      <c r="A5" s="27" t="s">
        <v>127</v>
      </c>
      <c r="B5" s="28" t="s">
        <v>128</v>
      </c>
      <c r="C5" s="20" t="n">
        <f aca="false">SUM(Data!$H$2:$H$33)</f>
        <v>234000</v>
      </c>
      <c r="D5" s="29" t="s">
        <v>129</v>
      </c>
    </row>
    <row r="6" customFormat="false" ht="15" hidden="false" customHeight="false" outlineLevel="0" collapsed="false">
      <c r="A6" s="27" t="s">
        <v>130</v>
      </c>
      <c r="B6" s="28" t="s">
        <v>131</v>
      </c>
      <c r="C6" s="30" t="n">
        <f aca="false">AVERAGE(Data!$E$2:$E$33)</f>
        <v>134.0625</v>
      </c>
      <c r="D6" s="29" t="s">
        <v>132</v>
      </c>
    </row>
    <row r="7" customFormat="false" ht="15" hidden="false" customHeight="false" outlineLevel="0" collapsed="false">
      <c r="A7" s="27" t="s">
        <v>133</v>
      </c>
      <c r="B7" s="28" t="s">
        <v>134</v>
      </c>
      <c r="C7" s="19" t="n">
        <f aca="false">SUM(Data!$F$2:$F$33)</f>
        <v>81</v>
      </c>
      <c r="D7" s="29" t="s">
        <v>135</v>
      </c>
    </row>
    <row r="8" customFormat="false" ht="15" hidden="false" customHeight="false" outlineLevel="0" collapsed="false">
      <c r="A8" s="27" t="s">
        <v>136</v>
      </c>
      <c r="B8" s="28" t="s">
        <v>137</v>
      </c>
      <c r="C8" s="21" t="str">
        <f aca="false">INDEX(Data!$A$2:$A$33,MATCH(MAX(Data!$E$2:$E$33),Data!$E$2:$E$33,0))</f>
        <v>K-014</v>
      </c>
      <c r="D8" s="29" t="s">
        <v>138</v>
      </c>
    </row>
    <row r="9" customFormat="false" ht="15" hidden="false" customHeight="false" outlineLevel="0" collapsed="false">
      <c r="A9" s="27" t="s">
        <v>139</v>
      </c>
      <c r="B9" s="28" t="s">
        <v>140</v>
      </c>
      <c r="C9" s="21" t="str">
        <f aca="false">INDEX(Acuan!$A$2:$A$3,MATCH(MAX(Acuan!$D$2:$D$3),Acuan!$D$2:$D$3,0))</f>
        <v>Mobil</v>
      </c>
      <c r="D9" s="29" t="s">
        <v>141</v>
      </c>
    </row>
    <row r="10" customFormat="false" ht="15" hidden="false" customHeight="false" outlineLevel="0" collapsed="false">
      <c r="A10" s="27" t="s">
        <v>142</v>
      </c>
      <c r="B10" s="28" t="s">
        <v>143</v>
      </c>
      <c r="C10" s="19" t="n">
        <f aca="false">COUNTIFS(Data!$B$2:$B$33,"Mobil",Data!$I$2:$I$33,"Pagi")</f>
        <v>3</v>
      </c>
      <c r="D10" s="29" t="s">
        <v>144</v>
      </c>
    </row>
    <row r="11" customFormat="false" ht="15" hidden="false" customHeight="false" outlineLevel="0" collapsed="false">
      <c r="A11" s="27" t="s">
        <v>145</v>
      </c>
      <c r="B11" s="28" t="s">
        <v>146</v>
      </c>
      <c r="C11" s="20" t="n">
        <f aca="false">SUMIF(Data!$I$2:$I$33,"Sore",Data!$H$2:$H$33)</f>
        <v>80000</v>
      </c>
      <c r="D11" s="29" t="s">
        <v>147</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2026-10-16T05:23:14Z</dcterms:created>
  <dc:creator>PushExcel</dc:creator>
  <dc:description/>
  <dc:language>en-US</dc:language>
  <cp:lastModifiedBy/>
  <dcterms:modified xsi:type="dcterms:W3CDTF">2026-10-16T05:23:14Z</dcterms:modified>
  <cp:revision>0</cp:revision>
  <dc:subject/>
  <dc:title>Pendapatan Parkir Harian Motor dan Mobil - Kunci</dc:title>
</cp:coreProperties>
</file>

<file path=docProps/custom.xml><?xml version="1.0" encoding="utf-8"?>
<Properties xmlns="http://schemas.openxmlformats.org/officeDocument/2006/custom-properties" xmlns:vt="http://schemas.openxmlformats.org/officeDocument/2006/docPropsVTypes"/>
</file>