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Ringkasa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<sst xmlns="http://schemas.openxmlformats.org/spreadsheetml/2006/main" count="125" uniqueCount="123">
  <si>
    <t xml:space="preserve">Kunci Jawaban: Jadwal Angsuran Kredit 24 Bulan</t>
  </si>
  <si>
    <t xml:space="preserve">Latihan 39 dari 56  |  Tingkat: Lanjutan  |  Perkiraan waktu: 65 menit  |  pushexcel.github.io/Pushexcel</t>
  </si>
  <si>
    <t xml:space="preserve">Skenario</t>
  </si>
  <si>
    <t xml:space="preserve">Kamu admin koperasi pegawai Dana Bersama. Seorang anggota mengambil kredit Rp 75.000.000 dengan bunga 12 persen per tahun, tenor 24 bulan, dan cicilan tetap tiap bulan. Dana dicairkan 1 November 2026, angsuran pertama jatuh tempo satu bulan setelahnya. Kamu menyusun tabel angsuran lengkap. Jangan membulatkan angsuran, bunga, dan pokok dengan ROUND (cukup ditampilkan dengan format Rupiah). Hanya saldo akhir yang dibulatkan ke rupiah supaya angsuran terakhir menghasilkan saldo tepat 0.</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</si>
  <si>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</si>
  <si>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</si>
  <si>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</si>
  <si>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</si>
  <si>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</si>
  <si>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</si>
  <si>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</si>
  <si>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</si>
  <si>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</si>
  <si>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</si>
  <si>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</si>
  <si>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</si>
  <si>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</si>
  <si>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</si>
  <si>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</si>
  <si>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</si>
  <si>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</si>
  <si>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</si>
  <si>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</si>
  <si>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</si>
  <si>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Tentukan angsuran itu masuk tahun ke berapa: bulan 1 sampai 12 tahun ke-1, bulan 13 sampai 24 tahun ke-2.</t>
  </si>
  <si>
    <t xml:space="preserve">Sheet Data, kolom B (Tahun Ke), baris 2 sampai 25</t>
  </si>
  <si>
    <t xml:space="preserve">=ROUNDUP(A2/12;0)</t>
  </si>
  <si>
    <t xml:space="preserve">2</t>
  </si>
  <si>
    <t xml:space="preserve">Hitung tanggal jatuh tempo tiap angsuran: tanggal pencairan ditambah sejumlah bulan sesuai Bulan Ke.</t>
  </si>
  <si>
    <t xml:space="preserve">Sheet Data, kolom C (Jatuh Tempo), baris 2 sampai 25</t>
  </si>
  <si>
    <t xml:space="preserve">=EDATE($J$5;A2)</t>
  </si>
  <si>
    <t xml:space="preserve">3</t>
  </si>
  <si>
    <t xml:space="preserve">Hitung angsuran tetap per bulan memakai PMT. Bunga per bulan = bunga tahunan dibagi 12. Buat hasilnya positif.</t>
  </si>
  <si>
    <t xml:space="preserve">Sheet Data, kolom D (Angsuran), baris 2 sampai 25</t>
  </si>
  <si>
    <t xml:space="preserve">=-PMT($J$3/12;$J$4;$J$2)</t>
  </si>
  <si>
    <t xml:space="preserve">4</t>
  </si>
  <si>
    <t xml:space="preserve">Hitung porsi bunga pada angsuran bulan itu memakai IPMT. Buat hasilnya positif.</t>
  </si>
  <si>
    <t xml:space="preserve">Sheet Data, kolom E (Bunga), baris 2 sampai 25</t>
  </si>
  <si>
    <t xml:space="preserve">=-IPMT($J$3/12;A2;$J$4;$J$2)</t>
  </si>
  <si>
    <t xml:space="preserve">5</t>
  </si>
  <si>
    <t xml:space="preserve">Hitung porsi pokok pada angsuran bulan itu memakai PPMT. Buat hasilnya positif.</t>
  </si>
  <si>
    <t xml:space="preserve">Sheet Data, kolom F (Pokok), baris 2 sampai 25</t>
  </si>
  <si>
    <t xml:space="preserve">=-PPMT($J$3/12;A2;$J$4;$J$2)</t>
  </si>
  <si>
    <t xml:space="preserve">6</t>
  </si>
  <si>
    <t xml:space="preserve">Hitung saldo pinjaman setelah angsuran bulan itu: pokok pinjaman dikurangi jumlah porsi pokok dari bulan 1 sampai bulan ini, dibulatkan ke rupiah.</t>
  </si>
  <si>
    <t xml:space="preserve">Sheet Data, kolom G (Saldo Akhir), baris 2 sampai 25</t>
  </si>
  <si>
    <t xml:space="preserve">=ROUND($J$2-SUM($F$2:F2);0)</t>
  </si>
  <si>
    <t xml:space="preserve">7</t>
  </si>
  <si>
    <t xml:space="preserve">Berapa total angsuran yang dibayar selama 24 bulan, dan berapa total bunganya?</t>
  </si>
  <si>
    <t xml:space="preserve">Sheet Ringkasan, sel C4 sampai C5</t>
  </si>
  <si>
    <t xml:space="preserve">=SUM(Data!$D$2:$D$25)
=SUM(Data!$E$2:$E$25)</t>
  </si>
  <si>
    <t xml:space="preserve">8</t>
  </si>
  <si>
    <t xml:space="preserve">Berapa total bunga yang dibayar pada tahun ke-1, dan pada tahun ke-2?</t>
  </si>
  <si>
    <t xml:space="preserve">Sheet Ringkasan, sel C6 sampai C7</t>
  </si>
  <si>
    <t xml:space="preserve">=SUMIF(Data!$B$2:$B$25;1;Data!$E$2:$E$25)
=SUMIF(Data!$B$2:$B$25;2;Data!$E$2:$E$25)</t>
  </si>
  <si>
    <t xml:space="preserve">9</t>
  </si>
  <si>
    <t xml:space="preserve">Berapa saldo pinjaman setelah angsuran ke-12, dan berapa porsi pokok pada angsuran ke-24?</t>
  </si>
  <si>
    <t xml:space="preserve">Sheet Ringkasan, sel C8 sampai C9</t>
  </si>
  <si>
    <t xml:space="preserve">=INDEX(Data!$G$2:$G$25;MATCH(12;Data!$A$2:$A$25;0))
=INDEX(Data!$F$2:$F$25;MATCH(24;Data!$A$2:$A$25;0))</t>
  </si>
  <si>
    <t xml:space="preserve">10</t>
  </si>
  <si>
    <t xml:space="preserve">Pada tanggal berapa angsuran terakhir jatuh tempo, dan berapa saldo akhir pada angsuran terakhir?</t>
  </si>
  <si>
    <t xml:space="preserve">Sheet Ringkasan, sel C10 sampai C11</t>
  </si>
  <si>
    <t xml:space="preserve">=MAX(Data!$C$2:$C$25)
=INDEX(Data!$G$2:$G$25;MATCH(MAX(Data!$A$2:$A$25);Data!$A$2:$A$25;0))</t>
  </si>
  <si>
    <t xml:space="preserve">11</t>
  </si>
  <si>
    <t xml:space="preserve">Mulai angsuran ke berapa saldo pinjaman turun di bawah separuh pokok pinjaman?</t>
  </si>
  <si>
    <t xml:space="preserve">Sheet Ringkasan, sel C12</t>
  </si>
  <si>
    <t xml:space="preserve">=COUNTIF(Data!$G$2:$G$25;"&gt;="&amp;Data!$J$2/2)+1</t>
  </si>
  <si>
    <t xml:space="preserve">12</t>
  </si>
  <si>
    <t xml:space="preserve">Berapa persen total bunga terhadap total angsuran, dan berapa persen porsi bunga pada angsuran ke-1?</t>
  </si>
  <si>
    <t xml:space="preserve">Sheet Ringkasan, sel C13 sampai C14</t>
  </si>
  <si>
    <t xml:space="preserve">=SUM(Data!$E$2:$E$25)/SUM(Data!$D$2:$D$25)
=INDEX(Data!$E$2:$E$25;MATCH(1;Data!$A$2:$A$25;0))/INDEX(Data!$D$2:$D$25;MATCH(1;Data!$A$2:$A$25;0))</t>
  </si>
  <si>
    <t xml:space="preserve">Bulan Ke</t>
  </si>
  <si>
    <t xml:space="preserve">Tahun Ke</t>
  </si>
  <si>
    <t xml:space="preserve">Jatuh Tempo</t>
  </si>
  <si>
    <t xml:space="preserve">Angsuran</t>
  </si>
  <si>
    <t xml:space="preserve">Bunga</t>
  </si>
  <si>
    <t xml:space="preserve">Pokok</t>
  </si>
  <si>
    <t xml:space="preserve">Saldo Akhir</t>
  </si>
  <si>
    <t xml:space="preserve">Parameter</t>
  </si>
  <si>
    <t xml:space="preserve">Nilai</t>
  </si>
  <si>
    <t xml:space="preserve">Keterangan</t>
  </si>
  <si>
    <t xml:space="preserve">Pokok pinjaman</t>
  </si>
  <si>
    <t xml:space="preserve">Bunga per tahun</t>
  </si>
  <si>
    <t xml:space="preserve">Tenor (bulan)</t>
  </si>
  <si>
    <t xml:space="preserve">Tanggal pencairan</t>
  </si>
  <si>
    <t xml:space="preserve">Angsuran 1 jatuh tempo satu bulan setelahnya</t>
  </si>
  <si>
    <t xml:space="preserve">Ringkasan: lembar jawaban soal berjenis ringkasan</t>
  </si>
  <si>
    <t xml:space="preserve">Sel hijau berisi rumus kunci.</t>
  </si>
  <si>
    <t xml:space="preserve">Pertanyaan</t>
  </si>
  <si>
    <t xml:space="preserve">Jawaban</t>
  </si>
  <si>
    <t xml:space="preserve">Contoh format hasil</t>
  </si>
  <si>
    <t xml:space="preserve">7a</t>
  </si>
  <si>
    <t xml:space="preserve">Total angsuran 24 bulan</t>
  </si>
  <si>
    <t xml:space="preserve">Rupiah, mis. Rp 85.000.000</t>
  </si>
  <si>
    <t xml:space="preserve">7b</t>
  </si>
  <si>
    <t xml:space="preserve">Total bunga 24 bulan</t>
  </si>
  <si>
    <t xml:space="preserve">Rupiah, mis. Rp 10.000.000</t>
  </si>
  <si>
    <t xml:space="preserve">8a</t>
  </si>
  <si>
    <t xml:space="preserve">Total bunga tahun ke-1</t>
  </si>
  <si>
    <t xml:space="preserve">Rupiah, mis. Rp 8.000.000</t>
  </si>
  <si>
    <t xml:space="preserve">8b</t>
  </si>
  <si>
    <t xml:space="preserve">Total bunga tahun ke-2</t>
  </si>
  <si>
    <t xml:space="preserve">Rupiah, mis. Rp 4.000.000</t>
  </si>
  <si>
    <t xml:space="preserve">9a</t>
  </si>
  <si>
    <t xml:space="preserve">Saldo setelah angsuran ke-12</t>
  </si>
  <si>
    <t xml:space="preserve">Rupiah, mis. Rp 40.000.000</t>
  </si>
  <si>
    <t xml:space="preserve">9b</t>
  </si>
  <si>
    <t xml:space="preserve">Porsi pokok pada angsuran ke-24</t>
  </si>
  <si>
    <t xml:space="preserve">Rupiah, mis. Rp 3.000.000</t>
  </si>
  <si>
    <t xml:space="preserve">10a</t>
  </si>
  <si>
    <t xml:space="preserve">Tanggal jatuh tempo angsuran terakhir</t>
  </si>
  <si>
    <t xml:space="preserve">Tanggal, mis. 14/10/2026</t>
  </si>
  <si>
    <t xml:space="preserve">10b</t>
  </si>
  <si>
    <t xml:space="preserve">Saldo akhir pada angsuran terakhir</t>
  </si>
  <si>
    <t xml:space="preserve">Rupiah, mis. Rp 1.000</t>
  </si>
  <si>
    <t xml:space="preserve">Angsuran pertama dengan saldo di bawah separuh pokok</t>
  </si>
  <si>
    <t xml:space="preserve">Angka bulat, mis. 8</t>
  </si>
  <si>
    <t xml:space="preserve">12a</t>
  </si>
  <si>
    <t xml:space="preserve">Persen total bunga terhadap total angsuran</t>
  </si>
  <si>
    <t xml:space="preserve">Persen, mis. 12,5%</t>
  </si>
  <si>
    <t xml:space="preserve">12b</t>
  </si>
  <si>
    <t xml:space="preserve">Persen bunga pada angsuran ke-1</t>
  </si>
  <si>
    <t xml:space="preserve">Persen, mis. 15,5%</t>
  </si>
</sst>
</file>

<file path=xl/styles.xml><?xml version="1.0" encoding="utf-8"?>
<styleSheet xmlns="http://schemas.openxmlformats.org/spreadsheetml/2006/main">
  <numFmts count="6">
    <numFmt numFmtId="164" formatCode="General"/>
    <numFmt numFmtId="165" formatCode="0"/>
    <numFmt numFmtId="166" formatCode="dd/mm/yyyy"/>
    <numFmt numFmtId="167" formatCode="&quot;Rp &quot;#,##0"/>
    <numFmt numFmtId="168" formatCode="0%"/>
    <numFmt numFmtId="169"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center"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42" hidden="false" customHeight="true" outlineLevel="0" collapsed="false">
      <c r="A26" s="12" t="s">
        <v>43</v>
      </c>
      <c r="B26" s="13" t="s">
        <v>44</v>
      </c>
      <c r="C26" s="13" t="s">
        <v>45</v>
      </c>
      <c r="D26" s="14" t="s">
        <v>46</v>
      </c>
    </row>
    <row r="27" customFormat="false" ht="43.5" hidden="false" customHeight="true" outlineLevel="0" collapsed="false">
      <c r="A27" s="12" t="s">
        <v>47</v>
      </c>
      <c r="B27" s="13" t="s">
        <v>48</v>
      </c>
      <c r="C27" s="13" t="s">
        <v>49</v>
      </c>
      <c r="D27" s="14" t="s">
        <v>50</v>
      </c>
    </row>
    <row r="28" customFormat="false" ht="43.5" hidden="false" customHeight="true" outlineLevel="0" collapsed="false">
      <c r="A28" s="12" t="s">
        <v>51</v>
      </c>
      <c r="B28" s="13" t="s">
        <v>52</v>
      </c>
      <c r="C28" s="13" t="s">
        <v>53</v>
      </c>
      <c r="D28" s="14" t="s">
        <v>54</v>
      </c>
    </row>
    <row r="29" customFormat="false" ht="43.5" hidden="false" customHeight="true" outlineLevel="0" collapsed="false">
      <c r="A29" s="12" t="s">
        <v>55</v>
      </c>
      <c r="B29" s="13" t="s">
        <v>56</v>
      </c>
      <c r="C29" s="13" t="s">
        <v>57</v>
      </c>
      <c r="D29" s="14" t="s">
        <v>58</v>
      </c>
    </row>
    <row r="30" customFormat="false" ht="43.5" hidden="false" customHeight="true" outlineLevel="0" collapsed="false">
      <c r="A30" s="12" t="s">
        <v>59</v>
      </c>
      <c r="B30" s="13" t="s">
        <v>60</v>
      </c>
      <c r="C30" s="13" t="s">
        <v>61</v>
      </c>
      <c r="D30" s="14" t="s">
        <v>62</v>
      </c>
    </row>
    <row r="31" customFormat="false" ht="30" hidden="false" customHeight="true" outlineLevel="0" collapsed="false">
      <c r="A31" s="12" t="s">
        <v>63</v>
      </c>
      <c r="B31" s="13" t="s">
        <v>64</v>
      </c>
      <c r="C31" s="13" t="s">
        <v>65</v>
      </c>
      <c r="D31" s="14" t="s">
        <v>66</v>
      </c>
    </row>
    <row r="32" customFormat="false" ht="55.5" hidden="false" customHeight="true" outlineLevel="0" collapsed="false">
      <c r="A32" s="12" t="s">
        <v>67</v>
      </c>
      <c r="B32" s="13" t="s">
        <v>68</v>
      </c>
      <c r="C32" s="13" t="s">
        <v>69</v>
      </c>
      <c r="D32" s="14" t="s">
        <v>70</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13"/>
    <col collapsed="false" customWidth="true" hidden="false" outlineLevel="0" max="6" min="4" style="0" width="14"/>
    <col collapsed="false" customWidth="true" hidden="false" outlineLevel="0" max="7" min="7" style="0" width="15"/>
    <col collapsed="false" customWidth="true" hidden="false" outlineLevel="0" max="8" min="8" style="0" width="3"/>
    <col collapsed="false" customWidth="true" hidden="false" outlineLevel="0" max="9" min="9" style="0" width="30"/>
    <col collapsed="false" customWidth="true" hidden="false" outlineLevel="0" max="10" min="10" style="0" width="16"/>
    <col collapsed="false" customWidth="true" hidden="false" outlineLevel="0" max="11" min="11" style="0" width="42"/>
  </cols>
  <sheetData>
    <row r="1" customFormat="false" ht="33.75" hidden="false" customHeight="true" outlineLevel="0" collapsed="false">
      <c r="A1" s="11" t="s">
        <v>71</v>
      </c>
      <c r="B1" s="15" t="s">
        <v>72</v>
      </c>
      <c r="C1" s="15" t="s">
        <v>73</v>
      </c>
      <c r="D1" s="15" t="s">
        <v>74</v>
      </c>
      <c r="E1" s="15" t="s">
        <v>75</v>
      </c>
      <c r="F1" s="15" t="s">
        <v>76</v>
      </c>
      <c r="G1" s="15" t="s">
        <v>77</v>
      </c>
      <c r="I1" s="16" t="s">
        <v>78</v>
      </c>
      <c r="J1" s="16" t="s">
        <v>79</v>
      </c>
      <c r="K1" s="16" t="s">
        <v>80</v>
      </c>
    </row>
    <row r="2" customFormat="false" ht="15" hidden="false" customHeight="false" outlineLevel="0" collapsed="false">
      <c r="A2" s="17" t="n">
        <v>1</v>
      </c>
      <c r="B2" s="18" t="n">
        <f aca="false">ROUNDUP(A2/12,0)</f>
        <v>1</v>
      </c>
      <c r="C2" s="19" t="n">
        <f aca="false">EDATE($J$5,A2)</f>
        <v>46357</v>
      </c>
      <c r="D2" s="20" t="n">
        <f aca="false">-PMT($J$3/12,$J$4,$J$2)</f>
        <v>3530510.41674485</v>
      </c>
      <c r="E2" s="20" t="n">
        <f aca="false">-IPMT($J$3/12,A2,$J$4,$J$2)</f>
        <v>750000</v>
      </c>
      <c r="F2" s="20" t="n">
        <f aca="false">-PPMT($J$3/12,A2,$J$4,$J$2)</f>
        <v>2780510.41674485</v>
      </c>
      <c r="G2" s="20" t="n">
        <f aca="false">ROUND($J$2-SUM($F$2:F2),0)</f>
        <v>72219490</v>
      </c>
      <c r="I2" s="21" t="s">
        <v>81</v>
      </c>
      <c r="J2" s="22" t="n">
        <v>75000000</v>
      </c>
      <c r="K2" s="21"/>
    </row>
    <row r="3" customFormat="false" ht="15" hidden="false" customHeight="false" outlineLevel="0" collapsed="false">
      <c r="A3" s="17" t="n">
        <v>2</v>
      </c>
      <c r="B3" s="18" t="n">
        <f aca="false">ROUNDUP(A3/12,0)</f>
        <v>1</v>
      </c>
      <c r="C3" s="19" t="n">
        <f aca="false">EDATE($J$5,A3)</f>
        <v>46388</v>
      </c>
      <c r="D3" s="20" t="n">
        <f aca="false">-PMT($J$3/12,$J$4,$J$2)</f>
        <v>3530510.41674485</v>
      </c>
      <c r="E3" s="20" t="n">
        <f aca="false">-IPMT($J$3/12,A3,$J$4,$J$2)</f>
        <v>722194.895832551</v>
      </c>
      <c r="F3" s="20" t="n">
        <f aca="false">-PPMT($J$3/12,A3,$J$4,$J$2)</f>
        <v>2808315.5209123</v>
      </c>
      <c r="G3" s="20" t="n">
        <f aca="false">ROUND($J$2-SUM($F$2:F3),0)</f>
        <v>69411174</v>
      </c>
      <c r="I3" s="21" t="s">
        <v>82</v>
      </c>
      <c r="J3" s="23" t="n">
        <v>0.12</v>
      </c>
      <c r="K3" s="21"/>
    </row>
    <row r="4" customFormat="false" ht="15" hidden="false" customHeight="false" outlineLevel="0" collapsed="false">
      <c r="A4" s="17" t="n">
        <v>3</v>
      </c>
      <c r="B4" s="18" t="n">
        <f aca="false">ROUNDUP(A4/12,0)</f>
        <v>1</v>
      </c>
      <c r="C4" s="19" t="n">
        <f aca="false">EDATE($J$5,A4)</f>
        <v>46419</v>
      </c>
      <c r="D4" s="20" t="n">
        <f aca="false">-PMT($J$3/12,$J$4,$J$2)</f>
        <v>3530510.41674485</v>
      </c>
      <c r="E4" s="20" t="n">
        <f aca="false">-IPMT($J$3/12,A4,$J$4,$J$2)</f>
        <v>694111.740623428</v>
      </c>
      <c r="F4" s="20" t="n">
        <f aca="false">-PPMT($J$3/12,A4,$J$4,$J$2)</f>
        <v>2836398.67612143</v>
      </c>
      <c r="G4" s="20" t="n">
        <f aca="false">ROUND($J$2-SUM($F$2:F4),0)</f>
        <v>66574775</v>
      </c>
      <c r="I4" s="21" t="s">
        <v>83</v>
      </c>
      <c r="J4" s="24" t="n">
        <v>24</v>
      </c>
      <c r="K4" s="21"/>
    </row>
    <row r="5" customFormat="false" ht="15" hidden="false" customHeight="false" outlineLevel="0" collapsed="false">
      <c r="A5" s="17" t="n">
        <v>4</v>
      </c>
      <c r="B5" s="18" t="n">
        <f aca="false">ROUNDUP(A5/12,0)</f>
        <v>1</v>
      </c>
      <c r="C5" s="19" t="n">
        <f aca="false">EDATE($J$5,A5)</f>
        <v>46447</v>
      </c>
      <c r="D5" s="20" t="n">
        <f aca="false">-PMT($J$3/12,$J$4,$J$2)</f>
        <v>3530510.41674485</v>
      </c>
      <c r="E5" s="20" t="n">
        <f aca="false">-IPMT($J$3/12,A5,$J$4,$J$2)</f>
        <v>665747.753862214</v>
      </c>
      <c r="F5" s="20" t="n">
        <f aca="false">-PPMT($J$3/12,A5,$J$4,$J$2)</f>
        <v>2864762.66288264</v>
      </c>
      <c r="G5" s="20" t="n">
        <f aca="false">ROUND($J$2-SUM($F$2:F5),0)</f>
        <v>63710013</v>
      </c>
      <c r="I5" s="21" t="s">
        <v>84</v>
      </c>
      <c r="J5" s="25" t="n">
        <v>46327</v>
      </c>
      <c r="K5" s="21" t="s">
        <v>85</v>
      </c>
    </row>
    <row r="6" customFormat="false" ht="15" hidden="false" customHeight="false" outlineLevel="0" collapsed="false">
      <c r="A6" s="17" t="n">
        <v>5</v>
      </c>
      <c r="B6" s="18" t="n">
        <f aca="false">ROUNDUP(A6/12,0)</f>
        <v>1</v>
      </c>
      <c r="C6" s="19" t="n">
        <f aca="false">EDATE($J$5,A6)</f>
        <v>46478</v>
      </c>
      <c r="D6" s="20" t="n">
        <f aca="false">-PMT($J$3/12,$J$4,$J$2)</f>
        <v>3530510.41674485</v>
      </c>
      <c r="E6" s="20" t="n">
        <f aca="false">-IPMT($J$3/12,A6,$J$4,$J$2)</f>
        <v>637100.127233388</v>
      </c>
      <c r="F6" s="20" t="n">
        <f aca="false">-PPMT($J$3/12,A6,$J$4,$J$2)</f>
        <v>2893410.28951147</v>
      </c>
      <c r="G6" s="20" t="n">
        <f aca="false">ROUND($J$2-SUM($F$2:F6),0)</f>
        <v>60816602</v>
      </c>
    </row>
    <row r="7" customFormat="false" ht="15" hidden="false" customHeight="false" outlineLevel="0" collapsed="false">
      <c r="A7" s="17" t="n">
        <v>6</v>
      </c>
      <c r="B7" s="18" t="n">
        <f aca="false">ROUNDUP(A7/12,0)</f>
        <v>1</v>
      </c>
      <c r="C7" s="19" t="n">
        <f aca="false">EDATE($J$5,A7)</f>
        <v>46508</v>
      </c>
      <c r="D7" s="20" t="n">
        <f aca="false">-PMT($J$3/12,$J$4,$J$2)</f>
        <v>3530510.41674485</v>
      </c>
      <c r="E7" s="20" t="n">
        <f aca="false">-IPMT($J$3/12,A7,$J$4,$J$2)</f>
        <v>608166.024338273</v>
      </c>
      <c r="F7" s="20" t="n">
        <f aca="false">-PPMT($J$3/12,A7,$J$4,$J$2)</f>
        <v>2922344.39240658</v>
      </c>
      <c r="G7" s="20" t="n">
        <f aca="false">ROUND($J$2-SUM($F$2:F7),0)</f>
        <v>57894258</v>
      </c>
    </row>
    <row r="8" customFormat="false" ht="15" hidden="false" customHeight="false" outlineLevel="0" collapsed="false">
      <c r="A8" s="17" t="n">
        <v>7</v>
      </c>
      <c r="B8" s="18" t="n">
        <f aca="false">ROUNDUP(A8/12,0)</f>
        <v>1</v>
      </c>
      <c r="C8" s="19" t="n">
        <f aca="false">EDATE($J$5,A8)</f>
        <v>46539</v>
      </c>
      <c r="D8" s="20" t="n">
        <f aca="false">-PMT($J$3/12,$J$4,$J$2)</f>
        <v>3530510.41674485</v>
      </c>
      <c r="E8" s="20" t="n">
        <f aca="false">-IPMT($J$3/12,A8,$J$4,$J$2)</f>
        <v>578942.580414207</v>
      </c>
      <c r="F8" s="20" t="n">
        <f aca="false">-PPMT($J$3/12,A8,$J$4,$J$2)</f>
        <v>2951567.83633065</v>
      </c>
      <c r="G8" s="20" t="n">
        <f aca="false">ROUND($J$2-SUM($F$2:F8),0)</f>
        <v>54942690</v>
      </c>
    </row>
    <row r="9" customFormat="false" ht="15" hidden="false" customHeight="false" outlineLevel="0" collapsed="false">
      <c r="A9" s="17" t="n">
        <v>8</v>
      </c>
      <c r="B9" s="18" t="n">
        <f aca="false">ROUNDUP(A9/12,0)</f>
        <v>1</v>
      </c>
      <c r="C9" s="19" t="n">
        <f aca="false">EDATE($J$5,A9)</f>
        <v>46569</v>
      </c>
      <c r="D9" s="20" t="n">
        <f aca="false">-PMT($J$3/12,$J$4,$J$2)</f>
        <v>3530510.41674485</v>
      </c>
      <c r="E9" s="20" t="n">
        <f aca="false">-IPMT($J$3/12,A9,$J$4,$J$2)</f>
        <v>549426.902050901</v>
      </c>
      <c r="F9" s="20" t="n">
        <f aca="false">-PPMT($J$3/12,A9,$J$4,$J$2)</f>
        <v>2981083.51469395</v>
      </c>
      <c r="G9" s="20" t="n">
        <f aca="false">ROUND($J$2-SUM($F$2:F9),0)</f>
        <v>51961607</v>
      </c>
    </row>
    <row r="10" customFormat="false" ht="15" hidden="false" customHeight="false" outlineLevel="0" collapsed="false">
      <c r="A10" s="17" t="n">
        <v>9</v>
      </c>
      <c r="B10" s="18" t="n">
        <f aca="false">ROUNDUP(A10/12,0)</f>
        <v>1</v>
      </c>
      <c r="C10" s="19" t="n">
        <f aca="false">EDATE($J$5,A10)</f>
        <v>46600</v>
      </c>
      <c r="D10" s="20" t="n">
        <f aca="false">-PMT($J$3/12,$J$4,$J$2)</f>
        <v>3530510.41674485</v>
      </c>
      <c r="E10" s="20" t="n">
        <f aca="false">-IPMT($J$3/12,A10,$J$4,$J$2)</f>
        <v>519616.066903961</v>
      </c>
      <c r="F10" s="20" t="n">
        <f aca="false">-PPMT($J$3/12,A10,$J$4,$J$2)</f>
        <v>3010894.34984089</v>
      </c>
      <c r="G10" s="20" t="n">
        <f aca="false">ROUND($J$2-SUM($F$2:F10),0)</f>
        <v>48950712</v>
      </c>
    </row>
    <row r="11" customFormat="false" ht="15" hidden="false" customHeight="false" outlineLevel="0" collapsed="false">
      <c r="A11" s="17" t="n">
        <v>10</v>
      </c>
      <c r="B11" s="18" t="n">
        <f aca="false">ROUNDUP(A11/12,0)</f>
        <v>1</v>
      </c>
      <c r="C11" s="19" t="n">
        <f aca="false">EDATE($J$5,A11)</f>
        <v>46631</v>
      </c>
      <c r="D11" s="20" t="n">
        <f aca="false">-PMT($J$3/12,$J$4,$J$2)</f>
        <v>3530510.41674485</v>
      </c>
      <c r="E11" s="20" t="n">
        <f aca="false">-IPMT($J$3/12,A11,$J$4,$J$2)</f>
        <v>489507.123405553</v>
      </c>
      <c r="F11" s="20" t="n">
        <f aca="false">-PPMT($J$3/12,A11,$J$4,$J$2)</f>
        <v>3041003.2933393</v>
      </c>
      <c r="G11" s="20" t="n">
        <f aca="false">ROUND($J$2-SUM($F$2:F11),0)</f>
        <v>45909709</v>
      </c>
    </row>
    <row r="12" customFormat="false" ht="15" hidden="false" customHeight="false" outlineLevel="0" collapsed="false">
      <c r="A12" s="17" t="n">
        <v>11</v>
      </c>
      <c r="B12" s="18" t="n">
        <f aca="false">ROUNDUP(A12/12,0)</f>
        <v>1</v>
      </c>
      <c r="C12" s="19" t="n">
        <f aca="false">EDATE($J$5,A12)</f>
        <v>46661</v>
      </c>
      <c r="D12" s="20" t="n">
        <f aca="false">-PMT($J$3/12,$J$4,$J$2)</f>
        <v>3530510.41674485</v>
      </c>
      <c r="E12" s="20" t="n">
        <f aca="false">-IPMT($J$3/12,A12,$J$4,$J$2)</f>
        <v>459097.090472159</v>
      </c>
      <c r="F12" s="20" t="n">
        <f aca="false">-PPMT($J$3/12,A12,$J$4,$J$2)</f>
        <v>3071413.32627269</v>
      </c>
      <c r="G12" s="20" t="n">
        <f aca="false">ROUND($J$2-SUM($F$2:F12),0)</f>
        <v>42838296</v>
      </c>
    </row>
    <row r="13" customFormat="false" ht="15" hidden="false" customHeight="false" outlineLevel="0" collapsed="false">
      <c r="A13" s="17" t="n">
        <v>12</v>
      </c>
      <c r="B13" s="18" t="n">
        <f aca="false">ROUNDUP(A13/12,0)</f>
        <v>1</v>
      </c>
      <c r="C13" s="19" t="n">
        <f aca="false">EDATE($J$5,A13)</f>
        <v>46692</v>
      </c>
      <c r="D13" s="20" t="n">
        <f aca="false">-PMT($J$3/12,$J$4,$J$2)</f>
        <v>3530510.41674485</v>
      </c>
      <c r="E13" s="20" t="n">
        <f aca="false">-IPMT($J$3/12,A13,$J$4,$J$2)</f>
        <v>428382.957209433</v>
      </c>
      <c r="F13" s="20" t="n">
        <f aca="false">-PPMT($J$3/12,A13,$J$4,$J$2)</f>
        <v>3102127.45953542</v>
      </c>
      <c r="G13" s="20" t="n">
        <f aca="false">ROUND($J$2-SUM($F$2:F13),0)</f>
        <v>39736168</v>
      </c>
    </row>
    <row r="14" customFormat="false" ht="15" hidden="false" customHeight="false" outlineLevel="0" collapsed="false">
      <c r="A14" s="17" t="n">
        <v>13</v>
      </c>
      <c r="B14" s="18" t="n">
        <f aca="false">ROUNDUP(A14/12,0)</f>
        <v>2</v>
      </c>
      <c r="C14" s="19" t="n">
        <f aca="false">EDATE($J$5,A14)</f>
        <v>46722</v>
      </c>
      <c r="D14" s="20" t="n">
        <f aca="false">-PMT($J$3/12,$J$4,$J$2)</f>
        <v>3530510.41674485</v>
      </c>
      <c r="E14" s="20" t="n">
        <f aca="false">-IPMT($J$3/12,A14,$J$4,$J$2)</f>
        <v>397361.682614078</v>
      </c>
      <c r="F14" s="20" t="n">
        <f aca="false">-PPMT($J$3/12,A14,$J$4,$J$2)</f>
        <v>3133148.73413078</v>
      </c>
      <c r="G14" s="20" t="n">
        <f aca="false">ROUND($J$2-SUM($F$2:F14),0)</f>
        <v>36603020</v>
      </c>
    </row>
    <row r="15" customFormat="false" ht="15" hidden="false" customHeight="false" outlineLevel="0" collapsed="false">
      <c r="A15" s="17" t="n">
        <v>14</v>
      </c>
      <c r="B15" s="18" t="n">
        <f aca="false">ROUNDUP(A15/12,0)</f>
        <v>2</v>
      </c>
      <c r="C15" s="19" t="n">
        <f aca="false">EDATE($J$5,A15)</f>
        <v>46753</v>
      </c>
      <c r="D15" s="20" t="n">
        <f aca="false">-PMT($J$3/12,$J$4,$J$2)</f>
        <v>3530510.41674485</v>
      </c>
      <c r="E15" s="20" t="n">
        <f aca="false">-IPMT($J$3/12,A15,$J$4,$J$2)</f>
        <v>366030.19527277</v>
      </c>
      <c r="F15" s="20" t="n">
        <f aca="false">-PPMT($J$3/12,A15,$J$4,$J$2)</f>
        <v>3164480.22147208</v>
      </c>
      <c r="G15" s="20" t="n">
        <f aca="false">ROUND($J$2-SUM($F$2:F15),0)</f>
        <v>33438539</v>
      </c>
    </row>
    <row r="16" customFormat="false" ht="15" hidden="false" customHeight="false" outlineLevel="0" collapsed="false">
      <c r="A16" s="17" t="n">
        <v>15</v>
      </c>
      <c r="B16" s="18" t="n">
        <f aca="false">ROUNDUP(A16/12,0)</f>
        <v>2</v>
      </c>
      <c r="C16" s="19" t="n">
        <f aca="false">EDATE($J$5,A16)</f>
        <v>46784</v>
      </c>
      <c r="D16" s="20" t="n">
        <f aca="false">-PMT($J$3/12,$J$4,$J$2)</f>
        <v>3530510.41674485</v>
      </c>
      <c r="E16" s="20" t="n">
        <f aca="false">-IPMT($J$3/12,A16,$J$4,$J$2)</f>
        <v>334385.393058049</v>
      </c>
      <c r="F16" s="20" t="n">
        <f aca="false">-PPMT($J$3/12,A16,$J$4,$J$2)</f>
        <v>3196125.0236868</v>
      </c>
      <c r="G16" s="20" t="n">
        <f aca="false">ROUND($J$2-SUM($F$2:F16),0)</f>
        <v>30242414</v>
      </c>
    </row>
    <row r="17" customFormat="false" ht="15" hidden="false" customHeight="false" outlineLevel="0" collapsed="false">
      <c r="A17" s="17" t="n">
        <v>16</v>
      </c>
      <c r="B17" s="18" t="n">
        <f aca="false">ROUNDUP(A17/12,0)</f>
        <v>2</v>
      </c>
      <c r="C17" s="19" t="n">
        <f aca="false">EDATE($J$5,A17)</f>
        <v>46813</v>
      </c>
      <c r="D17" s="20" t="n">
        <f aca="false">-PMT($J$3/12,$J$4,$J$2)</f>
        <v>3530510.41674485</v>
      </c>
      <c r="E17" s="20" t="n">
        <f aca="false">-IPMT($J$3/12,A17,$J$4,$J$2)</f>
        <v>302424.142821181</v>
      </c>
      <c r="F17" s="20" t="n">
        <f aca="false">-PPMT($J$3/12,A17,$J$4,$J$2)</f>
        <v>3228086.27392367</v>
      </c>
      <c r="G17" s="20" t="n">
        <f aca="false">ROUND($J$2-SUM($F$2:F17),0)</f>
        <v>27014328</v>
      </c>
    </row>
    <row r="18" customFormat="false" ht="15" hidden="false" customHeight="false" outlineLevel="0" collapsed="false">
      <c r="A18" s="17" t="n">
        <v>17</v>
      </c>
      <c r="B18" s="18" t="n">
        <f aca="false">ROUNDUP(A18/12,0)</f>
        <v>2</v>
      </c>
      <c r="C18" s="19" t="n">
        <f aca="false">EDATE($J$5,A18)</f>
        <v>46844</v>
      </c>
      <c r="D18" s="20" t="n">
        <f aca="false">-PMT($J$3/12,$J$4,$J$2)</f>
        <v>3530510.41674485</v>
      </c>
      <c r="E18" s="20" t="n">
        <f aca="false">-IPMT($J$3/12,A18,$J$4,$J$2)</f>
        <v>270143.280081944</v>
      </c>
      <c r="F18" s="20" t="n">
        <f aca="false">-PPMT($J$3/12,A18,$J$4,$J$2)</f>
        <v>3260367.13666291</v>
      </c>
      <c r="G18" s="20" t="n">
        <f aca="false">ROUND($J$2-SUM($F$2:F18),0)</f>
        <v>23753961</v>
      </c>
    </row>
    <row r="19" customFormat="false" ht="15" hidden="false" customHeight="false" outlineLevel="0" collapsed="false">
      <c r="A19" s="17" t="n">
        <v>18</v>
      </c>
      <c r="B19" s="18" t="n">
        <f aca="false">ROUNDUP(A19/12,0)</f>
        <v>2</v>
      </c>
      <c r="C19" s="19" t="n">
        <f aca="false">EDATE($J$5,A19)</f>
        <v>46874</v>
      </c>
      <c r="D19" s="20" t="n">
        <f aca="false">-PMT($J$3/12,$J$4,$J$2)</f>
        <v>3530510.41674485</v>
      </c>
      <c r="E19" s="20" t="n">
        <f aca="false">-IPMT($J$3/12,A19,$J$4,$J$2)</f>
        <v>237539.608715316</v>
      </c>
      <c r="F19" s="20" t="n">
        <f aca="false">-PPMT($J$3/12,A19,$J$4,$J$2)</f>
        <v>3292970.80802954</v>
      </c>
      <c r="G19" s="20" t="n">
        <f aca="false">ROUND($J$2-SUM($F$2:F19),0)</f>
        <v>20460990</v>
      </c>
    </row>
    <row r="20" customFormat="false" ht="15" hidden="false" customHeight="false" outlineLevel="0" collapsed="false">
      <c r="A20" s="17" t="n">
        <v>19</v>
      </c>
      <c r="B20" s="18" t="n">
        <f aca="false">ROUNDUP(A20/12,0)</f>
        <v>2</v>
      </c>
      <c r="C20" s="19" t="n">
        <f aca="false">EDATE($J$5,A20)</f>
        <v>46905</v>
      </c>
      <c r="D20" s="20" t="n">
        <f aca="false">-PMT($J$3/12,$J$4,$J$2)</f>
        <v>3530510.41674485</v>
      </c>
      <c r="E20" s="20" t="n">
        <f aca="false">-IPMT($J$3/12,A20,$J$4,$J$2)</f>
        <v>204609.90063502</v>
      </c>
      <c r="F20" s="20" t="n">
        <f aca="false">-PPMT($J$3/12,A20,$J$4,$J$2)</f>
        <v>3325900.51610983</v>
      </c>
      <c r="G20" s="20" t="n">
        <f aca="false">ROUND($J$2-SUM($F$2:F20),0)</f>
        <v>17135090</v>
      </c>
    </row>
    <row r="21" customFormat="false" ht="15" hidden="false" customHeight="false" outlineLevel="0" collapsed="false">
      <c r="A21" s="17" t="n">
        <v>20</v>
      </c>
      <c r="B21" s="18" t="n">
        <f aca="false">ROUNDUP(A21/12,0)</f>
        <v>2</v>
      </c>
      <c r="C21" s="19" t="n">
        <f aca="false">EDATE($J$5,A21)</f>
        <v>46935</v>
      </c>
      <c r="D21" s="20" t="n">
        <f aca="false">-PMT($J$3/12,$J$4,$J$2)</f>
        <v>3530510.41674485</v>
      </c>
      <c r="E21" s="20" t="n">
        <f aca="false">-IPMT($J$3/12,A21,$J$4,$J$2)</f>
        <v>171350.895473922</v>
      </c>
      <c r="F21" s="20" t="n">
        <f aca="false">-PPMT($J$3/12,A21,$J$4,$J$2)</f>
        <v>3359159.52127093</v>
      </c>
      <c r="G21" s="20" t="n">
        <f aca="false">ROUND($J$2-SUM($F$2:F21),0)</f>
        <v>13775930</v>
      </c>
    </row>
    <row r="22" customFormat="false" ht="15" hidden="false" customHeight="false" outlineLevel="0" collapsed="false">
      <c r="A22" s="17" t="n">
        <v>21</v>
      </c>
      <c r="B22" s="18" t="n">
        <f aca="false">ROUNDUP(A22/12,0)</f>
        <v>2</v>
      </c>
      <c r="C22" s="19" t="n">
        <f aca="false">EDATE($J$5,A22)</f>
        <v>46966</v>
      </c>
      <c r="D22" s="20" t="n">
        <f aca="false">-PMT($J$3/12,$J$4,$J$2)</f>
        <v>3530510.41674485</v>
      </c>
      <c r="E22" s="20" t="n">
        <f aca="false">-IPMT($J$3/12,A22,$J$4,$J$2)</f>
        <v>137759.300261212</v>
      </c>
      <c r="F22" s="20" t="n">
        <f aca="false">-PPMT($J$3/12,A22,$J$4,$J$2)</f>
        <v>3392751.11648364</v>
      </c>
      <c r="G22" s="20" t="n">
        <f aca="false">ROUND($J$2-SUM($F$2:F22),0)</f>
        <v>10383179</v>
      </c>
    </row>
    <row r="23" customFormat="false" ht="15" hidden="false" customHeight="false" outlineLevel="0" collapsed="false">
      <c r="A23" s="17" t="n">
        <v>22</v>
      </c>
      <c r="B23" s="18" t="n">
        <f aca="false">ROUNDUP(A23/12,0)</f>
        <v>2</v>
      </c>
      <c r="C23" s="19" t="n">
        <f aca="false">EDATE($J$5,A23)</f>
        <v>46997</v>
      </c>
      <c r="D23" s="20" t="n">
        <f aca="false">-PMT($J$3/12,$J$4,$J$2)</f>
        <v>3530510.41674485</v>
      </c>
      <c r="E23" s="20" t="n">
        <f aca="false">-IPMT($J$3/12,A23,$J$4,$J$2)</f>
        <v>103831.789096376</v>
      </c>
      <c r="F23" s="20" t="n">
        <f aca="false">-PPMT($J$3/12,A23,$J$4,$J$2)</f>
        <v>3426678.62764848</v>
      </c>
      <c r="G23" s="20" t="n">
        <f aca="false">ROUND($J$2-SUM($F$2:F23),0)</f>
        <v>6956500</v>
      </c>
    </row>
    <row r="24" customFormat="false" ht="15" hidden="false" customHeight="false" outlineLevel="0" collapsed="false">
      <c r="A24" s="17" t="n">
        <v>23</v>
      </c>
      <c r="B24" s="18" t="n">
        <f aca="false">ROUNDUP(A24/12,0)</f>
        <v>2</v>
      </c>
      <c r="C24" s="19" t="n">
        <f aca="false">EDATE($J$5,A24)</f>
        <v>47027</v>
      </c>
      <c r="D24" s="20" t="n">
        <f aca="false">-PMT($J$3/12,$J$4,$J$2)</f>
        <v>3530510.41674485</v>
      </c>
      <c r="E24" s="20" t="n">
        <f aca="false">-IPMT($J$3/12,A24,$J$4,$J$2)</f>
        <v>69565.0028198911</v>
      </c>
      <c r="F24" s="20" t="n">
        <f aca="false">-PPMT($J$3/12,A24,$J$4,$J$2)</f>
        <v>3460945.41392496</v>
      </c>
      <c r="G24" s="20" t="n">
        <f aca="false">ROUND($J$2-SUM($F$2:F24),0)</f>
        <v>3495555</v>
      </c>
    </row>
    <row r="25" customFormat="false" ht="15" hidden="false" customHeight="false" outlineLevel="0" collapsed="false">
      <c r="A25" s="17" t="n">
        <v>24</v>
      </c>
      <c r="B25" s="18" t="n">
        <f aca="false">ROUNDUP(A25/12,0)</f>
        <v>2</v>
      </c>
      <c r="C25" s="19" t="n">
        <f aca="false">EDATE($J$5,A25)</f>
        <v>47058</v>
      </c>
      <c r="D25" s="20" t="n">
        <f aca="false">-PMT($J$3/12,$J$4,$J$2)</f>
        <v>3530510.41674485</v>
      </c>
      <c r="E25" s="20" t="n">
        <f aca="false">-IPMT($J$3/12,A25,$J$4,$J$2)</f>
        <v>34955.5486806415</v>
      </c>
      <c r="F25" s="20" t="n">
        <f aca="false">-PPMT($J$3/12,A25,$J$4,$J$2)</f>
        <v>3495554.86806421</v>
      </c>
      <c r="G25" s="20" t="n">
        <f aca="false">ROUND($J$2-SUM($F$2:F25),0)</f>
        <v>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6" t="s">
        <v>86</v>
      </c>
      <c r="B1" s="26"/>
      <c r="C1" s="26"/>
      <c r="D1" s="26"/>
    </row>
    <row r="2" customFormat="false" ht="15" hidden="false" customHeight="false" outlineLevel="0" collapsed="false">
      <c r="A2" s="27" t="s">
        <v>87</v>
      </c>
      <c r="B2" s="27"/>
      <c r="C2" s="27"/>
      <c r="D2" s="27"/>
    </row>
    <row r="3" customFormat="false" ht="15" hidden="false" customHeight="false" outlineLevel="0" collapsed="false">
      <c r="A3" s="11" t="s">
        <v>19</v>
      </c>
      <c r="B3" s="11" t="s">
        <v>88</v>
      </c>
      <c r="C3" s="11" t="s">
        <v>89</v>
      </c>
      <c r="D3" s="11" t="s">
        <v>90</v>
      </c>
    </row>
    <row r="4" customFormat="false" ht="15" hidden="false" customHeight="false" outlineLevel="0" collapsed="false">
      <c r="A4" s="28" t="s">
        <v>91</v>
      </c>
      <c r="B4" s="29" t="s">
        <v>92</v>
      </c>
      <c r="C4" s="20" t="n">
        <f aca="false">SUM(Data!$D$2:$D$25)</f>
        <v>84732250.0018765</v>
      </c>
      <c r="D4" s="30" t="s">
        <v>93</v>
      </c>
    </row>
    <row r="5" customFormat="false" ht="15" hidden="false" customHeight="false" outlineLevel="0" collapsed="false">
      <c r="A5" s="28" t="s">
        <v>94</v>
      </c>
      <c r="B5" s="29" t="s">
        <v>95</v>
      </c>
      <c r="C5" s="20" t="n">
        <f aca="false">SUM(Data!$E$2:$E$25)</f>
        <v>9732250.00187647</v>
      </c>
      <c r="D5" s="30" t="s">
        <v>96</v>
      </c>
    </row>
    <row r="6" customFormat="false" ht="15" hidden="false" customHeight="false" outlineLevel="0" collapsed="false">
      <c r="A6" s="28" t="s">
        <v>97</v>
      </c>
      <c r="B6" s="29" t="s">
        <v>98</v>
      </c>
      <c r="C6" s="20" t="n">
        <f aca="false">SUMIF(Data!$B$2:$B$25,1,Data!$E$2:$E$25)</f>
        <v>7102293.26234607</v>
      </c>
      <c r="D6" s="30" t="s">
        <v>99</v>
      </c>
    </row>
    <row r="7" customFormat="false" ht="15" hidden="false" customHeight="false" outlineLevel="0" collapsed="false">
      <c r="A7" s="28" t="s">
        <v>100</v>
      </c>
      <c r="B7" s="29" t="s">
        <v>101</v>
      </c>
      <c r="C7" s="20" t="n">
        <f aca="false">SUMIF(Data!$B$2:$B$25,2,Data!$E$2:$E$25)</f>
        <v>2629956.7395304</v>
      </c>
      <c r="D7" s="30" t="s">
        <v>102</v>
      </c>
    </row>
    <row r="8" customFormat="false" ht="15" hidden="false" customHeight="false" outlineLevel="0" collapsed="false">
      <c r="A8" s="28" t="s">
        <v>103</v>
      </c>
      <c r="B8" s="29" t="s">
        <v>104</v>
      </c>
      <c r="C8" s="20" t="n">
        <f aca="false">INDEX(Data!$G$2:$G$25,MATCH(12,Data!$A$2:$A$25,0))</f>
        <v>39736168</v>
      </c>
      <c r="D8" s="30" t="s">
        <v>105</v>
      </c>
    </row>
    <row r="9" customFormat="false" ht="15" hidden="false" customHeight="false" outlineLevel="0" collapsed="false">
      <c r="A9" s="28" t="s">
        <v>106</v>
      </c>
      <c r="B9" s="29" t="s">
        <v>107</v>
      </c>
      <c r="C9" s="20" t="n">
        <f aca="false">INDEX(Data!$F$2:$F$25,MATCH(24,Data!$A$2:$A$25,0))</f>
        <v>3495554.86806421</v>
      </c>
      <c r="D9" s="30" t="s">
        <v>108</v>
      </c>
    </row>
    <row r="10" customFormat="false" ht="15" hidden="false" customHeight="false" outlineLevel="0" collapsed="false">
      <c r="A10" s="28" t="s">
        <v>109</v>
      </c>
      <c r="B10" s="29" t="s">
        <v>110</v>
      </c>
      <c r="C10" s="19" t="n">
        <f aca="false">MAX(Data!$C$2:$C$25)</f>
        <v>47058</v>
      </c>
      <c r="D10" s="30" t="s">
        <v>111</v>
      </c>
    </row>
    <row r="11" customFormat="false" ht="15" hidden="false" customHeight="false" outlineLevel="0" collapsed="false">
      <c r="A11" s="28" t="s">
        <v>112</v>
      </c>
      <c r="B11" s="29" t="s">
        <v>113</v>
      </c>
      <c r="C11" s="20" t="n">
        <f aca="false">INDEX(Data!$G$2:$G$25,MATCH(MAX(Data!$A$2:$A$25),Data!$A$2:$A$25,0))</f>
        <v>0</v>
      </c>
      <c r="D11" s="30" t="s">
        <v>114</v>
      </c>
    </row>
    <row r="12" customFormat="false" ht="15" hidden="false" customHeight="false" outlineLevel="0" collapsed="false">
      <c r="A12" s="28" t="s">
        <v>63</v>
      </c>
      <c r="B12" s="29" t="s">
        <v>115</v>
      </c>
      <c r="C12" s="18" t="n">
        <f aca="false">COUNTIF(Data!$G$2:$G$25,"&gt;="&amp;Data!$J$2/2)+1</f>
        <v>13</v>
      </c>
      <c r="D12" s="30" t="s">
        <v>116</v>
      </c>
    </row>
    <row r="13" customFormat="false" ht="15" hidden="false" customHeight="false" outlineLevel="0" collapsed="false">
      <c r="A13" s="28" t="s">
        <v>117</v>
      </c>
      <c r="B13" s="29" t="s">
        <v>118</v>
      </c>
      <c r="C13" s="31" t="n">
        <f aca="false">SUM(Data!$E$2:$E$25)/SUM(Data!$D$2:$D$25)</f>
        <v>0.114858864265506</v>
      </c>
      <c r="D13" s="30" t="s">
        <v>119</v>
      </c>
    </row>
    <row r="14" customFormat="false" ht="15" hidden="false" customHeight="false" outlineLevel="0" collapsed="false">
      <c r="A14" s="28" t="s">
        <v>120</v>
      </c>
      <c r="B14" s="29" t="s">
        <v>121</v>
      </c>
      <c r="C14" s="31" t="n">
        <f aca="false">INDEX(Data!$E$2:$E$25,MATCH(1,Data!$A$2:$A$25,0))/INDEX(Data!$D$2:$D$25,MATCH(1,Data!$A$2:$A$25,0))</f>
        <v>0.212433872576278</v>
      </c>
      <c r="D14" s="30" t="s">
        <v>122</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2026-10-14T23:33:56Z</dcterms:created>
  <dc:creator>PushExcel</dc:creator>
  <dc:description/>
  <dc:language>en-US</dc:language>
  <cp:lastModifiedBy/>
  <dcterms:modified xsi:type="dcterms:W3CDTF">2026-10-14T23:33:57Z</dcterms:modified>
  <cp:revision>0</cp:revision>
  <dc:subject/>
  <dc:title>Jadwal Angsuran Kredit 24 Bulan - Kunci</dc:title>
</cp:coreProperties>
</file>

<file path=docProps/custom.xml><?xml version="1.0" encoding="utf-8"?>
<Properties xmlns="http://schemas.openxmlformats.org/officeDocument/2006/custom-properties" xmlns:vt="http://schemas.openxmlformats.org/officeDocument/2006/docPropsVTypes"/>
</file>