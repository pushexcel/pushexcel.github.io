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<sst xmlns="http://schemas.openxmlformats.org/spreadsheetml/2006/main" count="245" uniqueCount="189">
  <si>
    <t xml:space="preserve">Kunci Jawaban: Pengadaan Barang dan Purchase Order</t>
  </si>
  <si>
    <t xml:space="preserve">Latihan 13 dari 104  |  Tingkat: Lanjutan  |  Perkiraan waktu: 60 menit  |  pushexcel.github.io/Pushexcel</t>
  </si>
  <si>
    <t xml:space="preserve">Skenario</t>
  </si>
  <si>
    <t xml:space="preserve">Kamu admin pengadaan di PT Bangun Prima. Triwulan ini ada 28 purchase order ke lima pemasok. Pemasok memberi diskon 10 persen bila nilai pesanan mencapai Rp 10.000.000, lalu dikenakan PPN 11 persen dari nilai setelah diskon. Jatuh tempo pembayaran dihitung dari tanggal barang diterima ditambah tempo pemasok (sheet Acuan). Kamu juga menilai pemasok mana yang terlambat mengirim.</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</si>
  <si>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</si>
  <si>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</si>
  <si>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</si>
  <si>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</si>
  <si>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</si>
  <si>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</si>
  <si>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</si>
  <si>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</si>
  <si>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</si>
  <si>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</si>
  <si>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</si>
  <si>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</si>
  <si>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</si>
  <si>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</si>
  <si>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</si>
  <si>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</si>
  <si>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</si>
  <si>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</si>
  <si>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</si>
  <si>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</si>
  <si>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nilai pesanan: jumlah dikali harga satuan.</t>
  </si>
  <si>
    <t xml:space="preserve">Sheet Data, kolom I (Nilai Pesanan), baris 2 sampai 29</t>
  </si>
  <si>
    <t xml:space="preserve">=F2*G2</t>
  </si>
  <si>
    <t xml:space="preserve">2</t>
  </si>
  <si>
    <t xml:space="preserve">Beri diskon bila nilai pesanan sama dengan atau di atas batas diskon: nilai pesanan dikali persen diskon. Selain itu 0.</t>
  </si>
  <si>
    <t xml:space="preserve">Sheet Data, kolom J (Diskon), baris 2 sampai 29</t>
  </si>
  <si>
    <t xml:space="preserve">=IF(I2&gt;=$S$2;ROUND(I2*$S$3;0);0)</t>
  </si>
  <si>
    <t xml:space="preserve">3</t>
  </si>
  <si>
    <t xml:space="preserve">Hitung PPN: (nilai pesanan dikurangi diskon) dikali persen PPN.</t>
  </si>
  <si>
    <t xml:space="preserve">Sheet Data, kolom K (PPN), baris 2 sampai 29</t>
  </si>
  <si>
    <t xml:space="preserve">=ROUND((I2-J2)*$S$4;0)</t>
  </si>
  <si>
    <t xml:space="preserve">4</t>
  </si>
  <si>
    <t xml:space="preserve">Hitung total tagihan: nilai pesanan dikurangi diskon, ditambah PPN.</t>
  </si>
  <si>
    <t xml:space="preserve">Sheet Data, kolom L (Total Tagihan), baris 2 sampai 29</t>
  </si>
  <si>
    <t xml:space="preserve">=I2-J2+K2</t>
  </si>
  <si>
    <t xml:space="preserve">5</t>
  </si>
  <si>
    <t xml:space="preserve">Hitung tanggal jatuh tempo: tanggal terima ditambah tempo bayar pemasok dari sheet Acuan.</t>
  </si>
  <si>
    <t xml:space="preserve">Sheet Data, kolom M (Jatuh Tempo), baris 2 sampai 29</t>
  </si>
  <si>
    <t xml:space="preserve">=H2+VLOOKUP(D2;Acuan!$A$2:$B$6;2;FALSE)</t>
  </si>
  <si>
    <t xml:space="preserve">6</t>
  </si>
  <si>
    <t xml:space="preserve">Hitung lama pengiriman dalam hari: tanggal terima dikurangi tanggal PO.</t>
  </si>
  <si>
    <t xml:space="preserve">Sheet Data, kolom N (Lama Kirim (hari)), baris 2 sampai 29</t>
  </si>
  <si>
    <t xml:space="preserve">=H2-C2</t>
  </si>
  <si>
    <t xml:space="preserve">7</t>
  </si>
  <si>
    <t xml:space="preserve">Beri status Terlambat bila lama kirim lebih dari target pengiriman, selain itu Tepat Waktu.</t>
  </si>
  <si>
    <t xml:space="preserve">Sheet Data, kolom O (Status Kirim), baris 2 sampai 29</t>
  </si>
  <si>
    <t xml:space="preserve">=IF(N2&gt;$S$5;"Terlambat";"Tepat Waktu")</t>
  </si>
  <si>
    <t xml:space="preserve">8</t>
  </si>
  <si>
    <t xml:space="preserve">Beri status Lewat Tempo bila tanggal jatuh tempo sebelum tanggal acuan, selain itu Belum Jatuh Tempo.</t>
  </si>
  <si>
    <t xml:space="preserve">Sheet Data, kolom P (Status Bayar), baris 2 sampai 29</t>
  </si>
  <si>
    <t xml:space="preserve">=IF(M2&lt;$S$6;"Lewat Tempo";"Belum Jatuh Tempo")</t>
  </si>
  <si>
    <t xml:space="preserve">9</t>
  </si>
  <si>
    <t xml:space="preserve">Berapa total tagihan seluruh PO?</t>
  </si>
  <si>
    <t xml:space="preserve">Sheet Ringkasan, sel C4</t>
  </si>
  <si>
    <t xml:space="preserve">=SUM(Data!$L$2:$L$29)</t>
  </si>
  <si>
    <t xml:space="preserve">10</t>
  </si>
  <si>
    <t xml:space="preserve">Berapa total diskon yang diperoleh, dan berapa PO yang mendapat diskon?</t>
  </si>
  <si>
    <t xml:space="preserve">Sheet Ringkasan, sel C5 sampai C6</t>
  </si>
  <si>
    <t xml:space="preserve">=SUM(Data!$J$2:$J$29)
=COUNTIF(Data!$J$2:$J$29;"&gt;0")</t>
  </si>
  <si>
    <t xml:space="preserve">11</t>
  </si>
  <si>
    <t xml:space="preserve">Berapa PO yang berstatus Terlambat?</t>
  </si>
  <si>
    <t xml:space="preserve">Sheet Ringkasan, sel C7</t>
  </si>
  <si>
    <t xml:space="preserve">=COUNTIF(Data!$O$2:$O$29;"Terlambat")</t>
  </si>
  <si>
    <t xml:space="preserve">12</t>
  </si>
  <si>
    <t xml:space="preserve">Berapa rata-rata lama pengiriman dalam hari?</t>
  </si>
  <si>
    <t xml:space="preserve">Sheet Ringkasan, sel C8</t>
  </si>
  <si>
    <t xml:space="preserve">=AVERAGE(Data!$N$2:$N$29)</t>
  </si>
  <si>
    <t xml:space="preserve">13</t>
  </si>
  <si>
    <t xml:space="preserve">Berapa PO yang sudah Lewat Tempo, dan berapa total tagihannya?</t>
  </si>
  <si>
    <t xml:space="preserve">Sheet Ringkasan, sel C9 sampai C10</t>
  </si>
  <si>
    <t xml:space="preserve">=COUNTIF(Data!$P$2:$P$29;"Lewat Tempo")
=SUMIF(Data!$P$2:$P$29;"Lewat Tempo";Data!$L$2:$L$29)</t>
  </si>
  <si>
    <t xml:space="preserve">14</t>
  </si>
  <si>
    <t xml:space="preserve">PO mana yang total tagihannya terbesar?</t>
  </si>
  <si>
    <t xml:space="preserve">Sheet Ringkasan, sel C11</t>
  </si>
  <si>
    <t xml:space="preserve">=INDEX(Data!$B$2:$B$29;MATCH(MAX(Data!$L$2:$L$29);Data!$L$2:$L$29;0))</t>
  </si>
  <si>
    <t xml:space="preserve">15</t>
  </si>
  <si>
    <t xml:space="preserve">Pada sheet Acuan, hitung jumlah PO tiap pemasok.</t>
  </si>
  <si>
    <t xml:space="preserve">Sheet Acuan, kolom C (Jumlah PO), baris 2 sampai 6</t>
  </si>
  <si>
    <t xml:space="preserve">=COUNTIF(Data!$D$2:$D$29;A2)</t>
  </si>
  <si>
    <t xml:space="preserve">16</t>
  </si>
  <si>
    <t xml:space="preserve">Pada sheet Acuan, hitung total tagihan tiap pemasok.</t>
  </si>
  <si>
    <t xml:space="preserve">Sheet Acuan, kolom D (Total Tagihan), baris 2 sampai 6</t>
  </si>
  <si>
    <t xml:space="preserve">=SUMIF(Data!$D$2:$D$29;A2;Data!$L$2:$L$29)</t>
  </si>
  <si>
    <t xml:space="preserve">17</t>
  </si>
  <si>
    <t xml:space="preserve">Dengan pemasok mana kita punya total tagihan terbesar?</t>
  </si>
  <si>
    <t xml:space="preserve">Sheet Ringkasan, sel C12</t>
  </si>
  <si>
    <t xml:space="preserve">=INDEX(Acuan!$A$2:$A$6;MATCH(MAX(Acuan!$D$2:$D$6);Acuan!$D$2:$D$6;0))</t>
  </si>
  <si>
    <t xml:space="preserve">No. PO</t>
  </si>
  <si>
    <t xml:space="preserve">Tanggal PO</t>
  </si>
  <si>
    <t xml:space="preserve">Pemasok</t>
  </si>
  <si>
    <t xml:space="preserve">Barang</t>
  </si>
  <si>
    <t xml:space="preserve">Jumlah</t>
  </si>
  <si>
    <t xml:space="preserve">Harga Satuan</t>
  </si>
  <si>
    <t xml:space="preserve">Tanggal Terima</t>
  </si>
  <si>
    <t xml:space="preserve">Nilai Pesanan</t>
  </si>
  <si>
    <t xml:space="preserve">Diskon</t>
  </si>
  <si>
    <t xml:space="preserve">PPN</t>
  </si>
  <si>
    <t xml:space="preserve">Total Tagihan</t>
  </si>
  <si>
    <t xml:space="preserve">Jatuh Tempo</t>
  </si>
  <si>
    <t xml:space="preserve">Lama Kirim (hari)</t>
  </si>
  <si>
    <t xml:space="preserve">Status Kirim</t>
  </si>
  <si>
    <t xml:space="preserve">Status Bayar</t>
  </si>
  <si>
    <t xml:space="preserve">Parameter</t>
  </si>
  <si>
    <t xml:space="preserve">Nilai</t>
  </si>
  <si>
    <t xml:space="preserve">Keterangan</t>
  </si>
  <si>
    <t xml:space="preserve">PO-2026-001</t>
  </si>
  <si>
    <t xml:space="preserve">CV Karya Bersama</t>
  </si>
  <si>
    <t xml:space="preserve">Cat Tembok 20 kg</t>
  </si>
  <si>
    <t xml:space="preserve">Nilai pesanan minimal dapat diskon</t>
  </si>
  <si>
    <t xml:space="preserve">PO-2026-002</t>
  </si>
  <si>
    <t xml:space="preserve">Keramik Lantai (dus)</t>
  </si>
  <si>
    <t xml:space="preserve">Persen dari nilai pesanan</t>
  </si>
  <si>
    <t xml:space="preserve">PO-2026-003</t>
  </si>
  <si>
    <t xml:space="preserve">UD Makmur Jaya</t>
  </si>
  <si>
    <t xml:space="preserve">Air Mineral Galon</t>
  </si>
  <si>
    <t xml:space="preserve">Persen dari nilai setelah diskon</t>
  </si>
  <si>
    <t xml:space="preserve">PO-2026-004</t>
  </si>
  <si>
    <t xml:space="preserve">PT Sinar Abadi</t>
  </si>
  <si>
    <t xml:space="preserve">Toner Fotokopi</t>
  </si>
  <si>
    <t xml:space="preserve">Target pengiriman (hari)</t>
  </si>
  <si>
    <t xml:space="preserve">Terlambat bila lebih dari angka ini</t>
  </si>
  <si>
    <t xml:space="preserve">PO-2026-005</t>
  </si>
  <si>
    <t xml:space="preserve">CV Bintang Timur</t>
  </si>
  <si>
    <t xml:space="preserve">Kursi Kantor</t>
  </si>
  <si>
    <t xml:space="preserve">Tanggal acuan</t>
  </si>
  <si>
    <t xml:space="preserve">Dipakai untuk menentukan status pembayaran</t>
  </si>
  <si>
    <t xml:space="preserve">PO-2026-006</t>
  </si>
  <si>
    <t xml:space="preserve">PT Global Mandiri</t>
  </si>
  <si>
    <t xml:space="preserve">Switch 8 Port</t>
  </si>
  <si>
    <t xml:space="preserve">PO-2026-007</t>
  </si>
  <si>
    <t xml:space="preserve">Lampu LED 12 W (dus)</t>
  </si>
  <si>
    <t xml:space="preserve">PO-2026-008</t>
  </si>
  <si>
    <t xml:space="preserve">PO-2026-009</t>
  </si>
  <si>
    <t xml:space="preserve">Meja Lipat</t>
  </si>
  <si>
    <t xml:space="preserve">PO-2026-010</t>
  </si>
  <si>
    <t xml:space="preserve">PO-2026-011</t>
  </si>
  <si>
    <t xml:space="preserve">PO-2026-012</t>
  </si>
  <si>
    <t xml:space="preserve">PO-2026-013</t>
  </si>
  <si>
    <t xml:space="preserve">Kopi Sachet (dus)</t>
  </si>
  <si>
    <t xml:space="preserve">PO-2026-014</t>
  </si>
  <si>
    <t xml:space="preserve">PO-2026-015</t>
  </si>
  <si>
    <t xml:space="preserve">PO-2026-016</t>
  </si>
  <si>
    <t xml:space="preserve">Kertas HVS A4 80 gr (rim)</t>
  </si>
  <si>
    <t xml:space="preserve">PO-2026-017</t>
  </si>
  <si>
    <t xml:space="preserve">PO-2026-018</t>
  </si>
  <si>
    <t xml:space="preserve">PO-2026-019</t>
  </si>
  <si>
    <t xml:space="preserve">Gula Pasir 1 kg</t>
  </si>
  <si>
    <t xml:space="preserve">PO-2026-020</t>
  </si>
  <si>
    <t xml:space="preserve">Laptop 14 Inci</t>
  </si>
  <si>
    <t xml:space="preserve">PO-2026-021</t>
  </si>
  <si>
    <t xml:space="preserve">Monitor 22 Inci</t>
  </si>
  <si>
    <t xml:space="preserve">PO-2026-022</t>
  </si>
  <si>
    <t xml:space="preserve">PO-2026-023</t>
  </si>
  <si>
    <t xml:space="preserve">PO-2026-024</t>
  </si>
  <si>
    <t xml:space="preserve">PO-2026-025</t>
  </si>
  <si>
    <t xml:space="preserve">PO-2026-026</t>
  </si>
  <si>
    <t xml:space="preserve">PO-2026-027</t>
  </si>
  <si>
    <t xml:space="preserve">PO-2026-028</t>
  </si>
  <si>
    <t xml:space="preserve">Tempo Bayar (hari)</t>
  </si>
  <si>
    <t xml:space="preserve">Jumlah PO</t>
  </si>
  <si>
    <t xml:space="preserve">Ringkasan: lembar jawaban soal berjenis ringkasan</t>
  </si>
  <si>
    <t xml:space="preserve">Sel hijau berisi rumus kunci.</t>
  </si>
  <si>
    <t xml:space="preserve">Pertanyaan</t>
  </si>
  <si>
    <t xml:space="preserve">Jawaban</t>
  </si>
  <si>
    <t xml:space="preserve">Contoh format hasil</t>
  </si>
  <si>
    <t xml:space="preserve">Total tagihan seluruh PO</t>
  </si>
  <si>
    <t xml:space="preserve">Rupiah, mis. Rp 280.000.000</t>
  </si>
  <si>
    <t xml:space="preserve">10a</t>
  </si>
  <si>
    <t xml:space="preserve">Total diskon yang diperoleh</t>
  </si>
  <si>
    <t xml:space="preserve">Rupiah, mis. Rp 14.500.000</t>
  </si>
  <si>
    <t xml:space="preserve">10b</t>
  </si>
  <si>
    <t xml:space="preserve">Jumlah PO yang mendapat diskon</t>
  </si>
  <si>
    <t xml:space="preserve">Jumlah PO terlambat</t>
  </si>
  <si>
    <t xml:space="preserve">Angka bulat, mis. 9</t>
  </si>
  <si>
    <t xml:space="preserve">Rata-rata lama kirim (hari)</t>
  </si>
  <si>
    <t xml:space="preserve">Desimal 1 angka, mis. 8,3</t>
  </si>
  <si>
    <t xml:space="preserve">13a</t>
  </si>
  <si>
    <t xml:space="preserve">Jumlah PO lewat tempo</t>
  </si>
  <si>
    <t xml:space="preserve">Rupiah, mis. Rp 95.000.000</t>
  </si>
  <si>
    <t xml:space="preserve">13b</t>
  </si>
  <si>
    <t xml:space="preserve">Total tagihan PO lewat tempo</t>
  </si>
  <si>
    <t xml:space="preserve">Nomor PO dengan total tagihan terbesar</t>
  </si>
  <si>
    <t xml:space="preserve">Teks: nomor PO</t>
  </si>
  <si>
    <t xml:space="preserve">Pemasok dengan total tagihan terbesar</t>
  </si>
  <si>
    <t xml:space="preserve">Teks: nama pemasok</t>
  </si>
</sst>
</file>

<file path=xl/styles.xml><?xml version="1.0" encoding="utf-8"?>
<styleSheet xmlns="http://schemas.openxmlformats.org/spreadsheetml/2006/main">
  <numFmts count="6">
    <numFmt numFmtId="164" formatCode="General"/>
    <numFmt numFmtId="165" formatCode="0"/>
    <numFmt numFmtId="166" formatCode="dd/mm/yyyy"/>
    <numFmt numFmtId="167" formatCode="&quot;Rp &quot;#,##0"/>
    <numFmt numFmtId="168" formatCode="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42"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42" hidden="false" customHeight="true" outlineLevel="0" collapsed="false">
      <c r="A33" s="13" t="s">
        <v>71</v>
      </c>
      <c r="B33" s="14" t="s">
        <v>72</v>
      </c>
      <c r="C33" s="14" t="s">
        <v>73</v>
      </c>
      <c r="D33" s="15" t="s">
        <v>74</v>
      </c>
    </row>
    <row r="34" customFormat="false" ht="30" hidden="false" customHeight="true" outlineLevel="0" collapsed="false">
      <c r="A34" s="13" t="s">
        <v>75</v>
      </c>
      <c r="B34" s="14" t="s">
        <v>76</v>
      </c>
      <c r="C34" s="14" t="s">
        <v>77</v>
      </c>
      <c r="D34" s="15" t="s">
        <v>78</v>
      </c>
    </row>
    <row r="35" customFormat="false" ht="30" hidden="false" customHeight="true" outlineLevel="0" collapsed="false">
      <c r="A35" s="13" t="s">
        <v>79</v>
      </c>
      <c r="B35" s="14" t="s">
        <v>80</v>
      </c>
      <c r="C35" s="14" t="s">
        <v>81</v>
      </c>
      <c r="D35" s="15" t="s">
        <v>82</v>
      </c>
    </row>
    <row r="36" customFormat="false" ht="30" hidden="false" customHeight="true" outlineLevel="0" collapsed="false">
      <c r="A36" s="13" t="s">
        <v>83</v>
      </c>
      <c r="B36" s="14" t="s">
        <v>84</v>
      </c>
      <c r="C36" s="14" t="s">
        <v>85</v>
      </c>
      <c r="D36" s="15" t="s">
        <v>86</v>
      </c>
    </row>
    <row r="37" customFormat="false" ht="30" hidden="false" customHeight="true" outlineLevel="0" collapsed="false">
      <c r="A37" s="13" t="s">
        <v>87</v>
      </c>
      <c r="B37" s="14" t="s">
        <v>88</v>
      </c>
      <c r="C37" s="14" t="s">
        <v>89</v>
      </c>
      <c r="D37" s="15" t="s">
        <v>90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2"/>
    <col collapsed="false" customWidth="true" hidden="false" outlineLevel="0" max="4" min="4" style="0" width="20"/>
    <col collapsed="false" customWidth="true" hidden="false" outlineLevel="0" max="5" min="5" style="0" width="26"/>
    <col collapsed="false" customWidth="true" hidden="false" outlineLevel="0" max="6" min="6" style="0" width="9"/>
    <col collapsed="false" customWidth="true" hidden="false" outlineLevel="0" max="7" min="7" style="0" width="14"/>
    <col collapsed="false" customWidth="true" hidden="false" outlineLevel="0" max="8" min="8" style="0" width="13"/>
    <col collapsed="false" customWidth="true" hidden="false" outlineLevel="0" max="9" min="9" style="0" width="15"/>
    <col collapsed="false" customWidth="true" hidden="false" outlineLevel="0" max="11" min="10" style="0" width="13"/>
    <col collapsed="false" customWidth="true" hidden="false" outlineLevel="0" max="12" min="12" style="0" width="15"/>
    <col collapsed="false" customWidth="true" hidden="false" outlineLevel="0" max="13" min="13" style="0" width="13"/>
    <col collapsed="false" customWidth="true" hidden="false" outlineLevel="0" max="14" min="14" style="0" width="12"/>
    <col collapsed="false" customWidth="true" hidden="false" outlineLevel="0" max="15" min="15" style="0" width="13"/>
    <col collapsed="false" customWidth="true" hidden="false" outlineLevel="0" max="16" min="16" style="0" width="18"/>
    <col collapsed="false" customWidth="true" hidden="false" outlineLevel="0" max="17" min="17" style="0" width="3"/>
    <col collapsed="false" customWidth="true" hidden="false" outlineLevel="0" max="18" min="18" style="0" width="30"/>
    <col collapsed="false" customWidth="true" hidden="false" outlineLevel="0" max="19" min="19" style="0" width="16"/>
    <col collapsed="false" customWidth="true" hidden="false" outlineLevel="0" max="20" min="20" style="0" width="42"/>
  </cols>
  <sheetData>
    <row r="1" customFormat="false" ht="33.75" hidden="false" customHeight="true" outlineLevel="0" collapsed="false">
      <c r="A1" s="12" t="s">
        <v>19</v>
      </c>
      <c r="B1" s="12" t="s">
        <v>91</v>
      </c>
      <c r="C1" s="12" t="s">
        <v>92</v>
      </c>
      <c r="D1" s="12" t="s">
        <v>93</v>
      </c>
      <c r="E1" s="12" t="s">
        <v>94</v>
      </c>
      <c r="F1" s="12" t="s">
        <v>95</v>
      </c>
      <c r="G1" s="12" t="s">
        <v>96</v>
      </c>
      <c r="H1" s="12" t="s">
        <v>97</v>
      </c>
      <c r="I1" s="16" t="s">
        <v>98</v>
      </c>
      <c r="J1" s="16" t="s">
        <v>99</v>
      </c>
      <c r="K1" s="16" t="s">
        <v>100</v>
      </c>
      <c r="L1" s="16" t="s">
        <v>101</v>
      </c>
      <c r="M1" s="16" t="s">
        <v>102</v>
      </c>
      <c r="N1" s="16" t="s">
        <v>103</v>
      </c>
      <c r="O1" s="16" t="s">
        <v>104</v>
      </c>
      <c r="P1" s="16" t="s">
        <v>105</v>
      </c>
      <c r="R1" s="17" t="s">
        <v>106</v>
      </c>
      <c r="S1" s="17" t="s">
        <v>107</v>
      </c>
      <c r="T1" s="17" t="s">
        <v>108</v>
      </c>
    </row>
    <row r="2" customFormat="false" ht="15" hidden="false" customHeight="false" outlineLevel="0" collapsed="false">
      <c r="A2" s="18" t="n">
        <v>1</v>
      </c>
      <c r="B2" s="19" t="s">
        <v>109</v>
      </c>
      <c r="C2" s="20" t="n">
        <v>46207</v>
      </c>
      <c r="D2" s="19" t="s">
        <v>110</v>
      </c>
      <c r="E2" s="19" t="s">
        <v>111</v>
      </c>
      <c r="F2" s="18" t="n">
        <v>32</v>
      </c>
      <c r="G2" s="21" t="n">
        <v>950000</v>
      </c>
      <c r="H2" s="20" t="n">
        <v>46213</v>
      </c>
      <c r="I2" s="22" t="n">
        <f aca="false">F2*G2</f>
        <v>30400000</v>
      </c>
      <c r="J2" s="22" t="n">
        <f aca="false">IF(I2&gt;=$S$2,ROUND(I2*$S$3,0),0)</f>
        <v>3040000</v>
      </c>
      <c r="K2" s="22" t="n">
        <f aca="false">ROUND((I2-J2)*$S$4,0)</f>
        <v>3009600</v>
      </c>
      <c r="L2" s="22" t="n">
        <f aca="false">I2-J2+K2</f>
        <v>30369600</v>
      </c>
      <c r="M2" s="23" t="n">
        <f aca="false">H2+VLOOKUP(D2,Acuan!$A$2:$B$6,2,FALSE())</f>
        <v>46243</v>
      </c>
      <c r="N2" s="24" t="n">
        <f aca="false">H2-C2</f>
        <v>6</v>
      </c>
      <c r="O2" s="25" t="str">
        <f aca="false">IF(N2&gt;$S$5,"Terlambat","Tepat Waktu")</f>
        <v>Tepat Waktu</v>
      </c>
      <c r="P2" s="25" t="str">
        <f aca="false">IF(M2&lt;$S$6,"Lewat Tempo","Belum Jatuh Tempo")</f>
        <v>Lewat Tempo</v>
      </c>
      <c r="R2" s="26" t="s">
        <v>112</v>
      </c>
      <c r="S2" s="27" t="n">
        <v>10000000</v>
      </c>
      <c r="T2" s="28"/>
    </row>
    <row r="3" customFormat="false" ht="15" hidden="false" customHeight="false" outlineLevel="0" collapsed="false">
      <c r="A3" s="18" t="n">
        <v>2</v>
      </c>
      <c r="B3" s="19" t="s">
        <v>113</v>
      </c>
      <c r="C3" s="20" t="n">
        <v>46207</v>
      </c>
      <c r="D3" s="19" t="s">
        <v>110</v>
      </c>
      <c r="E3" s="19" t="s">
        <v>114</v>
      </c>
      <c r="F3" s="18" t="n">
        <v>27</v>
      </c>
      <c r="G3" s="21" t="n">
        <v>96000</v>
      </c>
      <c r="H3" s="20" t="n">
        <v>46214</v>
      </c>
      <c r="I3" s="22" t="n">
        <f aca="false">F3*G3</f>
        <v>2592000</v>
      </c>
      <c r="J3" s="22" t="n">
        <f aca="false">IF(I3&gt;=$S$2,ROUND(I3*$S$3,0),0)</f>
        <v>0</v>
      </c>
      <c r="K3" s="22" t="n">
        <f aca="false">ROUND((I3-J3)*$S$4,0)</f>
        <v>285120</v>
      </c>
      <c r="L3" s="22" t="n">
        <f aca="false">I3-J3+K3</f>
        <v>2877120</v>
      </c>
      <c r="M3" s="23" t="n">
        <f aca="false">H3+VLOOKUP(D3,Acuan!$A$2:$B$6,2,FALSE())</f>
        <v>46244</v>
      </c>
      <c r="N3" s="24" t="n">
        <f aca="false">H3-C3</f>
        <v>7</v>
      </c>
      <c r="O3" s="25" t="str">
        <f aca="false">IF(N3&gt;$S$5,"Terlambat","Tepat Waktu")</f>
        <v>Tepat Waktu</v>
      </c>
      <c r="P3" s="25" t="str">
        <f aca="false">IF(M3&lt;$S$6,"Lewat Tempo","Belum Jatuh Tempo")</f>
        <v>Lewat Tempo</v>
      </c>
      <c r="R3" s="26" t="s">
        <v>99</v>
      </c>
      <c r="S3" s="29" t="n">
        <v>0.1</v>
      </c>
      <c r="T3" s="28" t="s">
        <v>115</v>
      </c>
    </row>
    <row r="4" customFormat="false" ht="15" hidden="false" customHeight="false" outlineLevel="0" collapsed="false">
      <c r="A4" s="18" t="n">
        <v>3</v>
      </c>
      <c r="B4" s="19" t="s">
        <v>116</v>
      </c>
      <c r="C4" s="20" t="n">
        <v>46215</v>
      </c>
      <c r="D4" s="19" t="s">
        <v>117</v>
      </c>
      <c r="E4" s="19" t="s">
        <v>118</v>
      </c>
      <c r="F4" s="18" t="n">
        <v>69</v>
      </c>
      <c r="G4" s="21" t="n">
        <v>20000</v>
      </c>
      <c r="H4" s="20" t="n">
        <v>46224</v>
      </c>
      <c r="I4" s="22" t="n">
        <f aca="false">F4*G4</f>
        <v>1380000</v>
      </c>
      <c r="J4" s="22" t="n">
        <f aca="false">IF(I4&gt;=$S$2,ROUND(I4*$S$3,0),0)</f>
        <v>0</v>
      </c>
      <c r="K4" s="22" t="n">
        <f aca="false">ROUND((I4-J4)*$S$4,0)</f>
        <v>151800</v>
      </c>
      <c r="L4" s="22" t="n">
        <f aca="false">I4-J4+K4</f>
        <v>1531800</v>
      </c>
      <c r="M4" s="23" t="n">
        <f aca="false">H4+VLOOKUP(D4,Acuan!$A$2:$B$6,2,FALSE())</f>
        <v>46231</v>
      </c>
      <c r="N4" s="24" t="n">
        <f aca="false">H4-C4</f>
        <v>9</v>
      </c>
      <c r="O4" s="25" t="str">
        <f aca="false">IF(N4&gt;$S$5,"Terlambat","Tepat Waktu")</f>
        <v>Terlambat</v>
      </c>
      <c r="P4" s="25" t="str">
        <f aca="false">IF(M4&lt;$S$6,"Lewat Tempo","Belum Jatuh Tempo")</f>
        <v>Lewat Tempo</v>
      </c>
      <c r="R4" s="26" t="s">
        <v>100</v>
      </c>
      <c r="S4" s="29" t="n">
        <v>0.11</v>
      </c>
      <c r="T4" s="28" t="s">
        <v>119</v>
      </c>
    </row>
    <row r="5" customFormat="false" ht="15" hidden="false" customHeight="false" outlineLevel="0" collapsed="false">
      <c r="A5" s="18" t="n">
        <v>4</v>
      </c>
      <c r="B5" s="19" t="s">
        <v>120</v>
      </c>
      <c r="C5" s="20" t="n">
        <v>46215</v>
      </c>
      <c r="D5" s="19" t="s">
        <v>121</v>
      </c>
      <c r="E5" s="19" t="s">
        <v>122</v>
      </c>
      <c r="F5" s="18" t="n">
        <v>3</v>
      </c>
      <c r="G5" s="21" t="n">
        <v>410000</v>
      </c>
      <c r="H5" s="20" t="n">
        <v>46219</v>
      </c>
      <c r="I5" s="22" t="n">
        <f aca="false">F5*G5</f>
        <v>1230000</v>
      </c>
      <c r="J5" s="22" t="n">
        <f aca="false">IF(I5&gt;=$S$2,ROUND(I5*$S$3,0),0)</f>
        <v>0</v>
      </c>
      <c r="K5" s="22" t="n">
        <f aca="false">ROUND((I5-J5)*$S$4,0)</f>
        <v>135300</v>
      </c>
      <c r="L5" s="22" t="n">
        <f aca="false">I5-J5+K5</f>
        <v>1365300</v>
      </c>
      <c r="M5" s="23" t="n">
        <f aca="false">H5+VLOOKUP(D5,Acuan!$A$2:$B$6,2,FALSE())</f>
        <v>46233</v>
      </c>
      <c r="N5" s="24" t="n">
        <f aca="false">H5-C5</f>
        <v>4</v>
      </c>
      <c r="O5" s="25" t="str">
        <f aca="false">IF(N5&gt;$S$5,"Terlambat","Tepat Waktu")</f>
        <v>Tepat Waktu</v>
      </c>
      <c r="P5" s="25" t="str">
        <f aca="false">IF(M5&lt;$S$6,"Lewat Tempo","Belum Jatuh Tempo")</f>
        <v>Lewat Tempo</v>
      </c>
      <c r="R5" s="26" t="s">
        <v>123</v>
      </c>
      <c r="S5" s="30" t="n">
        <v>7</v>
      </c>
      <c r="T5" s="28" t="s">
        <v>124</v>
      </c>
    </row>
    <row r="6" customFormat="false" ht="15" hidden="false" customHeight="false" outlineLevel="0" collapsed="false">
      <c r="A6" s="18" t="n">
        <v>5</v>
      </c>
      <c r="B6" s="19" t="s">
        <v>125</v>
      </c>
      <c r="C6" s="20" t="n">
        <v>46216</v>
      </c>
      <c r="D6" s="19" t="s">
        <v>126</v>
      </c>
      <c r="E6" s="19" t="s">
        <v>127</v>
      </c>
      <c r="F6" s="18" t="n">
        <v>6</v>
      </c>
      <c r="G6" s="21" t="n">
        <v>650000</v>
      </c>
      <c r="H6" s="20" t="n">
        <v>46222</v>
      </c>
      <c r="I6" s="22" t="n">
        <f aca="false">F6*G6</f>
        <v>3900000</v>
      </c>
      <c r="J6" s="22" t="n">
        <f aca="false">IF(I6&gt;=$S$2,ROUND(I6*$S$3,0),0)</f>
        <v>0</v>
      </c>
      <c r="K6" s="22" t="n">
        <f aca="false">ROUND((I6-J6)*$S$4,0)</f>
        <v>429000</v>
      </c>
      <c r="L6" s="22" t="n">
        <f aca="false">I6-J6+K6</f>
        <v>4329000</v>
      </c>
      <c r="M6" s="23" t="n">
        <f aca="false">H6+VLOOKUP(D6,Acuan!$A$2:$B$6,2,FALSE())</f>
        <v>46252</v>
      </c>
      <c r="N6" s="24" t="n">
        <f aca="false">H6-C6</f>
        <v>6</v>
      </c>
      <c r="O6" s="25" t="str">
        <f aca="false">IF(N6&gt;$S$5,"Terlambat","Tepat Waktu")</f>
        <v>Tepat Waktu</v>
      </c>
      <c r="P6" s="25" t="str">
        <f aca="false">IF(M6&lt;$S$6,"Lewat Tempo","Belum Jatuh Tempo")</f>
        <v>Lewat Tempo</v>
      </c>
      <c r="R6" s="26" t="s">
        <v>128</v>
      </c>
      <c r="S6" s="31" t="n">
        <v>46310</v>
      </c>
      <c r="T6" s="28" t="s">
        <v>129</v>
      </c>
    </row>
    <row r="7" customFormat="false" ht="15" hidden="false" customHeight="false" outlineLevel="0" collapsed="false">
      <c r="A7" s="18" t="n">
        <v>6</v>
      </c>
      <c r="B7" s="19" t="s">
        <v>130</v>
      </c>
      <c r="C7" s="20" t="n">
        <v>46221</v>
      </c>
      <c r="D7" s="19" t="s">
        <v>131</v>
      </c>
      <c r="E7" s="19" t="s">
        <v>132</v>
      </c>
      <c r="F7" s="18" t="n">
        <v>2</v>
      </c>
      <c r="G7" s="21" t="n">
        <v>420000</v>
      </c>
      <c r="H7" s="20" t="n">
        <v>46229</v>
      </c>
      <c r="I7" s="22" t="n">
        <f aca="false">F7*G7</f>
        <v>840000</v>
      </c>
      <c r="J7" s="22" t="n">
        <f aca="false">IF(I7&gt;=$S$2,ROUND(I7*$S$3,0),0)</f>
        <v>0</v>
      </c>
      <c r="K7" s="22" t="n">
        <f aca="false">ROUND((I7-J7)*$S$4,0)</f>
        <v>92400</v>
      </c>
      <c r="L7" s="22" t="n">
        <f aca="false">I7-J7+K7</f>
        <v>932400</v>
      </c>
      <c r="M7" s="23" t="n">
        <f aca="false">H7+VLOOKUP(D7,Acuan!$A$2:$B$6,2,FALSE())</f>
        <v>46274</v>
      </c>
      <c r="N7" s="24" t="n">
        <f aca="false">H7-C7</f>
        <v>8</v>
      </c>
      <c r="O7" s="25" t="str">
        <f aca="false">IF(N7&gt;$S$5,"Terlambat","Tepat Waktu")</f>
        <v>Terlambat</v>
      </c>
      <c r="P7" s="25" t="str">
        <f aca="false">IF(M7&lt;$S$6,"Lewat Tempo","Belum Jatuh Tempo")</f>
        <v>Lewat Tempo</v>
      </c>
    </row>
    <row r="8" customFormat="false" ht="15" hidden="false" customHeight="false" outlineLevel="0" collapsed="false">
      <c r="A8" s="18" t="n">
        <v>7</v>
      </c>
      <c r="B8" s="19" t="s">
        <v>133</v>
      </c>
      <c r="C8" s="20" t="n">
        <v>46222</v>
      </c>
      <c r="D8" s="19" t="s">
        <v>110</v>
      </c>
      <c r="E8" s="19" t="s">
        <v>134</v>
      </c>
      <c r="F8" s="18" t="n">
        <v>149</v>
      </c>
      <c r="G8" s="21" t="n">
        <v>140000</v>
      </c>
      <c r="H8" s="20" t="n">
        <v>46236</v>
      </c>
      <c r="I8" s="22" t="n">
        <f aca="false">F8*G8</f>
        <v>20860000</v>
      </c>
      <c r="J8" s="22" t="n">
        <f aca="false">IF(I8&gt;=$S$2,ROUND(I8*$S$3,0),0)</f>
        <v>2086000</v>
      </c>
      <c r="K8" s="22" t="n">
        <f aca="false">ROUND((I8-J8)*$S$4,0)</f>
        <v>2065140</v>
      </c>
      <c r="L8" s="22" t="n">
        <f aca="false">I8-J8+K8</f>
        <v>20839140</v>
      </c>
      <c r="M8" s="23" t="n">
        <f aca="false">H8+VLOOKUP(D8,Acuan!$A$2:$B$6,2,FALSE())</f>
        <v>46266</v>
      </c>
      <c r="N8" s="24" t="n">
        <f aca="false">H8-C8</f>
        <v>14</v>
      </c>
      <c r="O8" s="25" t="str">
        <f aca="false">IF(N8&gt;$S$5,"Terlambat","Tepat Waktu")</f>
        <v>Terlambat</v>
      </c>
      <c r="P8" s="25" t="str">
        <f aca="false">IF(M8&lt;$S$6,"Lewat Tempo","Belum Jatuh Tempo")</f>
        <v>Lewat Tempo</v>
      </c>
    </row>
    <row r="9" customFormat="false" ht="15" hidden="false" customHeight="false" outlineLevel="0" collapsed="false">
      <c r="A9" s="18" t="n">
        <v>8</v>
      </c>
      <c r="B9" s="19" t="s">
        <v>135</v>
      </c>
      <c r="C9" s="20" t="n">
        <v>46223</v>
      </c>
      <c r="D9" s="19" t="s">
        <v>126</v>
      </c>
      <c r="E9" s="19" t="s">
        <v>127</v>
      </c>
      <c r="F9" s="18" t="n">
        <v>3</v>
      </c>
      <c r="G9" s="21" t="n">
        <v>650000</v>
      </c>
      <c r="H9" s="20" t="n">
        <v>46226</v>
      </c>
      <c r="I9" s="22" t="n">
        <f aca="false">F9*G9</f>
        <v>1950000</v>
      </c>
      <c r="J9" s="22" t="n">
        <f aca="false">IF(I9&gt;=$S$2,ROUND(I9*$S$3,0),0)</f>
        <v>0</v>
      </c>
      <c r="K9" s="22" t="n">
        <f aca="false">ROUND((I9-J9)*$S$4,0)</f>
        <v>214500</v>
      </c>
      <c r="L9" s="22" t="n">
        <f aca="false">I9-J9+K9</f>
        <v>2164500</v>
      </c>
      <c r="M9" s="23" t="n">
        <f aca="false">H9+VLOOKUP(D9,Acuan!$A$2:$B$6,2,FALSE())</f>
        <v>46256</v>
      </c>
      <c r="N9" s="24" t="n">
        <f aca="false">H9-C9</f>
        <v>3</v>
      </c>
      <c r="O9" s="25" t="str">
        <f aca="false">IF(N9&gt;$S$5,"Terlambat","Tepat Waktu")</f>
        <v>Tepat Waktu</v>
      </c>
      <c r="P9" s="25" t="str">
        <f aca="false">IF(M9&lt;$S$6,"Lewat Tempo","Belum Jatuh Tempo")</f>
        <v>Lewat Tempo</v>
      </c>
    </row>
    <row r="10" customFormat="false" ht="15" hidden="false" customHeight="false" outlineLevel="0" collapsed="false">
      <c r="A10" s="18" t="n">
        <v>9</v>
      </c>
      <c r="B10" s="19" t="s">
        <v>136</v>
      </c>
      <c r="C10" s="20" t="n">
        <v>46224</v>
      </c>
      <c r="D10" s="19" t="s">
        <v>126</v>
      </c>
      <c r="E10" s="19" t="s">
        <v>137</v>
      </c>
      <c r="F10" s="18" t="n">
        <v>28</v>
      </c>
      <c r="G10" s="21" t="n">
        <v>480000</v>
      </c>
      <c r="H10" s="20" t="n">
        <v>46227</v>
      </c>
      <c r="I10" s="22" t="n">
        <f aca="false">F10*G10</f>
        <v>13440000</v>
      </c>
      <c r="J10" s="22" t="n">
        <f aca="false">IF(I10&gt;=$S$2,ROUND(I10*$S$3,0),0)</f>
        <v>1344000</v>
      </c>
      <c r="K10" s="22" t="n">
        <f aca="false">ROUND((I10-J10)*$S$4,0)</f>
        <v>1330560</v>
      </c>
      <c r="L10" s="22" t="n">
        <f aca="false">I10-J10+K10</f>
        <v>13426560</v>
      </c>
      <c r="M10" s="23" t="n">
        <f aca="false">H10+VLOOKUP(D10,Acuan!$A$2:$B$6,2,FALSE())</f>
        <v>46257</v>
      </c>
      <c r="N10" s="24" t="n">
        <f aca="false">H10-C10</f>
        <v>3</v>
      </c>
      <c r="O10" s="25" t="str">
        <f aca="false">IF(N10&gt;$S$5,"Terlambat","Tepat Waktu")</f>
        <v>Tepat Waktu</v>
      </c>
      <c r="P10" s="25" t="str">
        <f aca="false">IF(M10&lt;$S$6,"Lewat Tempo","Belum Jatuh Tempo")</f>
        <v>Lewat Tempo</v>
      </c>
    </row>
    <row r="11" customFormat="false" ht="15" hidden="false" customHeight="false" outlineLevel="0" collapsed="false">
      <c r="A11" s="18" t="n">
        <v>10</v>
      </c>
      <c r="B11" s="19" t="s">
        <v>138</v>
      </c>
      <c r="C11" s="20" t="n">
        <v>46224</v>
      </c>
      <c r="D11" s="19" t="s">
        <v>110</v>
      </c>
      <c r="E11" s="19" t="s">
        <v>111</v>
      </c>
      <c r="F11" s="18" t="n">
        <v>25</v>
      </c>
      <c r="G11" s="21" t="n">
        <v>950000</v>
      </c>
      <c r="H11" s="20" t="n">
        <v>46236</v>
      </c>
      <c r="I11" s="22" t="n">
        <f aca="false">F11*G11</f>
        <v>23750000</v>
      </c>
      <c r="J11" s="22" t="n">
        <f aca="false">IF(I11&gt;=$S$2,ROUND(I11*$S$3,0),0)</f>
        <v>2375000</v>
      </c>
      <c r="K11" s="22" t="n">
        <f aca="false">ROUND((I11-J11)*$S$4,0)</f>
        <v>2351250</v>
      </c>
      <c r="L11" s="22" t="n">
        <f aca="false">I11-J11+K11</f>
        <v>23726250</v>
      </c>
      <c r="M11" s="23" t="n">
        <f aca="false">H11+VLOOKUP(D11,Acuan!$A$2:$B$6,2,FALSE())</f>
        <v>46266</v>
      </c>
      <c r="N11" s="24" t="n">
        <f aca="false">H11-C11</f>
        <v>12</v>
      </c>
      <c r="O11" s="25" t="str">
        <f aca="false">IF(N11&gt;$S$5,"Terlambat","Tepat Waktu")</f>
        <v>Terlambat</v>
      </c>
      <c r="P11" s="25" t="str">
        <f aca="false">IF(M11&lt;$S$6,"Lewat Tempo","Belum Jatuh Tempo")</f>
        <v>Lewat Tempo</v>
      </c>
    </row>
    <row r="12" customFormat="false" ht="15" hidden="false" customHeight="false" outlineLevel="0" collapsed="false">
      <c r="A12" s="18" t="n">
        <v>11</v>
      </c>
      <c r="B12" s="19" t="s">
        <v>139</v>
      </c>
      <c r="C12" s="20" t="n">
        <v>46225</v>
      </c>
      <c r="D12" s="19" t="s">
        <v>126</v>
      </c>
      <c r="E12" s="19" t="s">
        <v>127</v>
      </c>
      <c r="F12" s="18" t="n">
        <v>17</v>
      </c>
      <c r="G12" s="21" t="n">
        <v>650000</v>
      </c>
      <c r="H12" s="20" t="n">
        <v>46234</v>
      </c>
      <c r="I12" s="22" t="n">
        <f aca="false">F12*G12</f>
        <v>11050000</v>
      </c>
      <c r="J12" s="22" t="n">
        <f aca="false">IF(I12&gt;=$S$2,ROUND(I12*$S$3,0),0)</f>
        <v>1105000</v>
      </c>
      <c r="K12" s="22" t="n">
        <f aca="false">ROUND((I12-J12)*$S$4,0)</f>
        <v>1093950</v>
      </c>
      <c r="L12" s="22" t="n">
        <f aca="false">I12-J12+K12</f>
        <v>11038950</v>
      </c>
      <c r="M12" s="23" t="n">
        <f aca="false">H12+VLOOKUP(D12,Acuan!$A$2:$B$6,2,FALSE())</f>
        <v>46264</v>
      </c>
      <c r="N12" s="24" t="n">
        <f aca="false">H12-C12</f>
        <v>9</v>
      </c>
      <c r="O12" s="25" t="str">
        <f aca="false">IF(N12&gt;$S$5,"Terlambat","Tepat Waktu")</f>
        <v>Terlambat</v>
      </c>
      <c r="P12" s="25" t="str">
        <f aca="false">IF(M12&lt;$S$6,"Lewat Tempo","Belum Jatuh Tempo")</f>
        <v>Lewat Tempo</v>
      </c>
    </row>
    <row r="13" customFormat="false" ht="15" hidden="false" customHeight="false" outlineLevel="0" collapsed="false">
      <c r="A13" s="18" t="n">
        <v>12</v>
      </c>
      <c r="B13" s="19" t="s">
        <v>140</v>
      </c>
      <c r="C13" s="20" t="n">
        <v>46225</v>
      </c>
      <c r="D13" s="19" t="s">
        <v>110</v>
      </c>
      <c r="E13" s="19" t="s">
        <v>114</v>
      </c>
      <c r="F13" s="18" t="n">
        <v>87</v>
      </c>
      <c r="G13" s="21" t="n">
        <v>96000</v>
      </c>
      <c r="H13" s="20" t="n">
        <v>46227</v>
      </c>
      <c r="I13" s="22" t="n">
        <f aca="false">F13*G13</f>
        <v>8352000</v>
      </c>
      <c r="J13" s="22" t="n">
        <f aca="false">IF(I13&gt;=$S$2,ROUND(I13*$S$3,0),0)</f>
        <v>0</v>
      </c>
      <c r="K13" s="22" t="n">
        <f aca="false">ROUND((I13-J13)*$S$4,0)</f>
        <v>918720</v>
      </c>
      <c r="L13" s="22" t="n">
        <f aca="false">I13-J13+K13</f>
        <v>9270720</v>
      </c>
      <c r="M13" s="23" t="n">
        <f aca="false">H13+VLOOKUP(D13,Acuan!$A$2:$B$6,2,FALSE())</f>
        <v>46257</v>
      </c>
      <c r="N13" s="24" t="n">
        <f aca="false">H13-C13</f>
        <v>2</v>
      </c>
      <c r="O13" s="25" t="str">
        <f aca="false">IF(N13&gt;$S$5,"Terlambat","Tepat Waktu")</f>
        <v>Tepat Waktu</v>
      </c>
      <c r="P13" s="25" t="str">
        <f aca="false">IF(M13&lt;$S$6,"Lewat Tempo","Belum Jatuh Tempo")</f>
        <v>Lewat Tempo</v>
      </c>
    </row>
    <row r="14" customFormat="false" ht="15" hidden="false" customHeight="false" outlineLevel="0" collapsed="false">
      <c r="A14" s="18" t="n">
        <v>13</v>
      </c>
      <c r="B14" s="19" t="s">
        <v>141</v>
      </c>
      <c r="C14" s="20" t="n">
        <v>46231</v>
      </c>
      <c r="D14" s="19" t="s">
        <v>117</v>
      </c>
      <c r="E14" s="19" t="s">
        <v>142</v>
      </c>
      <c r="F14" s="18" t="n">
        <v>200</v>
      </c>
      <c r="G14" s="21" t="n">
        <v>65000</v>
      </c>
      <c r="H14" s="20" t="n">
        <v>46237</v>
      </c>
      <c r="I14" s="22" t="n">
        <f aca="false">F14*G14</f>
        <v>13000000</v>
      </c>
      <c r="J14" s="22" t="n">
        <f aca="false">IF(I14&gt;=$S$2,ROUND(I14*$S$3,0),0)</f>
        <v>1300000</v>
      </c>
      <c r="K14" s="22" t="n">
        <f aca="false">ROUND((I14-J14)*$S$4,0)</f>
        <v>1287000</v>
      </c>
      <c r="L14" s="22" t="n">
        <f aca="false">I14-J14+K14</f>
        <v>12987000</v>
      </c>
      <c r="M14" s="23" t="n">
        <f aca="false">H14+VLOOKUP(D14,Acuan!$A$2:$B$6,2,FALSE())</f>
        <v>46244</v>
      </c>
      <c r="N14" s="24" t="n">
        <f aca="false">H14-C14</f>
        <v>6</v>
      </c>
      <c r="O14" s="25" t="str">
        <f aca="false">IF(N14&gt;$S$5,"Terlambat","Tepat Waktu")</f>
        <v>Tepat Waktu</v>
      </c>
      <c r="P14" s="25" t="str">
        <f aca="false">IF(M14&lt;$S$6,"Lewat Tempo","Belum Jatuh Tempo")</f>
        <v>Lewat Tempo</v>
      </c>
    </row>
    <row r="15" customFormat="false" ht="15" hidden="false" customHeight="false" outlineLevel="0" collapsed="false">
      <c r="A15" s="18" t="n">
        <v>14</v>
      </c>
      <c r="B15" s="19" t="s">
        <v>143</v>
      </c>
      <c r="C15" s="20" t="n">
        <v>46232</v>
      </c>
      <c r="D15" s="19" t="s">
        <v>131</v>
      </c>
      <c r="E15" s="19" t="s">
        <v>132</v>
      </c>
      <c r="F15" s="18" t="n">
        <v>27</v>
      </c>
      <c r="G15" s="21" t="n">
        <v>420000</v>
      </c>
      <c r="H15" s="20" t="n">
        <v>46238</v>
      </c>
      <c r="I15" s="22" t="n">
        <f aca="false">F15*G15</f>
        <v>11340000</v>
      </c>
      <c r="J15" s="22" t="n">
        <f aca="false">IF(I15&gt;=$S$2,ROUND(I15*$S$3,0),0)</f>
        <v>1134000</v>
      </c>
      <c r="K15" s="22" t="n">
        <f aca="false">ROUND((I15-J15)*$S$4,0)</f>
        <v>1122660</v>
      </c>
      <c r="L15" s="22" t="n">
        <f aca="false">I15-J15+K15</f>
        <v>11328660</v>
      </c>
      <c r="M15" s="23" t="n">
        <f aca="false">H15+VLOOKUP(D15,Acuan!$A$2:$B$6,2,FALSE())</f>
        <v>46283</v>
      </c>
      <c r="N15" s="24" t="n">
        <f aca="false">H15-C15</f>
        <v>6</v>
      </c>
      <c r="O15" s="25" t="str">
        <f aca="false">IF(N15&gt;$S$5,"Terlambat","Tepat Waktu")</f>
        <v>Tepat Waktu</v>
      </c>
      <c r="P15" s="25" t="str">
        <f aca="false">IF(M15&lt;$S$6,"Lewat Tempo","Belum Jatuh Tempo")</f>
        <v>Lewat Tempo</v>
      </c>
    </row>
    <row r="16" customFormat="false" ht="15" hidden="false" customHeight="false" outlineLevel="0" collapsed="false">
      <c r="A16" s="18" t="n">
        <v>15</v>
      </c>
      <c r="B16" s="19" t="s">
        <v>144</v>
      </c>
      <c r="C16" s="20" t="n">
        <v>46233</v>
      </c>
      <c r="D16" s="19" t="s">
        <v>117</v>
      </c>
      <c r="E16" s="19" t="s">
        <v>118</v>
      </c>
      <c r="F16" s="18" t="n">
        <v>234</v>
      </c>
      <c r="G16" s="21" t="n">
        <v>20000</v>
      </c>
      <c r="H16" s="20" t="n">
        <v>46247</v>
      </c>
      <c r="I16" s="22" t="n">
        <f aca="false">F16*G16</f>
        <v>4680000</v>
      </c>
      <c r="J16" s="22" t="n">
        <f aca="false">IF(I16&gt;=$S$2,ROUND(I16*$S$3,0),0)</f>
        <v>0</v>
      </c>
      <c r="K16" s="22" t="n">
        <f aca="false">ROUND((I16-J16)*$S$4,0)</f>
        <v>514800</v>
      </c>
      <c r="L16" s="22" t="n">
        <f aca="false">I16-J16+K16</f>
        <v>5194800</v>
      </c>
      <c r="M16" s="23" t="n">
        <f aca="false">H16+VLOOKUP(D16,Acuan!$A$2:$B$6,2,FALSE())</f>
        <v>46254</v>
      </c>
      <c r="N16" s="24" t="n">
        <f aca="false">H16-C16</f>
        <v>14</v>
      </c>
      <c r="O16" s="25" t="str">
        <f aca="false">IF(N16&gt;$S$5,"Terlambat","Tepat Waktu")</f>
        <v>Terlambat</v>
      </c>
      <c r="P16" s="25" t="str">
        <f aca="false">IF(M16&lt;$S$6,"Lewat Tempo","Belum Jatuh Tempo")</f>
        <v>Lewat Tempo</v>
      </c>
    </row>
    <row r="17" customFormat="false" ht="15" hidden="false" customHeight="false" outlineLevel="0" collapsed="false">
      <c r="A17" s="18" t="n">
        <v>16</v>
      </c>
      <c r="B17" s="19" t="s">
        <v>145</v>
      </c>
      <c r="C17" s="20" t="n">
        <v>46237</v>
      </c>
      <c r="D17" s="19" t="s">
        <v>121</v>
      </c>
      <c r="E17" s="19" t="s">
        <v>146</v>
      </c>
      <c r="F17" s="18" t="n">
        <v>296</v>
      </c>
      <c r="G17" s="21" t="n">
        <v>52000</v>
      </c>
      <c r="H17" s="20" t="n">
        <v>46240</v>
      </c>
      <c r="I17" s="22" t="n">
        <f aca="false">F17*G17</f>
        <v>15392000</v>
      </c>
      <c r="J17" s="22" t="n">
        <f aca="false">IF(I17&gt;=$S$2,ROUND(I17*$S$3,0),0)</f>
        <v>1539200</v>
      </c>
      <c r="K17" s="22" t="n">
        <f aca="false">ROUND((I17-J17)*$S$4,0)</f>
        <v>1523808</v>
      </c>
      <c r="L17" s="22" t="n">
        <f aca="false">I17-J17+K17</f>
        <v>15376608</v>
      </c>
      <c r="M17" s="23" t="n">
        <f aca="false">H17+VLOOKUP(D17,Acuan!$A$2:$B$6,2,FALSE())</f>
        <v>46254</v>
      </c>
      <c r="N17" s="24" t="n">
        <f aca="false">H17-C17</f>
        <v>3</v>
      </c>
      <c r="O17" s="25" t="str">
        <f aca="false">IF(N17&gt;$S$5,"Terlambat","Tepat Waktu")</f>
        <v>Tepat Waktu</v>
      </c>
      <c r="P17" s="25" t="str">
        <f aca="false">IF(M17&lt;$S$6,"Lewat Tempo","Belum Jatuh Tempo")</f>
        <v>Lewat Tempo</v>
      </c>
    </row>
    <row r="18" customFormat="false" ht="15" hidden="false" customHeight="false" outlineLevel="0" collapsed="false">
      <c r="A18" s="18" t="n">
        <v>17</v>
      </c>
      <c r="B18" s="19" t="s">
        <v>147</v>
      </c>
      <c r="C18" s="20" t="n">
        <v>46244</v>
      </c>
      <c r="D18" s="19" t="s">
        <v>126</v>
      </c>
      <c r="E18" s="19" t="s">
        <v>137</v>
      </c>
      <c r="F18" s="18" t="n">
        <v>39</v>
      </c>
      <c r="G18" s="21" t="n">
        <v>480000</v>
      </c>
      <c r="H18" s="20" t="n">
        <v>46254</v>
      </c>
      <c r="I18" s="22" t="n">
        <f aca="false">F18*G18</f>
        <v>18720000</v>
      </c>
      <c r="J18" s="22" t="n">
        <f aca="false">IF(I18&gt;=$S$2,ROUND(I18*$S$3,0),0)</f>
        <v>1872000</v>
      </c>
      <c r="K18" s="22" t="n">
        <f aca="false">ROUND((I18-J18)*$S$4,0)</f>
        <v>1853280</v>
      </c>
      <c r="L18" s="22" t="n">
        <f aca="false">I18-J18+K18</f>
        <v>18701280</v>
      </c>
      <c r="M18" s="23" t="n">
        <f aca="false">H18+VLOOKUP(D18,Acuan!$A$2:$B$6,2,FALSE())</f>
        <v>46284</v>
      </c>
      <c r="N18" s="24" t="n">
        <f aca="false">H18-C18</f>
        <v>10</v>
      </c>
      <c r="O18" s="25" t="str">
        <f aca="false">IF(N18&gt;$S$5,"Terlambat","Tepat Waktu")</f>
        <v>Terlambat</v>
      </c>
      <c r="P18" s="25" t="str">
        <f aca="false">IF(M18&lt;$S$6,"Lewat Tempo","Belum Jatuh Tempo")</f>
        <v>Lewat Tempo</v>
      </c>
    </row>
    <row r="19" customFormat="false" ht="15" hidden="false" customHeight="false" outlineLevel="0" collapsed="false">
      <c r="A19" s="18" t="n">
        <v>18</v>
      </c>
      <c r="B19" s="19" t="s">
        <v>148</v>
      </c>
      <c r="C19" s="20" t="n">
        <v>46253</v>
      </c>
      <c r="D19" s="19" t="s">
        <v>126</v>
      </c>
      <c r="E19" s="19" t="s">
        <v>137</v>
      </c>
      <c r="F19" s="18" t="n">
        <v>7</v>
      </c>
      <c r="G19" s="21" t="n">
        <v>480000</v>
      </c>
      <c r="H19" s="20" t="n">
        <v>46256</v>
      </c>
      <c r="I19" s="22" t="n">
        <f aca="false">F19*G19</f>
        <v>3360000</v>
      </c>
      <c r="J19" s="22" t="n">
        <f aca="false">IF(I19&gt;=$S$2,ROUND(I19*$S$3,0),0)</f>
        <v>0</v>
      </c>
      <c r="K19" s="22" t="n">
        <f aca="false">ROUND((I19-J19)*$S$4,0)</f>
        <v>369600</v>
      </c>
      <c r="L19" s="22" t="n">
        <f aca="false">I19-J19+K19</f>
        <v>3729600</v>
      </c>
      <c r="M19" s="23" t="n">
        <f aca="false">H19+VLOOKUP(D19,Acuan!$A$2:$B$6,2,FALSE())</f>
        <v>46286</v>
      </c>
      <c r="N19" s="24" t="n">
        <f aca="false">H19-C19</f>
        <v>3</v>
      </c>
      <c r="O19" s="25" t="str">
        <f aca="false">IF(N19&gt;$S$5,"Terlambat","Tepat Waktu")</f>
        <v>Tepat Waktu</v>
      </c>
      <c r="P19" s="25" t="str">
        <f aca="false">IF(M19&lt;$S$6,"Lewat Tempo","Belum Jatuh Tempo")</f>
        <v>Lewat Tempo</v>
      </c>
    </row>
    <row r="20" customFormat="false" ht="15" hidden="false" customHeight="false" outlineLevel="0" collapsed="false">
      <c r="A20" s="18" t="n">
        <v>19</v>
      </c>
      <c r="B20" s="19" t="s">
        <v>149</v>
      </c>
      <c r="C20" s="20" t="n">
        <v>46256</v>
      </c>
      <c r="D20" s="19" t="s">
        <v>117</v>
      </c>
      <c r="E20" s="19" t="s">
        <v>150</v>
      </c>
      <c r="F20" s="18" t="n">
        <v>276</v>
      </c>
      <c r="G20" s="21" t="n">
        <v>17000</v>
      </c>
      <c r="H20" s="20" t="n">
        <v>46269</v>
      </c>
      <c r="I20" s="22" t="n">
        <f aca="false">F20*G20</f>
        <v>4692000</v>
      </c>
      <c r="J20" s="22" t="n">
        <f aca="false">IF(I20&gt;=$S$2,ROUND(I20*$S$3,0),0)</f>
        <v>0</v>
      </c>
      <c r="K20" s="22" t="n">
        <f aca="false">ROUND((I20-J20)*$S$4,0)</f>
        <v>516120</v>
      </c>
      <c r="L20" s="22" t="n">
        <f aca="false">I20-J20+K20</f>
        <v>5208120</v>
      </c>
      <c r="M20" s="23" t="n">
        <f aca="false">H20+VLOOKUP(D20,Acuan!$A$2:$B$6,2,FALSE())</f>
        <v>46276</v>
      </c>
      <c r="N20" s="24" t="n">
        <f aca="false">H20-C20</f>
        <v>13</v>
      </c>
      <c r="O20" s="25" t="str">
        <f aca="false">IF(N20&gt;$S$5,"Terlambat","Tepat Waktu")</f>
        <v>Terlambat</v>
      </c>
      <c r="P20" s="25" t="str">
        <f aca="false">IF(M20&lt;$S$6,"Lewat Tempo","Belum Jatuh Tempo")</f>
        <v>Lewat Tempo</v>
      </c>
    </row>
    <row r="21" customFormat="false" ht="15" hidden="false" customHeight="false" outlineLevel="0" collapsed="false">
      <c r="A21" s="18" t="n">
        <v>20</v>
      </c>
      <c r="B21" s="19" t="s">
        <v>151</v>
      </c>
      <c r="C21" s="20" t="n">
        <v>46257</v>
      </c>
      <c r="D21" s="19" t="s">
        <v>131</v>
      </c>
      <c r="E21" s="19" t="s">
        <v>152</v>
      </c>
      <c r="F21" s="18" t="n">
        <v>12</v>
      </c>
      <c r="G21" s="21" t="n">
        <v>7800000</v>
      </c>
      <c r="H21" s="20" t="n">
        <v>46267</v>
      </c>
      <c r="I21" s="22" t="n">
        <f aca="false">F21*G21</f>
        <v>93600000</v>
      </c>
      <c r="J21" s="22" t="n">
        <f aca="false">IF(I21&gt;=$S$2,ROUND(I21*$S$3,0),0)</f>
        <v>9360000</v>
      </c>
      <c r="K21" s="22" t="n">
        <f aca="false">ROUND((I21-J21)*$S$4,0)</f>
        <v>9266400</v>
      </c>
      <c r="L21" s="22" t="n">
        <f aca="false">I21-J21+K21</f>
        <v>93506400</v>
      </c>
      <c r="M21" s="23" t="n">
        <f aca="false">H21+VLOOKUP(D21,Acuan!$A$2:$B$6,2,FALSE())</f>
        <v>46312</v>
      </c>
      <c r="N21" s="24" t="n">
        <f aca="false">H21-C21</f>
        <v>10</v>
      </c>
      <c r="O21" s="25" t="str">
        <f aca="false">IF(N21&gt;$S$5,"Terlambat","Tepat Waktu")</f>
        <v>Terlambat</v>
      </c>
      <c r="P21" s="25" t="str">
        <f aca="false">IF(M21&lt;$S$6,"Lewat Tempo","Belum Jatuh Tempo")</f>
        <v>Belum Jatuh Tempo</v>
      </c>
    </row>
    <row r="22" customFormat="false" ht="15" hidden="false" customHeight="false" outlineLevel="0" collapsed="false">
      <c r="A22" s="18" t="n">
        <v>21</v>
      </c>
      <c r="B22" s="19" t="s">
        <v>153</v>
      </c>
      <c r="C22" s="20" t="n">
        <v>46258</v>
      </c>
      <c r="D22" s="19" t="s">
        <v>131</v>
      </c>
      <c r="E22" s="19" t="s">
        <v>154</v>
      </c>
      <c r="F22" s="18" t="n">
        <v>40</v>
      </c>
      <c r="G22" s="21" t="n">
        <v>1650000</v>
      </c>
      <c r="H22" s="20" t="n">
        <v>46266</v>
      </c>
      <c r="I22" s="22" t="n">
        <f aca="false">F22*G22</f>
        <v>66000000</v>
      </c>
      <c r="J22" s="22" t="n">
        <f aca="false">IF(I22&gt;=$S$2,ROUND(I22*$S$3,0),0)</f>
        <v>6600000</v>
      </c>
      <c r="K22" s="22" t="n">
        <f aca="false">ROUND((I22-J22)*$S$4,0)</f>
        <v>6534000</v>
      </c>
      <c r="L22" s="22" t="n">
        <f aca="false">I22-J22+K22</f>
        <v>65934000</v>
      </c>
      <c r="M22" s="23" t="n">
        <f aca="false">H22+VLOOKUP(D22,Acuan!$A$2:$B$6,2,FALSE())</f>
        <v>46311</v>
      </c>
      <c r="N22" s="24" t="n">
        <f aca="false">H22-C22</f>
        <v>8</v>
      </c>
      <c r="O22" s="25" t="str">
        <f aca="false">IF(N22&gt;$S$5,"Terlambat","Tepat Waktu")</f>
        <v>Terlambat</v>
      </c>
      <c r="P22" s="25" t="str">
        <f aca="false">IF(M22&lt;$S$6,"Lewat Tempo","Belum Jatuh Tempo")</f>
        <v>Belum Jatuh Tempo</v>
      </c>
    </row>
    <row r="23" customFormat="false" ht="15" hidden="false" customHeight="false" outlineLevel="0" collapsed="false">
      <c r="A23" s="18" t="n">
        <v>22</v>
      </c>
      <c r="B23" s="19" t="s">
        <v>155</v>
      </c>
      <c r="C23" s="20" t="n">
        <v>46260</v>
      </c>
      <c r="D23" s="19" t="s">
        <v>126</v>
      </c>
      <c r="E23" s="19" t="s">
        <v>137</v>
      </c>
      <c r="F23" s="18" t="n">
        <v>4</v>
      </c>
      <c r="G23" s="21" t="n">
        <v>480000</v>
      </c>
      <c r="H23" s="20" t="n">
        <v>46269</v>
      </c>
      <c r="I23" s="22" t="n">
        <f aca="false">F23*G23</f>
        <v>1920000</v>
      </c>
      <c r="J23" s="22" t="n">
        <f aca="false">IF(I23&gt;=$S$2,ROUND(I23*$S$3,0),0)</f>
        <v>0</v>
      </c>
      <c r="K23" s="22" t="n">
        <f aca="false">ROUND((I23-J23)*$S$4,0)</f>
        <v>211200</v>
      </c>
      <c r="L23" s="22" t="n">
        <f aca="false">I23-J23+K23</f>
        <v>2131200</v>
      </c>
      <c r="M23" s="23" t="n">
        <f aca="false">H23+VLOOKUP(D23,Acuan!$A$2:$B$6,2,FALSE())</f>
        <v>46299</v>
      </c>
      <c r="N23" s="24" t="n">
        <f aca="false">H23-C23</f>
        <v>9</v>
      </c>
      <c r="O23" s="25" t="str">
        <f aca="false">IF(N23&gt;$S$5,"Terlambat","Tepat Waktu")</f>
        <v>Terlambat</v>
      </c>
      <c r="P23" s="25" t="str">
        <f aca="false">IF(M23&lt;$S$6,"Lewat Tempo","Belum Jatuh Tempo")</f>
        <v>Lewat Tempo</v>
      </c>
    </row>
    <row r="24" customFormat="false" ht="15" hidden="false" customHeight="false" outlineLevel="0" collapsed="false">
      <c r="A24" s="18" t="n">
        <v>23</v>
      </c>
      <c r="B24" s="19" t="s">
        <v>156</v>
      </c>
      <c r="C24" s="20" t="n">
        <v>46268</v>
      </c>
      <c r="D24" s="19" t="s">
        <v>110</v>
      </c>
      <c r="E24" s="19" t="s">
        <v>111</v>
      </c>
      <c r="F24" s="18" t="n">
        <v>6</v>
      </c>
      <c r="G24" s="21" t="n">
        <v>950000</v>
      </c>
      <c r="H24" s="20" t="n">
        <v>46277</v>
      </c>
      <c r="I24" s="22" t="n">
        <f aca="false">F24*G24</f>
        <v>5700000</v>
      </c>
      <c r="J24" s="22" t="n">
        <f aca="false">IF(I24&gt;=$S$2,ROUND(I24*$S$3,0),0)</f>
        <v>0</v>
      </c>
      <c r="K24" s="22" t="n">
        <f aca="false">ROUND((I24-J24)*$S$4,0)</f>
        <v>627000</v>
      </c>
      <c r="L24" s="22" t="n">
        <f aca="false">I24-J24+K24</f>
        <v>6327000</v>
      </c>
      <c r="M24" s="23" t="n">
        <f aca="false">H24+VLOOKUP(D24,Acuan!$A$2:$B$6,2,FALSE())</f>
        <v>46307</v>
      </c>
      <c r="N24" s="24" t="n">
        <f aca="false">H24-C24</f>
        <v>9</v>
      </c>
      <c r="O24" s="25" t="str">
        <f aca="false">IF(N24&gt;$S$5,"Terlambat","Tepat Waktu")</f>
        <v>Terlambat</v>
      </c>
      <c r="P24" s="25" t="str">
        <f aca="false">IF(M24&lt;$S$6,"Lewat Tempo","Belum Jatuh Tempo")</f>
        <v>Lewat Tempo</v>
      </c>
    </row>
    <row r="25" customFormat="false" ht="15" hidden="false" customHeight="false" outlineLevel="0" collapsed="false">
      <c r="A25" s="18" t="n">
        <v>24</v>
      </c>
      <c r="B25" s="19" t="s">
        <v>157</v>
      </c>
      <c r="C25" s="20" t="n">
        <v>46269</v>
      </c>
      <c r="D25" s="19" t="s">
        <v>131</v>
      </c>
      <c r="E25" s="19" t="s">
        <v>154</v>
      </c>
      <c r="F25" s="18" t="n">
        <v>13</v>
      </c>
      <c r="G25" s="21" t="n">
        <v>1650000</v>
      </c>
      <c r="H25" s="20" t="n">
        <v>46274</v>
      </c>
      <c r="I25" s="22" t="n">
        <f aca="false">F25*G25</f>
        <v>21450000</v>
      </c>
      <c r="J25" s="22" t="n">
        <f aca="false">IF(I25&gt;=$S$2,ROUND(I25*$S$3,0),0)</f>
        <v>2145000</v>
      </c>
      <c r="K25" s="22" t="n">
        <f aca="false">ROUND((I25-J25)*$S$4,0)</f>
        <v>2123550</v>
      </c>
      <c r="L25" s="22" t="n">
        <f aca="false">I25-J25+K25</f>
        <v>21428550</v>
      </c>
      <c r="M25" s="23" t="n">
        <f aca="false">H25+VLOOKUP(D25,Acuan!$A$2:$B$6,2,FALSE())</f>
        <v>46319</v>
      </c>
      <c r="N25" s="24" t="n">
        <f aca="false">H25-C25</f>
        <v>5</v>
      </c>
      <c r="O25" s="25" t="str">
        <f aca="false">IF(N25&gt;$S$5,"Terlambat","Tepat Waktu")</f>
        <v>Tepat Waktu</v>
      </c>
      <c r="P25" s="25" t="str">
        <f aca="false">IF(M25&lt;$S$6,"Lewat Tempo","Belum Jatuh Tempo")</f>
        <v>Belum Jatuh Tempo</v>
      </c>
    </row>
    <row r="26" customFormat="false" ht="15" hidden="false" customHeight="false" outlineLevel="0" collapsed="false">
      <c r="A26" s="18" t="n">
        <v>25</v>
      </c>
      <c r="B26" s="19" t="s">
        <v>158</v>
      </c>
      <c r="C26" s="20" t="n">
        <v>46270</v>
      </c>
      <c r="D26" s="19" t="s">
        <v>121</v>
      </c>
      <c r="E26" s="19" t="s">
        <v>122</v>
      </c>
      <c r="F26" s="18" t="n">
        <v>2</v>
      </c>
      <c r="G26" s="21" t="n">
        <v>410000</v>
      </c>
      <c r="H26" s="20" t="n">
        <v>46284</v>
      </c>
      <c r="I26" s="22" t="n">
        <f aca="false">F26*G26</f>
        <v>820000</v>
      </c>
      <c r="J26" s="22" t="n">
        <f aca="false">IF(I26&gt;=$S$2,ROUND(I26*$S$3,0),0)</f>
        <v>0</v>
      </c>
      <c r="K26" s="22" t="n">
        <f aca="false">ROUND((I26-J26)*$S$4,0)</f>
        <v>90200</v>
      </c>
      <c r="L26" s="22" t="n">
        <f aca="false">I26-J26+K26</f>
        <v>910200</v>
      </c>
      <c r="M26" s="23" t="n">
        <f aca="false">H26+VLOOKUP(D26,Acuan!$A$2:$B$6,2,FALSE())</f>
        <v>46298</v>
      </c>
      <c r="N26" s="24" t="n">
        <f aca="false">H26-C26</f>
        <v>14</v>
      </c>
      <c r="O26" s="25" t="str">
        <f aca="false">IF(N26&gt;$S$5,"Terlambat","Tepat Waktu")</f>
        <v>Terlambat</v>
      </c>
      <c r="P26" s="25" t="str">
        <f aca="false">IF(M26&lt;$S$6,"Lewat Tempo","Belum Jatuh Tempo")</f>
        <v>Lewat Tempo</v>
      </c>
    </row>
    <row r="27" customFormat="false" ht="15" hidden="false" customHeight="false" outlineLevel="0" collapsed="false">
      <c r="A27" s="18" t="n">
        <v>26</v>
      </c>
      <c r="B27" s="19" t="s">
        <v>159</v>
      </c>
      <c r="C27" s="20" t="n">
        <v>46273</v>
      </c>
      <c r="D27" s="19" t="s">
        <v>126</v>
      </c>
      <c r="E27" s="19" t="s">
        <v>137</v>
      </c>
      <c r="F27" s="18" t="n">
        <v>16</v>
      </c>
      <c r="G27" s="21" t="n">
        <v>480000</v>
      </c>
      <c r="H27" s="20" t="n">
        <v>46284</v>
      </c>
      <c r="I27" s="22" t="n">
        <f aca="false">F27*G27</f>
        <v>7680000</v>
      </c>
      <c r="J27" s="22" t="n">
        <f aca="false">IF(I27&gt;=$S$2,ROUND(I27*$S$3,0),0)</f>
        <v>0</v>
      </c>
      <c r="K27" s="22" t="n">
        <f aca="false">ROUND((I27-J27)*$S$4,0)</f>
        <v>844800</v>
      </c>
      <c r="L27" s="22" t="n">
        <f aca="false">I27-J27+K27</f>
        <v>8524800</v>
      </c>
      <c r="M27" s="23" t="n">
        <f aca="false">H27+VLOOKUP(D27,Acuan!$A$2:$B$6,2,FALSE())</f>
        <v>46314</v>
      </c>
      <c r="N27" s="24" t="n">
        <f aca="false">H27-C27</f>
        <v>11</v>
      </c>
      <c r="O27" s="25" t="str">
        <f aca="false">IF(N27&gt;$S$5,"Terlambat","Tepat Waktu")</f>
        <v>Terlambat</v>
      </c>
      <c r="P27" s="25" t="str">
        <f aca="false">IF(M27&lt;$S$6,"Lewat Tempo","Belum Jatuh Tempo")</f>
        <v>Belum Jatuh Tempo</v>
      </c>
    </row>
    <row r="28" customFormat="false" ht="15" hidden="false" customHeight="false" outlineLevel="0" collapsed="false">
      <c r="A28" s="18" t="n">
        <v>27</v>
      </c>
      <c r="B28" s="19" t="s">
        <v>160</v>
      </c>
      <c r="C28" s="20" t="n">
        <v>46276</v>
      </c>
      <c r="D28" s="19" t="s">
        <v>131</v>
      </c>
      <c r="E28" s="19" t="s">
        <v>132</v>
      </c>
      <c r="F28" s="18" t="n">
        <v>21</v>
      </c>
      <c r="G28" s="21" t="n">
        <v>420000</v>
      </c>
      <c r="H28" s="20" t="n">
        <v>46283</v>
      </c>
      <c r="I28" s="22" t="n">
        <f aca="false">F28*G28</f>
        <v>8820000</v>
      </c>
      <c r="J28" s="22" t="n">
        <f aca="false">IF(I28&gt;=$S$2,ROUND(I28*$S$3,0),0)</f>
        <v>0</v>
      </c>
      <c r="K28" s="22" t="n">
        <f aca="false">ROUND((I28-J28)*$S$4,0)</f>
        <v>970200</v>
      </c>
      <c r="L28" s="22" t="n">
        <f aca="false">I28-J28+K28</f>
        <v>9790200</v>
      </c>
      <c r="M28" s="23" t="n">
        <f aca="false">H28+VLOOKUP(D28,Acuan!$A$2:$B$6,2,FALSE())</f>
        <v>46328</v>
      </c>
      <c r="N28" s="24" t="n">
        <f aca="false">H28-C28</f>
        <v>7</v>
      </c>
      <c r="O28" s="25" t="str">
        <f aca="false">IF(N28&gt;$S$5,"Terlambat","Tepat Waktu")</f>
        <v>Tepat Waktu</v>
      </c>
      <c r="P28" s="25" t="str">
        <f aca="false">IF(M28&lt;$S$6,"Lewat Tempo","Belum Jatuh Tempo")</f>
        <v>Belum Jatuh Tempo</v>
      </c>
    </row>
    <row r="29" customFormat="false" ht="15" hidden="false" customHeight="false" outlineLevel="0" collapsed="false">
      <c r="A29" s="18" t="n">
        <v>28</v>
      </c>
      <c r="B29" s="19" t="s">
        <v>161</v>
      </c>
      <c r="C29" s="20" t="n">
        <v>46280</v>
      </c>
      <c r="D29" s="19" t="s">
        <v>131</v>
      </c>
      <c r="E29" s="19" t="s">
        <v>154</v>
      </c>
      <c r="F29" s="18" t="n">
        <v>3</v>
      </c>
      <c r="G29" s="21" t="n">
        <v>1650000</v>
      </c>
      <c r="H29" s="20" t="n">
        <v>46290</v>
      </c>
      <c r="I29" s="22" t="n">
        <f aca="false">F29*G29</f>
        <v>4950000</v>
      </c>
      <c r="J29" s="22" t="n">
        <f aca="false">IF(I29&gt;=$S$2,ROUND(I29*$S$3,0),0)</f>
        <v>0</v>
      </c>
      <c r="K29" s="22" t="n">
        <f aca="false">ROUND((I29-J29)*$S$4,0)</f>
        <v>544500</v>
      </c>
      <c r="L29" s="22" t="n">
        <f aca="false">I29-J29+K29</f>
        <v>5494500</v>
      </c>
      <c r="M29" s="23" t="n">
        <f aca="false">H29+VLOOKUP(D29,Acuan!$A$2:$B$6,2,FALSE())</f>
        <v>46335</v>
      </c>
      <c r="N29" s="24" t="n">
        <f aca="false">H29-C29</f>
        <v>10</v>
      </c>
      <c r="O29" s="25" t="str">
        <f aca="false">IF(N29&gt;$S$5,"Terlambat","Tepat Waktu")</f>
        <v>Terlambat</v>
      </c>
      <c r="P29" s="25" t="str">
        <f aca="false">IF(M29&lt;$S$6,"Lewat Tempo","Belum Jatuh Tempo")</f>
        <v>Belum Jatuh Tempo</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1"/>
    <col collapsed="false" customWidth="true" hidden="false" outlineLevel="0" max="4" min="4" style="0" width="16"/>
  </cols>
  <sheetData>
    <row r="1" customFormat="false" ht="33.75" hidden="false" customHeight="true" outlineLevel="0" collapsed="false">
      <c r="A1" s="12" t="s">
        <v>93</v>
      </c>
      <c r="B1" s="12" t="s">
        <v>162</v>
      </c>
      <c r="C1" s="16" t="s">
        <v>163</v>
      </c>
      <c r="D1" s="16" t="s">
        <v>101</v>
      </c>
    </row>
    <row r="2" customFormat="false" ht="15" hidden="false" customHeight="false" outlineLevel="0" collapsed="false">
      <c r="A2" s="19" t="s">
        <v>121</v>
      </c>
      <c r="B2" s="18" t="n">
        <v>14</v>
      </c>
      <c r="C2" s="24" t="n">
        <f aca="false">COUNTIF(Data!$D$2:$D$29,A2)</f>
        <v>3</v>
      </c>
      <c r="D2" s="22" t="n">
        <f aca="false">SUMIF(Data!$D$2:$D$29,A2,Data!$L$2:$L$29)</f>
        <v>17652108</v>
      </c>
    </row>
    <row r="3" customFormat="false" ht="15" hidden="false" customHeight="false" outlineLevel="0" collapsed="false">
      <c r="A3" s="19" t="s">
        <v>126</v>
      </c>
      <c r="B3" s="18" t="n">
        <v>30</v>
      </c>
      <c r="C3" s="24" t="n">
        <f aca="false">COUNTIF(Data!$D$2:$D$29,A3)</f>
        <v>8</v>
      </c>
      <c r="D3" s="22" t="n">
        <f aca="false">SUMIF(Data!$D$2:$D$29,A3,Data!$L$2:$L$29)</f>
        <v>64045890</v>
      </c>
    </row>
    <row r="4" customFormat="false" ht="15" hidden="false" customHeight="false" outlineLevel="0" collapsed="false">
      <c r="A4" s="19" t="s">
        <v>117</v>
      </c>
      <c r="B4" s="18" t="n">
        <v>7</v>
      </c>
      <c r="C4" s="24" t="n">
        <f aca="false">COUNTIF(Data!$D$2:$D$29,A4)</f>
        <v>4</v>
      </c>
      <c r="D4" s="22" t="n">
        <f aca="false">SUMIF(Data!$D$2:$D$29,A4,Data!$L$2:$L$29)</f>
        <v>24921720</v>
      </c>
    </row>
    <row r="5" customFormat="false" ht="15" hidden="false" customHeight="false" outlineLevel="0" collapsed="false">
      <c r="A5" s="19" t="s">
        <v>131</v>
      </c>
      <c r="B5" s="18" t="n">
        <v>45</v>
      </c>
      <c r="C5" s="24" t="n">
        <f aca="false">COUNTIF(Data!$D$2:$D$29,A5)</f>
        <v>7</v>
      </c>
      <c r="D5" s="22" t="n">
        <f aca="false">SUMIF(Data!$D$2:$D$29,A5,Data!$L$2:$L$29)</f>
        <v>208414710</v>
      </c>
    </row>
    <row r="6" customFormat="false" ht="15" hidden="false" customHeight="false" outlineLevel="0" collapsed="false">
      <c r="A6" s="19" t="s">
        <v>110</v>
      </c>
      <c r="B6" s="18" t="n">
        <v>30</v>
      </c>
      <c r="C6" s="24" t="n">
        <f aca="false">COUNTIF(Data!$D$2:$D$29,A6)</f>
        <v>6</v>
      </c>
      <c r="D6" s="22" t="n">
        <f aca="false">SUMIF(Data!$D$2:$D$29,A6,Data!$L$2:$L$29)</f>
        <v>93409830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32" t="s">
        <v>164</v>
      </c>
      <c r="B1" s="32"/>
      <c r="C1" s="32"/>
      <c r="D1" s="32"/>
    </row>
    <row r="2" customFormat="false" ht="15" hidden="false" customHeight="false" outlineLevel="0" collapsed="false">
      <c r="A2" s="33" t="s">
        <v>165</v>
      </c>
      <c r="B2" s="33"/>
      <c r="C2" s="33"/>
      <c r="D2" s="33"/>
    </row>
    <row r="3" customFormat="false" ht="15" hidden="false" customHeight="false" outlineLevel="0" collapsed="false">
      <c r="A3" s="12" t="s">
        <v>19</v>
      </c>
      <c r="B3" s="12" t="s">
        <v>166</v>
      </c>
      <c r="C3" s="12" t="s">
        <v>167</v>
      </c>
      <c r="D3" s="12" t="s">
        <v>168</v>
      </c>
    </row>
    <row r="4" customFormat="false" ht="19.5" hidden="false" customHeight="true" outlineLevel="0" collapsed="false">
      <c r="A4" s="34" t="s">
        <v>55</v>
      </c>
      <c r="B4" s="35" t="s">
        <v>169</v>
      </c>
      <c r="C4" s="22" t="n">
        <f aca="false">SUM(Data!$L$2:$L$29)</f>
        <v>408444258</v>
      </c>
      <c r="D4" s="28" t="s">
        <v>170</v>
      </c>
    </row>
    <row r="5" customFormat="false" ht="19.5" hidden="false" customHeight="true" outlineLevel="0" collapsed="false">
      <c r="A5" s="34" t="s">
        <v>171</v>
      </c>
      <c r="B5" s="35" t="s">
        <v>172</v>
      </c>
      <c r="C5" s="22" t="n">
        <f aca="false">SUM(Data!$J$2:$J$29)</f>
        <v>33900200</v>
      </c>
      <c r="D5" s="28" t="s">
        <v>173</v>
      </c>
    </row>
    <row r="6" customFormat="false" ht="19.5" hidden="false" customHeight="true" outlineLevel="0" collapsed="false">
      <c r="A6" s="34" t="s">
        <v>174</v>
      </c>
      <c r="B6" s="35" t="s">
        <v>175</v>
      </c>
      <c r="C6" s="24" t="n">
        <f aca="false">COUNTIF(Data!$J$2:$J$29,"&gt;0")</f>
        <v>12</v>
      </c>
      <c r="D6" s="28" t="s">
        <v>173</v>
      </c>
    </row>
    <row r="7" customFormat="false" ht="19.5" hidden="false" customHeight="true" outlineLevel="0" collapsed="false">
      <c r="A7" s="34" t="s">
        <v>63</v>
      </c>
      <c r="B7" s="35" t="s">
        <v>176</v>
      </c>
      <c r="C7" s="24" t="n">
        <f aca="false">COUNTIF(Data!$O$2:$O$29,"Terlambat")</f>
        <v>15</v>
      </c>
      <c r="D7" s="28" t="s">
        <v>177</v>
      </c>
    </row>
    <row r="8" customFormat="false" ht="19.5" hidden="false" customHeight="true" outlineLevel="0" collapsed="false">
      <c r="A8" s="34" t="s">
        <v>67</v>
      </c>
      <c r="B8" s="35" t="s">
        <v>178</v>
      </c>
      <c r="C8" s="36" t="n">
        <f aca="false">AVERAGE(Data!$N$2:$N$29)</f>
        <v>7.89285714285714</v>
      </c>
      <c r="D8" s="28" t="s">
        <v>179</v>
      </c>
    </row>
    <row r="9" customFormat="false" ht="19.5" hidden="false" customHeight="true" outlineLevel="0" collapsed="false">
      <c r="A9" s="34" t="s">
        <v>180</v>
      </c>
      <c r="B9" s="35" t="s">
        <v>181</v>
      </c>
      <c r="C9" s="24" t="n">
        <f aca="false">COUNTIF(Data!$P$2:$P$29,"Lewat Tempo")</f>
        <v>22</v>
      </c>
      <c r="D9" s="28" t="s">
        <v>182</v>
      </c>
    </row>
    <row r="10" customFormat="false" ht="19.5" hidden="false" customHeight="true" outlineLevel="0" collapsed="false">
      <c r="A10" s="34" t="s">
        <v>183</v>
      </c>
      <c r="B10" s="35" t="s">
        <v>184</v>
      </c>
      <c r="C10" s="22" t="n">
        <f aca="false">SUMIF(Data!$P$2:$P$29,"Lewat Tempo",Data!$L$2:$L$29)</f>
        <v>203765808</v>
      </c>
      <c r="D10" s="28" t="s">
        <v>182</v>
      </c>
    </row>
    <row r="11" customFormat="false" ht="19.5" hidden="false" customHeight="true" outlineLevel="0" collapsed="false">
      <c r="A11" s="34" t="s">
        <v>75</v>
      </c>
      <c r="B11" s="35" t="s">
        <v>185</v>
      </c>
      <c r="C11" s="25" t="str">
        <f aca="false">INDEX(Data!$B$2:$B$29,MATCH(MAX(Data!$L$2:$L$29),Data!$L$2:$L$29,0))</f>
        <v>PO-2026-020</v>
      </c>
      <c r="D11" s="28" t="s">
        <v>186</v>
      </c>
    </row>
    <row r="12" customFormat="false" ht="19.5" hidden="false" customHeight="true" outlineLevel="0" collapsed="false">
      <c r="A12" s="34" t="s">
        <v>87</v>
      </c>
      <c r="B12" s="35" t="s">
        <v>187</v>
      </c>
      <c r="C12" s="25" t="str">
        <f aca="false">INDEX(Acuan!$A$2:$A$6,MATCH(MAX(Acuan!$D$2:$D$6),Acuan!$D$2:$D$6,0))</f>
        <v>PT Global Mandiri</v>
      </c>
      <c r="D12" s="28" t="s">
        <v>188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Pengadaan Barang dan Purchase Order - Kunci</dc:title>
</cp:coreProperties>
</file>

<file path=docProps/custom.xml><?xml version="1.0" encoding="utf-8"?>
<Properties xmlns="http://schemas.openxmlformats.org/officeDocument/2006/custom-properties" xmlns:vt="http://schemas.openxmlformats.org/officeDocument/2006/docPropsVTypes"/>
</file>