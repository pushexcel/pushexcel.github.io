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<sst xmlns="http://schemas.openxmlformats.org/spreadsheetml/2006/main" count="283" uniqueCount="239">
  <si>
    <t xml:space="preserve">Kunci Jawaban: Analisis Butir Soal Ujian Pilihan Ganda</t>
  </si>
  <si>
    <t xml:space="preserve">Latihan 102 dari 40  |  Tingkat: Lanjutan  |  Perkiraan waktu: 65 menit  |  pushexcel.github.io/Pushexcel</t>
  </si>
  <si>
    <t xml:space="preserve">Skenario</t>
  </si>
  <si>
    <t xml:space="preserve">Kamu guru yang menganalisis hasil ujian pilihan ganda 15 soal untuk 30 siswa kelas 9A, 9B, dan 9C di SMP Harapan Bangsa. Jawaban tiap siswa ditulis sebagai satu teks 15 huruf, huruf ke-1 untuk soal 1 dan seterusnya. Kunci jawaban ada di sheet Acuan. Nilai adalah skor benar dikali 100 dibagi 15, dibulatkan ke bilangan bulat. Siswa Remedial bila nilai di bawah KKM 70. Kelompok Atas bila nilai minimal 80, Bawah bila nilai paling tinggi 60, selain itu Tengah. Soal Sukar bila tingkat kesulitan (proporsi siswa yang benar) kurang dari 0,3, Mudah bila lebih dari 0,7, selain itu Sedang. Daya beda adalah proporsi benar kelompok Atas dikurangi proporsi benar kelompok Bawah. Soal Dipakai bila daya beda minimal 0,3, Revisi bila minimal 0,1, selain itu Ganti (semua batas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</si>
  <si>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</si>
  <si>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</si>
  <si>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</si>
  <si>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</si>
  <si>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</si>
  <si>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</si>
  <si>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</si>
  <si>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</si>
  <si>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</si>
  <si>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</si>
  <si>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</si>
  <si>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</si>
  <si>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</si>
  <si>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</si>
  <si>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</si>
  <si>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</si>
  <si>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</si>
  <si>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</si>
  <si>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</si>
  <si>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</si>
  <si>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skor tiap siswa, yaitu banyaknya jawaban yang sama dengan kunci. Ambil huruf ke-1 sampai ke-15 dari teks Jawaban lalu bandingkan dengan Kunci di sheet Acuan.</t>
  </si>
  <si>
    <t xml:space="preserve">Sheet Data, kolom D (Skor), baris 2 sampai 31</t>
  </si>
  <si>
    <t xml:space="preserve">=SUMPRODUCT(--(MID(C2;Acuan!$A$2:$A$16;1)=Acuan!$B$2:$B$16))</t>
  </si>
  <si>
    <t xml:space="preserve">2</t>
  </si>
  <si>
    <t xml:space="preserve">Hitung nilai: skor dikali 100 dibagi jumlah soal, dibulatkan ke bilangan bulat.</t>
  </si>
  <si>
    <t xml:space="preserve">Sheet Data, kolom E (Nilai), baris 2 sampai 31</t>
  </si>
  <si>
    <t xml:space="preserve">=ROUND(D2*100/$J$2;0)</t>
  </si>
  <si>
    <t xml:space="preserve">3</t>
  </si>
  <si>
    <t xml:space="preserve">Beri kelompok: Atas bila nilai minimal batas kelompok atas, Bawah bila nilai paling tinggi batas kelompok bawah, selain itu Tengah.</t>
  </si>
  <si>
    <t xml:space="preserve">Sheet Data, kolom F (Kelompok), baris 2 sampai 31</t>
  </si>
  <si>
    <t xml:space="preserve">=IF(E2&gt;=$J$4;"Atas";IF(E2&lt;=$J$5;"Bawah";"Tengah"))</t>
  </si>
  <si>
    <t xml:space="preserve">4</t>
  </si>
  <si>
    <t xml:space="preserve">Beri status Remedial bila nilai di bawah KKM, selain itu Tuntas.</t>
  </si>
  <si>
    <t xml:space="preserve">Sheet Data, kolom G (Remedial), baris 2 sampai 31</t>
  </si>
  <si>
    <t xml:space="preserve">=IF(E2&lt;$J$3;"Remedial";"Tuntas")</t>
  </si>
  <si>
    <t xml:space="preserve">5</t>
  </si>
  <si>
    <t xml:space="preserve">Pada sheet Acuan, hitung berapa siswa yang menjawab benar tiap soal. Ambil huruf pada posisi nomor soal dari semua teks Jawaban lalu bandingkan dengan kunci soal itu.</t>
  </si>
  <si>
    <t xml:space="preserve">Sheet Acuan, kolom C (Jumlah Benar), baris 2 sampai 16</t>
  </si>
  <si>
    <t xml:space="preserve">=SUMPRODUCT(--(MID(Data!$C$2:$C$31;A2;1)=B2))</t>
  </si>
  <si>
    <t xml:space="preserve">6</t>
  </si>
  <si>
    <t xml:space="preserve">Pada sheet Acuan, hitung tingkat kesulitan tiap soal: jumlah siswa yang benar dibagi jumlah seluruh siswa.</t>
  </si>
  <si>
    <t xml:space="preserve">Sheet Acuan, kolom D (Tingkat Kesulitan), baris 2 sampai 16</t>
  </si>
  <si>
    <t xml:space="preserve">=C2/COUNTA(Data!$A$2:$A$31)</t>
  </si>
  <si>
    <t xml:space="preserve">7</t>
  </si>
  <si>
    <t xml:space="preserve">Pada sheet Acuan, beri kategori: Sukar bila tingkat kesulitan kurang dari batas soal sukar, Mudah bila lebih dari batas soal mudah, selain itu Sedang.</t>
  </si>
  <si>
    <t xml:space="preserve">Sheet Acuan, kolom E (Kategori Soal), baris 2 sampai 16</t>
  </si>
  <si>
    <t xml:space="preserve">=IF(D2&lt;Data!$J$6;"Sukar";IF(D2&gt;Data!$J$7;"Mudah";"Sedang"))</t>
  </si>
  <si>
    <t xml:space="preserve">8</t>
  </si>
  <si>
    <t xml:space="preserve">Pada sheet Acuan, hitung berapa siswa kelompok Atas yang menjawab benar tiap soal.</t>
  </si>
  <si>
    <t xml:space="preserve">Sheet Acuan, kolom F (Benar Atas), baris 2 sampai 16</t>
  </si>
  <si>
    <t xml:space="preserve">=SUMPRODUCT((MID(Data!$C$2:$C$31;A2;1)=B2)*(Data!$F$2:$F$31="Atas"))</t>
  </si>
  <si>
    <t xml:space="preserve">9</t>
  </si>
  <si>
    <t xml:space="preserve">Pada sheet Acuan, hitung berapa siswa kelompok Bawah yang menjawab benar tiap soal.</t>
  </si>
  <si>
    <t xml:space="preserve">Sheet Acuan, kolom G (Benar Bawah), baris 2 sampai 16</t>
  </si>
  <si>
    <t xml:space="preserve">=SUMPRODUCT((MID(Data!$C$2:$C$31;A2;1)=B2)*(Data!$F$2:$F$31="Bawah"))</t>
  </si>
  <si>
    <t xml:space="preserve">10</t>
  </si>
  <si>
    <t xml:space="preserve">Pada sheet Acuan, hitung daya beda: benar Atas dibagi jumlah siswa kelompok Atas, dikurangi benar Bawah dibagi jumlah siswa kelompok Bawah.</t>
  </si>
  <si>
    <t xml:space="preserve">Sheet Acuan, kolom H (Daya Beda), baris 2 sampai 16</t>
  </si>
  <si>
    <t xml:space="preserve">=F2/COUNTIF(Data!$F$2:$F$31;"Atas")-G2/COUNTIF(Data!$F$2:$F$31;"Bawah")</t>
  </si>
  <si>
    <t xml:space="preserve">11</t>
  </si>
  <si>
    <t xml:space="preserve">Pada sheet Acuan, beri status: Dipakai bila daya beda minimal batas dipakai, Revisi bila minimal batas revisi, selain itu Ganti.</t>
  </si>
  <si>
    <t xml:space="preserve">Sheet Acuan, kolom I (Status Soal), baris 2 sampai 16</t>
  </si>
  <si>
    <t xml:space="preserve">=IF(H2&gt;=Data!$J$8;"Dipakai";IF(H2&gt;=Data!$J$9;"Revisi";"Ganti"))</t>
  </si>
  <si>
    <t xml:space="preserve">12</t>
  </si>
  <si>
    <t xml:space="preserve">Berapa nilai rata-rata, nilai tertinggi, dan nilai terendah seluruh siswa, dan berapa siswa yang Remedial?</t>
  </si>
  <si>
    <t xml:space="preserve">Sheet Ringkasan, sel C4 sampai C7</t>
  </si>
  <si>
    <t xml:space="preserve">=AVERAGE(Data!$E$2:$E$31)
=MAX(Data!$E$2:$E$31)
=MIN(Data!$E$2:$E$31)
=COUNTIF(Data!$G$2:$G$31;"Remedial")</t>
  </si>
  <si>
    <t xml:space="preserve">13</t>
  </si>
  <si>
    <t xml:space="preserve">Berapa siswa yang masuk kelompok Atas, Tengah, dan Bawah, dan berapa siswa yang meraih nilai 90 atau lebih?</t>
  </si>
  <si>
    <t xml:space="preserve">Sheet Ringkasan, sel C8 sampai C11</t>
  </si>
  <si>
    <t xml:space="preserve">=COUNTIF(Data!$F$2:$F$31;"Atas")
=COUNTIF(Data!$F$2:$F$31;"Tengah")
=COUNTIF(Data!$F$2:$F$31;"Bawah")
=COUNTIF(Data!$E$2:$E$31;"&gt;=90")</t>
  </si>
  <si>
    <t xml:space="preserve">14</t>
  </si>
  <si>
    <t xml:space="preserve">Soal nomor berapa yang paling sukar (tingkat kesulitan terkecil), nomor berapa yang paling mudah, dan nomor berapa yang daya bedanya terbesar?</t>
  </si>
  <si>
    <t xml:space="preserve">Sheet Ringkasan, sel C12 sampai C14</t>
  </si>
  <si>
    <t xml:space="preserve">=INDEX(Acuan!$A$2:$A$16;MATCH(MIN(Acuan!$D$2:$D$16);Acuan!$D$2:$D$16;0))
=INDEX(Acuan!$A$2:$A$16;MATCH(MAX(Acuan!$D$2:$D$16);Acuan!$D$2:$D$16;0))
=INDEX(Acuan!$A$2:$A$16;MATCH(MAX(Acuan!$H$2:$H$16);Acuan!$H$2:$H$16;0))</t>
  </si>
  <si>
    <t xml:space="preserve">15</t>
  </si>
  <si>
    <t xml:space="preserve">Berapa soal yang berkategori Sukar, Sedang, dan Mudah, dan berapa soal yang berstatus Dipakai?</t>
  </si>
  <si>
    <t xml:space="preserve">Sheet Ringkasan, sel C15 sampai C18</t>
  </si>
  <si>
    <t xml:space="preserve">=COUNTIF(Acuan!$E$2:$E$16;"Sukar")
=COUNTIF(Acuan!$E$2:$E$16;"Sedang")
=COUNTIF(Acuan!$E$2:$E$16;"Mudah")
=COUNTIF(Acuan!$I$2:$I$16;"Dipakai")</t>
  </si>
  <si>
    <t xml:space="preserve">16</t>
  </si>
  <si>
    <t xml:space="preserve">Berapa nilai rata-rata siswa kelas 9B, dan berapa siswa kelas 9C yang Remedial?</t>
  </si>
  <si>
    <t xml:space="preserve">Sheet Ringkasan, sel C19 sampai C20</t>
  </si>
  <si>
    <t xml:space="preserve">=AVERAGEIF(Data!$B$2:$B$31;"9B";Data!$E$2:$E$31)
=COUNTIFS(Data!$B$2:$B$31;"9C";Data!$G$2:$G$31;"Remedial")</t>
  </si>
  <si>
    <t xml:space="preserve">Nama Siswa</t>
  </si>
  <si>
    <t xml:space="preserve">Kelas</t>
  </si>
  <si>
    <t xml:space="preserve">Jawaban</t>
  </si>
  <si>
    <t xml:space="preserve">Skor</t>
  </si>
  <si>
    <t xml:space="preserve">Nilai</t>
  </si>
  <si>
    <t xml:space="preserve">Kelompok</t>
  </si>
  <si>
    <t xml:space="preserve">Remedial</t>
  </si>
  <si>
    <t xml:space="preserve">Parameter</t>
  </si>
  <si>
    <t xml:space="preserve">Keterangan</t>
  </si>
  <si>
    <t xml:space="preserve">Mulyadi Susanto</t>
  </si>
  <si>
    <t xml:space="preserve">9A</t>
  </si>
  <si>
    <t xml:space="preserve">CDDAADCBADCBDBB</t>
  </si>
  <si>
    <t xml:space="preserve">Jumlah soal</t>
  </si>
  <si>
    <t xml:space="preserve">Irfan Pangestu</t>
  </si>
  <si>
    <t xml:space="preserve">9B</t>
  </si>
  <si>
    <t xml:space="preserve">BDBDDDDBDAACDBA</t>
  </si>
  <si>
    <t xml:space="preserve">KKM</t>
  </si>
  <si>
    <t xml:space="preserve">Nilai di bawah KKM masuk remedial</t>
  </si>
  <si>
    <t xml:space="preserve">Rina Ramadhan</t>
  </si>
  <si>
    <t xml:space="preserve">9C</t>
  </si>
  <si>
    <t xml:space="preserve">DDBBAABBADCDDCD</t>
  </si>
  <si>
    <t xml:space="preserve">Batas kelompok atas</t>
  </si>
  <si>
    <t xml:space="preserve">Nilai minimal untuk kelompok Atas</t>
  </si>
  <si>
    <t xml:space="preserve">Galih Wijaya</t>
  </si>
  <si>
    <t xml:space="preserve">DDABACDBBCADDBD</t>
  </si>
  <si>
    <t xml:space="preserve">Batas kelompok bawah</t>
  </si>
  <si>
    <t xml:space="preserve">Nilai paling tinggi untuk kelompok Bawah</t>
  </si>
  <si>
    <t xml:space="preserve">Yoga Firmansyah</t>
  </si>
  <si>
    <t xml:space="preserve">DDCBADDBDCADDBA</t>
  </si>
  <si>
    <t xml:space="preserve">Batas soal sukar</t>
  </si>
  <si>
    <t xml:space="preserve">Tingkat kesulitan di bawah angka ini berarti Sukar</t>
  </si>
  <si>
    <t xml:space="preserve">Nurul Saputra</t>
  </si>
  <si>
    <t xml:space="preserve">BDCBCDDCDDBDDBA</t>
  </si>
  <si>
    <t xml:space="preserve">Batas soal mudah</t>
  </si>
  <si>
    <t xml:space="preserve">Tingkat kesulitan di atas angka ini berarti Mudah</t>
  </si>
  <si>
    <t xml:space="preserve">Bayu Saputra</t>
  </si>
  <si>
    <t xml:space="preserve">CDBAADDBDCACDBA</t>
  </si>
  <si>
    <t xml:space="preserve">Daya beda dipakai</t>
  </si>
  <si>
    <t xml:space="preserve">Daya beda minimal untuk status Dipakai</t>
  </si>
  <si>
    <t xml:space="preserve">Siti Kusuma</t>
  </si>
  <si>
    <t xml:space="preserve">BDBABDDBCADBCBA</t>
  </si>
  <si>
    <t xml:space="preserve">Daya beda revisi</t>
  </si>
  <si>
    <t xml:space="preserve">Daya beda minimal untuk status Revisi</t>
  </si>
  <si>
    <t xml:space="preserve">Vivi Nugroho</t>
  </si>
  <si>
    <t xml:space="preserve">ADACADDCDBCADBC</t>
  </si>
  <si>
    <t xml:space="preserve">Intan Pratama</t>
  </si>
  <si>
    <t xml:space="preserve">BCBDDDDDBBABDBA</t>
  </si>
  <si>
    <t xml:space="preserve">Khoirul Pratama</t>
  </si>
  <si>
    <t xml:space="preserve">CDBDADDBDCACDBA</t>
  </si>
  <si>
    <t xml:space="preserve">Dimas Setiawan</t>
  </si>
  <si>
    <t xml:space="preserve">ADBDADDBDDADDBD</t>
  </si>
  <si>
    <t xml:space="preserve">Vina Wibowo</t>
  </si>
  <si>
    <t xml:space="preserve">BDCCCDDBBDCADBA</t>
  </si>
  <si>
    <t xml:space="preserve">Tika Kusuma</t>
  </si>
  <si>
    <t xml:space="preserve">BDDDADDBDADCDBA</t>
  </si>
  <si>
    <t xml:space="preserve">Andi Kurniawan</t>
  </si>
  <si>
    <t xml:space="preserve">BCBDADDBCAAADBA</t>
  </si>
  <si>
    <t xml:space="preserve">Lina Rahayu</t>
  </si>
  <si>
    <t xml:space="preserve">BDCBADDBDBCDBBA</t>
  </si>
  <si>
    <t xml:space="preserve">Gita Handayani</t>
  </si>
  <si>
    <t xml:space="preserve">BDADADDBDBABABA</t>
  </si>
  <si>
    <t xml:space="preserve">Ayu Anggraini</t>
  </si>
  <si>
    <t xml:space="preserve">BDBDCDDBABCBBBA</t>
  </si>
  <si>
    <t xml:space="preserve">Lestari Yulianto</t>
  </si>
  <si>
    <t xml:space="preserve">DDBCADDABCAACBC</t>
  </si>
  <si>
    <t xml:space="preserve">Yuni Pangestu</t>
  </si>
  <si>
    <t xml:space="preserve">DDBDAADBDCADDBA</t>
  </si>
  <si>
    <t xml:space="preserve">Utami Firmansyah</t>
  </si>
  <si>
    <t xml:space="preserve">CDBCABDBDCADDBA</t>
  </si>
  <si>
    <t xml:space="preserve">Gita Saputra</t>
  </si>
  <si>
    <t xml:space="preserve">BDBDDDDBBBADDBA</t>
  </si>
  <si>
    <t xml:space="preserve">Putri Nugroho</t>
  </si>
  <si>
    <t xml:space="preserve">BDBDBDDBDCCBDBA</t>
  </si>
  <si>
    <t xml:space="preserve">Intan Hidayat</t>
  </si>
  <si>
    <t xml:space="preserve">BDBCADDBCAAADBA</t>
  </si>
  <si>
    <t xml:space="preserve">Rina Handayani</t>
  </si>
  <si>
    <t xml:space="preserve">BDCABDDADDABDBA</t>
  </si>
  <si>
    <t xml:space="preserve">Eka Lestari</t>
  </si>
  <si>
    <t xml:space="preserve">BDBABDDBDBACDBA</t>
  </si>
  <si>
    <t xml:space="preserve">Umar Anggraini</t>
  </si>
  <si>
    <t xml:space="preserve">BABAABDACADCDBA</t>
  </si>
  <si>
    <t xml:space="preserve">Jihan Pratama</t>
  </si>
  <si>
    <t xml:space="preserve">DDBDABDBDAADDBA</t>
  </si>
  <si>
    <t xml:space="preserve">Prasetyo Utomo</t>
  </si>
  <si>
    <t xml:space="preserve">AABDADDBDAAADBC</t>
  </si>
  <si>
    <t xml:space="preserve">Eka Susanto</t>
  </si>
  <si>
    <t xml:space="preserve">ACDAABBCCCADDBD</t>
  </si>
  <si>
    <t xml:space="preserve">No Soal</t>
  </si>
  <si>
    <t xml:space="preserve">Kunci</t>
  </si>
  <si>
    <t xml:space="preserve">Jumlah Benar</t>
  </si>
  <si>
    <t xml:space="preserve">Tingkat Kesulitan</t>
  </si>
  <si>
    <t xml:space="preserve">Kategori Soal</t>
  </si>
  <si>
    <t xml:space="preserve">Benar Atas</t>
  </si>
  <si>
    <t xml:space="preserve">Benar Bawah</t>
  </si>
  <si>
    <t xml:space="preserve">Daya Beda</t>
  </si>
  <si>
    <t xml:space="preserve">Status Soal</t>
  </si>
  <si>
    <t xml:space="preserve">B</t>
  </si>
  <si>
    <t xml:space="preserve">D</t>
  </si>
  <si>
    <t xml:space="preserve">A</t>
  </si>
  <si>
    <t xml:space="preserve">C</t>
  </si>
  <si>
    <t xml:space="preserve">Ringkasan: lembar jawaban soal berjenis ringkasan</t>
  </si>
  <si>
    <t xml:space="preserve">Sel hijau berisi rumus kunci.</t>
  </si>
  <si>
    <t xml:space="preserve">Pertanyaan</t>
  </si>
  <si>
    <t xml:space="preserve">Contoh format hasil</t>
  </si>
  <si>
    <t xml:space="preserve">12a</t>
  </si>
  <si>
    <t xml:space="preserve">Nilai rata-rata</t>
  </si>
  <si>
    <t xml:space="preserve">Angka desimal, mis. 65,5</t>
  </si>
  <si>
    <t xml:space="preserve">12b</t>
  </si>
  <si>
    <t xml:space="preserve">Nilai tertinggi</t>
  </si>
  <si>
    <t xml:space="preserve">Angka bulat, mis. 95</t>
  </si>
  <si>
    <t xml:space="preserve">12c</t>
  </si>
  <si>
    <t xml:space="preserve">Nilai terendah</t>
  </si>
  <si>
    <t xml:space="preserve">Angka bulat, mis. 30</t>
  </si>
  <si>
    <t xml:space="preserve">12d</t>
  </si>
  <si>
    <t xml:space="preserve">Jumlah siswa Remedial</t>
  </si>
  <si>
    <t xml:space="preserve">Angka bulat, mis. 10</t>
  </si>
  <si>
    <t xml:space="preserve">13a</t>
  </si>
  <si>
    <t xml:space="preserve">Siswa kelompok Atas</t>
  </si>
  <si>
    <t xml:space="preserve">Angka bulat, mis. 7</t>
  </si>
  <si>
    <t xml:space="preserve">13b</t>
  </si>
  <si>
    <t xml:space="preserve">Siswa kelompok Tengah</t>
  </si>
  <si>
    <t xml:space="preserve">Angka bulat, mis. 11</t>
  </si>
  <si>
    <t xml:space="preserve">13c</t>
  </si>
  <si>
    <t xml:space="preserve">Siswa kelompok Bawah</t>
  </si>
  <si>
    <t xml:space="preserve">Angka bulat, mis. 8</t>
  </si>
  <si>
    <t xml:space="preserve">13d</t>
  </si>
  <si>
    <t xml:space="preserve">Siswa nilai 90 atau lebih</t>
  </si>
  <si>
    <t xml:space="preserve">Angka bulat, mis. 2</t>
  </si>
  <si>
    <t xml:space="preserve">14a</t>
  </si>
  <si>
    <t xml:space="preserve">Nomor soal paling sukar</t>
  </si>
  <si>
    <t xml:space="preserve">Angka bulat antara 1 dan 15</t>
  </si>
  <si>
    <t xml:space="preserve">14b</t>
  </si>
  <si>
    <t xml:space="preserve">Nomor soal paling mudah</t>
  </si>
  <si>
    <t xml:space="preserve">14c</t>
  </si>
  <si>
    <t xml:space="preserve">Nomor soal daya beda terbesar</t>
  </si>
  <si>
    <t xml:space="preserve">15a</t>
  </si>
  <si>
    <t xml:space="preserve">Jumlah soal Sukar</t>
  </si>
  <si>
    <t xml:space="preserve">Angka bulat, mis. 3</t>
  </si>
  <si>
    <t xml:space="preserve">15b</t>
  </si>
  <si>
    <t xml:space="preserve">Jumlah soal Sedang</t>
  </si>
  <si>
    <t xml:space="preserve">Angka bulat, mis. 5</t>
  </si>
  <si>
    <t xml:space="preserve">15c</t>
  </si>
  <si>
    <t xml:space="preserve">Jumlah soal Mudah</t>
  </si>
  <si>
    <t xml:space="preserve">Angka bulat, mis. 4</t>
  </si>
  <si>
    <t xml:space="preserve">15d</t>
  </si>
  <si>
    <t xml:space="preserve">Jumlah soal Dipakai</t>
  </si>
  <si>
    <t xml:space="preserve">Angka bulat, mis. 6</t>
  </si>
  <si>
    <t xml:space="preserve">16a</t>
  </si>
  <si>
    <t xml:space="preserve">Nilai rata-rata kelas 9B</t>
  </si>
  <si>
    <t xml:space="preserve">Angka desimal, mis. 62,5</t>
  </si>
  <si>
    <t xml:space="preserve">16b</t>
  </si>
  <si>
    <t xml:space="preserve">Siswa Remedial kelas 9C</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</si>
</sst>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9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42"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42"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42"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42" hidden="false" customHeight="true" outlineLevel="0" collapsed="false">
      <c r="A30" s="12" t="s">
        <v>59</v>
      </c>
      <c r="B30" s="13" t="s">
        <v>60</v>
      </c>
      <c r="C30" s="13" t="s">
        <v>61</v>
      </c>
      <c r="D30" s="14" t="s">
        <v>62</v>
      </c>
    </row>
    <row r="31" customFormat="false" ht="42" hidden="false" customHeight="true" outlineLevel="0" collapsed="false">
      <c r="A31" s="12" t="s">
        <v>63</v>
      </c>
      <c r="B31" s="13" t="s">
        <v>64</v>
      </c>
      <c r="C31" s="13" t="s">
        <v>65</v>
      </c>
      <c r="D31" s="14" t="s">
        <v>66</v>
      </c>
    </row>
    <row r="32" customFormat="false" ht="72" hidden="false" customHeight="true" outlineLevel="0" collapsed="false">
      <c r="A32" s="12" t="s">
        <v>67</v>
      </c>
      <c r="B32" s="13" t="s">
        <v>68</v>
      </c>
      <c r="C32" s="13" t="s">
        <v>69</v>
      </c>
      <c r="D32" s="14" t="s">
        <v>70</v>
      </c>
    </row>
    <row r="33" customFormat="false" ht="72" hidden="false" customHeight="true" outlineLevel="0" collapsed="false">
      <c r="A33" s="12" t="s">
        <v>71</v>
      </c>
      <c r="B33" s="13" t="s">
        <v>72</v>
      </c>
      <c r="C33" s="13" t="s">
        <v>73</v>
      </c>
      <c r="D33" s="14" t="s">
        <v>74</v>
      </c>
    </row>
    <row r="34" customFormat="false" ht="84" hidden="false" customHeight="true" outlineLevel="0" collapsed="false">
      <c r="A34" s="12" t="s">
        <v>75</v>
      </c>
      <c r="B34" s="13" t="s">
        <v>76</v>
      </c>
      <c r="C34" s="13" t="s">
        <v>77</v>
      </c>
      <c r="D34" s="14" t="s">
        <v>78</v>
      </c>
    </row>
    <row r="35" customFormat="false" ht="84" hidden="false" customHeight="true" outlineLevel="0" collapsed="false">
      <c r="A35" s="12" t="s">
        <v>79</v>
      </c>
      <c r="B35" s="13" t="s">
        <v>80</v>
      </c>
      <c r="C35" s="13" t="s">
        <v>81</v>
      </c>
      <c r="D35" s="14" t="s">
        <v>82</v>
      </c>
    </row>
    <row r="36" customFormat="false" ht="43.5" hidden="false" customHeight="true" outlineLevel="0" collapsed="false">
      <c r="A36" s="12" t="s">
        <v>83</v>
      </c>
      <c r="B36" s="13" t="s">
        <v>84</v>
      </c>
      <c r="C36" s="13" t="s">
        <v>85</v>
      </c>
      <c r="D36" s="14" t="s">
        <v>86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16"/>
    <col collapsed="false" customWidth="true" hidden="false" outlineLevel="0" max="5" min="4" style="0" width="8"/>
    <col collapsed="false" customWidth="true" hidden="false" outlineLevel="0" max="7" min="6" style="0" width="11"/>
    <col collapsed="false" customWidth="true" hidden="false" outlineLevel="0" max="8" min="8" style="0" width="3"/>
    <col collapsed="false" customWidth="true" hidden="false" outlineLevel="0" max="9" min="9" style="0" width="30"/>
    <col collapsed="false" customWidth="true" hidden="false" outlineLevel="0" max="10" min="10" style="0" width="16"/>
    <col collapsed="false" customWidth="true" hidden="false" outlineLevel="0" max="11" min="11" style="0" width="42"/>
  </cols>
  <sheetData>
    <row r="1" customFormat="false" ht="33.75" hidden="false" customHeight="true" outlineLevel="0" collapsed="false">
      <c r="A1" s="11" t="s">
        <v>87</v>
      </c>
      <c r="B1" s="11" t="s">
        <v>88</v>
      </c>
      <c r="C1" s="11" t="s">
        <v>89</v>
      </c>
      <c r="D1" s="15" t="s">
        <v>90</v>
      </c>
      <c r="E1" s="15" t="s">
        <v>91</v>
      </c>
      <c r="F1" s="15" t="s">
        <v>92</v>
      </c>
      <c r="G1" s="15" t="s">
        <v>93</v>
      </c>
      <c r="I1" s="16" t="s">
        <v>94</v>
      </c>
      <c r="J1" s="16" t="s">
        <v>91</v>
      </c>
      <c r="K1" s="16" t="s">
        <v>95</v>
      </c>
    </row>
    <row r="2" customFormat="false" ht="15" hidden="false" customHeight="false" outlineLevel="0" collapsed="false">
      <c r="A2" s="17" t="s">
        <v>96</v>
      </c>
      <c r="B2" s="17" t="s">
        <v>97</v>
      </c>
      <c r="C2" s="17" t="s">
        <v>98</v>
      </c>
      <c r="D2" s="18" t="n">
        <f aca="false">SUMPRODUCT(--(MID(C2,Acuan!$A$2:$A$16,1)=Acuan!$B$2:$B$16))</f>
        <v>6</v>
      </c>
      <c r="E2" s="18" t="n">
        <f aca="false">ROUND(D2*100/$J$2,0)</f>
        <v>40</v>
      </c>
      <c r="F2" s="19" t="str">
        <f aca="false">IF(E2&gt;=$J$4,"Atas",IF(E2&lt;=$J$5,"Bawah","Tengah"))</f>
        <v>Bawah</v>
      </c>
      <c r="G2" s="19" t="str">
        <f aca="false">IF(E2&lt;$J$3,"Remedial","Tuntas")</f>
        <v>Remedial</v>
      </c>
      <c r="I2" s="20" t="s">
        <v>99</v>
      </c>
      <c r="J2" s="21" t="n">
        <v>15</v>
      </c>
      <c r="K2" s="20"/>
    </row>
    <row r="3" customFormat="false" ht="15" hidden="false" customHeight="false" outlineLevel="0" collapsed="false">
      <c r="A3" s="17" t="s">
        <v>100</v>
      </c>
      <c r="B3" s="17" t="s">
        <v>101</v>
      </c>
      <c r="C3" s="17" t="s">
        <v>102</v>
      </c>
      <c r="D3" s="18" t="n">
        <f aca="false">SUMPRODUCT(--(MID(C3,Acuan!$A$2:$A$16,1)=Acuan!$B$2:$B$16))</f>
        <v>14</v>
      </c>
      <c r="E3" s="18" t="n">
        <f aca="false">ROUND(D3*100/$J$2,0)</f>
        <v>93</v>
      </c>
      <c r="F3" s="19" t="str">
        <f aca="false">IF(E3&gt;=$J$4,"Atas",IF(E3&lt;=$J$5,"Bawah","Tengah"))</f>
        <v>Atas</v>
      </c>
      <c r="G3" s="19" t="str">
        <f aca="false">IF(E3&lt;$J$3,"Remedial","Tuntas")</f>
        <v>Tuntas</v>
      </c>
      <c r="I3" s="20" t="s">
        <v>103</v>
      </c>
      <c r="J3" s="21" t="n">
        <v>70</v>
      </c>
      <c r="K3" s="20" t="s">
        <v>104</v>
      </c>
    </row>
    <row r="4" customFormat="false" ht="15" hidden="false" customHeight="false" outlineLevel="0" collapsed="false">
      <c r="A4" s="17" t="s">
        <v>105</v>
      </c>
      <c r="B4" s="17" t="s">
        <v>106</v>
      </c>
      <c r="C4" s="17" t="s">
        <v>107</v>
      </c>
      <c r="D4" s="18" t="n">
        <f aca="false">SUMPRODUCT(--(MID(C4,Acuan!$A$2:$A$16,1)=Acuan!$B$2:$B$16))</f>
        <v>5</v>
      </c>
      <c r="E4" s="18" t="n">
        <f aca="false">ROUND(D4*100/$J$2,0)</f>
        <v>33</v>
      </c>
      <c r="F4" s="19" t="str">
        <f aca="false">IF(E4&gt;=$J$4,"Atas",IF(E4&lt;=$J$5,"Bawah","Tengah"))</f>
        <v>Bawah</v>
      </c>
      <c r="G4" s="19" t="str">
        <f aca="false">IF(E4&lt;$J$3,"Remedial","Tuntas")</f>
        <v>Remedial</v>
      </c>
      <c r="I4" s="20" t="s">
        <v>108</v>
      </c>
      <c r="J4" s="21" t="n">
        <v>80</v>
      </c>
      <c r="K4" s="20" t="s">
        <v>109</v>
      </c>
    </row>
    <row r="5" customFormat="false" ht="15" hidden="false" customHeight="false" outlineLevel="0" collapsed="false">
      <c r="A5" s="17" t="s">
        <v>110</v>
      </c>
      <c r="B5" s="17" t="s">
        <v>97</v>
      </c>
      <c r="C5" s="17" t="s">
        <v>111</v>
      </c>
      <c r="D5" s="18" t="n">
        <f aca="false">SUMPRODUCT(--(MID(C5,Acuan!$A$2:$A$16,1)=Acuan!$B$2:$B$16))</f>
        <v>7</v>
      </c>
      <c r="E5" s="18" t="n">
        <f aca="false">ROUND(D5*100/$J$2,0)</f>
        <v>47</v>
      </c>
      <c r="F5" s="19" t="str">
        <f aca="false">IF(E5&gt;=$J$4,"Atas",IF(E5&lt;=$J$5,"Bawah","Tengah"))</f>
        <v>Bawah</v>
      </c>
      <c r="G5" s="19" t="str">
        <f aca="false">IF(E5&lt;$J$3,"Remedial","Tuntas")</f>
        <v>Remedial</v>
      </c>
      <c r="I5" s="20" t="s">
        <v>112</v>
      </c>
      <c r="J5" s="21" t="n">
        <v>60</v>
      </c>
      <c r="K5" s="20" t="s">
        <v>113</v>
      </c>
    </row>
    <row r="6" customFormat="false" ht="15" hidden="false" customHeight="false" outlineLevel="0" collapsed="false">
      <c r="A6" s="17" t="s">
        <v>114</v>
      </c>
      <c r="B6" s="17" t="s">
        <v>101</v>
      </c>
      <c r="C6" s="17" t="s">
        <v>115</v>
      </c>
      <c r="D6" s="18" t="n">
        <f aca="false">SUMPRODUCT(--(MID(C6,Acuan!$A$2:$A$16,1)=Acuan!$B$2:$B$16))</f>
        <v>10</v>
      </c>
      <c r="E6" s="18" t="n">
        <f aca="false">ROUND(D6*100/$J$2,0)</f>
        <v>67</v>
      </c>
      <c r="F6" s="19" t="str">
        <f aca="false">IF(E6&gt;=$J$4,"Atas",IF(E6&lt;=$J$5,"Bawah","Tengah"))</f>
        <v>Tengah</v>
      </c>
      <c r="G6" s="19" t="str">
        <f aca="false">IF(E6&lt;$J$3,"Remedial","Tuntas")</f>
        <v>Remedial</v>
      </c>
      <c r="I6" s="20" t="s">
        <v>116</v>
      </c>
      <c r="J6" s="22" t="n">
        <v>0.3</v>
      </c>
      <c r="K6" s="20" t="s">
        <v>117</v>
      </c>
    </row>
    <row r="7" customFormat="false" ht="15" hidden="false" customHeight="false" outlineLevel="0" collapsed="false">
      <c r="A7" s="17" t="s">
        <v>118</v>
      </c>
      <c r="B7" s="17" t="s">
        <v>106</v>
      </c>
      <c r="C7" s="17" t="s">
        <v>119</v>
      </c>
      <c r="D7" s="18" t="n">
        <f aca="false">SUMPRODUCT(--(MID(C7,Acuan!$A$2:$A$16,1)=Acuan!$B$2:$B$16))</f>
        <v>8</v>
      </c>
      <c r="E7" s="18" t="n">
        <f aca="false">ROUND(D7*100/$J$2,0)</f>
        <v>53</v>
      </c>
      <c r="F7" s="19" t="str">
        <f aca="false">IF(E7&gt;=$J$4,"Atas",IF(E7&lt;=$J$5,"Bawah","Tengah"))</f>
        <v>Bawah</v>
      </c>
      <c r="G7" s="19" t="str">
        <f aca="false">IF(E7&lt;$J$3,"Remedial","Tuntas")</f>
        <v>Remedial</v>
      </c>
      <c r="I7" s="20" t="s">
        <v>120</v>
      </c>
      <c r="J7" s="22" t="n">
        <v>0.7</v>
      </c>
      <c r="K7" s="20" t="s">
        <v>121</v>
      </c>
    </row>
    <row r="8" customFormat="false" ht="15" hidden="false" customHeight="false" outlineLevel="0" collapsed="false">
      <c r="A8" s="17" t="s">
        <v>122</v>
      </c>
      <c r="B8" s="17" t="s">
        <v>97</v>
      </c>
      <c r="C8" s="17" t="s">
        <v>123</v>
      </c>
      <c r="D8" s="18" t="n">
        <f aca="false">SUMPRODUCT(--(MID(C8,Acuan!$A$2:$A$16,1)=Acuan!$B$2:$B$16))</f>
        <v>12</v>
      </c>
      <c r="E8" s="18" t="n">
        <f aca="false">ROUND(D8*100/$J$2,0)</f>
        <v>80</v>
      </c>
      <c r="F8" s="19" t="str">
        <f aca="false">IF(E8&gt;=$J$4,"Atas",IF(E8&lt;=$J$5,"Bawah","Tengah"))</f>
        <v>Atas</v>
      </c>
      <c r="G8" s="19" t="str">
        <f aca="false">IF(E8&lt;$J$3,"Remedial","Tuntas")</f>
        <v>Tuntas</v>
      </c>
      <c r="I8" s="20" t="s">
        <v>124</v>
      </c>
      <c r="J8" s="22" t="n">
        <v>0.3</v>
      </c>
      <c r="K8" s="20" t="s">
        <v>125</v>
      </c>
    </row>
    <row r="9" customFormat="false" ht="15" hidden="false" customHeight="false" outlineLevel="0" collapsed="false">
      <c r="A9" s="17" t="s">
        <v>126</v>
      </c>
      <c r="B9" s="17" t="s">
        <v>101</v>
      </c>
      <c r="C9" s="17" t="s">
        <v>127</v>
      </c>
      <c r="D9" s="18" t="n">
        <f aca="false">SUMPRODUCT(--(MID(C9,Acuan!$A$2:$A$16,1)=Acuan!$B$2:$B$16))</f>
        <v>9</v>
      </c>
      <c r="E9" s="18" t="n">
        <f aca="false">ROUND(D9*100/$J$2,0)</f>
        <v>60</v>
      </c>
      <c r="F9" s="19" t="str">
        <f aca="false">IF(E9&gt;=$J$4,"Atas",IF(E9&lt;=$J$5,"Bawah","Tengah"))</f>
        <v>Bawah</v>
      </c>
      <c r="G9" s="19" t="str">
        <f aca="false">IF(E9&lt;$J$3,"Remedial","Tuntas")</f>
        <v>Remedial</v>
      </c>
      <c r="I9" s="20" t="s">
        <v>128</v>
      </c>
      <c r="J9" s="22" t="n">
        <v>0.1</v>
      </c>
      <c r="K9" s="20" t="s">
        <v>129</v>
      </c>
    </row>
    <row r="10" customFormat="false" ht="15" hidden="false" customHeight="false" outlineLevel="0" collapsed="false">
      <c r="A10" s="17" t="s">
        <v>130</v>
      </c>
      <c r="B10" s="17" t="s">
        <v>106</v>
      </c>
      <c r="C10" s="17" t="s">
        <v>131</v>
      </c>
      <c r="D10" s="18" t="n">
        <f aca="false">SUMPRODUCT(--(MID(C10,Acuan!$A$2:$A$16,1)=Acuan!$B$2:$B$16))</f>
        <v>7</v>
      </c>
      <c r="E10" s="18" t="n">
        <f aca="false">ROUND(D10*100/$J$2,0)</f>
        <v>47</v>
      </c>
      <c r="F10" s="19" t="str">
        <f aca="false">IF(E10&gt;=$J$4,"Atas",IF(E10&lt;=$J$5,"Bawah","Tengah"))</f>
        <v>Bawah</v>
      </c>
      <c r="G10" s="19" t="str">
        <f aca="false">IF(E10&lt;$J$3,"Remedial","Tuntas")</f>
        <v>Remedial</v>
      </c>
    </row>
    <row r="11" customFormat="false" ht="15" hidden="false" customHeight="false" outlineLevel="0" collapsed="false">
      <c r="A11" s="17" t="s">
        <v>132</v>
      </c>
      <c r="B11" s="17" t="s">
        <v>97</v>
      </c>
      <c r="C11" s="17" t="s">
        <v>133</v>
      </c>
      <c r="D11" s="18" t="n">
        <f aca="false">SUMPRODUCT(--(MID(C11,Acuan!$A$2:$A$16,1)=Acuan!$B$2:$B$16))</f>
        <v>9</v>
      </c>
      <c r="E11" s="18" t="n">
        <f aca="false">ROUND(D11*100/$J$2,0)</f>
        <v>60</v>
      </c>
      <c r="F11" s="19" t="str">
        <f aca="false">IF(E11&gt;=$J$4,"Atas",IF(E11&lt;=$J$5,"Bawah","Tengah"))</f>
        <v>Bawah</v>
      </c>
      <c r="G11" s="19" t="str">
        <f aca="false">IF(E11&lt;$J$3,"Remedial","Tuntas")</f>
        <v>Remedial</v>
      </c>
    </row>
    <row r="12" customFormat="false" ht="15" hidden="false" customHeight="false" outlineLevel="0" collapsed="false">
      <c r="A12" s="17" t="s">
        <v>134</v>
      </c>
      <c r="B12" s="17" t="s">
        <v>101</v>
      </c>
      <c r="C12" s="17" t="s">
        <v>135</v>
      </c>
      <c r="D12" s="18" t="n">
        <f aca="false">SUMPRODUCT(--(MID(C12,Acuan!$A$2:$A$16,1)=Acuan!$B$2:$B$16))</f>
        <v>13</v>
      </c>
      <c r="E12" s="18" t="n">
        <f aca="false">ROUND(D12*100/$J$2,0)</f>
        <v>87</v>
      </c>
      <c r="F12" s="19" t="str">
        <f aca="false">IF(E12&gt;=$J$4,"Atas",IF(E12&lt;=$J$5,"Bawah","Tengah"))</f>
        <v>Atas</v>
      </c>
      <c r="G12" s="19" t="str">
        <f aca="false">IF(E12&lt;$J$3,"Remedial","Tuntas")</f>
        <v>Tuntas</v>
      </c>
    </row>
    <row r="13" customFormat="false" ht="15" hidden="false" customHeight="false" outlineLevel="0" collapsed="false">
      <c r="A13" s="17" t="s">
        <v>136</v>
      </c>
      <c r="B13" s="17" t="s">
        <v>106</v>
      </c>
      <c r="C13" s="17" t="s">
        <v>137</v>
      </c>
      <c r="D13" s="18" t="n">
        <f aca="false">SUMPRODUCT(--(MID(C13,Acuan!$A$2:$A$16,1)=Acuan!$B$2:$B$16))</f>
        <v>11</v>
      </c>
      <c r="E13" s="18" t="n">
        <f aca="false">ROUND(D13*100/$J$2,0)</f>
        <v>73</v>
      </c>
      <c r="F13" s="19" t="str">
        <f aca="false">IF(E13&gt;=$J$4,"Atas",IF(E13&lt;=$J$5,"Bawah","Tengah"))</f>
        <v>Tengah</v>
      </c>
      <c r="G13" s="19" t="str">
        <f aca="false">IF(E13&lt;$J$3,"Remedial","Tuntas")</f>
        <v>Tuntas</v>
      </c>
    </row>
    <row r="14" customFormat="false" ht="15" hidden="false" customHeight="false" outlineLevel="0" collapsed="false">
      <c r="A14" s="17" t="s">
        <v>138</v>
      </c>
      <c r="B14" s="17" t="s">
        <v>97</v>
      </c>
      <c r="C14" s="17" t="s">
        <v>139</v>
      </c>
      <c r="D14" s="18" t="n">
        <f aca="false">SUMPRODUCT(--(MID(C14,Acuan!$A$2:$A$16,1)=Acuan!$B$2:$B$16))</f>
        <v>8</v>
      </c>
      <c r="E14" s="18" t="n">
        <f aca="false">ROUND(D14*100/$J$2,0)</f>
        <v>53</v>
      </c>
      <c r="F14" s="19" t="str">
        <f aca="false">IF(E14&gt;=$J$4,"Atas",IF(E14&lt;=$J$5,"Bawah","Tengah"))</f>
        <v>Bawah</v>
      </c>
      <c r="G14" s="19" t="str">
        <f aca="false">IF(E14&lt;$J$3,"Remedial","Tuntas")</f>
        <v>Remedial</v>
      </c>
    </row>
    <row r="15" customFormat="false" ht="15" hidden="false" customHeight="false" outlineLevel="0" collapsed="false">
      <c r="A15" s="17" t="s">
        <v>140</v>
      </c>
      <c r="B15" s="17" t="s">
        <v>101</v>
      </c>
      <c r="C15" s="17" t="s">
        <v>141</v>
      </c>
      <c r="D15" s="18" t="n">
        <f aca="false">SUMPRODUCT(--(MID(C15,Acuan!$A$2:$A$16,1)=Acuan!$B$2:$B$16))</f>
        <v>13</v>
      </c>
      <c r="E15" s="18" t="n">
        <f aca="false">ROUND(D15*100/$J$2,0)</f>
        <v>87</v>
      </c>
      <c r="F15" s="19" t="str">
        <f aca="false">IF(E15&gt;=$J$4,"Atas",IF(E15&lt;=$J$5,"Bawah","Tengah"))</f>
        <v>Atas</v>
      </c>
      <c r="G15" s="19" t="str">
        <f aca="false">IF(E15&lt;$J$3,"Remedial","Tuntas")</f>
        <v>Tuntas</v>
      </c>
    </row>
    <row r="16" customFormat="false" ht="15" hidden="false" customHeight="false" outlineLevel="0" collapsed="false">
      <c r="A16" s="17" t="s">
        <v>142</v>
      </c>
      <c r="B16" s="17" t="s">
        <v>106</v>
      </c>
      <c r="C16" s="17" t="s">
        <v>143</v>
      </c>
      <c r="D16" s="18" t="n">
        <f aca="false">SUMPRODUCT(--(MID(C16,Acuan!$A$2:$A$16,1)=Acuan!$B$2:$B$16))</f>
        <v>12</v>
      </c>
      <c r="E16" s="18" t="n">
        <f aca="false">ROUND(D16*100/$J$2,0)</f>
        <v>80</v>
      </c>
      <c r="F16" s="19" t="str">
        <f aca="false">IF(E16&gt;=$J$4,"Atas",IF(E16&lt;=$J$5,"Bawah","Tengah"))</f>
        <v>Atas</v>
      </c>
      <c r="G16" s="19" t="str">
        <f aca="false">IF(E16&lt;$J$3,"Remedial","Tuntas")</f>
        <v>Tuntas</v>
      </c>
    </row>
    <row r="17" customFormat="false" ht="15" hidden="false" customHeight="false" outlineLevel="0" collapsed="false">
      <c r="A17" s="17" t="s">
        <v>144</v>
      </c>
      <c r="B17" s="17" t="s">
        <v>97</v>
      </c>
      <c r="C17" s="17" t="s">
        <v>145</v>
      </c>
      <c r="D17" s="18" t="n">
        <f aca="false">SUMPRODUCT(--(MID(C17,Acuan!$A$2:$A$16,1)=Acuan!$B$2:$B$16))</f>
        <v>9</v>
      </c>
      <c r="E17" s="18" t="n">
        <f aca="false">ROUND(D17*100/$J$2,0)</f>
        <v>60</v>
      </c>
      <c r="F17" s="19" t="str">
        <f aca="false">IF(E17&gt;=$J$4,"Atas",IF(E17&lt;=$J$5,"Bawah","Tengah"))</f>
        <v>Bawah</v>
      </c>
      <c r="G17" s="19" t="str">
        <f aca="false">IF(E17&lt;$J$3,"Remedial","Tuntas")</f>
        <v>Remedial</v>
      </c>
    </row>
    <row r="18" customFormat="false" ht="15" hidden="false" customHeight="false" outlineLevel="0" collapsed="false">
      <c r="A18" s="17" t="s">
        <v>146</v>
      </c>
      <c r="B18" s="17" t="s">
        <v>101</v>
      </c>
      <c r="C18" s="17" t="s">
        <v>147</v>
      </c>
      <c r="D18" s="18" t="n">
        <f aca="false">SUMPRODUCT(--(MID(C18,Acuan!$A$2:$A$16,1)=Acuan!$B$2:$B$16))</f>
        <v>11</v>
      </c>
      <c r="E18" s="18" t="n">
        <f aca="false">ROUND(D18*100/$J$2,0)</f>
        <v>73</v>
      </c>
      <c r="F18" s="19" t="str">
        <f aca="false">IF(E18&gt;=$J$4,"Atas",IF(E18&lt;=$J$5,"Bawah","Tengah"))</f>
        <v>Tengah</v>
      </c>
      <c r="G18" s="19" t="str">
        <f aca="false">IF(E18&lt;$J$3,"Remedial","Tuntas")</f>
        <v>Tuntas</v>
      </c>
    </row>
    <row r="19" customFormat="false" ht="15" hidden="false" customHeight="false" outlineLevel="0" collapsed="false">
      <c r="A19" s="17" t="s">
        <v>148</v>
      </c>
      <c r="B19" s="17" t="s">
        <v>106</v>
      </c>
      <c r="C19" s="17" t="s">
        <v>149</v>
      </c>
      <c r="D19" s="18" t="n">
        <f aca="false">SUMPRODUCT(--(MID(C19,Acuan!$A$2:$A$16,1)=Acuan!$B$2:$B$16))</f>
        <v>9</v>
      </c>
      <c r="E19" s="18" t="n">
        <f aca="false">ROUND(D19*100/$J$2,0)</f>
        <v>60</v>
      </c>
      <c r="F19" s="19" t="str">
        <f aca="false">IF(E19&gt;=$J$4,"Atas",IF(E19&lt;=$J$5,"Bawah","Tengah"))</f>
        <v>Bawah</v>
      </c>
      <c r="G19" s="19" t="str">
        <f aca="false">IF(E19&lt;$J$3,"Remedial","Tuntas")</f>
        <v>Remedial</v>
      </c>
    </row>
    <row r="20" customFormat="false" ht="15" hidden="false" customHeight="false" outlineLevel="0" collapsed="false">
      <c r="A20" s="17" t="s">
        <v>150</v>
      </c>
      <c r="B20" s="17" t="s">
        <v>97</v>
      </c>
      <c r="C20" s="17" t="s">
        <v>151</v>
      </c>
      <c r="D20" s="18" t="n">
        <f aca="false">SUMPRODUCT(--(MID(C20,Acuan!$A$2:$A$16,1)=Acuan!$B$2:$B$16))</f>
        <v>7</v>
      </c>
      <c r="E20" s="18" t="n">
        <f aca="false">ROUND(D20*100/$J$2,0)</f>
        <v>47</v>
      </c>
      <c r="F20" s="19" t="str">
        <f aca="false">IF(E20&gt;=$J$4,"Atas",IF(E20&lt;=$J$5,"Bawah","Tengah"))</f>
        <v>Bawah</v>
      </c>
      <c r="G20" s="19" t="str">
        <f aca="false">IF(E20&lt;$J$3,"Remedial","Tuntas")</f>
        <v>Remedial</v>
      </c>
    </row>
    <row r="21" customFormat="false" ht="15" hidden="false" customHeight="false" outlineLevel="0" collapsed="false">
      <c r="A21" s="17" t="s">
        <v>152</v>
      </c>
      <c r="B21" s="17" t="s">
        <v>101</v>
      </c>
      <c r="C21" s="17" t="s">
        <v>153</v>
      </c>
      <c r="D21" s="18" t="n">
        <f aca="false">SUMPRODUCT(--(MID(C21,Acuan!$A$2:$A$16,1)=Acuan!$B$2:$B$16))</f>
        <v>11</v>
      </c>
      <c r="E21" s="18" t="n">
        <f aca="false">ROUND(D21*100/$J$2,0)</f>
        <v>73</v>
      </c>
      <c r="F21" s="19" t="str">
        <f aca="false">IF(E21&gt;=$J$4,"Atas",IF(E21&lt;=$J$5,"Bawah","Tengah"))</f>
        <v>Tengah</v>
      </c>
      <c r="G21" s="19" t="str">
        <f aca="false">IF(E21&lt;$J$3,"Remedial","Tuntas")</f>
        <v>Tuntas</v>
      </c>
    </row>
    <row r="22" customFormat="false" ht="15" hidden="false" customHeight="false" outlineLevel="0" collapsed="false">
      <c r="A22" s="17" t="s">
        <v>154</v>
      </c>
      <c r="B22" s="17" t="s">
        <v>106</v>
      </c>
      <c r="C22" s="17" t="s">
        <v>155</v>
      </c>
      <c r="D22" s="18" t="n">
        <f aca="false">SUMPRODUCT(--(MID(C22,Acuan!$A$2:$A$16,1)=Acuan!$B$2:$B$16))</f>
        <v>10</v>
      </c>
      <c r="E22" s="18" t="n">
        <f aca="false">ROUND(D22*100/$J$2,0)</f>
        <v>67</v>
      </c>
      <c r="F22" s="19" t="str">
        <f aca="false">IF(E22&gt;=$J$4,"Atas",IF(E22&lt;=$J$5,"Bawah","Tengah"))</f>
        <v>Tengah</v>
      </c>
      <c r="G22" s="19" t="str">
        <f aca="false">IF(E22&lt;$J$3,"Remedial","Tuntas")</f>
        <v>Remedial</v>
      </c>
    </row>
    <row r="23" customFormat="false" ht="15" hidden="false" customHeight="false" outlineLevel="0" collapsed="false">
      <c r="A23" s="17" t="s">
        <v>156</v>
      </c>
      <c r="B23" s="17" t="s">
        <v>97</v>
      </c>
      <c r="C23" s="17" t="s">
        <v>157</v>
      </c>
      <c r="D23" s="18" t="n">
        <f aca="false">SUMPRODUCT(--(MID(C23,Acuan!$A$2:$A$16,1)=Acuan!$B$2:$B$16))</f>
        <v>11</v>
      </c>
      <c r="E23" s="18" t="n">
        <f aca="false">ROUND(D23*100/$J$2,0)</f>
        <v>73</v>
      </c>
      <c r="F23" s="19" t="str">
        <f aca="false">IF(E23&gt;=$J$4,"Atas",IF(E23&lt;=$J$5,"Bawah","Tengah"))</f>
        <v>Tengah</v>
      </c>
      <c r="G23" s="19" t="str">
        <f aca="false">IF(E23&lt;$J$3,"Remedial","Tuntas")</f>
        <v>Tuntas</v>
      </c>
    </row>
    <row r="24" customFormat="false" ht="15" hidden="false" customHeight="false" outlineLevel="0" collapsed="false">
      <c r="A24" s="17" t="s">
        <v>158</v>
      </c>
      <c r="B24" s="17" t="s">
        <v>101</v>
      </c>
      <c r="C24" s="17" t="s">
        <v>159</v>
      </c>
      <c r="D24" s="18" t="n">
        <f aca="false">SUMPRODUCT(--(MID(C24,Acuan!$A$2:$A$16,1)=Acuan!$B$2:$B$16))</f>
        <v>11</v>
      </c>
      <c r="E24" s="18" t="n">
        <f aca="false">ROUND(D24*100/$J$2,0)</f>
        <v>73</v>
      </c>
      <c r="F24" s="19" t="str">
        <f aca="false">IF(E24&gt;=$J$4,"Atas",IF(E24&lt;=$J$5,"Bawah","Tengah"))</f>
        <v>Tengah</v>
      </c>
      <c r="G24" s="19" t="str">
        <f aca="false">IF(E24&lt;$J$3,"Remedial","Tuntas")</f>
        <v>Tuntas</v>
      </c>
    </row>
    <row r="25" customFormat="false" ht="15" hidden="false" customHeight="false" outlineLevel="0" collapsed="false">
      <c r="A25" s="17" t="s">
        <v>160</v>
      </c>
      <c r="B25" s="17" t="s">
        <v>106</v>
      </c>
      <c r="C25" s="17" t="s">
        <v>161</v>
      </c>
      <c r="D25" s="18" t="n">
        <f aca="false">SUMPRODUCT(--(MID(C25,Acuan!$A$2:$A$16,1)=Acuan!$B$2:$B$16))</f>
        <v>12</v>
      </c>
      <c r="E25" s="18" t="n">
        <f aca="false">ROUND(D25*100/$J$2,0)</f>
        <v>80</v>
      </c>
      <c r="F25" s="19" t="str">
        <f aca="false">IF(E25&gt;=$J$4,"Atas",IF(E25&lt;=$J$5,"Bawah","Tengah"))</f>
        <v>Atas</v>
      </c>
      <c r="G25" s="19" t="str">
        <f aca="false">IF(E25&lt;$J$3,"Remedial","Tuntas")</f>
        <v>Tuntas</v>
      </c>
    </row>
    <row r="26" customFormat="false" ht="15" hidden="false" customHeight="false" outlineLevel="0" collapsed="false">
      <c r="A26" s="17" t="s">
        <v>162</v>
      </c>
      <c r="B26" s="17" t="s">
        <v>97</v>
      </c>
      <c r="C26" s="17" t="s">
        <v>163</v>
      </c>
      <c r="D26" s="18" t="n">
        <f aca="false">SUMPRODUCT(--(MID(C26,Acuan!$A$2:$A$16,1)=Acuan!$B$2:$B$16))</f>
        <v>9</v>
      </c>
      <c r="E26" s="18" t="n">
        <f aca="false">ROUND(D26*100/$J$2,0)</f>
        <v>60</v>
      </c>
      <c r="F26" s="19" t="str">
        <f aca="false">IF(E26&gt;=$J$4,"Atas",IF(E26&lt;=$J$5,"Bawah","Tengah"))</f>
        <v>Bawah</v>
      </c>
      <c r="G26" s="19" t="str">
        <f aca="false">IF(E26&lt;$J$3,"Remedial","Tuntas")</f>
        <v>Remedial</v>
      </c>
    </row>
    <row r="27" customFormat="false" ht="15" hidden="false" customHeight="false" outlineLevel="0" collapsed="false">
      <c r="A27" s="17" t="s">
        <v>164</v>
      </c>
      <c r="B27" s="17" t="s">
        <v>101</v>
      </c>
      <c r="C27" s="17" t="s">
        <v>165</v>
      </c>
      <c r="D27" s="18" t="n">
        <f aca="false">SUMPRODUCT(--(MID(C27,Acuan!$A$2:$A$16,1)=Acuan!$B$2:$B$16))</f>
        <v>12</v>
      </c>
      <c r="E27" s="18" t="n">
        <f aca="false">ROUND(D27*100/$J$2,0)</f>
        <v>80</v>
      </c>
      <c r="F27" s="19" t="str">
        <f aca="false">IF(E27&gt;=$J$4,"Atas",IF(E27&lt;=$J$5,"Bawah","Tengah"))</f>
        <v>Atas</v>
      </c>
      <c r="G27" s="19" t="str">
        <f aca="false">IF(E27&lt;$J$3,"Remedial","Tuntas")</f>
        <v>Tuntas</v>
      </c>
    </row>
    <row r="28" customFormat="false" ht="15" hidden="false" customHeight="false" outlineLevel="0" collapsed="false">
      <c r="A28" s="17" t="s">
        <v>166</v>
      </c>
      <c r="B28" s="17" t="s">
        <v>106</v>
      </c>
      <c r="C28" s="17" t="s">
        <v>167</v>
      </c>
      <c r="D28" s="18" t="n">
        <f aca="false">SUMPRODUCT(--(MID(C28,Acuan!$A$2:$A$16,1)=Acuan!$B$2:$B$16))</f>
        <v>9</v>
      </c>
      <c r="E28" s="18" t="n">
        <f aca="false">ROUND(D28*100/$J$2,0)</f>
        <v>60</v>
      </c>
      <c r="F28" s="19" t="str">
        <f aca="false">IF(E28&gt;=$J$4,"Atas",IF(E28&lt;=$J$5,"Bawah","Tengah"))</f>
        <v>Bawah</v>
      </c>
      <c r="G28" s="19" t="str">
        <f aca="false">IF(E28&lt;$J$3,"Remedial","Tuntas")</f>
        <v>Remedial</v>
      </c>
    </row>
    <row r="29" customFormat="false" ht="15" hidden="false" customHeight="false" outlineLevel="0" collapsed="false">
      <c r="A29" s="17" t="s">
        <v>168</v>
      </c>
      <c r="B29" s="17" t="s">
        <v>97</v>
      </c>
      <c r="C29" s="17" t="s">
        <v>169</v>
      </c>
      <c r="D29" s="18" t="n">
        <f aca="false">SUMPRODUCT(--(MID(C29,Acuan!$A$2:$A$16,1)=Acuan!$B$2:$B$16))</f>
        <v>12</v>
      </c>
      <c r="E29" s="18" t="n">
        <f aca="false">ROUND(D29*100/$J$2,0)</f>
        <v>80</v>
      </c>
      <c r="F29" s="19" t="str">
        <f aca="false">IF(E29&gt;=$J$4,"Atas",IF(E29&lt;=$J$5,"Bawah","Tengah"))</f>
        <v>Atas</v>
      </c>
      <c r="G29" s="19" t="str">
        <f aca="false">IF(E29&lt;$J$3,"Remedial","Tuntas")</f>
        <v>Tuntas</v>
      </c>
    </row>
    <row r="30" customFormat="false" ht="15" hidden="false" customHeight="false" outlineLevel="0" collapsed="false">
      <c r="A30" s="17" t="s">
        <v>170</v>
      </c>
      <c r="B30" s="17" t="s">
        <v>101</v>
      </c>
      <c r="C30" s="17" t="s">
        <v>171</v>
      </c>
      <c r="D30" s="18" t="n">
        <f aca="false">SUMPRODUCT(--(MID(C30,Acuan!$A$2:$A$16,1)=Acuan!$B$2:$B$16))</f>
        <v>11</v>
      </c>
      <c r="E30" s="18" t="n">
        <f aca="false">ROUND(D30*100/$J$2,0)</f>
        <v>73</v>
      </c>
      <c r="F30" s="19" t="str">
        <f aca="false">IF(E30&gt;=$J$4,"Atas",IF(E30&lt;=$J$5,"Bawah","Tengah"))</f>
        <v>Tengah</v>
      </c>
      <c r="G30" s="19" t="str">
        <f aca="false">IF(E30&lt;$J$3,"Remedial","Tuntas")</f>
        <v>Tuntas</v>
      </c>
    </row>
    <row r="31" customFormat="false" ht="15" hidden="false" customHeight="false" outlineLevel="0" collapsed="false">
      <c r="A31" s="17" t="s">
        <v>172</v>
      </c>
      <c r="B31" s="17" t="s">
        <v>106</v>
      </c>
      <c r="C31" s="17" t="s">
        <v>173</v>
      </c>
      <c r="D31" s="18" t="n">
        <f aca="false">SUMPRODUCT(--(MID(C31,Acuan!$A$2:$A$16,1)=Acuan!$B$2:$B$16))</f>
        <v>4</v>
      </c>
      <c r="E31" s="18" t="n">
        <f aca="false">ROUND(D31*100/$J$2,0)</f>
        <v>27</v>
      </c>
      <c r="F31" s="19" t="str">
        <f aca="false">IF(E31&gt;=$J$4,"Atas",IF(E31&lt;=$J$5,"Bawah","Tengah"))</f>
        <v>Bawah</v>
      </c>
      <c r="G31" s="19" t="str">
        <f aca="false">IF(E31&lt;$J$3,"Remedial","Tuntas")</f>
        <v>Remedial</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3"/>
    <col collapsed="false" customWidth="true" hidden="false" outlineLevel="0" max="4" min="4" style="0" width="17"/>
    <col collapsed="false" customWidth="true" hidden="false" outlineLevel="0" max="5" min="5" style="0" width="14"/>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12"/>
  </cols>
  <sheetData>
    <row r="1" customFormat="false" ht="33.75" hidden="false" customHeight="true" outlineLevel="0" collapsed="false">
      <c r="A1" s="11" t="s">
        <v>174</v>
      </c>
      <c r="B1" s="11" t="s">
        <v>175</v>
      </c>
      <c r="C1" s="15" t="s">
        <v>176</v>
      </c>
      <c r="D1" s="15" t="s">
        <v>177</v>
      </c>
      <c r="E1" s="15" t="s">
        <v>178</v>
      </c>
      <c r="F1" s="15" t="s">
        <v>179</v>
      </c>
      <c r="G1" s="15" t="s">
        <v>180</v>
      </c>
      <c r="H1" s="15" t="s">
        <v>181</v>
      </c>
      <c r="I1" s="15" t="s">
        <v>182</v>
      </c>
    </row>
    <row r="2" customFormat="false" ht="15" hidden="false" customHeight="false" outlineLevel="0" collapsed="false">
      <c r="A2" s="23" t="n">
        <v>1</v>
      </c>
      <c r="B2" s="17" t="s">
        <v>183</v>
      </c>
      <c r="C2" s="18" t="n">
        <f aca="false">SUMPRODUCT(--(MID(Data!$C$2:$C$31,A2,1)=B2))</f>
        <v>16</v>
      </c>
      <c r="D2" s="24" t="n">
        <f aca="false">C2/COUNTA(Data!$A$2:$A$31)</f>
        <v>0.533333333333333</v>
      </c>
      <c r="E2" s="19" t="str">
        <f aca="false">IF(D2&lt;Data!$J$6,"Sukar",IF(D2&gt;Data!$J$7,"Mudah","Sedang"))</f>
        <v>Sedang</v>
      </c>
      <c r="F2" s="18" t="n">
        <f aca="false">SUMPRODUCT((MID(Data!$C$2:$C$31,A2,1)=B2)*(Data!$F$2:$F$31="Atas"))</f>
        <v>5</v>
      </c>
      <c r="G2" s="18" t="n">
        <f aca="false">SUMPRODUCT((MID(Data!$C$2:$C$31,A2,1)=B2)*(Data!$F$2:$F$31="Bawah"))</f>
        <v>8</v>
      </c>
      <c r="H2" s="24" t="n">
        <f aca="false">F2/COUNTIF(Data!$F$2:$F$31,"Atas")-G2/COUNTIF(Data!$F$2:$F$31,"Bawah")</f>
        <v>0.0535714285714286</v>
      </c>
      <c r="I2" s="19" t="str">
        <f aca="false">IF(H2&gt;=Data!$J$8,"Dipakai",IF(H2&gt;=Data!$J$9,"Revisi","Ganti"))</f>
        <v>Ganti</v>
      </c>
    </row>
    <row r="3" customFormat="false" ht="15" hidden="false" customHeight="false" outlineLevel="0" collapsed="false">
      <c r="A3" s="23" t="n">
        <v>2</v>
      </c>
      <c r="B3" s="17" t="s">
        <v>184</v>
      </c>
      <c r="C3" s="18" t="n">
        <f aca="false">SUMPRODUCT(--(MID(Data!$C$2:$C$31,A3,1)=B3))</f>
        <v>25</v>
      </c>
      <c r="D3" s="24" t="n">
        <f aca="false">C3/COUNTA(Data!$A$2:$A$31)</f>
        <v>0.833333333333333</v>
      </c>
      <c r="E3" s="19" t="str">
        <f aca="false">IF(D3&lt;Data!$J$6,"Sukar",IF(D3&gt;Data!$J$7,"Mudah","Sedang"))</f>
        <v>Mudah</v>
      </c>
      <c r="F3" s="18" t="n">
        <f aca="false">SUMPRODUCT((MID(Data!$C$2:$C$31,A3,1)=B3)*(Data!$F$2:$F$31="Atas"))</f>
        <v>7</v>
      </c>
      <c r="G3" s="18" t="n">
        <f aca="false">SUMPRODUCT((MID(Data!$C$2:$C$31,A3,1)=B3)*(Data!$F$2:$F$31="Bawah"))</f>
        <v>11</v>
      </c>
      <c r="H3" s="24" t="n">
        <f aca="false">F3/COUNTIF(Data!$F$2:$F$31,"Atas")-G3/COUNTIF(Data!$F$2:$F$31,"Bawah")</f>
        <v>0.0892857142857143</v>
      </c>
      <c r="I3" s="19" t="str">
        <f aca="false">IF(H3&gt;=Data!$J$8,"Dipakai",IF(H3&gt;=Data!$J$9,"Revisi","Ganti"))</f>
        <v>Ganti</v>
      </c>
    </row>
    <row r="4" customFormat="false" ht="15" hidden="false" customHeight="false" outlineLevel="0" collapsed="false">
      <c r="A4" s="23" t="n">
        <v>3</v>
      </c>
      <c r="B4" s="17" t="s">
        <v>183</v>
      </c>
      <c r="C4" s="18" t="n">
        <f aca="false">SUMPRODUCT(--(MID(Data!$C$2:$C$31,A4,1)=B4))</f>
        <v>19</v>
      </c>
      <c r="D4" s="24" t="n">
        <f aca="false">C4/COUNTA(Data!$A$2:$A$31)</f>
        <v>0.633333333333333</v>
      </c>
      <c r="E4" s="19" t="str">
        <f aca="false">IF(D4&lt;Data!$J$6,"Sukar",IF(D4&gt;Data!$J$7,"Mudah","Sedang"))</f>
        <v>Sedang</v>
      </c>
      <c r="F4" s="18" t="n">
        <f aca="false">SUMPRODUCT((MID(Data!$C$2:$C$31,A4,1)=B4)*(Data!$F$2:$F$31="Atas"))</f>
        <v>7</v>
      </c>
      <c r="G4" s="18" t="n">
        <f aca="false">SUMPRODUCT((MID(Data!$C$2:$C$31,A4,1)=B4)*(Data!$F$2:$F$31="Bawah"))</f>
        <v>6</v>
      </c>
      <c r="H4" s="24" t="n">
        <f aca="false">F4/COUNTIF(Data!$F$2:$F$31,"Atas")-G4/COUNTIF(Data!$F$2:$F$31,"Bawah")</f>
        <v>0.446428571428571</v>
      </c>
      <c r="I4" s="19" t="str">
        <f aca="false">IF(H4&gt;=Data!$J$8,"Dipakai",IF(H4&gt;=Data!$J$9,"Revisi","Ganti"))</f>
        <v>Dipakai</v>
      </c>
    </row>
    <row r="5" customFormat="false" ht="15" hidden="false" customHeight="false" outlineLevel="0" collapsed="false">
      <c r="A5" s="23" t="n">
        <v>4</v>
      </c>
      <c r="B5" s="17" t="s">
        <v>184</v>
      </c>
      <c r="C5" s="18" t="n">
        <f aca="false">SUMPRODUCT(--(MID(Data!$C$2:$C$31,A5,1)=B5))</f>
        <v>13</v>
      </c>
      <c r="D5" s="24" t="n">
        <f aca="false">C5/COUNTA(Data!$A$2:$A$31)</f>
        <v>0.433333333333333</v>
      </c>
      <c r="E5" s="19" t="str">
        <f aca="false">IF(D5&lt;Data!$J$6,"Sukar",IF(D5&gt;Data!$J$7,"Mudah","Sedang"))</f>
        <v>Sedang</v>
      </c>
      <c r="F5" s="18" t="n">
        <f aca="false">SUMPRODUCT((MID(Data!$C$2:$C$31,A5,1)=B5)*(Data!$F$2:$F$31="Atas"))</f>
        <v>5</v>
      </c>
      <c r="G5" s="18" t="n">
        <f aca="false">SUMPRODUCT((MID(Data!$C$2:$C$31,A5,1)=B5)*(Data!$F$2:$F$31="Bawah"))</f>
        <v>2</v>
      </c>
      <c r="H5" s="24" t="n">
        <f aca="false">F5/COUNTIF(Data!$F$2:$F$31,"Atas")-G5/COUNTIF(Data!$F$2:$F$31,"Bawah")</f>
        <v>0.482142857142857</v>
      </c>
      <c r="I5" s="19" t="str">
        <f aca="false">IF(H5&gt;=Data!$J$8,"Dipakai",IF(H5&gt;=Data!$J$9,"Revisi","Ganti"))</f>
        <v>Dipakai</v>
      </c>
    </row>
    <row r="6" customFormat="false" ht="15" hidden="false" customHeight="false" outlineLevel="0" collapsed="false">
      <c r="A6" s="23" t="n">
        <v>5</v>
      </c>
      <c r="B6" s="17" t="s">
        <v>185</v>
      </c>
      <c r="C6" s="18" t="n">
        <f aca="false">SUMPRODUCT(--(MID(Data!$C$2:$C$31,A6,1)=B6))</f>
        <v>20</v>
      </c>
      <c r="D6" s="24" t="n">
        <f aca="false">C6/COUNTA(Data!$A$2:$A$31)</f>
        <v>0.666666666666667</v>
      </c>
      <c r="E6" s="19" t="str">
        <f aca="false">IF(D6&lt;Data!$J$6,"Sukar",IF(D6&gt;Data!$J$7,"Mudah","Sedang"))</f>
        <v>Sedang</v>
      </c>
      <c r="F6" s="18" t="n">
        <f aca="false">SUMPRODUCT((MID(Data!$C$2:$C$31,A6,1)=B6)*(Data!$F$2:$F$31="Atas"))</f>
        <v>6</v>
      </c>
      <c r="G6" s="18" t="n">
        <f aca="false">SUMPRODUCT((MID(Data!$C$2:$C$31,A6,1)=B6)*(Data!$F$2:$F$31="Bawah"))</f>
        <v>8</v>
      </c>
      <c r="H6" s="24" t="n">
        <f aca="false">F6/COUNTIF(Data!$F$2:$F$31,"Atas")-G6/COUNTIF(Data!$F$2:$F$31,"Bawah")</f>
        <v>0.178571428571429</v>
      </c>
      <c r="I6" s="19" t="str">
        <f aca="false">IF(H6&gt;=Data!$J$8,"Dipakai",IF(H6&gt;=Data!$J$9,"Revisi","Ganti"))</f>
        <v>Revisi</v>
      </c>
    </row>
    <row r="7" customFormat="false" ht="15" hidden="false" customHeight="false" outlineLevel="0" collapsed="false">
      <c r="A7" s="23" t="n">
        <v>6</v>
      </c>
      <c r="B7" s="17" t="s">
        <v>184</v>
      </c>
      <c r="C7" s="18" t="n">
        <f aca="false">SUMPRODUCT(--(MID(Data!$C$2:$C$31,A7,1)=B7))</f>
        <v>23</v>
      </c>
      <c r="D7" s="24" t="n">
        <f aca="false">C7/COUNTA(Data!$A$2:$A$31)</f>
        <v>0.766666666666667</v>
      </c>
      <c r="E7" s="19" t="str">
        <f aca="false">IF(D7&lt;Data!$J$6,"Sukar",IF(D7&gt;Data!$J$7,"Mudah","Sedang"))</f>
        <v>Mudah</v>
      </c>
      <c r="F7" s="18" t="n">
        <f aca="false">SUMPRODUCT((MID(Data!$C$2:$C$31,A7,1)=B7)*(Data!$F$2:$F$31="Atas"))</f>
        <v>7</v>
      </c>
      <c r="G7" s="18" t="n">
        <f aca="false">SUMPRODUCT((MID(Data!$C$2:$C$31,A7,1)=B7)*(Data!$F$2:$F$31="Bawah"))</f>
        <v>10</v>
      </c>
      <c r="H7" s="24" t="n">
        <f aca="false">F7/COUNTIF(Data!$F$2:$F$31,"Atas")-G7/COUNTIF(Data!$F$2:$F$31,"Bawah")</f>
        <v>0.160714285714286</v>
      </c>
      <c r="I7" s="19" t="str">
        <f aca="false">IF(H7&gt;=Data!$J$8,"Dipakai",IF(H7&gt;=Data!$J$9,"Revisi","Ganti"))</f>
        <v>Revisi</v>
      </c>
    </row>
    <row r="8" customFormat="false" ht="15" hidden="false" customHeight="false" outlineLevel="0" collapsed="false">
      <c r="A8" s="23" t="n">
        <v>7</v>
      </c>
      <c r="B8" s="17" t="s">
        <v>184</v>
      </c>
      <c r="C8" s="18" t="n">
        <f aca="false">SUMPRODUCT(--(MID(Data!$C$2:$C$31,A8,1)=B8))</f>
        <v>27</v>
      </c>
      <c r="D8" s="24" t="n">
        <f aca="false">C8/COUNTA(Data!$A$2:$A$31)</f>
        <v>0.9</v>
      </c>
      <c r="E8" s="19" t="str">
        <f aca="false">IF(D8&lt;Data!$J$6,"Sukar",IF(D8&gt;Data!$J$7,"Mudah","Sedang"))</f>
        <v>Mudah</v>
      </c>
      <c r="F8" s="18" t="n">
        <f aca="false">SUMPRODUCT((MID(Data!$C$2:$C$31,A8,1)=B8)*(Data!$F$2:$F$31="Atas"))</f>
        <v>8</v>
      </c>
      <c r="G8" s="18" t="n">
        <f aca="false">SUMPRODUCT((MID(Data!$C$2:$C$31,A8,1)=B8)*(Data!$F$2:$F$31="Bawah"))</f>
        <v>11</v>
      </c>
      <c r="H8" s="24" t="n">
        <f aca="false">F8/COUNTIF(Data!$F$2:$F$31,"Atas")-G8/COUNTIF(Data!$F$2:$F$31,"Bawah")</f>
        <v>0.214285714285714</v>
      </c>
      <c r="I8" s="19" t="str">
        <f aca="false">IF(H8&gt;=Data!$J$8,"Dipakai",IF(H8&gt;=Data!$J$9,"Revisi","Ganti"))</f>
        <v>Revisi</v>
      </c>
    </row>
    <row r="9" customFormat="false" ht="15" hidden="false" customHeight="false" outlineLevel="0" collapsed="false">
      <c r="A9" s="23" t="n">
        <v>8</v>
      </c>
      <c r="B9" s="17" t="s">
        <v>183</v>
      </c>
      <c r="C9" s="18" t="n">
        <f aca="false">SUMPRODUCT(--(MID(Data!$C$2:$C$31,A9,1)=B9))</f>
        <v>23</v>
      </c>
      <c r="D9" s="24" t="n">
        <f aca="false">C9/COUNTA(Data!$A$2:$A$31)</f>
        <v>0.766666666666667</v>
      </c>
      <c r="E9" s="19" t="str">
        <f aca="false">IF(D9&lt;Data!$J$6,"Sukar",IF(D9&gt;Data!$J$7,"Mudah","Sedang"))</f>
        <v>Mudah</v>
      </c>
      <c r="F9" s="18" t="n">
        <f aca="false">SUMPRODUCT((MID(Data!$C$2:$C$31,A9,1)=B9)*(Data!$F$2:$F$31="Atas"))</f>
        <v>8</v>
      </c>
      <c r="G9" s="18" t="n">
        <f aca="false">SUMPRODUCT((MID(Data!$C$2:$C$31,A9,1)=B9)*(Data!$F$2:$F$31="Bawah"))</f>
        <v>7</v>
      </c>
      <c r="H9" s="24" t="n">
        <f aca="false">F9/COUNTIF(Data!$F$2:$F$31,"Atas")-G9/COUNTIF(Data!$F$2:$F$31,"Bawah")</f>
        <v>0.5</v>
      </c>
      <c r="I9" s="19" t="str">
        <f aca="false">IF(H9&gt;=Data!$J$8,"Dipakai",IF(H9&gt;=Data!$J$9,"Revisi","Ganti"))</f>
        <v>Dipakai</v>
      </c>
    </row>
    <row r="10" customFormat="false" ht="15" hidden="false" customHeight="false" outlineLevel="0" collapsed="false">
      <c r="A10" s="23" t="n">
        <v>9</v>
      </c>
      <c r="B10" s="17" t="s">
        <v>184</v>
      </c>
      <c r="C10" s="18" t="n">
        <f aca="false">SUMPRODUCT(--(MID(Data!$C$2:$C$31,A10,1)=B10))</f>
        <v>17</v>
      </c>
      <c r="D10" s="24" t="n">
        <f aca="false">C10/COUNTA(Data!$A$2:$A$31)</f>
        <v>0.566666666666667</v>
      </c>
      <c r="E10" s="19" t="str">
        <f aca="false">IF(D10&lt;Data!$J$6,"Sukar",IF(D10&gt;Data!$J$7,"Mudah","Sedang"))</f>
        <v>Sedang</v>
      </c>
      <c r="F10" s="18" t="n">
        <f aca="false">SUMPRODUCT((MID(Data!$C$2:$C$31,A10,1)=B10)*(Data!$F$2:$F$31="Atas"))</f>
        <v>6</v>
      </c>
      <c r="G10" s="18" t="n">
        <f aca="false">SUMPRODUCT((MID(Data!$C$2:$C$31,A10,1)=B10)*(Data!$F$2:$F$31="Bawah"))</f>
        <v>4</v>
      </c>
      <c r="H10" s="24" t="n">
        <f aca="false">F10/COUNTIF(Data!$F$2:$F$31,"Atas")-G10/COUNTIF(Data!$F$2:$F$31,"Bawah")</f>
        <v>0.464285714285714</v>
      </c>
      <c r="I10" s="19" t="str">
        <f aca="false">IF(H10&gt;=Data!$J$8,"Dipakai",IF(H10&gt;=Data!$J$9,"Revisi","Ganti"))</f>
        <v>Dipakai</v>
      </c>
    </row>
    <row r="11" customFormat="false" ht="15" hidden="false" customHeight="false" outlineLevel="0" collapsed="false">
      <c r="A11" s="23" t="n">
        <v>10</v>
      </c>
      <c r="B11" s="17" t="s">
        <v>185</v>
      </c>
      <c r="C11" s="18" t="n">
        <f aca="false">SUMPRODUCT(--(MID(Data!$C$2:$C$31,A11,1)=B11))</f>
        <v>8</v>
      </c>
      <c r="D11" s="24" t="n">
        <f aca="false">C11/COUNTA(Data!$A$2:$A$31)</f>
        <v>0.266666666666667</v>
      </c>
      <c r="E11" s="19" t="str">
        <f aca="false">IF(D11&lt;Data!$J$6,"Sukar",IF(D11&gt;Data!$J$7,"Mudah","Sedang"))</f>
        <v>Sukar</v>
      </c>
      <c r="F11" s="18" t="n">
        <f aca="false">SUMPRODUCT((MID(Data!$C$2:$C$31,A11,1)=B11)*(Data!$F$2:$F$31="Atas"))</f>
        <v>5</v>
      </c>
      <c r="G11" s="18" t="n">
        <f aca="false">SUMPRODUCT((MID(Data!$C$2:$C$31,A11,1)=B11)*(Data!$F$2:$F$31="Bawah"))</f>
        <v>2</v>
      </c>
      <c r="H11" s="24" t="n">
        <f aca="false">F11/COUNTIF(Data!$F$2:$F$31,"Atas")-G11/COUNTIF(Data!$F$2:$F$31,"Bawah")</f>
        <v>0.482142857142857</v>
      </c>
      <c r="I11" s="19" t="str">
        <f aca="false">IF(H11&gt;=Data!$J$8,"Dipakai",IF(H11&gt;=Data!$J$9,"Revisi","Ganti"))</f>
        <v>Dipakai</v>
      </c>
    </row>
    <row r="12" customFormat="false" ht="15" hidden="false" customHeight="false" outlineLevel="0" collapsed="false">
      <c r="A12" s="23" t="n">
        <v>11</v>
      </c>
      <c r="B12" s="17" t="s">
        <v>185</v>
      </c>
      <c r="C12" s="18" t="n">
        <f aca="false">SUMPRODUCT(--(MID(Data!$C$2:$C$31,A12,1)=B12))</f>
        <v>19</v>
      </c>
      <c r="D12" s="24" t="n">
        <f aca="false">C12/COUNTA(Data!$A$2:$A$31)</f>
        <v>0.633333333333333</v>
      </c>
      <c r="E12" s="19" t="str">
        <f aca="false">IF(D12&lt;Data!$J$6,"Sukar",IF(D12&gt;Data!$J$7,"Mudah","Sedang"))</f>
        <v>Sedang</v>
      </c>
      <c r="F12" s="18" t="n">
        <f aca="false">SUMPRODUCT((MID(Data!$C$2:$C$31,A12,1)=B12)*(Data!$F$2:$F$31="Atas"))</f>
        <v>7</v>
      </c>
      <c r="G12" s="18" t="n">
        <f aca="false">SUMPRODUCT((MID(Data!$C$2:$C$31,A12,1)=B12)*(Data!$F$2:$F$31="Bawah"))</f>
        <v>5</v>
      </c>
      <c r="H12" s="24" t="n">
        <f aca="false">F12/COUNTIF(Data!$F$2:$F$31,"Atas")-G12/COUNTIF(Data!$F$2:$F$31,"Bawah")</f>
        <v>0.517857142857143</v>
      </c>
      <c r="I12" s="19" t="str">
        <f aca="false">IF(H12&gt;=Data!$J$8,"Dipakai",IF(H12&gt;=Data!$J$9,"Revisi","Ganti"))</f>
        <v>Dipakai</v>
      </c>
    </row>
    <row r="13" customFormat="false" ht="15" hidden="false" customHeight="false" outlineLevel="0" collapsed="false">
      <c r="A13" s="23" t="n">
        <v>12</v>
      </c>
      <c r="B13" s="17" t="s">
        <v>186</v>
      </c>
      <c r="C13" s="18" t="n">
        <f aca="false">SUMPRODUCT(--(MID(Data!$C$2:$C$31,A13,1)=B13))</f>
        <v>6</v>
      </c>
      <c r="D13" s="24" t="n">
        <f aca="false">C13/COUNTA(Data!$A$2:$A$31)</f>
        <v>0.2</v>
      </c>
      <c r="E13" s="19" t="str">
        <f aca="false">IF(D13&lt;Data!$J$6,"Sukar",IF(D13&gt;Data!$J$7,"Mudah","Sedang"))</f>
        <v>Sukar</v>
      </c>
      <c r="F13" s="18" t="n">
        <f aca="false">SUMPRODUCT((MID(Data!$C$2:$C$31,A13,1)=B13)*(Data!$F$2:$F$31="Atas"))</f>
        <v>5</v>
      </c>
      <c r="G13" s="18" t="n">
        <f aca="false">SUMPRODUCT((MID(Data!$C$2:$C$31,A13,1)=B13)*(Data!$F$2:$F$31="Bawah"))</f>
        <v>1</v>
      </c>
      <c r="H13" s="24" t="n">
        <f aca="false">F13/COUNTIF(Data!$F$2:$F$31,"Atas")-G13/COUNTIF(Data!$F$2:$F$31,"Bawah")</f>
        <v>0.553571428571429</v>
      </c>
      <c r="I13" s="19" t="str">
        <f aca="false">IF(H13&gt;=Data!$J$8,"Dipakai",IF(H13&gt;=Data!$J$9,"Revisi","Ganti"))</f>
        <v>Dipakai</v>
      </c>
    </row>
    <row r="14" customFormat="false" ht="15" hidden="false" customHeight="false" outlineLevel="0" collapsed="false">
      <c r="A14" s="23" t="n">
        <v>13</v>
      </c>
      <c r="B14" s="17" t="s">
        <v>184</v>
      </c>
      <c r="C14" s="18" t="n">
        <f aca="false">SUMPRODUCT(--(MID(Data!$C$2:$C$31,A14,1)=B14))</f>
        <v>25</v>
      </c>
      <c r="D14" s="24" t="n">
        <f aca="false">C14/COUNTA(Data!$A$2:$A$31)</f>
        <v>0.833333333333333</v>
      </c>
      <c r="E14" s="19" t="str">
        <f aca="false">IF(D14&lt;Data!$J$6,"Sukar",IF(D14&gt;Data!$J$7,"Mudah","Sedang"))</f>
        <v>Mudah</v>
      </c>
      <c r="F14" s="18" t="n">
        <f aca="false">SUMPRODUCT((MID(Data!$C$2:$C$31,A14,1)=B14)*(Data!$F$2:$F$31="Atas"))</f>
        <v>8</v>
      </c>
      <c r="G14" s="18" t="n">
        <f aca="false">SUMPRODUCT((MID(Data!$C$2:$C$31,A14,1)=B14)*(Data!$F$2:$F$31="Bawah"))</f>
        <v>10</v>
      </c>
      <c r="H14" s="24" t="n">
        <f aca="false">F14/COUNTIF(Data!$F$2:$F$31,"Atas")-G14/COUNTIF(Data!$F$2:$F$31,"Bawah")</f>
        <v>0.285714285714286</v>
      </c>
      <c r="I14" s="19" t="str">
        <f aca="false">IF(H14&gt;=Data!$J$8,"Dipakai",IF(H14&gt;=Data!$J$9,"Revisi","Ganti"))</f>
        <v>Revisi</v>
      </c>
    </row>
    <row r="15" customFormat="false" ht="15" hidden="false" customHeight="false" outlineLevel="0" collapsed="false">
      <c r="A15" s="23" t="n">
        <v>14</v>
      </c>
      <c r="B15" s="17" t="s">
        <v>183</v>
      </c>
      <c r="C15" s="18" t="n">
        <f aca="false">SUMPRODUCT(--(MID(Data!$C$2:$C$31,A15,1)=B15))</f>
        <v>29</v>
      </c>
      <c r="D15" s="24" t="n">
        <f aca="false">C15/COUNTA(Data!$A$2:$A$31)</f>
        <v>0.966666666666667</v>
      </c>
      <c r="E15" s="19" t="str">
        <f aca="false">IF(D15&lt;Data!$J$6,"Sukar",IF(D15&gt;Data!$J$7,"Mudah","Sedang"))</f>
        <v>Mudah</v>
      </c>
      <c r="F15" s="18" t="n">
        <f aca="false">SUMPRODUCT((MID(Data!$C$2:$C$31,A15,1)=B15)*(Data!$F$2:$F$31="Atas"))</f>
        <v>8</v>
      </c>
      <c r="G15" s="18" t="n">
        <f aca="false">SUMPRODUCT((MID(Data!$C$2:$C$31,A15,1)=B15)*(Data!$F$2:$F$31="Bawah"))</f>
        <v>13</v>
      </c>
      <c r="H15" s="24" t="n">
        <f aca="false">F15/COUNTIF(Data!$F$2:$F$31,"Atas")-G15/COUNTIF(Data!$F$2:$F$31,"Bawah")</f>
        <v>0.0714285714285714</v>
      </c>
      <c r="I15" s="19" t="str">
        <f aca="false">IF(H15&gt;=Data!$J$8,"Dipakai",IF(H15&gt;=Data!$J$9,"Revisi","Ganti"))</f>
        <v>Ganti</v>
      </c>
    </row>
    <row r="16" customFormat="false" ht="15" hidden="false" customHeight="false" outlineLevel="0" collapsed="false">
      <c r="A16" s="23" t="n">
        <v>15</v>
      </c>
      <c r="B16" s="17" t="s">
        <v>185</v>
      </c>
      <c r="C16" s="18" t="n">
        <f aca="false">SUMPRODUCT(--(MID(Data!$C$2:$C$31,A16,1)=B16))</f>
        <v>22</v>
      </c>
      <c r="D16" s="24" t="n">
        <f aca="false">C16/COUNTA(Data!$A$2:$A$31)</f>
        <v>0.733333333333333</v>
      </c>
      <c r="E16" s="19" t="str">
        <f aca="false">IF(D16&lt;Data!$J$6,"Sukar",IF(D16&gt;Data!$J$7,"Mudah","Sedang"))</f>
        <v>Mudah</v>
      </c>
      <c r="F16" s="18" t="n">
        <f aca="false">SUMPRODUCT((MID(Data!$C$2:$C$31,A16,1)=B16)*(Data!$F$2:$F$31="Atas"))</f>
        <v>8</v>
      </c>
      <c r="G16" s="18" t="n">
        <f aca="false">SUMPRODUCT((MID(Data!$C$2:$C$31,A16,1)=B16)*(Data!$F$2:$F$31="Bawah"))</f>
        <v>8</v>
      </c>
      <c r="H16" s="24" t="n">
        <f aca="false">F16/COUNTIF(Data!$F$2:$F$31,"Atas")-G16/COUNTIF(Data!$F$2:$F$31,"Bawah")</f>
        <v>0.428571428571429</v>
      </c>
      <c r="I16" s="19" t="str">
        <f aca="false">IF(H16&gt;=Data!$J$8,"Dipakai",IF(H16&gt;=Data!$J$9,"Revisi","Ganti"))</f>
        <v>Dipakai</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187</v>
      </c>
      <c r="B1" s="25"/>
      <c r="C1" s="25"/>
      <c r="D1" s="25"/>
    </row>
    <row r="2" customFormat="false" ht="15" hidden="false" customHeight="false" outlineLevel="0" collapsed="false">
      <c r="A2" s="26" t="s">
        <v>188</v>
      </c>
      <c r="B2" s="26"/>
      <c r="C2" s="26"/>
      <c r="D2" s="26"/>
    </row>
    <row r="3" customFormat="false" ht="15" hidden="false" customHeight="false" outlineLevel="0" collapsed="false">
      <c r="A3" s="11" t="s">
        <v>19</v>
      </c>
      <c r="B3" s="11" t="s">
        <v>189</v>
      </c>
      <c r="C3" s="11" t="s">
        <v>89</v>
      </c>
      <c r="D3" s="11" t="s">
        <v>190</v>
      </c>
    </row>
    <row r="4" customFormat="false" ht="15" hidden="false" customHeight="false" outlineLevel="0" collapsed="false">
      <c r="A4" s="27" t="s">
        <v>191</v>
      </c>
      <c r="B4" s="28" t="s">
        <v>192</v>
      </c>
      <c r="C4" s="29" t="n">
        <f aca="false">AVERAGE(Data!$E$2:$E$31)</f>
        <v>64.8666666666667</v>
      </c>
      <c r="D4" s="30" t="s">
        <v>193</v>
      </c>
    </row>
    <row r="5" customFormat="false" ht="15" hidden="false" customHeight="false" outlineLevel="0" collapsed="false">
      <c r="A5" s="27" t="s">
        <v>194</v>
      </c>
      <c r="B5" s="28" t="s">
        <v>195</v>
      </c>
      <c r="C5" s="18" t="n">
        <f aca="false">MAX(Data!$E$2:$E$31)</f>
        <v>93</v>
      </c>
      <c r="D5" s="30" t="s">
        <v>196</v>
      </c>
    </row>
    <row r="6" customFormat="false" ht="15" hidden="false" customHeight="false" outlineLevel="0" collapsed="false">
      <c r="A6" s="27" t="s">
        <v>197</v>
      </c>
      <c r="B6" s="28" t="s">
        <v>198</v>
      </c>
      <c r="C6" s="18" t="n">
        <f aca="false">MIN(Data!$E$2:$E$31)</f>
        <v>27</v>
      </c>
      <c r="D6" s="30" t="s">
        <v>199</v>
      </c>
    </row>
    <row r="7" customFormat="false" ht="15" hidden="false" customHeight="false" outlineLevel="0" collapsed="false">
      <c r="A7" s="27" t="s">
        <v>200</v>
      </c>
      <c r="B7" s="28" t="s">
        <v>201</v>
      </c>
      <c r="C7" s="18" t="n">
        <f aca="false">COUNTIF(Data!$G$2:$G$31,"Remedial")</f>
        <v>16</v>
      </c>
      <c r="D7" s="30" t="s">
        <v>202</v>
      </c>
    </row>
    <row r="8" customFormat="false" ht="15" hidden="false" customHeight="false" outlineLevel="0" collapsed="false">
      <c r="A8" s="27" t="s">
        <v>203</v>
      </c>
      <c r="B8" s="28" t="s">
        <v>204</v>
      </c>
      <c r="C8" s="18" t="n">
        <f aca="false">COUNTIF(Data!$F$2:$F$31,"Atas")</f>
        <v>8</v>
      </c>
      <c r="D8" s="30" t="s">
        <v>205</v>
      </c>
    </row>
    <row r="9" customFormat="false" ht="15" hidden="false" customHeight="false" outlineLevel="0" collapsed="false">
      <c r="A9" s="27" t="s">
        <v>206</v>
      </c>
      <c r="B9" s="28" t="s">
        <v>207</v>
      </c>
      <c r="C9" s="18" t="n">
        <f aca="false">COUNTIF(Data!$F$2:$F$31,"Tengah")</f>
        <v>8</v>
      </c>
      <c r="D9" s="30" t="s">
        <v>208</v>
      </c>
    </row>
    <row r="10" customFormat="false" ht="15" hidden="false" customHeight="false" outlineLevel="0" collapsed="false">
      <c r="A10" s="27" t="s">
        <v>209</v>
      </c>
      <c r="B10" s="28" t="s">
        <v>210</v>
      </c>
      <c r="C10" s="18" t="n">
        <f aca="false">COUNTIF(Data!$F$2:$F$31,"Bawah")</f>
        <v>14</v>
      </c>
      <c r="D10" s="30" t="s">
        <v>211</v>
      </c>
    </row>
    <row r="11" customFormat="false" ht="15" hidden="false" customHeight="false" outlineLevel="0" collapsed="false">
      <c r="A11" s="27" t="s">
        <v>212</v>
      </c>
      <c r="B11" s="28" t="s">
        <v>213</v>
      </c>
      <c r="C11" s="18" t="n">
        <f aca="false">COUNTIF(Data!$E$2:$E$31,"&gt;=90")</f>
        <v>1</v>
      </c>
      <c r="D11" s="30" t="s">
        <v>214</v>
      </c>
    </row>
    <row r="12" customFormat="false" ht="15" hidden="false" customHeight="false" outlineLevel="0" collapsed="false">
      <c r="A12" s="27" t="s">
        <v>215</v>
      </c>
      <c r="B12" s="28" t="s">
        <v>216</v>
      </c>
      <c r="C12" s="18" t="n">
        <f aca="false">INDEX(Acuan!$A$2:$A$16,MATCH(MIN(Acuan!$D$2:$D$16),Acuan!$D$2:$D$16,0))</f>
        <v>12</v>
      </c>
      <c r="D12" s="30" t="s">
        <v>217</v>
      </c>
    </row>
    <row r="13" customFormat="false" ht="15" hidden="false" customHeight="false" outlineLevel="0" collapsed="false">
      <c r="A13" s="27" t="s">
        <v>218</v>
      </c>
      <c r="B13" s="28" t="s">
        <v>219</v>
      </c>
      <c r="C13" s="18" t="n">
        <f aca="false">INDEX(Acuan!$A$2:$A$16,MATCH(MAX(Acuan!$D$2:$D$16),Acuan!$D$2:$D$16,0))</f>
        <v>14</v>
      </c>
      <c r="D13" s="30" t="s">
        <v>217</v>
      </c>
    </row>
    <row r="14" customFormat="false" ht="15" hidden="false" customHeight="false" outlineLevel="0" collapsed="false">
      <c r="A14" s="27" t="s">
        <v>220</v>
      </c>
      <c r="B14" s="28" t="s">
        <v>221</v>
      </c>
      <c r="C14" s="18" t="n">
        <f aca="false">INDEX(Acuan!$A$2:$A$16,MATCH(MAX(Acuan!$H$2:$H$16),Acuan!$H$2:$H$16,0))</f>
        <v>12</v>
      </c>
      <c r="D14" s="30" t="s">
        <v>217</v>
      </c>
    </row>
    <row r="15" customFormat="false" ht="15" hidden="false" customHeight="false" outlineLevel="0" collapsed="false">
      <c r="A15" s="27" t="s">
        <v>222</v>
      </c>
      <c r="B15" s="28" t="s">
        <v>223</v>
      </c>
      <c r="C15" s="18" t="n">
        <f aca="false">COUNTIF(Acuan!$E$2:$E$16,"Sukar")</f>
        <v>2</v>
      </c>
      <c r="D15" s="30" t="s">
        <v>224</v>
      </c>
    </row>
    <row r="16" customFormat="false" ht="15" hidden="false" customHeight="false" outlineLevel="0" collapsed="false">
      <c r="A16" s="27" t="s">
        <v>225</v>
      </c>
      <c r="B16" s="28" t="s">
        <v>226</v>
      </c>
      <c r="C16" s="18" t="n">
        <f aca="false">COUNTIF(Acuan!$E$2:$E$16,"Sedang")</f>
        <v>6</v>
      </c>
      <c r="D16" s="30" t="s">
        <v>227</v>
      </c>
    </row>
    <row r="17" customFormat="false" ht="15" hidden="false" customHeight="false" outlineLevel="0" collapsed="false">
      <c r="A17" s="27" t="s">
        <v>228</v>
      </c>
      <c r="B17" s="28" t="s">
        <v>229</v>
      </c>
      <c r="C17" s="18" t="n">
        <f aca="false">COUNTIF(Acuan!$E$2:$E$16,"Mudah")</f>
        <v>7</v>
      </c>
      <c r="D17" s="30" t="s">
        <v>230</v>
      </c>
    </row>
    <row r="18" customFormat="false" ht="15" hidden="false" customHeight="false" outlineLevel="0" collapsed="false">
      <c r="A18" s="27" t="s">
        <v>231</v>
      </c>
      <c r="B18" s="28" t="s">
        <v>232</v>
      </c>
      <c r="C18" s="18" t="n">
        <f aca="false">COUNTIF(Acuan!$I$2:$I$16,"Dipakai")</f>
        <v>8</v>
      </c>
      <c r="D18" s="30" t="s">
        <v>233</v>
      </c>
    </row>
    <row r="19" customFormat="false" ht="15" hidden="false" customHeight="false" outlineLevel="0" collapsed="false">
      <c r="A19" s="27" t="s">
        <v>234</v>
      </c>
      <c r="B19" s="28" t="s">
        <v>235</v>
      </c>
      <c r="C19" s="29" t="n">
        <f aca="false">AVERAGEIF(Data!$B$2:$B$31,"9B",Data!$E$2:$E$31)</f>
        <v>76.6</v>
      </c>
      <c r="D19" s="30" t="s">
        <v>236</v>
      </c>
    </row>
    <row r="20" customFormat="false" ht="15" hidden="false" customHeight="false" outlineLevel="0" collapsed="false">
      <c r="A20" s="27" t="s">
        <v>237</v>
      </c>
      <c r="B20" s="28" t="s">
        <v>238</v>
      </c>
      <c r="C20" s="18" t="n">
        <f aca="false">COUNTIFS(Data!$B$2:$B$31,"9C",Data!$G$2:$G$31,"Remedial")</f>
        <v>7</v>
      </c>
      <c r="D20" s="30" t="s">
        <v>230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2026-10-18T00:01:25Z</dcterms:created>
  <dc:creator>PushExcel</dc:creator>
  <dc:description/>
  <dc:language>en-US</dc:language>
  <cp:lastModifiedBy/>
  <dcterms:modified xsi:type="dcterms:W3CDTF">2026-10-18T00:01:25Z</dcterms:modified>
  <cp:revision>0</cp:revision>
  <dc:subject/>
  <dc:title>Analisis Butir Soal Ujian Pilihan Ganda - Kunci</dc:title>
</cp:coreProperties>
</file>

<file path=docProps/custom.xml><?xml version="1.0" encoding="utf-8"?>
<Properties xmlns="http://schemas.openxmlformats.org/officeDocument/2006/custom-properties" xmlns:vt="http://schemas.openxmlformats.org/officeDocument/2006/docPropsVTypes"/>
</file>