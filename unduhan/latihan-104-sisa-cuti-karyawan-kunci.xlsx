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<sst xmlns="http://schemas.openxmlformats.org/spreadsheetml/2006/main" count="290" uniqueCount="184">
  <si>
    <t xml:space="preserve">Kunci Jawaban: Hak dan Sisa Cuti Tahunan Karyawan</t>
  </si>
  <si>
    <t xml:space="preserve">Latihan 104 dari 40  |  Tingkat: Lanjutan  |  Perkiraan waktu: 65 menit  |  pushexcel.github.io/Pushexcel</t>
  </si>
  <si>
    <t xml:space="preserve">Skenario</t>
  </si>
  <si>
    <t xml:space="preserve">Kamu staf Personalia PT Cahaya Nusantara Lestari yang menutup saldo cuti tahun 2026. Masa kerja dihitung dalam tahun penuh sampai tanggal perhitungan 31 Desember 2026. Hak cuti diambil dari tabel di sheet Acuan sesuai masa kerja. Tiap karyawan punya sampai tiga pengajuan cuti, dan hanya pengajuan berstatus Disetujui yang dihitung sebagai cuti terpakai (pengajuan kosong ditulis 0 hari dengan status tanda hubung). Sisa adalah hak dikurangi terpakai. Sisa cuti paling banyak 6 hari yang boleh dibawa ke tahun depan, kelebihannya menjadi saldo hangus. Status: Habis bila sisa 0, Menipis bila sisa paling banyak 3 hari, Ada Hangus bila saldo hangus lebih dari 0, selain itu Aman (batas ada di blok Parameter).</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</si>
  <si>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</si>
  <si>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</si>
  <si>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</si>
  <si>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</si>
  <si>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</si>
  <si>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</si>
  <si>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</si>
  <si>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</si>
  <si>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</si>
  <si>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</si>
  <si>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</si>
  <si>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</si>
  <si>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</si>
  <si>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</si>
  <si>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</si>
  <si>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</si>
  <si>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</si>
  <si>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</si>
  <si>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</si>
  <si>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</si>
  <si>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Hitung masa kerja dalam tahun penuh dari tanggal masuk sampai tanggal perhitungan.</t>
  </si>
  <si>
    <t xml:space="preserve">Sheet Data, kolom J (Masa Kerja), baris 2 sampai 29</t>
  </si>
  <si>
    <t xml:space="preserve">=DATEDIF(C2;$R$2;"Y")</t>
  </si>
  <si>
    <t xml:space="preserve">2</t>
  </si>
  <si>
    <t xml:space="preserve">Cari hak cuti tiap karyawan dari tabel Acuan berdasarkan masa kerja. Tabel diurutkan naik, dan masa kerja yang melewati batas bawah ikut ke baris terdekat di atasnya.</t>
  </si>
  <si>
    <t xml:space="preserve">Sheet Data, kolom K (Hak Cuti), baris 2 sampai 29</t>
  </si>
  <si>
    <t xml:space="preserve">=VLOOKUP(J2;Acuan!$A$2:$B$6;2;TRUE)</t>
  </si>
  <si>
    <t xml:space="preserve">3</t>
  </si>
  <si>
    <t xml:space="preserve">Hitung cuti terpakai: jumlahkan hari dari ketiga pengajuan, tetapi hanya yang statusnya Disetujui.</t>
  </si>
  <si>
    <t xml:space="preserve">Sheet Data, kolom L (Cuti Terpakai), baris 2 sampai 29</t>
  </si>
  <si>
    <t xml:space="preserve">=IF(E2="Disetujui";D2;0)+IF(G2="Disetujui";F2;0)+IF(I2="Disetujui";H2;0)</t>
  </si>
  <si>
    <t xml:space="preserve">4</t>
  </si>
  <si>
    <t xml:space="preserve">Hitung sisa cuti: hak cuti dikurangi cuti terpakai.</t>
  </si>
  <si>
    <t xml:space="preserve">Sheet Data, kolom M (Sisa Cuti), baris 2 sampai 29</t>
  </si>
  <si>
    <t xml:space="preserve">=K2-L2</t>
  </si>
  <si>
    <t xml:space="preserve">5</t>
  </si>
  <si>
    <t xml:space="preserve">Hitung saldo hangus: bila sisa cuti lebih dari batas maksimal dibawa, hangusnya adalah kelebihannya. Bila tidak, 0.</t>
  </si>
  <si>
    <t xml:space="preserve">Sheet Data, kolom N (Saldo Hangus), baris 2 sampai 29</t>
  </si>
  <si>
    <t xml:space="preserve">=IF(M2&gt;$R$3;M2-$R$3;0)</t>
  </si>
  <si>
    <t xml:space="preserve">6</t>
  </si>
  <si>
    <t xml:space="preserve">Beri status: Habis bila sisa 0, Menipis bila sisa paling banyak batas menipis, Ada Hangus bila saldo hangus lebih dari 0, selain itu Aman.</t>
  </si>
  <si>
    <t xml:space="preserve">Sheet Data, kolom O (Status Cuti), baris 2 sampai 29</t>
  </si>
  <si>
    <t xml:space="preserve">=IF(M2=0;"Habis";IF(M2&lt;=$R$4;"Menipis";IF(N2&gt;0;"Ada Hangus";"Aman")))</t>
  </si>
  <si>
    <t xml:space="preserve">7</t>
  </si>
  <si>
    <t xml:space="preserve">Pada sheet Acuan, hitung berapa karyawan yang punya tiap besar hak cuti.</t>
  </si>
  <si>
    <t xml:space="preserve">Sheet Acuan, kolom C (Jumlah Karyawan), baris 2 sampai 6</t>
  </si>
  <si>
    <t xml:space="preserve">=COUNTIF(Data!$K$2:$K$29;B2)</t>
  </si>
  <si>
    <t xml:space="preserve">8</t>
  </si>
  <si>
    <t xml:space="preserve">Pada sheet Acuan, hitung total sisa cuti karyawan untuk tiap besar hak cuti.</t>
  </si>
  <si>
    <t xml:space="preserve">Sheet Acuan, kolom D (Total Sisa), baris 2 sampai 6</t>
  </si>
  <si>
    <t xml:space="preserve">=SUMIF(Data!$K$2:$K$29;B2;Data!$M$2:$M$29)</t>
  </si>
  <si>
    <t xml:space="preserve">9</t>
  </si>
  <si>
    <t xml:space="preserve">Berapa total hak cuti, total cuti terpakai, dan total saldo hangus seluruh karyawan?</t>
  </si>
  <si>
    <t xml:space="preserve">Sheet Ringkasan, sel C4 sampai C6</t>
  </si>
  <si>
    <t xml:space="preserve">=SUM(Data!$K$2:$K$29)
=SUM(Data!$L$2:$L$29)
=SUM(Data!$N$2:$N$29)</t>
  </si>
  <si>
    <t xml:space="preserve">10</t>
  </si>
  <si>
    <t xml:space="preserve">Berapa karyawan yang berstatus Habis, Menipis, Ada Hangus, dan Aman?</t>
  </si>
  <si>
    <t xml:space="preserve">Sheet Ringkasan, sel C7 sampai C10</t>
  </si>
  <si>
    <t xml:space="preserve">=COUNTIF(Data!$O$2:$O$29;"Habis")
=COUNTIF(Data!$O$2:$O$29;"Menipis")
=COUNTIF(Data!$O$2:$O$29;"Ada Hangus")
=COUNTIF(Data!$O$2:$O$29;"Aman")</t>
  </si>
  <si>
    <t xml:space="preserve">11</t>
  </si>
  <si>
    <t xml:space="preserve">Siapa karyawan dengan cuti terpakai terbanyak, siapa dengan sisa cuti terbanyak, dan berapa hak cuti terbesar yang ada di tabel Acuan?</t>
  </si>
  <si>
    <t xml:space="preserve">Sheet Ringkasan, sel C11 sampai C13</t>
  </si>
  <si>
    <t xml:space="preserve">=INDEX(Data!$A$2:$A$29;MATCH(MAX(Data!$L$2:$L$29);Data!$L$2:$L$29;0))
=INDEX(Data!$A$2:$A$29;MATCH(MAX(Data!$M$2:$M$29);Data!$M$2:$M$29;0))
=MAX(Acuan!$B$2:$B$6)</t>
  </si>
  <si>
    <t xml:space="preserve">12</t>
  </si>
  <si>
    <t xml:space="preserve">Berapa rata-rata sisa cuti departemen Produksi, dan berapa karyawan Gudang yang berstatus Ada Hangus?</t>
  </si>
  <si>
    <t xml:space="preserve">Sheet Ringkasan, sel C14 sampai C15</t>
  </si>
  <si>
    <t xml:space="preserve">=AVERAGEIF(Data!$B$2:$B$29;"Produksi";Data!$M$2:$M$29)
=COUNTIFS(Data!$B$2:$B$29;"Gudang";Data!$O$2:$O$29;"Ada Hangus")</t>
  </si>
  <si>
    <t xml:space="preserve">13</t>
  </si>
  <si>
    <t xml:space="preserve">Berapa karyawan yang punya masa kerja minimal 5 tahun dan tidak punya pengajuan Ditolak, dan berapa total pengajuan berstatus Menunggu?</t>
  </si>
  <si>
    <t xml:space="preserve">Sheet Ringkasan, sel C16 sampai C17</t>
  </si>
  <si>
    <t xml:space="preserve">=SUMPRODUCT((Data!$J$2:$J$29&gt;=5)*(Data!$E$2:$E$29&lt;&gt;"Ditolak")*(Data!$G$2:$G$29&lt;&gt;"Ditolak")*(Data!$I$2:$I$29&lt;&gt;"Ditolak"))
=COUNTIF(Data!$E$2:$E$29;"Menunggu")+COUNTIF(Data!$G$2:$G$29;"Menunggu")+COUNTIF(Data!$I$2:$I$29;"Menunggu")</t>
  </si>
  <si>
    <t xml:space="preserve">Nama Karyawan</t>
  </si>
  <si>
    <t xml:space="preserve">Departemen</t>
  </si>
  <si>
    <t xml:space="preserve">Tanggal Masuk</t>
  </si>
  <si>
    <t xml:space="preserve">Hari Pengajuan 1</t>
  </si>
  <si>
    <t xml:space="preserve">Status Pengajuan 1</t>
  </si>
  <si>
    <t xml:space="preserve">Hari Pengajuan 2</t>
  </si>
  <si>
    <t xml:space="preserve">Status Pengajuan 2</t>
  </si>
  <si>
    <t xml:space="preserve">Hari Pengajuan 3</t>
  </si>
  <si>
    <t xml:space="preserve">Status Pengajuan 3</t>
  </si>
  <si>
    <t xml:space="preserve">Masa Kerja</t>
  </si>
  <si>
    <t xml:space="preserve">Hak Cuti</t>
  </si>
  <si>
    <t xml:space="preserve">Cuti Terpakai</t>
  </si>
  <si>
    <t xml:space="preserve">Sisa Cuti</t>
  </si>
  <si>
    <t xml:space="preserve">Saldo Hangus</t>
  </si>
  <si>
    <t xml:space="preserve">Status Cuti</t>
  </si>
  <si>
    <t xml:space="preserve">Parameter</t>
  </si>
  <si>
    <t xml:space="preserve">Nilai</t>
  </si>
  <si>
    <t xml:space="preserve">Keterangan</t>
  </si>
  <si>
    <t xml:space="preserve">Ahmad Wibowo</t>
  </si>
  <si>
    <t xml:space="preserve">Produksi</t>
  </si>
  <si>
    <t xml:space="preserve">Menunggu</t>
  </si>
  <si>
    <t xml:space="preserve">Disetujui</t>
  </si>
  <si>
    <t xml:space="preserve">Ditolak</t>
  </si>
  <si>
    <t xml:space="preserve">Tanggal perhitungan</t>
  </si>
  <si>
    <t xml:space="preserve">Citra Yulianto</t>
  </si>
  <si>
    <t xml:space="preserve">Gudang</t>
  </si>
  <si>
    <t xml:space="preserve">Maksimal dibawa</t>
  </si>
  <si>
    <t xml:space="preserve">Sisa cuti paling banyak yang boleh dibawa ke tahun depan (hari)</t>
  </si>
  <si>
    <t xml:space="preserve">Intan Nugroho</t>
  </si>
  <si>
    <t xml:space="preserve">-</t>
  </si>
  <si>
    <t xml:space="preserve">Batas menipis</t>
  </si>
  <si>
    <t xml:space="preserve">Sisa paling banyak untuk status Menipis (hari)</t>
  </si>
  <si>
    <t xml:space="preserve">Galih Yulianto</t>
  </si>
  <si>
    <t xml:space="preserve">Pemasaran</t>
  </si>
  <si>
    <t xml:space="preserve">Eka Fauzi</t>
  </si>
  <si>
    <t xml:space="preserve">Fitri Anggraini</t>
  </si>
  <si>
    <t xml:space="preserve">Keuangan</t>
  </si>
  <si>
    <t xml:space="preserve">Andi Permana</t>
  </si>
  <si>
    <t xml:space="preserve">Vina Firmansyah</t>
  </si>
  <si>
    <t xml:space="preserve">Galih Pangestu</t>
  </si>
  <si>
    <t xml:space="preserve">Yoga Handayani</t>
  </si>
  <si>
    <t xml:space="preserve">Hesti Handayani</t>
  </si>
  <si>
    <t xml:space="preserve">Fajar Firmansyah</t>
  </si>
  <si>
    <t xml:space="preserve">Jihan Firmansyah</t>
  </si>
  <si>
    <t xml:space="preserve">Budi Anggraini</t>
  </si>
  <si>
    <t xml:space="preserve">Putri Purnomo</t>
  </si>
  <si>
    <t xml:space="preserve">Personalia</t>
  </si>
  <si>
    <t xml:space="preserve">Utami Lestari</t>
  </si>
  <si>
    <t xml:space="preserve">Kartika Purnomo</t>
  </si>
  <si>
    <t xml:space="preserve">Gita Wijaya</t>
  </si>
  <si>
    <t xml:space="preserve">Putri Kurniawan</t>
  </si>
  <si>
    <t xml:space="preserve">Kartika Nugroho</t>
  </si>
  <si>
    <t xml:space="preserve">Yoga Pangestu</t>
  </si>
  <si>
    <t xml:space="preserve">Bayu Rahayu</t>
  </si>
  <si>
    <t xml:space="preserve">Nurul Hartono</t>
  </si>
  <si>
    <t xml:space="preserve">Khoirul Sari</t>
  </si>
  <si>
    <t xml:space="preserve">Agus Permana</t>
  </si>
  <si>
    <t xml:space="preserve">Andi Saputra</t>
  </si>
  <si>
    <t xml:space="preserve">Edi Sari</t>
  </si>
  <si>
    <t xml:space="preserve">Dimas Saputra</t>
  </si>
  <si>
    <t xml:space="preserve">Masa Kerja Minimal</t>
  </si>
  <si>
    <t xml:space="preserve">Jumlah Karyawan</t>
  </si>
  <si>
    <t xml:space="preserve">Total Sisa</t>
  </si>
  <si>
    <t xml:space="preserve">Ringkasan: lembar jawaban soal berjenis ringkasan</t>
  </si>
  <si>
    <t xml:space="preserve">Sel hijau berisi rumus kunci.</t>
  </si>
  <si>
    <t xml:space="preserve">Pertanyaan</t>
  </si>
  <si>
    <t xml:space="preserve">Jawaban</t>
  </si>
  <si>
    <t xml:space="preserve">Contoh format hasil</t>
  </si>
  <si>
    <t xml:space="preserve">9a</t>
  </si>
  <si>
    <t xml:space="preserve">Total hak cuti</t>
  </si>
  <si>
    <t xml:space="preserve">Angka bulat, mis. 350</t>
  </si>
  <si>
    <t xml:space="preserve">9b</t>
  </si>
  <si>
    <t xml:space="preserve">Total cuti terpakai</t>
  </si>
  <si>
    <t xml:space="preserve">Angka bulat, mis. 120</t>
  </si>
  <si>
    <t xml:space="preserve">9c</t>
  </si>
  <si>
    <t xml:space="preserve">Total saldo hangus</t>
  </si>
  <si>
    <t xml:space="preserve">Angka bulat, mis. 25</t>
  </si>
  <si>
    <t xml:space="preserve">10a</t>
  </si>
  <si>
    <t xml:space="preserve">Karyawan Habis</t>
  </si>
  <si>
    <t xml:space="preserve">Angka bulat, mis. 3</t>
  </si>
  <si>
    <t xml:space="preserve">10b</t>
  </si>
  <si>
    <t xml:space="preserve">Karyawan Menipis</t>
  </si>
  <si>
    <t xml:space="preserve">Angka bulat, mis. 7</t>
  </si>
  <si>
    <t xml:space="preserve">10c</t>
  </si>
  <si>
    <t xml:space="preserve">Karyawan Ada Hangus</t>
  </si>
  <si>
    <t xml:space="preserve">Angka bulat, mis. 8</t>
  </si>
  <si>
    <t xml:space="preserve">10d</t>
  </si>
  <si>
    <t xml:space="preserve">Karyawan Aman</t>
  </si>
  <si>
    <t xml:space="preserve">Angka bulat, mis. 5</t>
  </si>
  <si>
    <t xml:space="preserve">11a</t>
  </si>
  <si>
    <t xml:space="preserve">Karyawan cuti terpakai terbanyak</t>
  </si>
  <si>
    <t xml:space="preserve">Teks: nama karyawan</t>
  </si>
  <si>
    <t xml:space="preserve">11b</t>
  </si>
  <si>
    <t xml:space="preserve">Karyawan sisa cuti terbanyak</t>
  </si>
  <si>
    <t xml:space="preserve">11c</t>
  </si>
  <si>
    <t xml:space="preserve">Hak cuti terbesar</t>
  </si>
  <si>
    <t xml:space="preserve">Angka bulat, mis. 20</t>
  </si>
  <si>
    <t xml:space="preserve">12a</t>
  </si>
  <si>
    <t xml:space="preserve">Rata-rata sisa cuti Produksi</t>
  </si>
  <si>
    <t xml:space="preserve">Angka desimal, mis. 6,5</t>
  </si>
  <si>
    <t xml:space="preserve">12b</t>
  </si>
  <si>
    <t xml:space="preserve">Karyawan Gudang Ada Hangus</t>
  </si>
  <si>
    <t xml:space="preserve">Angka bulat, mis. 2</t>
  </si>
  <si>
    <t xml:space="preserve">13a</t>
  </si>
  <si>
    <t xml:space="preserve">Karyawan masa kerja minimal 5 tahun tanpa Ditolak</t>
  </si>
  <si>
    <t xml:space="preserve">Angka bulat, mis. 6</t>
  </si>
  <si>
    <t xml:space="preserve">13b</t>
  </si>
  <si>
    <t xml:space="preserve">Total pengajuan Menunggu</t>
  </si>
  <si>
    <t xml:space="preserve">Angka bulat, mis. 9</t>
  </si>
</sst>
</file>

<file path=xl/styles.xml><?xml version="1.0" encoding="utf-8"?>
<styleSheet xmlns="http://schemas.openxmlformats.org/spreadsheetml/2006/main">
  <numFmts count="4">
    <numFmt numFmtId="164" formatCode="General"/>
    <numFmt numFmtId="165" formatCode="dd/mm/yyyy"/>
    <numFmt numFmtId="166" formatCode="0"/>
    <numFmt numFmtId="167" formatCode="0.0"/>
  </numFmts>
  <fonts count="13">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b val="true"/>
      <sz val="10"/>
      <color rgb="FFFFFFFF"/>
      <name val="Arial"/>
      <family val="0"/>
      <charset val="1"/>
    </font>
    <font>
      <sz val="9"/>
      <name val="Consolas"/>
      <family val="0"/>
      <charset val="1"/>
    </font>
    <font>
      <sz val="10"/>
      <color rgb="FF0000FF"/>
      <name val="Arial"/>
      <family val="0"/>
      <charset val="1"/>
    </font>
    <font>
      <b val="true"/>
      <sz val="13"/>
      <color rgb="FF1F4E3D"/>
      <name val="Arial"/>
      <family val="0"/>
      <charset val="1"/>
    </font>
    <font>
      <i val="true"/>
      <sz val="9"/>
      <color rgb="FF595959"/>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6" fontId="7" fillId="0" borderId="1" xfId="0" applyFont="true" applyBorder="true" applyAlignment="true" applyProtection="false">
      <alignment horizontal="right" vertical="center" textRotation="0" wrapText="false" indent="0" shrinkToFit="false"/>
      <protection locked="true" hidden="false"/>
    </xf>
    <xf numFmtId="166" fontId="7" fillId="4"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true" applyProtection="false">
      <alignment horizontal="right" vertical="center" textRotation="0" wrapText="false" indent="0" shrinkToFit="false"/>
      <protection locked="true" hidden="false"/>
    </xf>
    <xf numFmtId="166" fontId="10" fillId="0" borderId="1" xfId="0" applyFont="true" applyBorder="true" applyAlignment="true" applyProtection="false">
      <alignment horizontal="right" vertical="center"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81"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7" t="s">
        <v>17</v>
      </c>
    </row>
    <row r="19" customFormat="false" ht="15" hidden="false" customHeight="false" outlineLevel="0" collapsed="false">
      <c r="A19" s="3" t="s">
        <v>18</v>
      </c>
    </row>
    <row r="20" customFormat="false" ht="15" hidden="false" customHeight="false" outlineLevel="0" collapsed="false">
      <c r="A20" s="11" t="s">
        <v>19</v>
      </c>
      <c r="B20" s="11" t="s">
        <v>20</v>
      </c>
      <c r="C20" s="11" t="s">
        <v>21</v>
      </c>
      <c r="D20" s="11" t="s">
        <v>22</v>
      </c>
    </row>
    <row r="21" customFormat="false" ht="30" hidden="false" customHeight="true" outlineLevel="0" collapsed="false">
      <c r="A21" s="12" t="s">
        <v>23</v>
      </c>
      <c r="B21" s="13" t="s">
        <v>24</v>
      </c>
      <c r="C21" s="13" t="s">
        <v>25</v>
      </c>
      <c r="D21" s="14" t="s">
        <v>26</v>
      </c>
    </row>
    <row r="22" customFormat="false" ht="42" hidden="false" customHeight="true" outlineLevel="0" collapsed="false">
      <c r="A22" s="12" t="s">
        <v>27</v>
      </c>
      <c r="B22" s="13" t="s">
        <v>28</v>
      </c>
      <c r="C22" s="13" t="s">
        <v>29</v>
      </c>
      <c r="D22" s="14" t="s">
        <v>30</v>
      </c>
    </row>
    <row r="23" customFormat="false" ht="30" hidden="false" customHeight="true" outlineLevel="0" collapsed="false">
      <c r="A23" s="12" t="s">
        <v>31</v>
      </c>
      <c r="B23" s="13" t="s">
        <v>32</v>
      </c>
      <c r="C23" s="13" t="s">
        <v>33</v>
      </c>
      <c r="D23" s="14" t="s">
        <v>34</v>
      </c>
    </row>
    <row r="24" customFormat="false" ht="30" hidden="false" customHeight="true" outlineLevel="0" collapsed="false">
      <c r="A24" s="12" t="s">
        <v>35</v>
      </c>
      <c r="B24" s="13" t="s">
        <v>36</v>
      </c>
      <c r="C24" s="13" t="s">
        <v>37</v>
      </c>
      <c r="D24" s="14" t="s">
        <v>38</v>
      </c>
    </row>
    <row r="25" customFormat="false" ht="30" hidden="false" customHeight="true" outlineLevel="0" collapsed="false">
      <c r="A25" s="12" t="s">
        <v>39</v>
      </c>
      <c r="B25" s="13" t="s">
        <v>40</v>
      </c>
      <c r="C25" s="13" t="s">
        <v>41</v>
      </c>
      <c r="D25" s="14" t="s">
        <v>42</v>
      </c>
    </row>
    <row r="26" customFormat="false" ht="42" hidden="false" customHeight="true" outlineLevel="0" collapsed="false">
      <c r="A26" s="12" t="s">
        <v>43</v>
      </c>
      <c r="B26" s="13" t="s">
        <v>44</v>
      </c>
      <c r="C26" s="13" t="s">
        <v>45</v>
      </c>
      <c r="D26" s="14" t="s">
        <v>46</v>
      </c>
    </row>
    <row r="27" customFormat="false" ht="30" hidden="false" customHeight="true" outlineLevel="0" collapsed="false">
      <c r="A27" s="12" t="s">
        <v>47</v>
      </c>
      <c r="B27" s="13" t="s">
        <v>48</v>
      </c>
      <c r="C27" s="13" t="s">
        <v>49</v>
      </c>
      <c r="D27" s="14" t="s">
        <v>50</v>
      </c>
    </row>
    <row r="28" customFormat="false" ht="30" hidden="false" customHeight="true" outlineLevel="0" collapsed="false">
      <c r="A28" s="12" t="s">
        <v>51</v>
      </c>
      <c r="B28" s="13" t="s">
        <v>52</v>
      </c>
      <c r="C28" s="13" t="s">
        <v>53</v>
      </c>
      <c r="D28" s="14" t="s">
        <v>54</v>
      </c>
    </row>
    <row r="29" customFormat="false" ht="57.75" hidden="false" customHeight="true" outlineLevel="0" collapsed="false">
      <c r="A29" s="12" t="s">
        <v>55</v>
      </c>
      <c r="B29" s="13" t="s">
        <v>56</v>
      </c>
      <c r="C29" s="13" t="s">
        <v>57</v>
      </c>
      <c r="D29" s="14" t="s">
        <v>58</v>
      </c>
    </row>
    <row r="30" customFormat="false" ht="84" hidden="false" customHeight="true" outlineLevel="0" collapsed="false">
      <c r="A30" s="12" t="s">
        <v>59</v>
      </c>
      <c r="B30" s="13" t="s">
        <v>60</v>
      </c>
      <c r="C30" s="13" t="s">
        <v>61</v>
      </c>
      <c r="D30" s="14" t="s">
        <v>62</v>
      </c>
    </row>
    <row r="31" customFormat="false" ht="69.75" hidden="false" customHeight="true" outlineLevel="0" collapsed="false">
      <c r="A31" s="12" t="s">
        <v>63</v>
      </c>
      <c r="B31" s="13" t="s">
        <v>64</v>
      </c>
      <c r="C31" s="13" t="s">
        <v>65</v>
      </c>
      <c r="D31" s="14" t="s">
        <v>66</v>
      </c>
    </row>
    <row r="32" customFormat="false" ht="43.5" hidden="false" customHeight="true" outlineLevel="0" collapsed="false">
      <c r="A32" s="12" t="s">
        <v>67</v>
      </c>
      <c r="B32" s="13" t="s">
        <v>68</v>
      </c>
      <c r="C32" s="13" t="s">
        <v>69</v>
      </c>
      <c r="D32" s="14" t="s">
        <v>70</v>
      </c>
    </row>
    <row r="33" customFormat="false" ht="69.75" hidden="false" customHeight="true" outlineLevel="0" collapsed="false">
      <c r="A33" s="12" t="s">
        <v>71</v>
      </c>
      <c r="B33" s="13" t="s">
        <v>72</v>
      </c>
      <c r="C33" s="13" t="s">
        <v>73</v>
      </c>
      <c r="D33" s="14" t="s">
        <v>74</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S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2"/>
    <col collapsed="false" customWidth="true" hidden="false" outlineLevel="0" max="3" min="3" style="0" width="13"/>
    <col collapsed="false" customWidth="true" hidden="false" outlineLevel="0" max="4" min="4" style="0" width="11"/>
    <col collapsed="false" customWidth="true" hidden="false" outlineLevel="0" max="5" min="5" style="0" width="13"/>
    <col collapsed="false" customWidth="true" hidden="false" outlineLevel="0" max="6" min="6" style="0" width="11"/>
    <col collapsed="false" customWidth="true" hidden="false" outlineLevel="0" max="7" min="7" style="0" width="13"/>
    <col collapsed="false" customWidth="true" hidden="false" outlineLevel="0" max="8" min="8" style="0" width="11"/>
    <col collapsed="false" customWidth="true" hidden="false" outlineLevel="0" max="9" min="9" style="0" width="13"/>
    <col collapsed="false" customWidth="true" hidden="false" outlineLevel="0" max="10" min="10" style="0" width="11"/>
    <col collapsed="false" customWidth="true" hidden="false" outlineLevel="0" max="11" min="11" style="0" width="10"/>
    <col collapsed="false" customWidth="true" hidden="false" outlineLevel="0" max="12" min="12" style="0" width="12"/>
    <col collapsed="false" customWidth="true" hidden="false" outlineLevel="0" max="13" min="13" style="0" width="10"/>
    <col collapsed="false" customWidth="true" hidden="false" outlineLevel="0" max="14" min="14" style="0" width="12"/>
    <col collapsed="false" customWidth="true" hidden="false" outlineLevel="0" max="15" min="15" style="0" width="13"/>
    <col collapsed="false" customWidth="true" hidden="false" outlineLevel="0" max="16" min="16" style="0" width="3"/>
    <col collapsed="false" customWidth="true" hidden="false" outlineLevel="0" max="17" min="17" style="0" width="30"/>
    <col collapsed="false" customWidth="true" hidden="false" outlineLevel="0" max="18" min="18" style="0" width="16"/>
    <col collapsed="false" customWidth="true" hidden="false" outlineLevel="0" max="19" min="19" style="0" width="42"/>
  </cols>
  <sheetData>
    <row r="1" customFormat="false" ht="33.75" hidden="false" customHeight="true" outlineLevel="0" collapsed="false">
      <c r="A1" s="11" t="s">
        <v>75</v>
      </c>
      <c r="B1" s="11" t="s">
        <v>76</v>
      </c>
      <c r="C1" s="11" t="s">
        <v>77</v>
      </c>
      <c r="D1" s="11" t="s">
        <v>78</v>
      </c>
      <c r="E1" s="11" t="s">
        <v>79</v>
      </c>
      <c r="F1" s="11" t="s">
        <v>80</v>
      </c>
      <c r="G1" s="11" t="s">
        <v>81</v>
      </c>
      <c r="H1" s="11" t="s">
        <v>82</v>
      </c>
      <c r="I1" s="11" t="s">
        <v>83</v>
      </c>
      <c r="J1" s="15" t="s">
        <v>84</v>
      </c>
      <c r="K1" s="15" t="s">
        <v>85</v>
      </c>
      <c r="L1" s="15" t="s">
        <v>86</v>
      </c>
      <c r="M1" s="15" t="s">
        <v>87</v>
      </c>
      <c r="N1" s="15" t="s">
        <v>88</v>
      </c>
      <c r="O1" s="15" t="s">
        <v>89</v>
      </c>
      <c r="Q1" s="16" t="s">
        <v>90</v>
      </c>
      <c r="R1" s="16" t="s">
        <v>91</v>
      </c>
      <c r="S1" s="16" t="s">
        <v>92</v>
      </c>
    </row>
    <row r="2" customFormat="false" ht="15" hidden="false" customHeight="false" outlineLevel="0" collapsed="false">
      <c r="A2" s="17" t="s">
        <v>93</v>
      </c>
      <c r="B2" s="17" t="s">
        <v>94</v>
      </c>
      <c r="C2" s="18" t="n">
        <v>45417</v>
      </c>
      <c r="D2" s="19" t="n">
        <v>3</v>
      </c>
      <c r="E2" s="17" t="s">
        <v>95</v>
      </c>
      <c r="F2" s="19" t="n">
        <v>2</v>
      </c>
      <c r="G2" s="17" t="s">
        <v>96</v>
      </c>
      <c r="H2" s="19" t="n">
        <v>4</v>
      </c>
      <c r="I2" s="17" t="s">
        <v>97</v>
      </c>
      <c r="J2" s="20" t="n">
        <f aca="false">DATEDIF(C2,$R$2,"Y")</f>
        <v>2</v>
      </c>
      <c r="K2" s="20" t="n">
        <f aca="false">VLOOKUP(J2,Acuan!$A$2:$B$6,2,TRUE())</f>
        <v>12</v>
      </c>
      <c r="L2" s="20" t="n">
        <f aca="false">IF(E2="Disetujui",D2,0)+IF(G2="Disetujui",F2,0)+IF(I2="Disetujui",H2,0)</f>
        <v>2</v>
      </c>
      <c r="M2" s="20" t="n">
        <f aca="false">K2-L2</f>
        <v>10</v>
      </c>
      <c r="N2" s="20" t="n">
        <f aca="false">IF(M2&gt;$R$3,M2-$R$3,0)</f>
        <v>4</v>
      </c>
      <c r="O2" s="21" t="str">
        <f aca="false">IF(M2=0,"Habis",IF(M2&lt;=$R$4,"Menipis",IF(N2&gt;0,"Ada Hangus","Aman")))</f>
        <v>Ada Hangus</v>
      </c>
      <c r="Q2" s="22" t="s">
        <v>98</v>
      </c>
      <c r="R2" s="23" t="n">
        <v>46387</v>
      </c>
      <c r="S2" s="22"/>
    </row>
    <row r="3" customFormat="false" ht="15" hidden="false" customHeight="false" outlineLevel="0" collapsed="false">
      <c r="A3" s="17" t="s">
        <v>99</v>
      </c>
      <c r="B3" s="17" t="s">
        <v>100</v>
      </c>
      <c r="C3" s="18" t="n">
        <v>42837</v>
      </c>
      <c r="D3" s="19" t="n">
        <v>1</v>
      </c>
      <c r="E3" s="17" t="s">
        <v>95</v>
      </c>
      <c r="F3" s="19" t="n">
        <v>7</v>
      </c>
      <c r="G3" s="17" t="s">
        <v>96</v>
      </c>
      <c r="H3" s="19" t="n">
        <v>4</v>
      </c>
      <c r="I3" s="17" t="s">
        <v>96</v>
      </c>
      <c r="J3" s="20" t="n">
        <f aca="false">DATEDIF(C3,$R$2,"Y")</f>
        <v>9</v>
      </c>
      <c r="K3" s="20" t="n">
        <f aca="false">VLOOKUP(J3,Acuan!$A$2:$B$6,2,TRUE())</f>
        <v>16</v>
      </c>
      <c r="L3" s="20" t="n">
        <f aca="false">IF(E3="Disetujui",D3,0)+IF(G3="Disetujui",F3,0)+IF(I3="Disetujui",H3,0)</f>
        <v>11</v>
      </c>
      <c r="M3" s="20" t="n">
        <f aca="false">K3-L3</f>
        <v>5</v>
      </c>
      <c r="N3" s="20" t="n">
        <f aca="false">IF(M3&gt;$R$3,M3-$R$3,0)</f>
        <v>0</v>
      </c>
      <c r="O3" s="21" t="str">
        <f aca="false">IF(M3=0,"Habis",IF(M3&lt;=$R$4,"Menipis",IF(N3&gt;0,"Ada Hangus","Aman")))</f>
        <v>Aman</v>
      </c>
      <c r="Q3" s="22" t="s">
        <v>101</v>
      </c>
      <c r="R3" s="24" t="n">
        <v>6</v>
      </c>
      <c r="S3" s="22" t="s">
        <v>102</v>
      </c>
    </row>
    <row r="4" customFormat="false" ht="15" hidden="false" customHeight="false" outlineLevel="0" collapsed="false">
      <c r="A4" s="17" t="s">
        <v>103</v>
      </c>
      <c r="B4" s="17" t="s">
        <v>94</v>
      </c>
      <c r="C4" s="18" t="n">
        <v>45729</v>
      </c>
      <c r="D4" s="19" t="n">
        <v>0</v>
      </c>
      <c r="E4" s="17" t="s">
        <v>104</v>
      </c>
      <c r="F4" s="19" t="n">
        <v>2</v>
      </c>
      <c r="G4" s="17" t="s">
        <v>96</v>
      </c>
      <c r="H4" s="19" t="n">
        <v>4</v>
      </c>
      <c r="I4" s="17" t="s">
        <v>96</v>
      </c>
      <c r="J4" s="20" t="n">
        <f aca="false">DATEDIF(C4,$R$2,"Y")</f>
        <v>1</v>
      </c>
      <c r="K4" s="20" t="n">
        <f aca="false">VLOOKUP(J4,Acuan!$A$2:$B$6,2,TRUE())</f>
        <v>12</v>
      </c>
      <c r="L4" s="20" t="n">
        <f aca="false">IF(E4="Disetujui",D4,0)+IF(G4="Disetujui",F4,0)+IF(I4="Disetujui",H4,0)</f>
        <v>6</v>
      </c>
      <c r="M4" s="20" t="n">
        <f aca="false">K4-L4</f>
        <v>6</v>
      </c>
      <c r="N4" s="20" t="n">
        <f aca="false">IF(M4&gt;$R$3,M4-$R$3,0)</f>
        <v>0</v>
      </c>
      <c r="O4" s="21" t="str">
        <f aca="false">IF(M4=0,"Habis",IF(M4&lt;=$R$4,"Menipis",IF(N4&gt;0,"Ada Hangus","Aman")))</f>
        <v>Aman</v>
      </c>
      <c r="Q4" s="22" t="s">
        <v>105</v>
      </c>
      <c r="R4" s="24" t="n">
        <v>3</v>
      </c>
      <c r="S4" s="22" t="s">
        <v>106</v>
      </c>
    </row>
    <row r="5" customFormat="false" ht="15" hidden="false" customHeight="false" outlineLevel="0" collapsed="false">
      <c r="A5" s="17" t="s">
        <v>107</v>
      </c>
      <c r="B5" s="17" t="s">
        <v>108</v>
      </c>
      <c r="C5" s="18" t="n">
        <v>44687</v>
      </c>
      <c r="D5" s="19" t="n">
        <v>0</v>
      </c>
      <c r="E5" s="17" t="s">
        <v>104</v>
      </c>
      <c r="F5" s="19" t="n">
        <v>4</v>
      </c>
      <c r="G5" s="17" t="s">
        <v>96</v>
      </c>
      <c r="H5" s="19" t="n">
        <v>3</v>
      </c>
      <c r="I5" s="17" t="s">
        <v>96</v>
      </c>
      <c r="J5" s="20" t="n">
        <f aca="false">DATEDIF(C5,$R$2,"Y")</f>
        <v>4</v>
      </c>
      <c r="K5" s="20" t="n">
        <f aca="false">VLOOKUP(J5,Acuan!$A$2:$B$6,2,TRUE())</f>
        <v>14</v>
      </c>
      <c r="L5" s="20" t="n">
        <f aca="false">IF(E5="Disetujui",D5,0)+IF(G5="Disetujui",F5,0)+IF(I5="Disetujui",H5,0)</f>
        <v>7</v>
      </c>
      <c r="M5" s="20" t="n">
        <f aca="false">K5-L5</f>
        <v>7</v>
      </c>
      <c r="N5" s="20" t="n">
        <f aca="false">IF(M5&gt;$R$3,M5-$R$3,0)</f>
        <v>1</v>
      </c>
      <c r="O5" s="21" t="str">
        <f aca="false">IF(M5=0,"Habis",IF(M5&lt;=$R$4,"Menipis",IF(N5&gt;0,"Ada Hangus","Aman")))</f>
        <v>Ada Hangus</v>
      </c>
    </row>
    <row r="6" customFormat="false" ht="15" hidden="false" customHeight="false" outlineLevel="0" collapsed="false">
      <c r="A6" s="17" t="s">
        <v>109</v>
      </c>
      <c r="B6" s="17" t="s">
        <v>100</v>
      </c>
      <c r="C6" s="18" t="n">
        <v>46151</v>
      </c>
      <c r="D6" s="19" t="n">
        <v>1</v>
      </c>
      <c r="E6" s="17" t="s">
        <v>96</v>
      </c>
      <c r="F6" s="19" t="n">
        <v>2</v>
      </c>
      <c r="G6" s="17" t="s">
        <v>96</v>
      </c>
      <c r="H6" s="19" t="n">
        <v>1</v>
      </c>
      <c r="I6" s="17" t="s">
        <v>97</v>
      </c>
      <c r="J6" s="20" t="n">
        <f aca="false">DATEDIF(C6,$R$2,"Y")</f>
        <v>0</v>
      </c>
      <c r="K6" s="20" t="n">
        <f aca="false">VLOOKUP(J6,Acuan!$A$2:$B$6,2,TRUE())</f>
        <v>6</v>
      </c>
      <c r="L6" s="20" t="n">
        <f aca="false">IF(E6="Disetujui",D6,0)+IF(G6="Disetujui",F6,0)+IF(I6="Disetujui",H6,0)</f>
        <v>3</v>
      </c>
      <c r="M6" s="20" t="n">
        <f aca="false">K6-L6</f>
        <v>3</v>
      </c>
      <c r="N6" s="20" t="n">
        <f aca="false">IF(M6&gt;$R$3,M6-$R$3,0)</f>
        <v>0</v>
      </c>
      <c r="O6" s="21" t="str">
        <f aca="false">IF(M6=0,"Habis",IF(M6&lt;=$R$4,"Menipis",IF(N6&gt;0,"Ada Hangus","Aman")))</f>
        <v>Menipis</v>
      </c>
    </row>
    <row r="7" customFormat="false" ht="15" hidden="false" customHeight="false" outlineLevel="0" collapsed="false">
      <c r="A7" s="17" t="s">
        <v>110</v>
      </c>
      <c r="B7" s="17" t="s">
        <v>111</v>
      </c>
      <c r="C7" s="18" t="n">
        <v>44386</v>
      </c>
      <c r="D7" s="19" t="n">
        <v>3</v>
      </c>
      <c r="E7" s="17" t="s">
        <v>95</v>
      </c>
      <c r="F7" s="19" t="n">
        <v>7</v>
      </c>
      <c r="G7" s="17" t="s">
        <v>96</v>
      </c>
      <c r="H7" s="19" t="n">
        <v>3</v>
      </c>
      <c r="I7" s="17" t="s">
        <v>96</v>
      </c>
      <c r="J7" s="20" t="n">
        <f aca="false">DATEDIF(C7,$R$2,"Y")</f>
        <v>5</v>
      </c>
      <c r="K7" s="20" t="n">
        <f aca="false">VLOOKUP(J7,Acuan!$A$2:$B$6,2,TRUE())</f>
        <v>14</v>
      </c>
      <c r="L7" s="20" t="n">
        <f aca="false">IF(E7="Disetujui",D7,0)+IF(G7="Disetujui",F7,0)+IF(I7="Disetujui",H7,0)</f>
        <v>10</v>
      </c>
      <c r="M7" s="20" t="n">
        <f aca="false">K7-L7</f>
        <v>4</v>
      </c>
      <c r="N7" s="20" t="n">
        <f aca="false">IF(M7&gt;$R$3,M7-$R$3,0)</f>
        <v>0</v>
      </c>
      <c r="O7" s="21" t="str">
        <f aca="false">IF(M7=0,"Habis",IF(M7&lt;=$R$4,"Menipis",IF(N7&gt;0,"Ada Hangus","Aman")))</f>
        <v>Aman</v>
      </c>
    </row>
    <row r="8" customFormat="false" ht="15" hidden="false" customHeight="false" outlineLevel="0" collapsed="false">
      <c r="A8" s="17" t="s">
        <v>112</v>
      </c>
      <c r="B8" s="17" t="s">
        <v>94</v>
      </c>
      <c r="C8" s="18" t="n">
        <v>43977</v>
      </c>
      <c r="D8" s="19" t="n">
        <v>6</v>
      </c>
      <c r="E8" s="17" t="s">
        <v>96</v>
      </c>
      <c r="F8" s="19" t="n">
        <v>3</v>
      </c>
      <c r="G8" s="17" t="s">
        <v>95</v>
      </c>
      <c r="H8" s="19" t="n">
        <v>7</v>
      </c>
      <c r="I8" s="17" t="s">
        <v>96</v>
      </c>
      <c r="J8" s="20" t="n">
        <f aca="false">DATEDIF(C8,$R$2,"Y")</f>
        <v>6</v>
      </c>
      <c r="K8" s="20" t="n">
        <f aca="false">VLOOKUP(J8,Acuan!$A$2:$B$6,2,TRUE())</f>
        <v>16</v>
      </c>
      <c r="L8" s="20" t="n">
        <f aca="false">IF(E8="Disetujui",D8,0)+IF(G8="Disetujui",F8,0)+IF(I8="Disetujui",H8,0)</f>
        <v>13</v>
      </c>
      <c r="M8" s="20" t="n">
        <f aca="false">K8-L8</f>
        <v>3</v>
      </c>
      <c r="N8" s="20" t="n">
        <f aca="false">IF(M8&gt;$R$3,M8-$R$3,0)</f>
        <v>0</v>
      </c>
      <c r="O8" s="21" t="str">
        <f aca="false">IF(M8=0,"Habis",IF(M8&lt;=$R$4,"Menipis",IF(N8&gt;0,"Ada Hangus","Aman")))</f>
        <v>Menipis</v>
      </c>
    </row>
    <row r="9" customFormat="false" ht="15" hidden="false" customHeight="false" outlineLevel="0" collapsed="false">
      <c r="A9" s="17" t="s">
        <v>113</v>
      </c>
      <c r="B9" s="17" t="s">
        <v>94</v>
      </c>
      <c r="C9" s="18" t="n">
        <v>43067</v>
      </c>
      <c r="D9" s="19" t="n">
        <v>0</v>
      </c>
      <c r="E9" s="17" t="s">
        <v>104</v>
      </c>
      <c r="F9" s="19" t="n">
        <v>7</v>
      </c>
      <c r="G9" s="17" t="s">
        <v>96</v>
      </c>
      <c r="H9" s="19" t="n">
        <v>7</v>
      </c>
      <c r="I9" s="17" t="s">
        <v>96</v>
      </c>
      <c r="J9" s="20" t="n">
        <f aca="false">DATEDIF(C9,$R$2,"Y")</f>
        <v>9</v>
      </c>
      <c r="K9" s="20" t="n">
        <f aca="false">VLOOKUP(J9,Acuan!$A$2:$B$6,2,TRUE())</f>
        <v>16</v>
      </c>
      <c r="L9" s="20" t="n">
        <f aca="false">IF(E9="Disetujui",D9,0)+IF(G9="Disetujui",F9,0)+IF(I9="Disetujui",H9,0)</f>
        <v>14</v>
      </c>
      <c r="M9" s="20" t="n">
        <f aca="false">K9-L9</f>
        <v>2</v>
      </c>
      <c r="N9" s="20" t="n">
        <f aca="false">IF(M9&gt;$R$3,M9-$R$3,0)</f>
        <v>0</v>
      </c>
      <c r="O9" s="21" t="str">
        <f aca="false">IF(M9=0,"Habis",IF(M9&lt;=$R$4,"Menipis",IF(N9&gt;0,"Ada Hangus","Aman")))</f>
        <v>Menipis</v>
      </c>
    </row>
    <row r="10" customFormat="false" ht="15" hidden="false" customHeight="false" outlineLevel="0" collapsed="false">
      <c r="A10" s="17" t="s">
        <v>114</v>
      </c>
      <c r="B10" s="17" t="s">
        <v>108</v>
      </c>
      <c r="C10" s="18" t="n">
        <v>44609</v>
      </c>
      <c r="D10" s="19" t="n">
        <v>1</v>
      </c>
      <c r="E10" s="17" t="s">
        <v>96</v>
      </c>
      <c r="F10" s="19" t="n">
        <v>2</v>
      </c>
      <c r="G10" s="17" t="s">
        <v>96</v>
      </c>
      <c r="H10" s="19" t="n">
        <v>2</v>
      </c>
      <c r="I10" s="17" t="s">
        <v>96</v>
      </c>
      <c r="J10" s="20" t="n">
        <f aca="false">DATEDIF(C10,$R$2,"Y")</f>
        <v>4</v>
      </c>
      <c r="K10" s="20" t="n">
        <f aca="false">VLOOKUP(J10,Acuan!$A$2:$B$6,2,TRUE())</f>
        <v>14</v>
      </c>
      <c r="L10" s="20" t="n">
        <f aca="false">IF(E10="Disetujui",D10,0)+IF(G10="Disetujui",F10,0)+IF(I10="Disetujui",H10,0)</f>
        <v>5</v>
      </c>
      <c r="M10" s="20" t="n">
        <f aca="false">K10-L10</f>
        <v>9</v>
      </c>
      <c r="N10" s="20" t="n">
        <f aca="false">IF(M10&gt;$R$3,M10-$R$3,0)</f>
        <v>3</v>
      </c>
      <c r="O10" s="21" t="str">
        <f aca="false">IF(M10=0,"Habis",IF(M10&lt;=$R$4,"Menipis",IF(N10&gt;0,"Ada Hangus","Aman")))</f>
        <v>Ada Hangus</v>
      </c>
    </row>
    <row r="11" customFormat="false" ht="15" hidden="false" customHeight="false" outlineLevel="0" collapsed="false">
      <c r="A11" s="17" t="s">
        <v>115</v>
      </c>
      <c r="B11" s="17" t="s">
        <v>100</v>
      </c>
      <c r="C11" s="18" t="n">
        <v>43284</v>
      </c>
      <c r="D11" s="19" t="n">
        <v>0</v>
      </c>
      <c r="E11" s="17" t="s">
        <v>104</v>
      </c>
      <c r="F11" s="19" t="n">
        <v>4</v>
      </c>
      <c r="G11" s="17" t="s">
        <v>96</v>
      </c>
      <c r="H11" s="19" t="n">
        <v>0</v>
      </c>
      <c r="I11" s="17" t="s">
        <v>104</v>
      </c>
      <c r="J11" s="20" t="n">
        <f aca="false">DATEDIF(C11,$R$2,"Y")</f>
        <v>8</v>
      </c>
      <c r="K11" s="20" t="n">
        <f aca="false">VLOOKUP(J11,Acuan!$A$2:$B$6,2,TRUE())</f>
        <v>16</v>
      </c>
      <c r="L11" s="20" t="n">
        <f aca="false">IF(E11="Disetujui",D11,0)+IF(G11="Disetujui",F11,0)+IF(I11="Disetujui",H11,0)</f>
        <v>4</v>
      </c>
      <c r="M11" s="20" t="n">
        <f aca="false">K11-L11</f>
        <v>12</v>
      </c>
      <c r="N11" s="20" t="n">
        <f aca="false">IF(M11&gt;$R$3,M11-$R$3,0)</f>
        <v>6</v>
      </c>
      <c r="O11" s="21" t="str">
        <f aca="false">IF(M11=0,"Habis",IF(M11&lt;=$R$4,"Menipis",IF(N11&gt;0,"Ada Hangus","Aman")))</f>
        <v>Ada Hangus</v>
      </c>
    </row>
    <row r="12" customFormat="false" ht="15" hidden="false" customHeight="false" outlineLevel="0" collapsed="false">
      <c r="A12" s="17" t="s">
        <v>116</v>
      </c>
      <c r="B12" s="17" t="s">
        <v>94</v>
      </c>
      <c r="C12" s="18" t="n">
        <v>46262</v>
      </c>
      <c r="D12" s="19" t="n">
        <v>4</v>
      </c>
      <c r="E12" s="17" t="s">
        <v>97</v>
      </c>
      <c r="F12" s="19" t="n">
        <v>0</v>
      </c>
      <c r="G12" s="17" t="s">
        <v>104</v>
      </c>
      <c r="H12" s="19" t="n">
        <v>4</v>
      </c>
      <c r="I12" s="17" t="s">
        <v>95</v>
      </c>
      <c r="J12" s="20" t="n">
        <f aca="false">DATEDIF(C12,$R$2,"Y")</f>
        <v>0</v>
      </c>
      <c r="K12" s="20" t="n">
        <f aca="false">VLOOKUP(J12,Acuan!$A$2:$B$6,2,TRUE())</f>
        <v>6</v>
      </c>
      <c r="L12" s="20" t="n">
        <f aca="false">IF(E12="Disetujui",D12,0)+IF(G12="Disetujui",F12,0)+IF(I12="Disetujui",H12,0)</f>
        <v>0</v>
      </c>
      <c r="M12" s="20" t="n">
        <f aca="false">K12-L12</f>
        <v>6</v>
      </c>
      <c r="N12" s="20" t="n">
        <f aca="false">IF(M12&gt;$R$3,M12-$R$3,0)</f>
        <v>0</v>
      </c>
      <c r="O12" s="21" t="str">
        <f aca="false">IF(M12=0,"Habis",IF(M12&lt;=$R$4,"Menipis",IF(N12&gt;0,"Ada Hangus","Aman")))</f>
        <v>Aman</v>
      </c>
    </row>
    <row r="13" customFormat="false" ht="15" hidden="false" customHeight="false" outlineLevel="0" collapsed="false">
      <c r="A13" s="17" t="s">
        <v>117</v>
      </c>
      <c r="B13" s="17" t="s">
        <v>94</v>
      </c>
      <c r="C13" s="18" t="n">
        <v>41814</v>
      </c>
      <c r="D13" s="19" t="n">
        <v>4</v>
      </c>
      <c r="E13" s="17" t="s">
        <v>96</v>
      </c>
      <c r="F13" s="19" t="n">
        <v>6</v>
      </c>
      <c r="G13" s="17" t="s">
        <v>96</v>
      </c>
      <c r="H13" s="19" t="n">
        <v>7</v>
      </c>
      <c r="I13" s="17" t="s">
        <v>96</v>
      </c>
      <c r="J13" s="20" t="n">
        <f aca="false">DATEDIF(C13,$R$2,"Y")</f>
        <v>12</v>
      </c>
      <c r="K13" s="20" t="n">
        <f aca="false">VLOOKUP(J13,Acuan!$A$2:$B$6,2,TRUE())</f>
        <v>18</v>
      </c>
      <c r="L13" s="20" t="n">
        <f aca="false">IF(E13="Disetujui",D13,0)+IF(G13="Disetujui",F13,0)+IF(I13="Disetujui",H13,0)</f>
        <v>17</v>
      </c>
      <c r="M13" s="20" t="n">
        <f aca="false">K13-L13</f>
        <v>1</v>
      </c>
      <c r="N13" s="20" t="n">
        <f aca="false">IF(M13&gt;$R$3,M13-$R$3,0)</f>
        <v>0</v>
      </c>
      <c r="O13" s="21" t="str">
        <f aca="false">IF(M13=0,"Habis",IF(M13&lt;=$R$4,"Menipis",IF(N13&gt;0,"Ada Hangus","Aman")))</f>
        <v>Menipis</v>
      </c>
    </row>
    <row r="14" customFormat="false" ht="15" hidden="false" customHeight="false" outlineLevel="0" collapsed="false">
      <c r="A14" s="17" t="s">
        <v>118</v>
      </c>
      <c r="B14" s="17" t="s">
        <v>111</v>
      </c>
      <c r="C14" s="18" t="n">
        <v>42578</v>
      </c>
      <c r="D14" s="19" t="n">
        <v>6</v>
      </c>
      <c r="E14" s="17" t="s">
        <v>96</v>
      </c>
      <c r="F14" s="19" t="n">
        <v>5</v>
      </c>
      <c r="G14" s="17" t="s">
        <v>96</v>
      </c>
      <c r="H14" s="19" t="n">
        <v>0</v>
      </c>
      <c r="I14" s="17" t="s">
        <v>104</v>
      </c>
      <c r="J14" s="20" t="n">
        <f aca="false">DATEDIF(C14,$R$2,"Y")</f>
        <v>10</v>
      </c>
      <c r="K14" s="20" t="n">
        <f aca="false">VLOOKUP(J14,Acuan!$A$2:$B$6,2,TRUE())</f>
        <v>18</v>
      </c>
      <c r="L14" s="20" t="n">
        <f aca="false">IF(E14="Disetujui",D14,0)+IF(G14="Disetujui",F14,0)+IF(I14="Disetujui",H14,0)</f>
        <v>11</v>
      </c>
      <c r="M14" s="20" t="n">
        <f aca="false">K14-L14</f>
        <v>7</v>
      </c>
      <c r="N14" s="20" t="n">
        <f aca="false">IF(M14&gt;$R$3,M14-$R$3,0)</f>
        <v>1</v>
      </c>
      <c r="O14" s="21" t="str">
        <f aca="false">IF(M14=0,"Habis",IF(M14&lt;=$R$4,"Menipis",IF(N14&gt;0,"Ada Hangus","Aman")))</f>
        <v>Ada Hangus</v>
      </c>
    </row>
    <row r="15" customFormat="false" ht="15" hidden="false" customHeight="false" outlineLevel="0" collapsed="false">
      <c r="A15" s="17" t="s">
        <v>119</v>
      </c>
      <c r="B15" s="17" t="s">
        <v>100</v>
      </c>
      <c r="C15" s="18" t="n">
        <v>43643</v>
      </c>
      <c r="D15" s="19" t="n">
        <v>3</v>
      </c>
      <c r="E15" s="17" t="s">
        <v>96</v>
      </c>
      <c r="F15" s="19" t="n">
        <v>6</v>
      </c>
      <c r="G15" s="17" t="s">
        <v>96</v>
      </c>
      <c r="H15" s="19" t="n">
        <v>3</v>
      </c>
      <c r="I15" s="17" t="s">
        <v>96</v>
      </c>
      <c r="J15" s="20" t="n">
        <f aca="false">DATEDIF(C15,$R$2,"Y")</f>
        <v>7</v>
      </c>
      <c r="K15" s="20" t="n">
        <f aca="false">VLOOKUP(J15,Acuan!$A$2:$B$6,2,TRUE())</f>
        <v>16</v>
      </c>
      <c r="L15" s="20" t="n">
        <f aca="false">IF(E15="Disetujui",D15,0)+IF(G15="Disetujui",F15,0)+IF(I15="Disetujui",H15,0)</f>
        <v>12</v>
      </c>
      <c r="M15" s="20" t="n">
        <f aca="false">K15-L15</f>
        <v>4</v>
      </c>
      <c r="N15" s="20" t="n">
        <f aca="false">IF(M15&gt;$R$3,M15-$R$3,0)</f>
        <v>0</v>
      </c>
      <c r="O15" s="21" t="str">
        <f aca="false">IF(M15=0,"Habis",IF(M15&lt;=$R$4,"Menipis",IF(N15&gt;0,"Ada Hangus","Aman")))</f>
        <v>Aman</v>
      </c>
    </row>
    <row r="16" customFormat="false" ht="15" hidden="false" customHeight="false" outlineLevel="0" collapsed="false">
      <c r="A16" s="17" t="s">
        <v>120</v>
      </c>
      <c r="B16" s="17" t="s">
        <v>121</v>
      </c>
      <c r="C16" s="18" t="n">
        <v>43804</v>
      </c>
      <c r="D16" s="19" t="n">
        <v>4</v>
      </c>
      <c r="E16" s="17" t="s">
        <v>96</v>
      </c>
      <c r="F16" s="19" t="n">
        <v>5</v>
      </c>
      <c r="G16" s="17" t="s">
        <v>96</v>
      </c>
      <c r="H16" s="19" t="n">
        <v>7</v>
      </c>
      <c r="I16" s="17" t="s">
        <v>96</v>
      </c>
      <c r="J16" s="20" t="n">
        <f aca="false">DATEDIF(C16,$R$2,"Y")</f>
        <v>7</v>
      </c>
      <c r="K16" s="20" t="n">
        <f aca="false">VLOOKUP(J16,Acuan!$A$2:$B$6,2,TRUE())</f>
        <v>16</v>
      </c>
      <c r="L16" s="20" t="n">
        <f aca="false">IF(E16="Disetujui",D16,0)+IF(G16="Disetujui",F16,0)+IF(I16="Disetujui",H16,0)</f>
        <v>16</v>
      </c>
      <c r="M16" s="20" t="n">
        <f aca="false">K16-L16</f>
        <v>0</v>
      </c>
      <c r="N16" s="20" t="n">
        <f aca="false">IF(M16&gt;$R$3,M16-$R$3,0)</f>
        <v>0</v>
      </c>
      <c r="O16" s="21" t="str">
        <f aca="false">IF(M16=0,"Habis",IF(M16&lt;=$R$4,"Menipis",IF(N16&gt;0,"Ada Hangus","Aman")))</f>
        <v>Habis</v>
      </c>
    </row>
    <row r="17" customFormat="false" ht="15" hidden="false" customHeight="false" outlineLevel="0" collapsed="false">
      <c r="A17" s="17" t="s">
        <v>122</v>
      </c>
      <c r="B17" s="17" t="s">
        <v>111</v>
      </c>
      <c r="C17" s="18" t="n">
        <v>41342</v>
      </c>
      <c r="D17" s="19" t="n">
        <v>3</v>
      </c>
      <c r="E17" s="17" t="s">
        <v>96</v>
      </c>
      <c r="F17" s="19" t="n">
        <v>4</v>
      </c>
      <c r="G17" s="17" t="s">
        <v>96</v>
      </c>
      <c r="H17" s="19" t="n">
        <v>7</v>
      </c>
      <c r="I17" s="17" t="s">
        <v>96</v>
      </c>
      <c r="J17" s="20" t="n">
        <f aca="false">DATEDIF(C17,$R$2,"Y")</f>
        <v>13</v>
      </c>
      <c r="K17" s="20" t="n">
        <f aca="false">VLOOKUP(J17,Acuan!$A$2:$B$6,2,TRUE())</f>
        <v>18</v>
      </c>
      <c r="L17" s="20" t="n">
        <f aca="false">IF(E17="Disetujui",D17,0)+IF(G17="Disetujui",F17,0)+IF(I17="Disetujui",H17,0)</f>
        <v>14</v>
      </c>
      <c r="M17" s="20" t="n">
        <f aca="false">K17-L17</f>
        <v>4</v>
      </c>
      <c r="N17" s="20" t="n">
        <f aca="false">IF(M17&gt;$R$3,M17-$R$3,0)</f>
        <v>0</v>
      </c>
      <c r="O17" s="21" t="str">
        <f aca="false">IF(M17=0,"Habis",IF(M17&lt;=$R$4,"Menipis",IF(N17&gt;0,"Ada Hangus","Aman")))</f>
        <v>Aman</v>
      </c>
    </row>
    <row r="18" customFormat="false" ht="15" hidden="false" customHeight="false" outlineLevel="0" collapsed="false">
      <c r="A18" s="17" t="s">
        <v>123</v>
      </c>
      <c r="B18" s="17" t="s">
        <v>121</v>
      </c>
      <c r="C18" s="18" t="n">
        <v>43910</v>
      </c>
      <c r="D18" s="19" t="n">
        <v>4</v>
      </c>
      <c r="E18" s="17" t="s">
        <v>96</v>
      </c>
      <c r="F18" s="19" t="n">
        <v>0</v>
      </c>
      <c r="G18" s="17" t="s">
        <v>104</v>
      </c>
      <c r="H18" s="19" t="n">
        <v>3</v>
      </c>
      <c r="I18" s="17" t="s">
        <v>95</v>
      </c>
      <c r="J18" s="20" t="n">
        <f aca="false">DATEDIF(C18,$R$2,"Y")</f>
        <v>6</v>
      </c>
      <c r="K18" s="20" t="n">
        <f aca="false">VLOOKUP(J18,Acuan!$A$2:$B$6,2,TRUE())</f>
        <v>16</v>
      </c>
      <c r="L18" s="20" t="n">
        <f aca="false">IF(E18="Disetujui",D18,0)+IF(G18="Disetujui",F18,0)+IF(I18="Disetujui",H18,0)</f>
        <v>4</v>
      </c>
      <c r="M18" s="20" t="n">
        <f aca="false">K18-L18</f>
        <v>12</v>
      </c>
      <c r="N18" s="20" t="n">
        <f aca="false">IF(M18&gt;$R$3,M18-$R$3,0)</f>
        <v>6</v>
      </c>
      <c r="O18" s="21" t="str">
        <f aca="false">IF(M18=0,"Habis",IF(M18&lt;=$R$4,"Menipis",IF(N18&gt;0,"Ada Hangus","Aman")))</f>
        <v>Ada Hangus</v>
      </c>
    </row>
    <row r="19" customFormat="false" ht="15" hidden="false" customHeight="false" outlineLevel="0" collapsed="false">
      <c r="A19" s="17" t="s">
        <v>124</v>
      </c>
      <c r="B19" s="17" t="s">
        <v>121</v>
      </c>
      <c r="C19" s="18" t="n">
        <v>45199</v>
      </c>
      <c r="D19" s="19" t="n">
        <v>7</v>
      </c>
      <c r="E19" s="17" t="s">
        <v>96</v>
      </c>
      <c r="F19" s="19" t="n">
        <v>7</v>
      </c>
      <c r="G19" s="17" t="s">
        <v>96</v>
      </c>
      <c r="H19" s="19" t="n">
        <v>0</v>
      </c>
      <c r="I19" s="17" t="s">
        <v>104</v>
      </c>
      <c r="J19" s="20" t="n">
        <f aca="false">DATEDIF(C19,$R$2,"Y")</f>
        <v>3</v>
      </c>
      <c r="K19" s="20" t="n">
        <f aca="false">VLOOKUP(J19,Acuan!$A$2:$B$6,2,TRUE())</f>
        <v>14</v>
      </c>
      <c r="L19" s="20" t="n">
        <f aca="false">IF(E19="Disetujui",D19,0)+IF(G19="Disetujui",F19,0)+IF(I19="Disetujui",H19,0)</f>
        <v>14</v>
      </c>
      <c r="M19" s="20" t="n">
        <f aca="false">K19-L19</f>
        <v>0</v>
      </c>
      <c r="N19" s="20" t="n">
        <f aca="false">IF(M19&gt;$R$3,M19-$R$3,0)</f>
        <v>0</v>
      </c>
      <c r="O19" s="21" t="str">
        <f aca="false">IF(M19=0,"Habis",IF(M19&lt;=$R$4,"Menipis",IF(N19&gt;0,"Ada Hangus","Aman")))</f>
        <v>Habis</v>
      </c>
    </row>
    <row r="20" customFormat="false" ht="15" hidden="false" customHeight="false" outlineLevel="0" collapsed="false">
      <c r="A20" s="17" t="s">
        <v>125</v>
      </c>
      <c r="B20" s="17" t="s">
        <v>121</v>
      </c>
      <c r="C20" s="18" t="n">
        <v>45760</v>
      </c>
      <c r="D20" s="19" t="n">
        <v>3</v>
      </c>
      <c r="E20" s="17" t="s">
        <v>96</v>
      </c>
      <c r="F20" s="19" t="n">
        <v>4</v>
      </c>
      <c r="G20" s="17" t="s">
        <v>96</v>
      </c>
      <c r="H20" s="19" t="n">
        <v>5</v>
      </c>
      <c r="I20" s="17" t="s">
        <v>96</v>
      </c>
      <c r="J20" s="20" t="n">
        <f aca="false">DATEDIF(C20,$R$2,"Y")</f>
        <v>1</v>
      </c>
      <c r="K20" s="20" t="n">
        <f aca="false">VLOOKUP(J20,Acuan!$A$2:$B$6,2,TRUE())</f>
        <v>12</v>
      </c>
      <c r="L20" s="20" t="n">
        <f aca="false">IF(E20="Disetujui",D20,0)+IF(G20="Disetujui",F20,0)+IF(I20="Disetujui",H20,0)</f>
        <v>12</v>
      </c>
      <c r="M20" s="20" t="n">
        <f aca="false">K20-L20</f>
        <v>0</v>
      </c>
      <c r="N20" s="20" t="n">
        <f aca="false">IF(M20&gt;$R$3,M20-$R$3,0)</f>
        <v>0</v>
      </c>
      <c r="O20" s="21" t="str">
        <f aca="false">IF(M20=0,"Habis",IF(M20&lt;=$R$4,"Menipis",IF(N20&gt;0,"Ada Hangus","Aman")))</f>
        <v>Habis</v>
      </c>
    </row>
    <row r="21" customFormat="false" ht="15" hidden="false" customHeight="false" outlineLevel="0" collapsed="false">
      <c r="A21" s="17" t="s">
        <v>126</v>
      </c>
      <c r="B21" s="17" t="s">
        <v>94</v>
      </c>
      <c r="C21" s="18" t="n">
        <v>46352</v>
      </c>
      <c r="D21" s="19" t="n">
        <v>0</v>
      </c>
      <c r="E21" s="17" t="s">
        <v>104</v>
      </c>
      <c r="F21" s="19" t="n">
        <v>1</v>
      </c>
      <c r="G21" s="17" t="s">
        <v>95</v>
      </c>
      <c r="H21" s="19" t="n">
        <v>0</v>
      </c>
      <c r="I21" s="17" t="s">
        <v>104</v>
      </c>
      <c r="J21" s="20" t="n">
        <f aca="false">DATEDIF(C21,$R$2,"Y")</f>
        <v>0</v>
      </c>
      <c r="K21" s="20" t="n">
        <f aca="false">VLOOKUP(J21,Acuan!$A$2:$B$6,2,TRUE())</f>
        <v>6</v>
      </c>
      <c r="L21" s="20" t="n">
        <f aca="false">IF(E21="Disetujui",D21,0)+IF(G21="Disetujui",F21,0)+IF(I21="Disetujui",H21,0)</f>
        <v>0</v>
      </c>
      <c r="M21" s="20" t="n">
        <f aca="false">K21-L21</f>
        <v>6</v>
      </c>
      <c r="N21" s="20" t="n">
        <f aca="false">IF(M21&gt;$R$3,M21-$R$3,0)</f>
        <v>0</v>
      </c>
      <c r="O21" s="21" t="str">
        <f aca="false">IF(M21=0,"Habis",IF(M21&lt;=$R$4,"Menipis",IF(N21&gt;0,"Ada Hangus","Aman")))</f>
        <v>Aman</v>
      </c>
    </row>
    <row r="22" customFormat="false" ht="15" hidden="false" customHeight="false" outlineLevel="0" collapsed="false">
      <c r="A22" s="17" t="s">
        <v>127</v>
      </c>
      <c r="B22" s="17" t="s">
        <v>100</v>
      </c>
      <c r="C22" s="18" t="n">
        <v>45479</v>
      </c>
      <c r="D22" s="19" t="n">
        <v>0</v>
      </c>
      <c r="E22" s="17" t="s">
        <v>104</v>
      </c>
      <c r="F22" s="19" t="n">
        <v>5</v>
      </c>
      <c r="G22" s="17" t="s">
        <v>96</v>
      </c>
      <c r="H22" s="19" t="n">
        <v>5</v>
      </c>
      <c r="I22" s="17" t="s">
        <v>96</v>
      </c>
      <c r="J22" s="20" t="n">
        <f aca="false">DATEDIF(C22,$R$2,"Y")</f>
        <v>2</v>
      </c>
      <c r="K22" s="20" t="n">
        <f aca="false">VLOOKUP(J22,Acuan!$A$2:$B$6,2,TRUE())</f>
        <v>12</v>
      </c>
      <c r="L22" s="20" t="n">
        <f aca="false">IF(E22="Disetujui",D22,0)+IF(G22="Disetujui",F22,0)+IF(I22="Disetujui",H22,0)</f>
        <v>10</v>
      </c>
      <c r="M22" s="20" t="n">
        <f aca="false">K22-L22</f>
        <v>2</v>
      </c>
      <c r="N22" s="20" t="n">
        <f aca="false">IF(M22&gt;$R$3,M22-$R$3,0)</f>
        <v>0</v>
      </c>
      <c r="O22" s="21" t="str">
        <f aca="false">IF(M22=0,"Habis",IF(M22&lt;=$R$4,"Menipis",IF(N22&gt;0,"Ada Hangus","Aman")))</f>
        <v>Menipis</v>
      </c>
    </row>
    <row r="23" customFormat="false" ht="15" hidden="false" customHeight="false" outlineLevel="0" collapsed="false">
      <c r="A23" s="17" t="s">
        <v>128</v>
      </c>
      <c r="B23" s="17" t="s">
        <v>100</v>
      </c>
      <c r="C23" s="18" t="n">
        <v>42619</v>
      </c>
      <c r="D23" s="19" t="n">
        <v>0</v>
      </c>
      <c r="E23" s="17" t="s">
        <v>104</v>
      </c>
      <c r="F23" s="19" t="n">
        <v>7</v>
      </c>
      <c r="G23" s="17" t="s">
        <v>96</v>
      </c>
      <c r="H23" s="19" t="n">
        <v>4</v>
      </c>
      <c r="I23" s="17" t="s">
        <v>96</v>
      </c>
      <c r="J23" s="20" t="n">
        <f aca="false">DATEDIF(C23,$R$2,"Y")</f>
        <v>10</v>
      </c>
      <c r="K23" s="20" t="n">
        <f aca="false">VLOOKUP(J23,Acuan!$A$2:$B$6,2,TRUE())</f>
        <v>18</v>
      </c>
      <c r="L23" s="20" t="n">
        <f aca="false">IF(E23="Disetujui",D23,0)+IF(G23="Disetujui",F23,0)+IF(I23="Disetujui",H23,0)</f>
        <v>11</v>
      </c>
      <c r="M23" s="20" t="n">
        <f aca="false">K23-L23</f>
        <v>7</v>
      </c>
      <c r="N23" s="20" t="n">
        <f aca="false">IF(M23&gt;$R$3,M23-$R$3,0)</f>
        <v>1</v>
      </c>
      <c r="O23" s="21" t="str">
        <f aca="false">IF(M23=0,"Habis",IF(M23&lt;=$R$4,"Menipis",IF(N23&gt;0,"Ada Hangus","Aman")))</f>
        <v>Ada Hangus</v>
      </c>
    </row>
    <row r="24" customFormat="false" ht="15" hidden="false" customHeight="false" outlineLevel="0" collapsed="false">
      <c r="A24" s="17" t="s">
        <v>129</v>
      </c>
      <c r="B24" s="17" t="s">
        <v>100</v>
      </c>
      <c r="C24" s="18" t="n">
        <v>45227</v>
      </c>
      <c r="D24" s="19" t="n">
        <v>3</v>
      </c>
      <c r="E24" s="17" t="s">
        <v>97</v>
      </c>
      <c r="F24" s="19" t="n">
        <v>7</v>
      </c>
      <c r="G24" s="17" t="s">
        <v>96</v>
      </c>
      <c r="H24" s="19" t="n">
        <v>0</v>
      </c>
      <c r="I24" s="17" t="s">
        <v>104</v>
      </c>
      <c r="J24" s="20" t="n">
        <f aca="false">DATEDIF(C24,$R$2,"Y")</f>
        <v>3</v>
      </c>
      <c r="K24" s="20" t="n">
        <f aca="false">VLOOKUP(J24,Acuan!$A$2:$B$6,2,TRUE())</f>
        <v>14</v>
      </c>
      <c r="L24" s="20" t="n">
        <f aca="false">IF(E24="Disetujui",D24,0)+IF(G24="Disetujui",F24,0)+IF(I24="Disetujui",H24,0)</f>
        <v>7</v>
      </c>
      <c r="M24" s="20" t="n">
        <f aca="false">K24-L24</f>
        <v>7</v>
      </c>
      <c r="N24" s="20" t="n">
        <f aca="false">IF(M24&gt;$R$3,M24-$R$3,0)</f>
        <v>1</v>
      </c>
      <c r="O24" s="21" t="str">
        <f aca="false">IF(M24=0,"Habis",IF(M24&lt;=$R$4,"Menipis",IF(N24&gt;0,"Ada Hangus","Aman")))</f>
        <v>Ada Hangus</v>
      </c>
    </row>
    <row r="25" customFormat="false" ht="15" hidden="false" customHeight="false" outlineLevel="0" collapsed="false">
      <c r="A25" s="17" t="s">
        <v>130</v>
      </c>
      <c r="B25" s="17" t="s">
        <v>121</v>
      </c>
      <c r="C25" s="18" t="n">
        <v>44499</v>
      </c>
      <c r="D25" s="19" t="n">
        <v>4</v>
      </c>
      <c r="E25" s="17" t="s">
        <v>95</v>
      </c>
      <c r="F25" s="19" t="n">
        <v>7</v>
      </c>
      <c r="G25" s="17" t="s">
        <v>96</v>
      </c>
      <c r="H25" s="19" t="n">
        <v>5</v>
      </c>
      <c r="I25" s="17" t="s">
        <v>96</v>
      </c>
      <c r="J25" s="20" t="n">
        <f aca="false">DATEDIF(C25,$R$2,"Y")</f>
        <v>5</v>
      </c>
      <c r="K25" s="20" t="n">
        <f aca="false">VLOOKUP(J25,Acuan!$A$2:$B$6,2,TRUE())</f>
        <v>14</v>
      </c>
      <c r="L25" s="20" t="n">
        <f aca="false">IF(E25="Disetujui",D25,0)+IF(G25="Disetujui",F25,0)+IF(I25="Disetujui",H25,0)</f>
        <v>12</v>
      </c>
      <c r="M25" s="20" t="n">
        <f aca="false">K25-L25</f>
        <v>2</v>
      </c>
      <c r="N25" s="20" t="n">
        <f aca="false">IF(M25&gt;$R$3,M25-$R$3,0)</f>
        <v>0</v>
      </c>
      <c r="O25" s="21" t="str">
        <f aca="false">IF(M25=0,"Habis",IF(M25&lt;=$R$4,"Menipis",IF(N25&gt;0,"Ada Hangus","Aman")))</f>
        <v>Menipis</v>
      </c>
    </row>
    <row r="26" customFormat="false" ht="15" hidden="false" customHeight="false" outlineLevel="0" collapsed="false">
      <c r="A26" s="17" t="s">
        <v>131</v>
      </c>
      <c r="B26" s="17" t="s">
        <v>94</v>
      </c>
      <c r="C26" s="18" t="n">
        <v>43209</v>
      </c>
      <c r="D26" s="19" t="n">
        <v>6</v>
      </c>
      <c r="E26" s="17" t="s">
        <v>96</v>
      </c>
      <c r="F26" s="19" t="n">
        <v>0</v>
      </c>
      <c r="G26" s="17" t="s">
        <v>104</v>
      </c>
      <c r="H26" s="19" t="n">
        <v>6</v>
      </c>
      <c r="I26" s="17" t="s">
        <v>96</v>
      </c>
      <c r="J26" s="20" t="n">
        <f aca="false">DATEDIF(C26,$R$2,"Y")</f>
        <v>8</v>
      </c>
      <c r="K26" s="20" t="n">
        <f aca="false">VLOOKUP(J26,Acuan!$A$2:$B$6,2,TRUE())</f>
        <v>16</v>
      </c>
      <c r="L26" s="20" t="n">
        <f aca="false">IF(E26="Disetujui",D26,0)+IF(G26="Disetujui",F26,0)+IF(I26="Disetujui",H26,0)</f>
        <v>12</v>
      </c>
      <c r="M26" s="20" t="n">
        <f aca="false">K26-L26</f>
        <v>4</v>
      </c>
      <c r="N26" s="20" t="n">
        <f aca="false">IF(M26&gt;$R$3,M26-$R$3,0)</f>
        <v>0</v>
      </c>
      <c r="O26" s="21" t="str">
        <f aca="false">IF(M26=0,"Habis",IF(M26&lt;=$R$4,"Menipis",IF(N26&gt;0,"Ada Hangus","Aman")))</f>
        <v>Aman</v>
      </c>
    </row>
    <row r="27" customFormat="false" ht="15" hidden="false" customHeight="false" outlineLevel="0" collapsed="false">
      <c r="A27" s="17" t="s">
        <v>132</v>
      </c>
      <c r="B27" s="17" t="s">
        <v>121</v>
      </c>
      <c r="C27" s="18" t="n">
        <v>46234</v>
      </c>
      <c r="D27" s="19" t="n">
        <v>0</v>
      </c>
      <c r="E27" s="17" t="s">
        <v>104</v>
      </c>
      <c r="F27" s="19" t="n">
        <v>4</v>
      </c>
      <c r="G27" s="17" t="s">
        <v>95</v>
      </c>
      <c r="H27" s="19" t="n">
        <v>4</v>
      </c>
      <c r="I27" s="17" t="s">
        <v>95</v>
      </c>
      <c r="J27" s="20" t="n">
        <f aca="false">DATEDIF(C27,$R$2,"Y")</f>
        <v>0</v>
      </c>
      <c r="K27" s="20" t="n">
        <f aca="false">VLOOKUP(J27,Acuan!$A$2:$B$6,2,TRUE())</f>
        <v>6</v>
      </c>
      <c r="L27" s="20" t="n">
        <f aca="false">IF(E27="Disetujui",D27,0)+IF(G27="Disetujui",F27,0)+IF(I27="Disetujui",H27,0)</f>
        <v>0</v>
      </c>
      <c r="M27" s="20" t="n">
        <f aca="false">K27-L27</f>
        <v>6</v>
      </c>
      <c r="N27" s="20" t="n">
        <f aca="false">IF(M27&gt;$R$3,M27-$R$3,0)</f>
        <v>0</v>
      </c>
      <c r="O27" s="21" t="str">
        <f aca="false">IF(M27=0,"Habis",IF(M27&lt;=$R$4,"Menipis",IF(N27&gt;0,"Ada Hangus","Aman")))</f>
        <v>Aman</v>
      </c>
    </row>
    <row r="28" customFormat="false" ht="15" hidden="false" customHeight="false" outlineLevel="0" collapsed="false">
      <c r="A28" s="17" t="s">
        <v>133</v>
      </c>
      <c r="B28" s="17" t="s">
        <v>111</v>
      </c>
      <c r="C28" s="18" t="n">
        <v>42101</v>
      </c>
      <c r="D28" s="19" t="n">
        <v>1</v>
      </c>
      <c r="E28" s="17" t="s">
        <v>96</v>
      </c>
      <c r="F28" s="19" t="n">
        <v>3</v>
      </c>
      <c r="G28" s="17" t="s">
        <v>96</v>
      </c>
      <c r="H28" s="19" t="n">
        <v>1</v>
      </c>
      <c r="I28" s="17" t="s">
        <v>96</v>
      </c>
      <c r="J28" s="20" t="n">
        <f aca="false">DATEDIF(C28,$R$2,"Y")</f>
        <v>11</v>
      </c>
      <c r="K28" s="20" t="n">
        <f aca="false">VLOOKUP(J28,Acuan!$A$2:$B$6,2,TRUE())</f>
        <v>18</v>
      </c>
      <c r="L28" s="20" t="n">
        <f aca="false">IF(E28="Disetujui",D28,0)+IF(G28="Disetujui",F28,0)+IF(I28="Disetujui",H28,0)</f>
        <v>5</v>
      </c>
      <c r="M28" s="20" t="n">
        <f aca="false">K28-L28</f>
        <v>13</v>
      </c>
      <c r="N28" s="20" t="n">
        <f aca="false">IF(M28&gt;$R$3,M28-$R$3,0)</f>
        <v>7</v>
      </c>
      <c r="O28" s="21" t="str">
        <f aca="false">IF(M28=0,"Habis",IF(M28&lt;=$R$4,"Menipis",IF(N28&gt;0,"Ada Hangus","Aman")))</f>
        <v>Ada Hangus</v>
      </c>
    </row>
    <row r="29" customFormat="false" ht="15" hidden="false" customHeight="false" outlineLevel="0" collapsed="false">
      <c r="A29" s="17" t="s">
        <v>134</v>
      </c>
      <c r="B29" s="17" t="s">
        <v>108</v>
      </c>
      <c r="C29" s="18" t="n">
        <v>45857</v>
      </c>
      <c r="D29" s="19" t="n">
        <v>4</v>
      </c>
      <c r="E29" s="17" t="s">
        <v>97</v>
      </c>
      <c r="F29" s="19" t="n">
        <v>6</v>
      </c>
      <c r="G29" s="17" t="s">
        <v>96</v>
      </c>
      <c r="H29" s="19" t="n">
        <v>6</v>
      </c>
      <c r="I29" s="17" t="s">
        <v>96</v>
      </c>
      <c r="J29" s="20" t="n">
        <f aca="false">DATEDIF(C29,$R$2,"Y")</f>
        <v>1</v>
      </c>
      <c r="K29" s="20" t="n">
        <f aca="false">VLOOKUP(J29,Acuan!$A$2:$B$6,2,TRUE())</f>
        <v>12</v>
      </c>
      <c r="L29" s="20" t="n">
        <f aca="false">IF(E29="Disetujui",D29,0)+IF(G29="Disetujui",F29,0)+IF(I29="Disetujui",H29,0)</f>
        <v>12</v>
      </c>
      <c r="M29" s="20" t="n">
        <f aca="false">K29-L29</f>
        <v>0</v>
      </c>
      <c r="N29" s="20" t="n">
        <f aca="false">IF(M29&gt;$R$3,M29-$R$3,0)</f>
        <v>0</v>
      </c>
      <c r="O29" s="21" t="str">
        <f aca="false">IF(M29=0,"Habis",IF(M29&lt;=$R$4,"Menipis",IF(N29&gt;0,"Ada Hangus","Aman")))</f>
        <v>Habis</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0"/>
    <col collapsed="false" customWidth="true" hidden="false" outlineLevel="0" max="3" min="3" style="0" width="15"/>
    <col collapsed="false" customWidth="true" hidden="false" outlineLevel="0" max="4" min="4" style="0" width="11"/>
  </cols>
  <sheetData>
    <row r="1" customFormat="false" ht="33.75" hidden="false" customHeight="true" outlineLevel="0" collapsed="false">
      <c r="A1" s="11" t="s">
        <v>135</v>
      </c>
      <c r="B1" s="11" t="s">
        <v>85</v>
      </c>
      <c r="C1" s="15" t="s">
        <v>136</v>
      </c>
      <c r="D1" s="15" t="s">
        <v>137</v>
      </c>
    </row>
    <row r="2" customFormat="false" ht="15" hidden="false" customHeight="false" outlineLevel="0" collapsed="false">
      <c r="A2" s="19" t="n">
        <v>0</v>
      </c>
      <c r="B2" s="19" t="n">
        <v>6</v>
      </c>
      <c r="C2" s="20" t="n">
        <f aca="false">COUNTIF(Data!$K$2:$K$29,B2)</f>
        <v>4</v>
      </c>
      <c r="D2" s="20" t="n">
        <f aca="false">SUMIF(Data!$K$2:$K$29,B2,Data!$M$2:$M$29)</f>
        <v>21</v>
      </c>
    </row>
    <row r="3" customFormat="false" ht="15" hidden="false" customHeight="false" outlineLevel="0" collapsed="false">
      <c r="A3" s="19" t="n">
        <v>1</v>
      </c>
      <c r="B3" s="19" t="n">
        <v>12</v>
      </c>
      <c r="C3" s="20" t="n">
        <f aca="false">COUNTIF(Data!$K$2:$K$29,B3)</f>
        <v>5</v>
      </c>
      <c r="D3" s="20" t="n">
        <f aca="false">SUMIF(Data!$K$2:$K$29,B3,Data!$M$2:$M$29)</f>
        <v>18</v>
      </c>
    </row>
    <row r="4" customFormat="false" ht="15" hidden="false" customHeight="false" outlineLevel="0" collapsed="false">
      <c r="A4" s="19" t="n">
        <v>3</v>
      </c>
      <c r="B4" s="19" t="n">
        <v>14</v>
      </c>
      <c r="C4" s="20" t="n">
        <f aca="false">COUNTIF(Data!$K$2:$K$29,B4)</f>
        <v>6</v>
      </c>
      <c r="D4" s="20" t="n">
        <f aca="false">SUMIF(Data!$K$2:$K$29,B4,Data!$M$2:$M$29)</f>
        <v>29</v>
      </c>
    </row>
    <row r="5" customFormat="false" ht="15" hidden="false" customHeight="false" outlineLevel="0" collapsed="false">
      <c r="A5" s="19" t="n">
        <v>6</v>
      </c>
      <c r="B5" s="19" t="n">
        <v>16</v>
      </c>
      <c r="C5" s="20" t="n">
        <f aca="false">COUNTIF(Data!$K$2:$K$29,B5)</f>
        <v>8</v>
      </c>
      <c r="D5" s="20" t="n">
        <f aca="false">SUMIF(Data!$K$2:$K$29,B5,Data!$M$2:$M$29)</f>
        <v>42</v>
      </c>
    </row>
    <row r="6" customFormat="false" ht="15" hidden="false" customHeight="false" outlineLevel="0" collapsed="false">
      <c r="A6" s="19" t="n">
        <v>10</v>
      </c>
      <c r="B6" s="19" t="n">
        <v>18</v>
      </c>
      <c r="C6" s="20" t="n">
        <f aca="false">COUNTIF(Data!$K$2:$K$29,B6)</f>
        <v>5</v>
      </c>
      <c r="D6" s="20" t="n">
        <f aca="false">SUMIF(Data!$K$2:$K$29,B6,Data!$M$2:$M$29)</f>
        <v>32</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5" t="s">
        <v>138</v>
      </c>
      <c r="B1" s="25"/>
      <c r="C1" s="25"/>
      <c r="D1" s="25"/>
    </row>
    <row r="2" customFormat="false" ht="15" hidden="false" customHeight="false" outlineLevel="0" collapsed="false">
      <c r="A2" s="26" t="s">
        <v>139</v>
      </c>
      <c r="B2" s="26"/>
      <c r="C2" s="26"/>
      <c r="D2" s="26"/>
    </row>
    <row r="3" customFormat="false" ht="15" hidden="false" customHeight="false" outlineLevel="0" collapsed="false">
      <c r="A3" s="11" t="s">
        <v>19</v>
      </c>
      <c r="B3" s="11" t="s">
        <v>140</v>
      </c>
      <c r="C3" s="11" t="s">
        <v>141</v>
      </c>
      <c r="D3" s="11" t="s">
        <v>142</v>
      </c>
    </row>
    <row r="4" customFormat="false" ht="15" hidden="false" customHeight="false" outlineLevel="0" collapsed="false">
      <c r="A4" s="27" t="s">
        <v>143</v>
      </c>
      <c r="B4" s="28" t="s">
        <v>144</v>
      </c>
      <c r="C4" s="20" t="n">
        <f aca="false">SUM(Data!$K$2:$K$29)</f>
        <v>386</v>
      </c>
      <c r="D4" s="29" t="s">
        <v>145</v>
      </c>
    </row>
    <row r="5" customFormat="false" ht="15" hidden="false" customHeight="false" outlineLevel="0" collapsed="false">
      <c r="A5" s="27" t="s">
        <v>146</v>
      </c>
      <c r="B5" s="28" t="s">
        <v>147</v>
      </c>
      <c r="C5" s="20" t="n">
        <f aca="false">SUM(Data!$L$2:$L$29)</f>
        <v>244</v>
      </c>
      <c r="D5" s="29" t="s">
        <v>148</v>
      </c>
    </row>
    <row r="6" customFormat="false" ht="15" hidden="false" customHeight="false" outlineLevel="0" collapsed="false">
      <c r="A6" s="27" t="s">
        <v>149</v>
      </c>
      <c r="B6" s="28" t="s">
        <v>150</v>
      </c>
      <c r="C6" s="20" t="n">
        <f aca="false">SUM(Data!$N$2:$N$29)</f>
        <v>30</v>
      </c>
      <c r="D6" s="29" t="s">
        <v>151</v>
      </c>
    </row>
    <row r="7" customFormat="false" ht="15" hidden="false" customHeight="false" outlineLevel="0" collapsed="false">
      <c r="A7" s="27" t="s">
        <v>152</v>
      </c>
      <c r="B7" s="28" t="s">
        <v>153</v>
      </c>
      <c r="C7" s="20" t="n">
        <f aca="false">COUNTIF(Data!$O$2:$O$29,"Habis")</f>
        <v>4</v>
      </c>
      <c r="D7" s="29" t="s">
        <v>154</v>
      </c>
    </row>
    <row r="8" customFormat="false" ht="15" hidden="false" customHeight="false" outlineLevel="0" collapsed="false">
      <c r="A8" s="27" t="s">
        <v>155</v>
      </c>
      <c r="B8" s="28" t="s">
        <v>156</v>
      </c>
      <c r="C8" s="20" t="n">
        <f aca="false">COUNTIF(Data!$O$2:$O$29,"Menipis")</f>
        <v>6</v>
      </c>
      <c r="D8" s="29" t="s">
        <v>157</v>
      </c>
    </row>
    <row r="9" customFormat="false" ht="15" hidden="false" customHeight="false" outlineLevel="0" collapsed="false">
      <c r="A9" s="27" t="s">
        <v>158</v>
      </c>
      <c r="B9" s="28" t="s">
        <v>159</v>
      </c>
      <c r="C9" s="20" t="n">
        <f aca="false">COUNTIF(Data!$O$2:$O$29,"Ada Hangus")</f>
        <v>9</v>
      </c>
      <c r="D9" s="29" t="s">
        <v>160</v>
      </c>
    </row>
    <row r="10" customFormat="false" ht="15" hidden="false" customHeight="false" outlineLevel="0" collapsed="false">
      <c r="A10" s="27" t="s">
        <v>161</v>
      </c>
      <c r="B10" s="28" t="s">
        <v>162</v>
      </c>
      <c r="C10" s="20" t="n">
        <f aca="false">COUNTIF(Data!$O$2:$O$29,"Aman")</f>
        <v>9</v>
      </c>
      <c r="D10" s="29" t="s">
        <v>163</v>
      </c>
    </row>
    <row r="11" customFormat="false" ht="15" hidden="false" customHeight="false" outlineLevel="0" collapsed="false">
      <c r="A11" s="27" t="s">
        <v>164</v>
      </c>
      <c r="B11" s="28" t="s">
        <v>165</v>
      </c>
      <c r="C11" s="21" t="str">
        <f aca="false">INDEX(Data!$A$2:$A$29,MATCH(MAX(Data!$L$2:$L$29),Data!$L$2:$L$29,0))</f>
        <v>Fajar Firmansyah</v>
      </c>
      <c r="D11" s="29" t="s">
        <v>166</v>
      </c>
    </row>
    <row r="12" customFormat="false" ht="15" hidden="false" customHeight="false" outlineLevel="0" collapsed="false">
      <c r="A12" s="27" t="s">
        <v>167</v>
      </c>
      <c r="B12" s="28" t="s">
        <v>168</v>
      </c>
      <c r="C12" s="21" t="str">
        <f aca="false">INDEX(Data!$A$2:$A$29,MATCH(MAX(Data!$M$2:$M$29),Data!$M$2:$M$29,0))</f>
        <v>Edi Sari</v>
      </c>
      <c r="D12" s="29" t="s">
        <v>166</v>
      </c>
    </row>
    <row r="13" customFormat="false" ht="15" hidden="false" customHeight="false" outlineLevel="0" collapsed="false">
      <c r="A13" s="27" t="s">
        <v>169</v>
      </c>
      <c r="B13" s="28" t="s">
        <v>170</v>
      </c>
      <c r="C13" s="20" t="n">
        <f aca="false">MAX(Acuan!$B$2:$B$6)</f>
        <v>18</v>
      </c>
      <c r="D13" s="29" t="s">
        <v>171</v>
      </c>
    </row>
    <row r="14" customFormat="false" ht="15" hidden="false" customHeight="false" outlineLevel="0" collapsed="false">
      <c r="A14" s="27" t="s">
        <v>172</v>
      </c>
      <c r="B14" s="28" t="s">
        <v>173</v>
      </c>
      <c r="C14" s="30" t="n">
        <f aca="false">AVERAGEIF(Data!$B$2:$B$29,"Produksi",Data!$M$2:$M$29)</f>
        <v>4.75</v>
      </c>
      <c r="D14" s="29" t="s">
        <v>174</v>
      </c>
    </row>
    <row r="15" customFormat="false" ht="15" hidden="false" customHeight="false" outlineLevel="0" collapsed="false">
      <c r="A15" s="27" t="s">
        <v>175</v>
      </c>
      <c r="B15" s="28" t="s">
        <v>176</v>
      </c>
      <c r="C15" s="20" t="n">
        <f aca="false">COUNTIFS(Data!$B$2:$B$29,"Gudang",Data!$O$2:$O$29,"Ada Hangus")</f>
        <v>3</v>
      </c>
      <c r="D15" s="29" t="s">
        <v>177</v>
      </c>
    </row>
    <row r="16" customFormat="false" ht="15" hidden="false" customHeight="false" outlineLevel="0" collapsed="false">
      <c r="A16" s="27" t="s">
        <v>178</v>
      </c>
      <c r="B16" s="28" t="s">
        <v>179</v>
      </c>
      <c r="C16" s="20" t="n">
        <f aca="false">SUMPRODUCT((Data!$J$2:$J$29&gt;=5)*(Data!$E$2:$E$29&lt;&gt;"Ditolak")*(Data!$G$2:$G$29&lt;&gt;"Ditolak")*(Data!$I$2:$I$29&lt;&gt;"Ditolak"))</f>
        <v>15</v>
      </c>
      <c r="D16" s="29" t="s">
        <v>180</v>
      </c>
    </row>
    <row r="17" customFormat="false" ht="15" hidden="false" customHeight="false" outlineLevel="0" collapsed="false">
      <c r="A17" s="27" t="s">
        <v>181</v>
      </c>
      <c r="B17" s="28" t="s">
        <v>182</v>
      </c>
      <c r="C17" s="20" t="n">
        <f aca="false">COUNTIF(Data!$E$2:$E$29,"Menunggu")+COUNTIF(Data!$G$2:$G$29,"Menunggu")+COUNTIF(Data!$I$2:$I$29,"Menunggu")</f>
        <v>10</v>
      </c>
      <c r="D17" s="29" t="s">
        <v>183</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2026-10-18T00:01:28Z</dcterms:created>
  <dc:creator>PushExcel</dc:creator>
  <dc:description/>
  <dc:language>en-US</dc:language>
  <cp:lastModifiedBy/>
  <dcterms:modified xsi:type="dcterms:W3CDTF">2026-10-18T00:01:28Z</dcterms:modified>
  <cp:revision>0</cp:revision>
  <dc:subject/>
  <dc:title>Hak dan Sisa Cuti Tahunan Karyawan - Kunci</dc:title>
</cp:coreProperties>
</file>

<file path=docProps/custom.xml><?xml version="1.0" encoding="utf-8"?>
<Properties xmlns="http://schemas.openxmlformats.org/officeDocument/2006/custom-properties" xmlns:vt="http://schemas.openxmlformats.org/officeDocument/2006/docPropsVTypes"/>
</file>