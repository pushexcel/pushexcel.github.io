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Petunjuk" sheetId="1" state="visible" r:id="rId3"/>
    <sheet name="Data" sheetId="2" state="visible" r:id="rId4"/>
    <sheet name="Acuan" sheetId="3" state="visible" r:id="rId5"/>
    <sheet name="Ringkasan"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<sst xmlns="http://schemas.openxmlformats.org/spreadsheetml/2006/main" count="183" uniqueCount="147">
  <si>
    <t xml:space="preserve">Kunci Jawaban: Anggaran dan Realisasi Biaya Tahunan</t>
  </si>
  <si>
    <t xml:space="preserve">Latihan 93 dari 40  |  Tingkat: Lanjutan  |  Perkiraan waktu: 65 menit  |  pushexcel.github.io/Pushexcel</t>
  </si>
  <si>
    <t xml:space="preserve">Skenario</t>
  </si>
  <si>
    <t xml:space="preserve">Kamu staf keuangan PT Cahaya Mulia yang mengevaluasi anggaran biaya tahun 2026 untuk tiga pos (Pemasaran, Operasional Kantor, Pelatihan), dicatat per bulan sehingga ada 36 baris. Selisih adalah realisasi dikurangi anggaran, jadi selisih negatif berarti hemat. Persen realisasi adalah realisasi dibagi anggaran. Kuartal ditentukan dari nomor bulan: bulan 1 sampai 3 kuartal 1, bulan 4 sampai 6 kuartal 2, dan seterusnya. Status: Melebihi bila persen realisasi di atas 105 persen, Hemat bila di bawah 90 persen, selain itu Sesuai (kedua batas ada di blok Parameter).</t>
  </si>
  <si>
    <t xml:space="preserve">Cara memakai kunci</t>
  </si>
  <si>
    <t xml:space="preserve">1.</t>
  </si>
  <si>
    <t xml:space="preserve">Sel hijau berisi rumus kunci yang sudah dihitung. Klik sel untuk melihat rumusnya.</t>
  </si>
  <si>
    <t xml:space="preserve">2.</t>
  </si>
  <si>
    <t xml:space="preserve">Kolom Rumus kunci di bawah menampilkan rumus untuk baris pertama atau tiap sel jawaban.</t>
  </si>
  <si>
    <t xml:space="preserve">3.</t>
  </si>
  <si>
    <t xml:space="preserve">Rumus ditulis dengan titik koma (;). Ganti dengan koma (,) bila Excel kamu berbahasa Inggris.</t>
  </si>
  <si>
    <t xml:space="preserve">4.</t>
  </si>
  <si>
    <t xml:space="preserve">Jawaban lain yang benar secara logika juga boleh, selama hasilnya sama.</t>
  </si>
  <si>
    <t xml:space="preserve">Arti warna</t>
  </si>
  <si>
    <t xml:space="preserve">Judul kolom data yang sudah diberikan</t>
  </si>
  <si>
    <t xml:space="preserve">Judul kolom hasil hitung</t>
  </si>
  <si>
    <t xml:space="preserve">Sel berisi rumus kunci</t>
  </si>
  <si>
    <t xml:space="preserve">Angka berwarna biru pada blok Parameter = nilai tetap yang boleh dirujuk</t>
  </si>
  <si>
    <t xml:space="preserve">Daftar soal</t>
  </si>
  <si>
    <t xml:space="preserve">No</t>
  </si>
  <si>
    <t xml:space="preserve">Soal</t>
  </si>
  <si>
    <t xml:space="preserve">Jawab di</t>
  </si>
  <si>
    <t xml:space="preserve">Rumus kunci</t>
  </si>
  <si>
    <t xml:space="preserve">1</t>
  </si>
  <si>
    <t xml:space="preserve">Hitung selisih: realisasi dikurangi anggaran. Hasil negatif berarti hemat.</t>
  </si>
  <si>
    <t xml:space="preserve">Sheet Data, kolom E (Selisih), baris 2 sampai 37</t>
  </si>
  <si>
    <t xml:space="preserve">=D2-C2</t>
  </si>
  <si>
    <t xml:space="preserve">2</t>
  </si>
  <si>
    <t xml:space="preserve">Hitung persen realisasi terhadap anggaran.</t>
  </si>
  <si>
    <t xml:space="preserve">Sheet Data, kolom F (Persen Realisasi), baris 2 sampai 37</t>
  </si>
  <si>
    <t xml:space="preserve">=D2/C2</t>
  </si>
  <si>
    <t xml:space="preserve">3</t>
  </si>
  <si>
    <t xml:space="preserve">Tentukan kuartal dari nomor bulan: bulan 1 sampai 3 kuartal 1, bulan 4 sampai 6 kuartal 2, dan seterusnya.</t>
  </si>
  <si>
    <t xml:space="preserve">Sheet Data, kolom G (Kuartal), baris 2 sampai 37</t>
  </si>
  <si>
    <t xml:space="preserve">=ROUNDUP(A2/3;0)</t>
  </si>
  <si>
    <t xml:space="preserve">4</t>
  </si>
  <si>
    <t xml:space="preserve">Beri status Melebihi bila persen realisasi di atas batas melebihi, Hemat bila di bawah batas hemat, selain itu Sesuai.</t>
  </si>
  <si>
    <t xml:space="preserve">Sheet Data, kolom H (Status), baris 2 sampai 37</t>
  </si>
  <si>
    <t xml:space="preserve">=IF(F2&gt;$K$2;"Melebihi";IF(F2&lt;$K$3;"Hemat";"Sesuai"))</t>
  </si>
  <si>
    <t xml:space="preserve">5</t>
  </si>
  <si>
    <t xml:space="preserve">Pada sheet Acuan, hitung total anggaran tiap kuartal.</t>
  </si>
  <si>
    <t xml:space="preserve">Sheet Acuan, kolom B (Anggaran Kuartal), baris 2 sampai 5</t>
  </si>
  <si>
    <t xml:space="preserve">=SUMIF(Data!$G$2:$G$37;A2;Data!$C$2:$C$37)</t>
  </si>
  <si>
    <t xml:space="preserve">6</t>
  </si>
  <si>
    <t xml:space="preserve">Pada sheet Acuan, hitung total realisasi tiap kuartal.</t>
  </si>
  <si>
    <t xml:space="preserve">Sheet Acuan, kolom C (Realisasi Kuartal), baris 2 sampai 5</t>
  </si>
  <si>
    <t xml:space="preserve">=SUMIF(Data!$G$2:$G$37;A2;Data!$D$2:$D$37)</t>
  </si>
  <si>
    <t xml:space="preserve">7</t>
  </si>
  <si>
    <t xml:space="preserve">Pada sheet Acuan, hitung selisih tiap kuartal: realisasi dikurangi anggaran.</t>
  </si>
  <si>
    <t xml:space="preserve">Sheet Acuan, kolom D (Selisih Kuartal), baris 2 sampai 5</t>
  </si>
  <si>
    <t xml:space="preserve">=C2-B2</t>
  </si>
  <si>
    <t xml:space="preserve">8</t>
  </si>
  <si>
    <t xml:space="preserve">Pada sheet Acuan, hitung persen realisasi tiap kuartal terhadap anggarannya.</t>
  </si>
  <si>
    <t xml:space="preserve">Sheet Acuan, kolom E (Persen Realisasi Kuartal), baris 2 sampai 5</t>
  </si>
  <si>
    <t xml:space="preserve">=C2/B2</t>
  </si>
  <si>
    <t xml:space="preserve">9</t>
  </si>
  <si>
    <t xml:space="preserve">Berapa total anggaran setahun, total realisasi setahun, dan persen realisasinya?</t>
  </si>
  <si>
    <t xml:space="preserve">Sheet Ringkasan, sel C4 sampai C6</t>
  </si>
  <si>
    <t xml:space="preserve">=SUM(Data!$C$2:$C$37)
=SUM(Data!$D$2:$D$37)
=C5/C4</t>
  </si>
  <si>
    <t xml:space="preserve">10</t>
  </si>
  <si>
    <t xml:space="preserve">Berapa baris berstatus Melebihi, Hemat, dan Sesuai?</t>
  </si>
  <si>
    <t xml:space="preserve">Sheet Ringkasan, sel C7 sampai C9</t>
  </si>
  <si>
    <t xml:space="preserve">=COUNTIF(Data!$H$2:$H$37;"Melebihi")
=COUNTIF(Data!$H$2:$H$37;"Hemat")
=COUNTIF(Data!$H$2:$H$37;"Sesuai")</t>
  </si>
  <si>
    <t xml:space="preserve">11</t>
  </si>
  <si>
    <t xml:space="preserve">Kuartal berapa yang selisihnya terbesar, dan kuartal berapa yang persen realisasinya terendah?</t>
  </si>
  <si>
    <t xml:space="preserve">Sheet Ringkasan, sel C10 sampai C11</t>
  </si>
  <si>
    <t xml:space="preserve">=INDEX(Acuan!$A$2:$A$5;MATCH(MAX(Acuan!$D$2:$D$5);Acuan!$D$2:$D$5;0))
=INDEX(Acuan!$A$2:$A$5;MATCH(MIN(Acuan!$E$2:$E$5);Acuan!$E$2:$E$5;0))</t>
  </si>
  <si>
    <t xml:space="preserve">12</t>
  </si>
  <si>
    <t xml:space="preserve">Berapa total realisasi pos Pemasaran pada kuartal 4, dan berapa total anggaran pos Pelatihan pada semester 2 (bulan 7 sampai 12)?</t>
  </si>
  <si>
    <t xml:space="preserve">Sheet Ringkasan, sel C12 sampai C13</t>
  </si>
  <si>
    <t xml:space="preserve">=SUMPRODUCT((Data!$B$2:$B$37="Pemasaran")*(Data!$G$2:$G$37=4)*Data!$D$2:$D$37)
=SUMPRODUCT((Data!$B$2:$B$37="Pelatihan")*(Data!$A$2:$A$37&gt;=7)*Data!$C$2:$C$37)</t>
  </si>
  <si>
    <t xml:space="preserve">13</t>
  </si>
  <si>
    <t xml:space="preserve">Berapa total selisih pos Operasional Kantor, dan berapa rata-rata persen realisasi pos Pemasaran?</t>
  </si>
  <si>
    <t xml:space="preserve">Sheet Ringkasan, sel C14 sampai C15</t>
  </si>
  <si>
    <t xml:space="preserve">=SUMIF(Data!$B$2:$B$37;"Operasional Kantor";Data!$E$2:$E$37)
=AVERAGEIF(Data!$B$2:$B$37;"Pemasaran";Data!$F$2:$F$37)</t>
  </si>
  <si>
    <t xml:space="preserve">14</t>
  </si>
  <si>
    <t xml:space="preserve">Pada bulan ke berapa dan di pos apa realisasi tunggal terbesar terjadi?</t>
  </si>
  <si>
    <t xml:space="preserve">Sheet Ringkasan, sel C16 sampai C17</t>
  </si>
  <si>
    <t xml:space="preserve">=INDEX(Data!$A$2:$A$37;MATCH(MAX(Data!$D$2:$D$37);Data!$D$2:$D$37;0))
=INDEX(Data!$B$2:$B$37;MATCH(MAX(Data!$D$2:$D$37);Data!$D$2:$D$37;0))</t>
  </si>
  <si>
    <t xml:space="preserve">Bulan Ke</t>
  </si>
  <si>
    <t xml:space="preserve">Pos</t>
  </si>
  <si>
    <t xml:space="preserve">Anggaran</t>
  </si>
  <si>
    <t xml:space="preserve">Realisasi</t>
  </si>
  <si>
    <t xml:space="preserve">Selisih</t>
  </si>
  <si>
    <t xml:space="preserve">Persen Realisasi</t>
  </si>
  <si>
    <t xml:space="preserve">Kuartal</t>
  </si>
  <si>
    <t xml:space="preserve">Status</t>
  </si>
  <si>
    <t xml:space="preserve">Parameter</t>
  </si>
  <si>
    <t xml:space="preserve">Nilai</t>
  </si>
  <si>
    <t xml:space="preserve">Keterangan</t>
  </si>
  <si>
    <t xml:space="preserve">Pemasaran</t>
  </si>
  <si>
    <t xml:space="preserve">Batas melebihi</t>
  </si>
  <si>
    <t xml:space="preserve">Persen realisasi di atas angka ini berstatus Melebihi</t>
  </si>
  <si>
    <t xml:space="preserve">Operasional Kantor</t>
  </si>
  <si>
    <t xml:space="preserve">Batas hemat</t>
  </si>
  <si>
    <t xml:space="preserve">Persen realisasi di bawah angka ini berstatus Hemat</t>
  </si>
  <si>
    <t xml:space="preserve">Pelatihan</t>
  </si>
  <si>
    <t xml:space="preserve">Anggaran Kuartal</t>
  </si>
  <si>
    <t xml:space="preserve">Realisasi Kuartal</t>
  </si>
  <si>
    <t xml:space="preserve">Selisih Kuartal</t>
  </si>
  <si>
    <t xml:space="preserve">Persen Realisasi Kuartal</t>
  </si>
  <si>
    <t xml:space="preserve">Ringkasan: lembar jawaban soal berjenis ringkasan</t>
  </si>
  <si>
    <t xml:space="preserve">Sel hijau berisi rumus kunci.</t>
  </si>
  <si>
    <t xml:space="preserve">Pertanyaan</t>
  </si>
  <si>
    <t xml:space="preserve">Jawaban</t>
  </si>
  <si>
    <t xml:space="preserve">Contoh format hasil</t>
  </si>
  <si>
    <t xml:space="preserve">9a</t>
  </si>
  <si>
    <t xml:space="preserve">Total anggaran</t>
  </si>
  <si>
    <t xml:space="preserve">Rupiah, mis. Rp 500.000.000</t>
  </si>
  <si>
    <t xml:space="preserve">9b</t>
  </si>
  <si>
    <t xml:space="preserve">Total realisasi</t>
  </si>
  <si>
    <t xml:space="preserve">Rupiah, mis. Rp 510.000.000</t>
  </si>
  <si>
    <t xml:space="preserve">9c</t>
  </si>
  <si>
    <t xml:space="preserve">Persen realisasi setahun</t>
  </si>
  <si>
    <t xml:space="preserve">Persen, mis. 102,5%</t>
  </si>
  <si>
    <t xml:space="preserve">10a</t>
  </si>
  <si>
    <t xml:space="preserve">Baris Melebihi</t>
  </si>
  <si>
    <t xml:space="preserve">Angka bulat, mis. 8</t>
  </si>
  <si>
    <t xml:space="preserve">10b</t>
  </si>
  <si>
    <t xml:space="preserve">Baris Hemat</t>
  </si>
  <si>
    <t xml:space="preserve">Angka bulat, mis. 9</t>
  </si>
  <si>
    <t xml:space="preserve">10c</t>
  </si>
  <si>
    <t xml:space="preserve">Baris Sesuai</t>
  </si>
  <si>
    <t xml:space="preserve">Angka bulat, mis. 19</t>
  </si>
  <si>
    <t xml:space="preserve">11a</t>
  </si>
  <si>
    <t xml:space="preserve">Kuartal dengan selisih terbesar</t>
  </si>
  <si>
    <t xml:space="preserve">Angka bulat, nomor kuartal</t>
  </si>
  <si>
    <t xml:space="preserve">11b</t>
  </si>
  <si>
    <t xml:space="preserve">Kuartal dengan persen realisasi terendah</t>
  </si>
  <si>
    <t xml:space="preserve">12a</t>
  </si>
  <si>
    <t xml:space="preserve">Realisasi Pemasaran kuartal 4</t>
  </si>
  <si>
    <t xml:space="preserve">Rupiah, mis. Rp 60.000.000</t>
  </si>
  <si>
    <t xml:space="preserve">12b</t>
  </si>
  <si>
    <t xml:space="preserve">Anggaran Pelatihan semester 2</t>
  </si>
  <si>
    <t xml:space="preserve">Rupiah, mis. Rp 30.000.000</t>
  </si>
  <si>
    <t xml:space="preserve">13a</t>
  </si>
  <si>
    <t xml:space="preserve">Total selisih Operasional Kantor</t>
  </si>
  <si>
    <t xml:space="preserve">Rupiah, mis. Rp 2.000.000 (atau negatif)</t>
  </si>
  <si>
    <t xml:space="preserve">13b</t>
  </si>
  <si>
    <t xml:space="preserve">Rata-rata persen realisasi Pemasaran</t>
  </si>
  <si>
    <t xml:space="preserve">Persen, mis. 100,5%</t>
  </si>
  <si>
    <t xml:space="preserve">14a</t>
  </si>
  <si>
    <t xml:space="preserve">Bulan ke dengan realisasi terbesar</t>
  </si>
  <si>
    <t xml:space="preserve">Angka bulat, nomor bulan</t>
  </si>
  <si>
    <t xml:space="preserve">14b</t>
  </si>
  <si>
    <t xml:space="preserve">Pos dengan realisasi terbesar</t>
  </si>
  <si>
    <t xml:space="preserve">Teks: nama pos</t>
  </si>
</sst>
</file>

<file path=xl/styles.xml><?xml version="1.0" encoding="utf-8"?>
<styleSheet xmlns="http://schemas.openxmlformats.org/spreadsheetml/2006/main">
  <numFmts count="5">
    <numFmt numFmtId="164" formatCode="General"/>
    <numFmt numFmtId="165" formatCode="0"/>
    <numFmt numFmtId="166" formatCode="&quot;Rp &quot;#,##0"/>
    <numFmt numFmtId="167" formatCode="0.0%"/>
    <numFmt numFmtId="168" formatCode="0%"/>
  </numFmts>
  <fonts count="13">
    <font>
      <sz val="11"/>
      <color theme="1"/>
      <name val="Calibri"/>
      <family val="2"/>
      <charset val="1"/>
    </font>
    <font>
      <sz val="10"/>
      <name val="Arial"/>
      <family val="0"/>
    </font>
    <font>
      <sz val="10"/>
      <name val="Arial"/>
      <family val="0"/>
    </font>
    <font>
      <sz val="10"/>
      <name val="Arial"/>
      <family val="0"/>
    </font>
    <font>
      <b val="true"/>
      <sz val="16"/>
      <color rgb="FF1F4E3D"/>
      <name val="Arial"/>
      <family val="0"/>
      <charset val="1"/>
    </font>
    <font>
      <sz val="9"/>
      <color rgb="FF595959"/>
      <name val="Arial"/>
      <family val="0"/>
      <charset val="1"/>
    </font>
    <font>
      <b val="true"/>
      <sz val="11"/>
      <name val="Arial"/>
      <family val="0"/>
      <charset val="1"/>
    </font>
    <font>
      <sz val="10"/>
      <name val="Arial"/>
      <family val="0"/>
      <charset val="1"/>
    </font>
    <font>
      <b val="true"/>
      <sz val="10"/>
      <color rgb="FFFFFFFF"/>
      <name val="Arial"/>
      <family val="0"/>
      <charset val="1"/>
    </font>
    <font>
      <sz val="9"/>
      <name val="Consolas"/>
      <family val="0"/>
      <charset val="1"/>
    </font>
    <font>
      <sz val="10"/>
      <color rgb="FF0000FF"/>
      <name val="Arial"/>
      <family val="0"/>
      <charset val="1"/>
    </font>
    <font>
      <b val="true"/>
      <sz val="13"/>
      <color rgb="FF1F4E3D"/>
      <name val="Arial"/>
      <family val="0"/>
      <charset val="1"/>
    </font>
    <font>
      <i val="true"/>
      <sz val="9"/>
      <color rgb="FF595959"/>
      <name val="Arial"/>
      <family val="0"/>
      <charset val="1"/>
    </font>
  </fonts>
  <fills count="7">
    <fill>
      <patternFill patternType="none"/>
    </fill>
    <fill>
      <patternFill patternType="gray125"/>
    </fill>
    <fill>
      <patternFill patternType="solid">
        <fgColor rgb="FF1F4E3D"/>
        <bgColor rgb="FF44546A"/>
      </patternFill>
    </fill>
    <fill>
      <patternFill patternType="solid">
        <fgColor rgb="FFB45F06"/>
        <bgColor rgb="FF808000"/>
      </patternFill>
    </fill>
    <fill>
      <patternFill patternType="solid">
        <fgColor rgb="FFE2EFDA"/>
        <bgColor rgb="FFFFFFCC"/>
      </patternFill>
    </fill>
    <fill>
      <patternFill patternType="solid">
        <fgColor rgb="FFFFFFFF"/>
        <bgColor rgb="FFFFFFCC"/>
      </patternFill>
    </fill>
    <fill>
      <patternFill patternType="solid">
        <fgColor rgb="FF44546A"/>
        <bgColor rgb="FF59595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right" vertical="top"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8" fillId="6" borderId="1" xfId="0" applyFont="true" applyBorder="true" applyAlignment="true" applyProtection="false">
      <alignment horizontal="center" vertical="center" textRotation="0" wrapText="true" indent="0" shrinkToFit="false"/>
      <protection locked="true" hidden="false"/>
    </xf>
    <xf numFmtId="165" fontId="7" fillId="0" borderId="1" xfId="0" applyFont="true" applyBorder="true" applyAlignment="true" applyProtection="false">
      <alignment horizontal="right" vertical="center" textRotation="0" wrapText="fals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6" fontId="7" fillId="0" borderId="1" xfId="0" applyFont="true" applyBorder="true" applyAlignment="true" applyProtection="false">
      <alignment horizontal="right" vertical="center" textRotation="0" wrapText="false" indent="0" shrinkToFit="false"/>
      <protection locked="true" hidden="false"/>
    </xf>
    <xf numFmtId="166" fontId="7" fillId="4" borderId="1" xfId="0" applyFont="true" applyBorder="true" applyAlignment="true" applyProtection="false">
      <alignment horizontal="right" vertical="center" textRotation="0" wrapText="false" indent="0" shrinkToFit="false"/>
      <protection locked="true" hidden="false"/>
    </xf>
    <xf numFmtId="167" fontId="7" fillId="4" borderId="1" xfId="0" applyFont="true" applyBorder="true" applyAlignment="true" applyProtection="false">
      <alignment horizontal="right" vertical="center" textRotation="0" wrapText="false" indent="0" shrinkToFit="false"/>
      <protection locked="true" hidden="false"/>
    </xf>
    <xf numFmtId="165" fontId="7" fillId="4" borderId="1" xfId="0" applyFont="true" applyBorder="true" applyAlignment="true" applyProtection="false">
      <alignment horizontal="right" vertical="center" textRotation="0" wrapText="false" indent="0" shrinkToFit="false"/>
      <protection locked="true" hidden="false"/>
    </xf>
    <xf numFmtId="164" fontId="7" fillId="4" borderId="1" xfId="0" applyFont="true" applyBorder="true" applyAlignment="true" applyProtection="false">
      <alignment horizontal="left" vertical="center"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8" fontId="10" fillId="0" borderId="1" xfId="0" applyFont="true" applyBorder="true" applyAlignment="true" applyProtection="false">
      <alignment horizontal="right" vertical="center"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4" fontId="12" fillId="0" borderId="1" xfId="0" applyFont="true" applyBorder="tru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B45F06"/>
      <rgbColor rgb="FF993366"/>
      <rgbColor rgb="FF44546A"/>
      <rgbColor rgb="FF1F4E3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3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62"/>
    <col collapsed="false" customWidth="true" hidden="false" outlineLevel="0" max="3" min="3" style="0" width="40"/>
    <col collapsed="false" customWidth="true" hidden="false" outlineLevel="0" max="4" min="4" style="0" width="70"/>
    <col collapsed="false" customWidth="true" hidden="false" outlineLevel="0" max="5" min="5" style="0" width="30"/>
  </cols>
  <sheetData>
    <row r="1" customFormat="false" ht="19.7" hidden="false" customHeight="false" outlineLevel="0" collapsed="false">
      <c r="A1" s="1" t="s">
        <v>0</v>
      </c>
      <c r="B1" s="1"/>
      <c r="C1" s="1"/>
      <c r="D1" s="1"/>
      <c r="E1" s="1"/>
    </row>
    <row r="2" customFormat="false" ht="15" hidden="false" customHeight="false" outlineLevel="0" collapsed="false">
      <c r="A2" s="2" t="s">
        <v>1</v>
      </c>
      <c r="B2" s="2"/>
      <c r="C2" s="2"/>
      <c r="D2" s="2"/>
      <c r="E2" s="2"/>
    </row>
    <row r="4" customFormat="false" ht="15" hidden="false" customHeight="false" outlineLevel="0" collapsed="false">
      <c r="A4" s="3" t="s">
        <v>2</v>
      </c>
    </row>
    <row r="5" customFormat="false" ht="66" hidden="false" customHeight="true" outlineLevel="0" collapsed="false">
      <c r="A5" s="4" t="s">
        <v>3</v>
      </c>
      <c r="B5" s="4"/>
      <c r="C5" s="4"/>
      <c r="D5" s="4"/>
      <c r="E5" s="4"/>
    </row>
    <row r="7" customFormat="false" ht="15" hidden="false" customHeight="false" outlineLevel="0" collapsed="false">
      <c r="A7" s="3" t="s">
        <v>4</v>
      </c>
    </row>
    <row r="8" customFormat="false" ht="15" hidden="false" customHeight="true" outlineLevel="0" collapsed="false">
      <c r="A8" s="5" t="s">
        <v>5</v>
      </c>
      <c r="B8" s="4" t="s">
        <v>6</v>
      </c>
      <c r="C8" s="4"/>
      <c r="D8" s="4"/>
      <c r="E8" s="4"/>
    </row>
    <row r="9" customFormat="false" ht="15" hidden="false" customHeight="true" outlineLevel="0" collapsed="false">
      <c r="A9" s="5" t="s">
        <v>7</v>
      </c>
      <c r="B9" s="4" t="s">
        <v>8</v>
      </c>
      <c r="C9" s="4"/>
      <c r="D9" s="4"/>
      <c r="E9" s="4"/>
    </row>
    <row r="10" customFormat="false" ht="15" hidden="false" customHeight="true" outlineLevel="0" collapsed="false">
      <c r="A10" s="5" t="s">
        <v>9</v>
      </c>
      <c r="B10" s="4" t="s">
        <v>10</v>
      </c>
      <c r="C10" s="4"/>
      <c r="D10" s="4"/>
      <c r="E10" s="4"/>
    </row>
    <row r="11" customFormat="false" ht="15" hidden="false" customHeight="true" outlineLevel="0" collapsed="false">
      <c r="A11" s="5" t="s">
        <v>11</v>
      </c>
      <c r="B11" s="4" t="s">
        <v>12</v>
      </c>
      <c r="C11" s="4"/>
      <c r="D11" s="4"/>
      <c r="E11" s="4"/>
    </row>
    <row r="13" customFormat="false" ht="15" hidden="false" customHeight="false" outlineLevel="0" collapsed="false">
      <c r="A13" s="3" t="s">
        <v>13</v>
      </c>
    </row>
    <row r="14" customFormat="false" ht="15" hidden="false" customHeight="false" outlineLevel="0" collapsed="false">
      <c r="A14" s="6"/>
      <c r="B14" s="7" t="s">
        <v>14</v>
      </c>
    </row>
    <row r="15" customFormat="false" ht="15" hidden="false" customHeight="false" outlineLevel="0" collapsed="false">
      <c r="A15" s="8"/>
      <c r="B15" s="7" t="s">
        <v>15</v>
      </c>
    </row>
    <row r="16" customFormat="false" ht="15" hidden="false" customHeight="false" outlineLevel="0" collapsed="false">
      <c r="A16" s="9"/>
      <c r="B16" s="7" t="s">
        <v>16</v>
      </c>
    </row>
    <row r="17" customFormat="false" ht="15" hidden="false" customHeight="false" outlineLevel="0" collapsed="false">
      <c r="A17" s="10"/>
      <c r="B17" s="7" t="s">
        <v>17</v>
      </c>
    </row>
    <row r="19" customFormat="false" ht="15" hidden="false" customHeight="false" outlineLevel="0" collapsed="false">
      <c r="A19" s="3" t="s">
        <v>18</v>
      </c>
    </row>
    <row r="20" customFormat="false" ht="15" hidden="false" customHeight="false" outlineLevel="0" collapsed="false">
      <c r="A20" s="11" t="s">
        <v>19</v>
      </c>
      <c r="B20" s="11" t="s">
        <v>20</v>
      </c>
      <c r="C20" s="11" t="s">
        <v>21</v>
      </c>
      <c r="D20" s="11" t="s">
        <v>22</v>
      </c>
    </row>
    <row r="21" customFormat="false" ht="30" hidden="false" customHeight="true" outlineLevel="0" collapsed="false">
      <c r="A21" s="12" t="s">
        <v>23</v>
      </c>
      <c r="B21" s="13" t="s">
        <v>24</v>
      </c>
      <c r="C21" s="13" t="s">
        <v>25</v>
      </c>
      <c r="D21" s="14" t="s">
        <v>26</v>
      </c>
    </row>
    <row r="22" customFormat="false" ht="30" hidden="false" customHeight="true" outlineLevel="0" collapsed="false">
      <c r="A22" s="12" t="s">
        <v>27</v>
      </c>
      <c r="B22" s="13" t="s">
        <v>28</v>
      </c>
      <c r="C22" s="13" t="s">
        <v>29</v>
      </c>
      <c r="D22" s="14" t="s">
        <v>30</v>
      </c>
    </row>
    <row r="23" customFormat="false" ht="30" hidden="false" customHeight="true" outlineLevel="0" collapsed="false">
      <c r="A23" s="12" t="s">
        <v>31</v>
      </c>
      <c r="B23" s="13" t="s">
        <v>32</v>
      </c>
      <c r="C23" s="13" t="s">
        <v>33</v>
      </c>
      <c r="D23" s="14" t="s">
        <v>34</v>
      </c>
    </row>
    <row r="24" customFormat="false" ht="30" hidden="false" customHeight="true" outlineLevel="0" collapsed="false">
      <c r="A24" s="12" t="s">
        <v>35</v>
      </c>
      <c r="B24" s="13" t="s">
        <v>36</v>
      </c>
      <c r="C24" s="13" t="s">
        <v>37</v>
      </c>
      <c r="D24" s="14" t="s">
        <v>38</v>
      </c>
    </row>
    <row r="25" customFormat="false" ht="30" hidden="false" customHeight="true" outlineLevel="0" collapsed="false">
      <c r="A25" s="12" t="s">
        <v>39</v>
      </c>
      <c r="B25" s="13" t="s">
        <v>40</v>
      </c>
      <c r="C25" s="13" t="s">
        <v>41</v>
      </c>
      <c r="D25" s="14" t="s">
        <v>42</v>
      </c>
    </row>
    <row r="26" customFormat="false" ht="30" hidden="false" customHeight="true" outlineLevel="0" collapsed="false">
      <c r="A26" s="12" t="s">
        <v>43</v>
      </c>
      <c r="B26" s="13" t="s">
        <v>44</v>
      </c>
      <c r="C26" s="13" t="s">
        <v>45</v>
      </c>
      <c r="D26" s="14" t="s">
        <v>46</v>
      </c>
    </row>
    <row r="27" customFormat="false" ht="30" hidden="false" customHeight="true" outlineLevel="0" collapsed="false">
      <c r="A27" s="12" t="s">
        <v>47</v>
      </c>
      <c r="B27" s="13" t="s">
        <v>48</v>
      </c>
      <c r="C27" s="13" t="s">
        <v>49</v>
      </c>
      <c r="D27" s="14" t="s">
        <v>50</v>
      </c>
    </row>
    <row r="28" customFormat="false" ht="30" hidden="false" customHeight="true" outlineLevel="0" collapsed="false">
      <c r="A28" s="12" t="s">
        <v>51</v>
      </c>
      <c r="B28" s="13" t="s">
        <v>52</v>
      </c>
      <c r="C28" s="13" t="s">
        <v>53</v>
      </c>
      <c r="D28" s="14" t="s">
        <v>54</v>
      </c>
    </row>
    <row r="29" customFormat="false" ht="57.75" hidden="false" customHeight="true" outlineLevel="0" collapsed="false">
      <c r="A29" s="12" t="s">
        <v>55</v>
      </c>
      <c r="B29" s="13" t="s">
        <v>56</v>
      </c>
      <c r="C29" s="13" t="s">
        <v>57</v>
      </c>
      <c r="D29" s="14" t="s">
        <v>58</v>
      </c>
    </row>
    <row r="30" customFormat="false" ht="57.75" hidden="false" customHeight="true" outlineLevel="0" collapsed="false">
      <c r="A30" s="12" t="s">
        <v>59</v>
      </c>
      <c r="B30" s="13" t="s">
        <v>60</v>
      </c>
      <c r="C30" s="13" t="s">
        <v>61</v>
      </c>
      <c r="D30" s="14" t="s">
        <v>62</v>
      </c>
    </row>
    <row r="31" customFormat="false" ht="55.5" hidden="false" customHeight="true" outlineLevel="0" collapsed="false">
      <c r="A31" s="12" t="s">
        <v>63</v>
      </c>
      <c r="B31" s="13" t="s">
        <v>64</v>
      </c>
      <c r="C31" s="13" t="s">
        <v>65</v>
      </c>
      <c r="D31" s="14" t="s">
        <v>66</v>
      </c>
    </row>
    <row r="32" customFormat="false" ht="55.5" hidden="false" customHeight="true" outlineLevel="0" collapsed="false">
      <c r="A32" s="12" t="s">
        <v>67</v>
      </c>
      <c r="B32" s="13" t="s">
        <v>68</v>
      </c>
      <c r="C32" s="13" t="s">
        <v>69</v>
      </c>
      <c r="D32" s="14" t="s">
        <v>70</v>
      </c>
    </row>
    <row r="33" customFormat="false" ht="43.5" hidden="false" customHeight="true" outlineLevel="0" collapsed="false">
      <c r="A33" s="12" t="s">
        <v>71</v>
      </c>
      <c r="B33" s="13" t="s">
        <v>72</v>
      </c>
      <c r="C33" s="13" t="s">
        <v>73</v>
      </c>
      <c r="D33" s="14" t="s">
        <v>74</v>
      </c>
    </row>
    <row r="34" customFormat="false" ht="55.5" hidden="false" customHeight="true" outlineLevel="0" collapsed="false">
      <c r="A34" s="12" t="s">
        <v>75</v>
      </c>
      <c r="B34" s="13" t="s">
        <v>76</v>
      </c>
      <c r="C34" s="13" t="s">
        <v>77</v>
      </c>
      <c r="D34" s="14" t="s">
        <v>78</v>
      </c>
    </row>
  </sheetData>
  <mergeCells count="7">
    <mergeCell ref="A1:E1"/>
    <mergeCell ref="A2:E2"/>
    <mergeCell ref="A5:E5"/>
    <mergeCell ref="B8:E8"/>
    <mergeCell ref="B9:E9"/>
    <mergeCell ref="B10:E10"/>
    <mergeCell ref="B11:E11"/>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0"/>
    <col collapsed="false" customWidth="true" hidden="false" outlineLevel="0" max="5" min="3" style="0" width="15"/>
    <col collapsed="false" customWidth="true" hidden="false" outlineLevel="0" max="6" min="6" style="0" width="17"/>
    <col collapsed="false" customWidth="true" hidden="false" outlineLevel="0" max="7" min="7" style="0" width="10"/>
    <col collapsed="false" customWidth="true" hidden="false" outlineLevel="0" max="8" min="8" style="0" width="11"/>
    <col collapsed="false" customWidth="true" hidden="false" outlineLevel="0" max="9" min="9" style="0" width="3"/>
    <col collapsed="false" customWidth="true" hidden="false" outlineLevel="0" max="10" min="10" style="0" width="30"/>
    <col collapsed="false" customWidth="true" hidden="false" outlineLevel="0" max="11" min="11" style="0" width="16"/>
    <col collapsed="false" customWidth="true" hidden="false" outlineLevel="0" max="12" min="12" style="0" width="42"/>
  </cols>
  <sheetData>
    <row r="1" customFormat="false" ht="33.75" hidden="false" customHeight="true" outlineLevel="0" collapsed="false">
      <c r="A1" s="11" t="s">
        <v>79</v>
      </c>
      <c r="B1" s="11" t="s">
        <v>80</v>
      </c>
      <c r="C1" s="11" t="s">
        <v>81</v>
      </c>
      <c r="D1" s="11" t="s">
        <v>82</v>
      </c>
      <c r="E1" s="15" t="s">
        <v>83</v>
      </c>
      <c r="F1" s="15" t="s">
        <v>84</v>
      </c>
      <c r="G1" s="15" t="s">
        <v>85</v>
      </c>
      <c r="H1" s="15" t="s">
        <v>86</v>
      </c>
      <c r="J1" s="16" t="s">
        <v>87</v>
      </c>
      <c r="K1" s="16" t="s">
        <v>88</v>
      </c>
      <c r="L1" s="16" t="s">
        <v>89</v>
      </c>
    </row>
    <row r="2" customFormat="false" ht="15" hidden="false" customHeight="false" outlineLevel="0" collapsed="false">
      <c r="A2" s="17" t="n">
        <v>1</v>
      </c>
      <c r="B2" s="18" t="s">
        <v>90</v>
      </c>
      <c r="C2" s="19" t="n">
        <v>8000000</v>
      </c>
      <c r="D2" s="19" t="n">
        <v>9100000</v>
      </c>
      <c r="E2" s="20" t="n">
        <f aca="false">D2-C2</f>
        <v>1100000</v>
      </c>
      <c r="F2" s="21" t="n">
        <f aca="false">D2/C2</f>
        <v>1.1375</v>
      </c>
      <c r="G2" s="22" t="n">
        <f aca="false">ROUNDUP(A2/3,0)</f>
        <v>1</v>
      </c>
      <c r="H2" s="23" t="str">
        <f aca="false">IF(F2&gt;$K$2,"Melebihi",IF(F2&lt;$K$3,"Hemat","Sesuai"))</f>
        <v>Melebihi</v>
      </c>
      <c r="J2" s="24" t="s">
        <v>91</v>
      </c>
      <c r="K2" s="25" t="n">
        <v>1.05</v>
      </c>
      <c r="L2" s="24" t="s">
        <v>92</v>
      </c>
    </row>
    <row r="3" customFormat="false" ht="15" hidden="false" customHeight="false" outlineLevel="0" collapsed="false">
      <c r="A3" s="17" t="n">
        <v>1</v>
      </c>
      <c r="B3" s="18" t="s">
        <v>93</v>
      </c>
      <c r="C3" s="19" t="n">
        <v>18000000</v>
      </c>
      <c r="D3" s="19" t="n">
        <v>15200000</v>
      </c>
      <c r="E3" s="20" t="n">
        <f aca="false">D3-C3</f>
        <v>-2800000</v>
      </c>
      <c r="F3" s="21" t="n">
        <f aca="false">D3/C3</f>
        <v>0.844444444444444</v>
      </c>
      <c r="G3" s="22" t="n">
        <f aca="false">ROUNDUP(A3/3,0)</f>
        <v>1</v>
      </c>
      <c r="H3" s="23" t="str">
        <f aca="false">IF(F3&gt;$K$2,"Melebihi",IF(F3&lt;$K$3,"Hemat","Sesuai"))</f>
        <v>Hemat</v>
      </c>
      <c r="J3" s="24" t="s">
        <v>94</v>
      </c>
      <c r="K3" s="25" t="n">
        <v>0.9</v>
      </c>
      <c r="L3" s="24" t="s">
        <v>95</v>
      </c>
    </row>
    <row r="4" customFormat="false" ht="15" hidden="false" customHeight="false" outlineLevel="0" collapsed="false">
      <c r="A4" s="17" t="n">
        <v>1</v>
      </c>
      <c r="B4" s="18" t="s">
        <v>96</v>
      </c>
      <c r="C4" s="19" t="n">
        <v>5000000</v>
      </c>
      <c r="D4" s="19" t="n">
        <v>4700000</v>
      </c>
      <c r="E4" s="20" t="n">
        <f aca="false">D4-C4</f>
        <v>-300000</v>
      </c>
      <c r="F4" s="21" t="n">
        <f aca="false">D4/C4</f>
        <v>0.94</v>
      </c>
      <c r="G4" s="22" t="n">
        <f aca="false">ROUNDUP(A4/3,0)</f>
        <v>1</v>
      </c>
      <c r="H4" s="23" t="str">
        <f aca="false">IF(F4&gt;$K$2,"Melebihi",IF(F4&lt;$K$3,"Hemat","Sesuai"))</f>
        <v>Sesuai</v>
      </c>
    </row>
    <row r="5" customFormat="false" ht="15" hidden="false" customHeight="false" outlineLevel="0" collapsed="false">
      <c r="A5" s="17" t="n">
        <v>2</v>
      </c>
      <c r="B5" s="18" t="s">
        <v>90</v>
      </c>
      <c r="C5" s="19" t="n">
        <v>8000000</v>
      </c>
      <c r="D5" s="19" t="n">
        <v>8200000</v>
      </c>
      <c r="E5" s="20" t="n">
        <f aca="false">D5-C5</f>
        <v>200000</v>
      </c>
      <c r="F5" s="21" t="n">
        <f aca="false">D5/C5</f>
        <v>1.025</v>
      </c>
      <c r="G5" s="22" t="n">
        <f aca="false">ROUNDUP(A5/3,0)</f>
        <v>1</v>
      </c>
      <c r="H5" s="23" t="str">
        <f aca="false">IF(F5&gt;$K$2,"Melebihi",IF(F5&lt;$K$3,"Hemat","Sesuai"))</f>
        <v>Sesuai</v>
      </c>
    </row>
    <row r="6" customFormat="false" ht="15" hidden="false" customHeight="false" outlineLevel="0" collapsed="false">
      <c r="A6" s="17" t="n">
        <v>2</v>
      </c>
      <c r="B6" s="18" t="s">
        <v>93</v>
      </c>
      <c r="C6" s="19" t="n">
        <v>18000000</v>
      </c>
      <c r="D6" s="19" t="n">
        <v>21500000</v>
      </c>
      <c r="E6" s="20" t="n">
        <f aca="false">D6-C6</f>
        <v>3500000</v>
      </c>
      <c r="F6" s="21" t="n">
        <f aca="false">D6/C6</f>
        <v>1.19444444444444</v>
      </c>
      <c r="G6" s="22" t="n">
        <f aca="false">ROUNDUP(A6/3,0)</f>
        <v>1</v>
      </c>
      <c r="H6" s="23" t="str">
        <f aca="false">IF(F6&gt;$K$2,"Melebihi",IF(F6&lt;$K$3,"Hemat","Sesuai"))</f>
        <v>Melebihi</v>
      </c>
    </row>
    <row r="7" customFormat="false" ht="15" hidden="false" customHeight="false" outlineLevel="0" collapsed="false">
      <c r="A7" s="17" t="n">
        <v>2</v>
      </c>
      <c r="B7" s="18" t="s">
        <v>96</v>
      </c>
      <c r="C7" s="19" t="n">
        <v>4000000</v>
      </c>
      <c r="D7" s="19" t="n">
        <v>3800000</v>
      </c>
      <c r="E7" s="20" t="n">
        <f aca="false">D7-C7</f>
        <v>-200000</v>
      </c>
      <c r="F7" s="21" t="n">
        <f aca="false">D7/C7</f>
        <v>0.95</v>
      </c>
      <c r="G7" s="22" t="n">
        <f aca="false">ROUNDUP(A7/3,0)</f>
        <v>1</v>
      </c>
      <c r="H7" s="23" t="str">
        <f aca="false">IF(F7&gt;$K$2,"Melebihi",IF(F7&lt;$K$3,"Hemat","Sesuai"))</f>
        <v>Sesuai</v>
      </c>
    </row>
    <row r="8" customFormat="false" ht="15" hidden="false" customHeight="false" outlineLevel="0" collapsed="false">
      <c r="A8" s="17" t="n">
        <v>3</v>
      </c>
      <c r="B8" s="18" t="s">
        <v>90</v>
      </c>
      <c r="C8" s="19" t="n">
        <v>9000000</v>
      </c>
      <c r="D8" s="19" t="n">
        <v>8800000</v>
      </c>
      <c r="E8" s="20" t="n">
        <f aca="false">D8-C8</f>
        <v>-200000</v>
      </c>
      <c r="F8" s="21" t="n">
        <f aca="false">D8/C8</f>
        <v>0.977777777777778</v>
      </c>
      <c r="G8" s="22" t="n">
        <f aca="false">ROUNDUP(A8/3,0)</f>
        <v>1</v>
      </c>
      <c r="H8" s="23" t="str">
        <f aca="false">IF(F8&gt;$K$2,"Melebihi",IF(F8&lt;$K$3,"Hemat","Sesuai"))</f>
        <v>Sesuai</v>
      </c>
    </row>
    <row r="9" customFormat="false" ht="15" hidden="false" customHeight="false" outlineLevel="0" collapsed="false">
      <c r="A9" s="17" t="n">
        <v>3</v>
      </c>
      <c r="B9" s="18" t="s">
        <v>93</v>
      </c>
      <c r="C9" s="19" t="n">
        <v>18000000</v>
      </c>
      <c r="D9" s="19" t="n">
        <v>20600000</v>
      </c>
      <c r="E9" s="20" t="n">
        <f aca="false">D9-C9</f>
        <v>2600000</v>
      </c>
      <c r="F9" s="21" t="n">
        <f aca="false">D9/C9</f>
        <v>1.14444444444444</v>
      </c>
      <c r="G9" s="22" t="n">
        <f aca="false">ROUNDUP(A9/3,0)</f>
        <v>1</v>
      </c>
      <c r="H9" s="23" t="str">
        <f aca="false">IF(F9&gt;$K$2,"Melebihi",IF(F9&lt;$K$3,"Hemat","Sesuai"))</f>
        <v>Melebihi</v>
      </c>
    </row>
    <row r="10" customFormat="false" ht="15" hidden="false" customHeight="false" outlineLevel="0" collapsed="false">
      <c r="A10" s="17" t="n">
        <v>3</v>
      </c>
      <c r="B10" s="18" t="s">
        <v>96</v>
      </c>
      <c r="C10" s="19" t="n">
        <v>6000000</v>
      </c>
      <c r="D10" s="19" t="n">
        <v>6400000</v>
      </c>
      <c r="E10" s="20" t="n">
        <f aca="false">D10-C10</f>
        <v>400000</v>
      </c>
      <c r="F10" s="21" t="n">
        <f aca="false">D10/C10</f>
        <v>1.06666666666667</v>
      </c>
      <c r="G10" s="22" t="n">
        <f aca="false">ROUNDUP(A10/3,0)</f>
        <v>1</v>
      </c>
      <c r="H10" s="23" t="str">
        <f aca="false">IF(F10&gt;$K$2,"Melebihi",IF(F10&lt;$K$3,"Hemat","Sesuai"))</f>
        <v>Melebihi</v>
      </c>
    </row>
    <row r="11" customFormat="false" ht="15" hidden="false" customHeight="false" outlineLevel="0" collapsed="false">
      <c r="A11" s="17" t="n">
        <v>4</v>
      </c>
      <c r="B11" s="18" t="s">
        <v>90</v>
      </c>
      <c r="C11" s="19" t="n">
        <v>10000000</v>
      </c>
      <c r="D11" s="19" t="n">
        <v>10600000</v>
      </c>
      <c r="E11" s="20" t="n">
        <f aca="false">D11-C11</f>
        <v>600000</v>
      </c>
      <c r="F11" s="21" t="n">
        <f aca="false">D11/C11</f>
        <v>1.06</v>
      </c>
      <c r="G11" s="22" t="n">
        <f aca="false">ROUNDUP(A11/3,0)</f>
        <v>2</v>
      </c>
      <c r="H11" s="23" t="str">
        <f aca="false">IF(F11&gt;$K$2,"Melebihi",IF(F11&lt;$K$3,"Hemat","Sesuai"))</f>
        <v>Melebihi</v>
      </c>
    </row>
    <row r="12" customFormat="false" ht="15" hidden="false" customHeight="false" outlineLevel="0" collapsed="false">
      <c r="A12" s="17" t="n">
        <v>4</v>
      </c>
      <c r="B12" s="18" t="s">
        <v>93</v>
      </c>
      <c r="C12" s="19" t="n">
        <v>19000000</v>
      </c>
      <c r="D12" s="19" t="n">
        <v>14700000</v>
      </c>
      <c r="E12" s="20" t="n">
        <f aca="false">D12-C12</f>
        <v>-4300000</v>
      </c>
      <c r="F12" s="21" t="n">
        <f aca="false">D12/C12</f>
        <v>0.773684210526316</v>
      </c>
      <c r="G12" s="22" t="n">
        <f aca="false">ROUNDUP(A12/3,0)</f>
        <v>2</v>
      </c>
      <c r="H12" s="23" t="str">
        <f aca="false">IF(F12&gt;$K$2,"Melebihi",IF(F12&lt;$K$3,"Hemat","Sesuai"))</f>
        <v>Hemat</v>
      </c>
    </row>
    <row r="13" customFormat="false" ht="15" hidden="false" customHeight="false" outlineLevel="0" collapsed="false">
      <c r="A13" s="17" t="n">
        <v>4</v>
      </c>
      <c r="B13" s="18" t="s">
        <v>96</v>
      </c>
      <c r="C13" s="19" t="n">
        <v>5000000</v>
      </c>
      <c r="D13" s="19" t="n">
        <v>5300000</v>
      </c>
      <c r="E13" s="20" t="n">
        <f aca="false">D13-C13</f>
        <v>300000</v>
      </c>
      <c r="F13" s="21" t="n">
        <f aca="false">D13/C13</f>
        <v>1.06</v>
      </c>
      <c r="G13" s="22" t="n">
        <f aca="false">ROUNDUP(A13/3,0)</f>
        <v>2</v>
      </c>
      <c r="H13" s="23" t="str">
        <f aca="false">IF(F13&gt;$K$2,"Melebihi",IF(F13&lt;$K$3,"Hemat","Sesuai"))</f>
        <v>Melebihi</v>
      </c>
    </row>
    <row r="14" customFormat="false" ht="15" hidden="false" customHeight="false" outlineLevel="0" collapsed="false">
      <c r="A14" s="17" t="n">
        <v>5</v>
      </c>
      <c r="B14" s="18" t="s">
        <v>90</v>
      </c>
      <c r="C14" s="19" t="n">
        <v>10000000</v>
      </c>
      <c r="D14" s="19" t="n">
        <v>8900000</v>
      </c>
      <c r="E14" s="20" t="n">
        <f aca="false">D14-C14</f>
        <v>-1100000</v>
      </c>
      <c r="F14" s="21" t="n">
        <f aca="false">D14/C14</f>
        <v>0.89</v>
      </c>
      <c r="G14" s="22" t="n">
        <f aca="false">ROUNDUP(A14/3,0)</f>
        <v>2</v>
      </c>
      <c r="H14" s="23" t="str">
        <f aca="false">IF(F14&gt;$K$2,"Melebihi",IF(F14&lt;$K$3,"Hemat","Sesuai"))</f>
        <v>Hemat</v>
      </c>
    </row>
    <row r="15" customFormat="false" ht="15" hidden="false" customHeight="false" outlineLevel="0" collapsed="false">
      <c r="A15" s="17" t="n">
        <v>5</v>
      </c>
      <c r="B15" s="18" t="s">
        <v>93</v>
      </c>
      <c r="C15" s="19" t="n">
        <v>19000000</v>
      </c>
      <c r="D15" s="19" t="n">
        <v>16700000</v>
      </c>
      <c r="E15" s="20" t="n">
        <f aca="false">D15-C15</f>
        <v>-2300000</v>
      </c>
      <c r="F15" s="21" t="n">
        <f aca="false">D15/C15</f>
        <v>0.878947368421053</v>
      </c>
      <c r="G15" s="22" t="n">
        <f aca="false">ROUNDUP(A15/3,0)</f>
        <v>2</v>
      </c>
      <c r="H15" s="23" t="str">
        <f aca="false">IF(F15&gt;$K$2,"Melebihi",IF(F15&lt;$K$3,"Hemat","Sesuai"))</f>
        <v>Hemat</v>
      </c>
    </row>
    <row r="16" customFormat="false" ht="15" hidden="false" customHeight="false" outlineLevel="0" collapsed="false">
      <c r="A16" s="17" t="n">
        <v>5</v>
      </c>
      <c r="B16" s="18" t="s">
        <v>96</v>
      </c>
      <c r="C16" s="19" t="n">
        <v>4000000</v>
      </c>
      <c r="D16" s="19" t="n">
        <v>4700000</v>
      </c>
      <c r="E16" s="20" t="n">
        <f aca="false">D16-C16</f>
        <v>700000</v>
      </c>
      <c r="F16" s="21" t="n">
        <f aca="false">D16/C16</f>
        <v>1.175</v>
      </c>
      <c r="G16" s="22" t="n">
        <f aca="false">ROUNDUP(A16/3,0)</f>
        <v>2</v>
      </c>
      <c r="H16" s="23" t="str">
        <f aca="false">IF(F16&gt;$K$2,"Melebihi",IF(F16&lt;$K$3,"Hemat","Sesuai"))</f>
        <v>Melebihi</v>
      </c>
    </row>
    <row r="17" customFormat="false" ht="15" hidden="false" customHeight="false" outlineLevel="0" collapsed="false">
      <c r="A17" s="17" t="n">
        <v>6</v>
      </c>
      <c r="B17" s="18" t="s">
        <v>90</v>
      </c>
      <c r="C17" s="19" t="n">
        <v>11000000</v>
      </c>
      <c r="D17" s="19" t="n">
        <v>10300000</v>
      </c>
      <c r="E17" s="20" t="n">
        <f aca="false">D17-C17</f>
        <v>-700000</v>
      </c>
      <c r="F17" s="21" t="n">
        <f aca="false">D17/C17</f>
        <v>0.936363636363636</v>
      </c>
      <c r="G17" s="22" t="n">
        <f aca="false">ROUNDUP(A17/3,0)</f>
        <v>2</v>
      </c>
      <c r="H17" s="23" t="str">
        <f aca="false">IF(F17&gt;$K$2,"Melebihi",IF(F17&lt;$K$3,"Hemat","Sesuai"))</f>
        <v>Sesuai</v>
      </c>
    </row>
    <row r="18" customFormat="false" ht="15" hidden="false" customHeight="false" outlineLevel="0" collapsed="false">
      <c r="A18" s="17" t="n">
        <v>6</v>
      </c>
      <c r="B18" s="18" t="s">
        <v>93</v>
      </c>
      <c r="C18" s="19" t="n">
        <v>19000000</v>
      </c>
      <c r="D18" s="19" t="n">
        <v>18100000</v>
      </c>
      <c r="E18" s="20" t="n">
        <f aca="false">D18-C18</f>
        <v>-900000</v>
      </c>
      <c r="F18" s="21" t="n">
        <f aca="false">D18/C18</f>
        <v>0.952631578947368</v>
      </c>
      <c r="G18" s="22" t="n">
        <f aca="false">ROUNDUP(A18/3,0)</f>
        <v>2</v>
      </c>
      <c r="H18" s="23" t="str">
        <f aca="false">IF(F18&gt;$K$2,"Melebihi",IF(F18&lt;$K$3,"Hemat","Sesuai"))</f>
        <v>Sesuai</v>
      </c>
    </row>
    <row r="19" customFormat="false" ht="15" hidden="false" customHeight="false" outlineLevel="0" collapsed="false">
      <c r="A19" s="17" t="n">
        <v>6</v>
      </c>
      <c r="B19" s="18" t="s">
        <v>96</v>
      </c>
      <c r="C19" s="19" t="n">
        <v>8000000</v>
      </c>
      <c r="D19" s="19" t="n">
        <v>7600000</v>
      </c>
      <c r="E19" s="20" t="n">
        <f aca="false">D19-C19</f>
        <v>-400000</v>
      </c>
      <c r="F19" s="21" t="n">
        <f aca="false">D19/C19</f>
        <v>0.95</v>
      </c>
      <c r="G19" s="22" t="n">
        <f aca="false">ROUNDUP(A19/3,0)</f>
        <v>2</v>
      </c>
      <c r="H19" s="23" t="str">
        <f aca="false">IF(F19&gt;$K$2,"Melebihi",IF(F19&lt;$K$3,"Hemat","Sesuai"))</f>
        <v>Sesuai</v>
      </c>
    </row>
    <row r="20" customFormat="false" ht="15" hidden="false" customHeight="false" outlineLevel="0" collapsed="false">
      <c r="A20" s="17" t="n">
        <v>7</v>
      </c>
      <c r="B20" s="18" t="s">
        <v>90</v>
      </c>
      <c r="C20" s="19" t="n">
        <v>11000000</v>
      </c>
      <c r="D20" s="19" t="n">
        <v>11600000</v>
      </c>
      <c r="E20" s="20" t="n">
        <f aca="false">D20-C20</f>
        <v>600000</v>
      </c>
      <c r="F20" s="21" t="n">
        <f aca="false">D20/C20</f>
        <v>1.05454545454545</v>
      </c>
      <c r="G20" s="22" t="n">
        <f aca="false">ROUNDUP(A20/3,0)</f>
        <v>3</v>
      </c>
      <c r="H20" s="23" t="str">
        <f aca="false">IF(F20&gt;$K$2,"Melebihi",IF(F20&lt;$K$3,"Hemat","Sesuai"))</f>
        <v>Melebihi</v>
      </c>
    </row>
    <row r="21" customFormat="false" ht="15" hidden="false" customHeight="false" outlineLevel="0" collapsed="false">
      <c r="A21" s="17" t="n">
        <v>7</v>
      </c>
      <c r="B21" s="18" t="s">
        <v>93</v>
      </c>
      <c r="C21" s="19" t="n">
        <v>20000000</v>
      </c>
      <c r="D21" s="19" t="n">
        <v>15200000</v>
      </c>
      <c r="E21" s="20" t="n">
        <f aca="false">D21-C21</f>
        <v>-4800000</v>
      </c>
      <c r="F21" s="21" t="n">
        <f aca="false">D21/C21</f>
        <v>0.76</v>
      </c>
      <c r="G21" s="22" t="n">
        <f aca="false">ROUNDUP(A21/3,0)</f>
        <v>3</v>
      </c>
      <c r="H21" s="23" t="str">
        <f aca="false">IF(F21&gt;$K$2,"Melebihi",IF(F21&lt;$K$3,"Hemat","Sesuai"))</f>
        <v>Hemat</v>
      </c>
    </row>
    <row r="22" customFormat="false" ht="15" hidden="false" customHeight="false" outlineLevel="0" collapsed="false">
      <c r="A22" s="17" t="n">
        <v>7</v>
      </c>
      <c r="B22" s="18" t="s">
        <v>96</v>
      </c>
      <c r="C22" s="19" t="n">
        <v>5000000</v>
      </c>
      <c r="D22" s="19" t="n">
        <v>3800000</v>
      </c>
      <c r="E22" s="20" t="n">
        <f aca="false">D22-C22</f>
        <v>-1200000</v>
      </c>
      <c r="F22" s="21" t="n">
        <f aca="false">D22/C22</f>
        <v>0.76</v>
      </c>
      <c r="G22" s="22" t="n">
        <f aca="false">ROUNDUP(A22/3,0)</f>
        <v>3</v>
      </c>
      <c r="H22" s="23" t="str">
        <f aca="false">IF(F22&gt;$K$2,"Melebihi",IF(F22&lt;$K$3,"Hemat","Sesuai"))</f>
        <v>Hemat</v>
      </c>
    </row>
    <row r="23" customFormat="false" ht="15" hidden="false" customHeight="false" outlineLevel="0" collapsed="false">
      <c r="A23" s="17" t="n">
        <v>8</v>
      </c>
      <c r="B23" s="18" t="s">
        <v>90</v>
      </c>
      <c r="C23" s="19" t="n">
        <v>12000000</v>
      </c>
      <c r="D23" s="19" t="n">
        <v>12800000</v>
      </c>
      <c r="E23" s="20" t="n">
        <f aca="false">D23-C23</f>
        <v>800000</v>
      </c>
      <c r="F23" s="21" t="n">
        <f aca="false">D23/C23</f>
        <v>1.06666666666667</v>
      </c>
      <c r="G23" s="22" t="n">
        <f aca="false">ROUNDUP(A23/3,0)</f>
        <v>3</v>
      </c>
      <c r="H23" s="23" t="str">
        <f aca="false">IF(F23&gt;$K$2,"Melebihi",IF(F23&lt;$K$3,"Hemat","Sesuai"))</f>
        <v>Melebihi</v>
      </c>
    </row>
    <row r="24" customFormat="false" ht="15" hidden="false" customHeight="false" outlineLevel="0" collapsed="false">
      <c r="A24" s="17" t="n">
        <v>8</v>
      </c>
      <c r="B24" s="18" t="s">
        <v>93</v>
      </c>
      <c r="C24" s="19" t="n">
        <v>20000000</v>
      </c>
      <c r="D24" s="19" t="n">
        <v>22600000</v>
      </c>
      <c r="E24" s="20" t="n">
        <f aca="false">D24-C24</f>
        <v>2600000</v>
      </c>
      <c r="F24" s="21" t="n">
        <f aca="false">D24/C24</f>
        <v>1.13</v>
      </c>
      <c r="G24" s="22" t="n">
        <f aca="false">ROUNDUP(A24/3,0)</f>
        <v>3</v>
      </c>
      <c r="H24" s="23" t="str">
        <f aca="false">IF(F24&gt;$K$2,"Melebihi",IF(F24&lt;$K$3,"Hemat","Sesuai"))</f>
        <v>Melebihi</v>
      </c>
    </row>
    <row r="25" customFormat="false" ht="15" hidden="false" customHeight="false" outlineLevel="0" collapsed="false">
      <c r="A25" s="17" t="n">
        <v>8</v>
      </c>
      <c r="B25" s="18" t="s">
        <v>96</v>
      </c>
      <c r="C25" s="19" t="n">
        <v>4000000</v>
      </c>
      <c r="D25" s="19" t="n">
        <v>4100000</v>
      </c>
      <c r="E25" s="20" t="n">
        <f aca="false">D25-C25</f>
        <v>100000</v>
      </c>
      <c r="F25" s="21" t="n">
        <f aca="false">D25/C25</f>
        <v>1.025</v>
      </c>
      <c r="G25" s="22" t="n">
        <f aca="false">ROUNDUP(A25/3,0)</f>
        <v>3</v>
      </c>
      <c r="H25" s="23" t="str">
        <f aca="false">IF(F25&gt;$K$2,"Melebihi",IF(F25&lt;$K$3,"Hemat","Sesuai"))</f>
        <v>Sesuai</v>
      </c>
    </row>
    <row r="26" customFormat="false" ht="15" hidden="false" customHeight="false" outlineLevel="0" collapsed="false">
      <c r="A26" s="17" t="n">
        <v>9</v>
      </c>
      <c r="B26" s="18" t="s">
        <v>90</v>
      </c>
      <c r="C26" s="19" t="n">
        <v>12000000</v>
      </c>
      <c r="D26" s="19" t="n">
        <v>13000000</v>
      </c>
      <c r="E26" s="20" t="n">
        <f aca="false">D26-C26</f>
        <v>1000000</v>
      </c>
      <c r="F26" s="21" t="n">
        <f aca="false">D26/C26</f>
        <v>1.08333333333333</v>
      </c>
      <c r="G26" s="22" t="n">
        <f aca="false">ROUNDUP(A26/3,0)</f>
        <v>3</v>
      </c>
      <c r="H26" s="23" t="str">
        <f aca="false">IF(F26&gt;$K$2,"Melebihi",IF(F26&lt;$K$3,"Hemat","Sesuai"))</f>
        <v>Melebihi</v>
      </c>
    </row>
    <row r="27" customFormat="false" ht="15" hidden="false" customHeight="false" outlineLevel="0" collapsed="false">
      <c r="A27" s="17" t="n">
        <v>9</v>
      </c>
      <c r="B27" s="18" t="s">
        <v>93</v>
      </c>
      <c r="C27" s="19" t="n">
        <v>20000000</v>
      </c>
      <c r="D27" s="19" t="n">
        <v>16600000</v>
      </c>
      <c r="E27" s="20" t="n">
        <f aca="false">D27-C27</f>
        <v>-3400000</v>
      </c>
      <c r="F27" s="21" t="n">
        <f aca="false">D27/C27</f>
        <v>0.83</v>
      </c>
      <c r="G27" s="22" t="n">
        <f aca="false">ROUNDUP(A27/3,0)</f>
        <v>3</v>
      </c>
      <c r="H27" s="23" t="str">
        <f aca="false">IF(F27&gt;$K$2,"Melebihi",IF(F27&lt;$K$3,"Hemat","Sesuai"))</f>
        <v>Hemat</v>
      </c>
    </row>
    <row r="28" customFormat="false" ht="15" hidden="false" customHeight="false" outlineLevel="0" collapsed="false">
      <c r="A28" s="17" t="n">
        <v>9</v>
      </c>
      <c r="B28" s="18" t="s">
        <v>96</v>
      </c>
      <c r="C28" s="19" t="n">
        <v>8000000</v>
      </c>
      <c r="D28" s="19" t="n">
        <v>7500000</v>
      </c>
      <c r="E28" s="20" t="n">
        <f aca="false">D28-C28</f>
        <v>-500000</v>
      </c>
      <c r="F28" s="21" t="n">
        <f aca="false">D28/C28</f>
        <v>0.9375</v>
      </c>
      <c r="G28" s="22" t="n">
        <f aca="false">ROUNDUP(A28/3,0)</f>
        <v>3</v>
      </c>
      <c r="H28" s="23" t="str">
        <f aca="false">IF(F28&gt;$K$2,"Melebihi",IF(F28&lt;$K$3,"Hemat","Sesuai"))</f>
        <v>Sesuai</v>
      </c>
    </row>
    <row r="29" customFormat="false" ht="15" hidden="false" customHeight="false" outlineLevel="0" collapsed="false">
      <c r="A29" s="17" t="n">
        <v>10</v>
      </c>
      <c r="B29" s="18" t="s">
        <v>90</v>
      </c>
      <c r="C29" s="19" t="n">
        <v>15000000</v>
      </c>
      <c r="D29" s="19" t="n">
        <v>14300000</v>
      </c>
      <c r="E29" s="20" t="n">
        <f aca="false">D29-C29</f>
        <v>-700000</v>
      </c>
      <c r="F29" s="21" t="n">
        <f aca="false">D29/C29</f>
        <v>0.953333333333333</v>
      </c>
      <c r="G29" s="22" t="n">
        <f aca="false">ROUNDUP(A29/3,0)</f>
        <v>4</v>
      </c>
      <c r="H29" s="23" t="str">
        <f aca="false">IF(F29&gt;$K$2,"Melebihi",IF(F29&lt;$K$3,"Hemat","Sesuai"))</f>
        <v>Sesuai</v>
      </c>
    </row>
    <row r="30" customFormat="false" ht="15" hidden="false" customHeight="false" outlineLevel="0" collapsed="false">
      <c r="A30" s="17" t="n">
        <v>10</v>
      </c>
      <c r="B30" s="18" t="s">
        <v>93</v>
      </c>
      <c r="C30" s="19" t="n">
        <v>21000000</v>
      </c>
      <c r="D30" s="19" t="n">
        <v>15600000</v>
      </c>
      <c r="E30" s="20" t="n">
        <f aca="false">D30-C30</f>
        <v>-5400000</v>
      </c>
      <c r="F30" s="21" t="n">
        <f aca="false">D30/C30</f>
        <v>0.742857142857143</v>
      </c>
      <c r="G30" s="22" t="n">
        <f aca="false">ROUNDUP(A30/3,0)</f>
        <v>4</v>
      </c>
      <c r="H30" s="23" t="str">
        <f aca="false">IF(F30&gt;$K$2,"Melebihi",IF(F30&lt;$K$3,"Hemat","Sesuai"))</f>
        <v>Hemat</v>
      </c>
    </row>
    <row r="31" customFormat="false" ht="15" hidden="false" customHeight="false" outlineLevel="0" collapsed="false">
      <c r="A31" s="17" t="n">
        <v>10</v>
      </c>
      <c r="B31" s="18" t="s">
        <v>96</v>
      </c>
      <c r="C31" s="19" t="n">
        <v>6000000</v>
      </c>
      <c r="D31" s="19" t="n">
        <v>5600000</v>
      </c>
      <c r="E31" s="20" t="n">
        <f aca="false">D31-C31</f>
        <v>-400000</v>
      </c>
      <c r="F31" s="21" t="n">
        <f aca="false">D31/C31</f>
        <v>0.933333333333333</v>
      </c>
      <c r="G31" s="22" t="n">
        <f aca="false">ROUNDUP(A31/3,0)</f>
        <v>4</v>
      </c>
      <c r="H31" s="23" t="str">
        <f aca="false">IF(F31&gt;$K$2,"Melebihi",IF(F31&lt;$K$3,"Hemat","Sesuai"))</f>
        <v>Sesuai</v>
      </c>
    </row>
    <row r="32" customFormat="false" ht="15" hidden="false" customHeight="false" outlineLevel="0" collapsed="false">
      <c r="A32" s="17" t="n">
        <v>11</v>
      </c>
      <c r="B32" s="18" t="s">
        <v>90</v>
      </c>
      <c r="C32" s="19" t="n">
        <v>18000000</v>
      </c>
      <c r="D32" s="19" t="n">
        <v>16500000</v>
      </c>
      <c r="E32" s="20" t="n">
        <f aca="false">D32-C32</f>
        <v>-1500000</v>
      </c>
      <c r="F32" s="21" t="n">
        <f aca="false">D32/C32</f>
        <v>0.916666666666667</v>
      </c>
      <c r="G32" s="22" t="n">
        <f aca="false">ROUNDUP(A32/3,0)</f>
        <v>4</v>
      </c>
      <c r="H32" s="23" t="str">
        <f aca="false">IF(F32&gt;$K$2,"Melebihi",IF(F32&lt;$K$3,"Hemat","Sesuai"))</f>
        <v>Sesuai</v>
      </c>
    </row>
    <row r="33" customFormat="false" ht="15" hidden="false" customHeight="false" outlineLevel="0" collapsed="false">
      <c r="A33" s="17" t="n">
        <v>11</v>
      </c>
      <c r="B33" s="18" t="s">
        <v>93</v>
      </c>
      <c r="C33" s="19" t="n">
        <v>21000000</v>
      </c>
      <c r="D33" s="19" t="n">
        <v>15800000</v>
      </c>
      <c r="E33" s="20" t="n">
        <f aca="false">D33-C33</f>
        <v>-5200000</v>
      </c>
      <c r="F33" s="21" t="n">
        <f aca="false">D33/C33</f>
        <v>0.752380952380952</v>
      </c>
      <c r="G33" s="22" t="n">
        <f aca="false">ROUNDUP(A33/3,0)</f>
        <v>4</v>
      </c>
      <c r="H33" s="23" t="str">
        <f aca="false">IF(F33&gt;$K$2,"Melebihi",IF(F33&lt;$K$3,"Hemat","Sesuai"))</f>
        <v>Hemat</v>
      </c>
    </row>
    <row r="34" customFormat="false" ht="15" hidden="false" customHeight="false" outlineLevel="0" collapsed="false">
      <c r="A34" s="17" t="n">
        <v>11</v>
      </c>
      <c r="B34" s="18" t="s">
        <v>96</v>
      </c>
      <c r="C34" s="19" t="n">
        <v>4000000</v>
      </c>
      <c r="D34" s="19" t="n">
        <v>3100000</v>
      </c>
      <c r="E34" s="20" t="n">
        <f aca="false">D34-C34</f>
        <v>-900000</v>
      </c>
      <c r="F34" s="21" t="n">
        <f aca="false">D34/C34</f>
        <v>0.775</v>
      </c>
      <c r="G34" s="22" t="n">
        <f aca="false">ROUNDUP(A34/3,0)</f>
        <v>4</v>
      </c>
      <c r="H34" s="23" t="str">
        <f aca="false">IF(F34&gt;$K$2,"Melebihi",IF(F34&lt;$K$3,"Hemat","Sesuai"))</f>
        <v>Hemat</v>
      </c>
    </row>
    <row r="35" customFormat="false" ht="15" hidden="false" customHeight="false" outlineLevel="0" collapsed="false">
      <c r="A35" s="17" t="n">
        <v>12</v>
      </c>
      <c r="B35" s="18" t="s">
        <v>90</v>
      </c>
      <c r="C35" s="19" t="n">
        <v>22000000</v>
      </c>
      <c r="D35" s="19" t="n">
        <v>21700000</v>
      </c>
      <c r="E35" s="20" t="n">
        <f aca="false">D35-C35</f>
        <v>-300000</v>
      </c>
      <c r="F35" s="21" t="n">
        <f aca="false">D35/C35</f>
        <v>0.986363636363636</v>
      </c>
      <c r="G35" s="22" t="n">
        <f aca="false">ROUNDUP(A35/3,0)</f>
        <v>4</v>
      </c>
      <c r="H35" s="23" t="str">
        <f aca="false">IF(F35&gt;$K$2,"Melebihi",IF(F35&lt;$K$3,"Hemat","Sesuai"))</f>
        <v>Sesuai</v>
      </c>
    </row>
    <row r="36" customFormat="false" ht="15" hidden="false" customHeight="false" outlineLevel="0" collapsed="false">
      <c r="A36" s="17" t="n">
        <v>12</v>
      </c>
      <c r="B36" s="18" t="s">
        <v>93</v>
      </c>
      <c r="C36" s="19" t="n">
        <v>22000000</v>
      </c>
      <c r="D36" s="19" t="n">
        <v>24400000</v>
      </c>
      <c r="E36" s="20" t="n">
        <f aca="false">D36-C36</f>
        <v>2400000</v>
      </c>
      <c r="F36" s="21" t="n">
        <f aca="false">D36/C36</f>
        <v>1.10909090909091</v>
      </c>
      <c r="G36" s="22" t="n">
        <f aca="false">ROUNDUP(A36/3,0)</f>
        <v>4</v>
      </c>
      <c r="H36" s="23" t="str">
        <f aca="false">IF(F36&gt;$K$2,"Melebihi",IF(F36&lt;$K$3,"Hemat","Sesuai"))</f>
        <v>Melebihi</v>
      </c>
    </row>
    <row r="37" customFormat="false" ht="15" hidden="false" customHeight="false" outlineLevel="0" collapsed="false">
      <c r="A37" s="17" t="n">
        <v>12</v>
      </c>
      <c r="B37" s="18" t="s">
        <v>96</v>
      </c>
      <c r="C37" s="19" t="n">
        <v>10000000</v>
      </c>
      <c r="D37" s="19" t="n">
        <v>10600000</v>
      </c>
      <c r="E37" s="20" t="n">
        <f aca="false">D37-C37</f>
        <v>600000</v>
      </c>
      <c r="F37" s="21" t="n">
        <f aca="false">D37/C37</f>
        <v>1.06</v>
      </c>
      <c r="G37" s="22" t="n">
        <f aca="false">ROUNDUP(A37/3,0)</f>
        <v>4</v>
      </c>
      <c r="H37" s="23" t="str">
        <f aca="false">IF(F37&gt;$K$2,"Melebihi",IF(F37&lt;$K$3,"Hemat","Sesuai"))</f>
        <v>Melebihi</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3" min="2" style="0" width="18"/>
    <col collapsed="false" customWidth="true" hidden="false" outlineLevel="0" max="4" min="4" style="0" width="17"/>
    <col collapsed="false" customWidth="true" hidden="false" outlineLevel="0" max="5" min="5" style="0" width="24"/>
  </cols>
  <sheetData>
    <row r="1" customFormat="false" ht="33.75" hidden="false" customHeight="true" outlineLevel="0" collapsed="false">
      <c r="A1" s="11" t="s">
        <v>85</v>
      </c>
      <c r="B1" s="15" t="s">
        <v>97</v>
      </c>
      <c r="C1" s="15" t="s">
        <v>98</v>
      </c>
      <c r="D1" s="15" t="s">
        <v>99</v>
      </c>
      <c r="E1" s="15" t="s">
        <v>100</v>
      </c>
    </row>
    <row r="2" customFormat="false" ht="15" hidden="false" customHeight="false" outlineLevel="0" collapsed="false">
      <c r="A2" s="17" t="n">
        <v>1</v>
      </c>
      <c r="B2" s="20" t="n">
        <f aca="false">SUMIF(Data!$G$2:$G$37,A2,Data!$C$2:$C$37)</f>
        <v>94000000</v>
      </c>
      <c r="C2" s="20" t="n">
        <f aca="false">SUMIF(Data!$G$2:$G$37,A2,Data!$D$2:$D$37)</f>
        <v>98300000</v>
      </c>
      <c r="D2" s="20" t="n">
        <f aca="false">C2-B2</f>
        <v>4300000</v>
      </c>
      <c r="E2" s="21" t="n">
        <f aca="false">C2/B2</f>
        <v>1.04574468085106</v>
      </c>
    </row>
    <row r="3" customFormat="false" ht="15" hidden="false" customHeight="false" outlineLevel="0" collapsed="false">
      <c r="A3" s="17" t="n">
        <v>2</v>
      </c>
      <c r="B3" s="20" t="n">
        <f aca="false">SUMIF(Data!$G$2:$G$37,A3,Data!$C$2:$C$37)</f>
        <v>105000000</v>
      </c>
      <c r="C3" s="20" t="n">
        <f aca="false">SUMIF(Data!$G$2:$G$37,A3,Data!$D$2:$D$37)</f>
        <v>96900000</v>
      </c>
      <c r="D3" s="20" t="n">
        <f aca="false">C3-B3</f>
        <v>-8100000</v>
      </c>
      <c r="E3" s="21" t="n">
        <f aca="false">C3/B3</f>
        <v>0.922857142857143</v>
      </c>
    </row>
    <row r="4" customFormat="false" ht="15" hidden="false" customHeight="false" outlineLevel="0" collapsed="false">
      <c r="A4" s="17" t="n">
        <v>3</v>
      </c>
      <c r="B4" s="20" t="n">
        <f aca="false">SUMIF(Data!$G$2:$G$37,A4,Data!$C$2:$C$37)</f>
        <v>112000000</v>
      </c>
      <c r="C4" s="20" t="n">
        <f aca="false">SUMIF(Data!$G$2:$G$37,A4,Data!$D$2:$D$37)</f>
        <v>107200000</v>
      </c>
      <c r="D4" s="20" t="n">
        <f aca="false">C4-B4</f>
        <v>-4800000</v>
      </c>
      <c r="E4" s="21" t="n">
        <f aca="false">C4/B4</f>
        <v>0.957142857142857</v>
      </c>
    </row>
    <row r="5" customFormat="false" ht="15" hidden="false" customHeight="false" outlineLevel="0" collapsed="false">
      <c r="A5" s="17" t="n">
        <v>4</v>
      </c>
      <c r="B5" s="20" t="n">
        <f aca="false">SUMIF(Data!$G$2:$G$37,A5,Data!$C$2:$C$37)</f>
        <v>139000000</v>
      </c>
      <c r="C5" s="20" t="n">
        <f aca="false">SUMIF(Data!$G$2:$G$37,A5,Data!$D$2:$D$37)</f>
        <v>127600000</v>
      </c>
      <c r="D5" s="20" t="n">
        <f aca="false">C5-B5</f>
        <v>-11400000</v>
      </c>
      <c r="E5" s="21" t="n">
        <f aca="false">C5/B5</f>
        <v>0.917985611510791</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78"/>
    <col collapsed="false" customWidth="true" hidden="false" outlineLevel="0" max="3" min="3" style="0" width="26"/>
    <col collapsed="false" customWidth="true" hidden="false" outlineLevel="0" max="4" min="4" style="0" width="32"/>
  </cols>
  <sheetData>
    <row r="1" customFormat="false" ht="16.15" hidden="false" customHeight="false" outlineLevel="0" collapsed="false">
      <c r="A1" s="26" t="s">
        <v>101</v>
      </c>
      <c r="B1" s="26"/>
      <c r="C1" s="26"/>
      <c r="D1" s="26"/>
    </row>
    <row r="2" customFormat="false" ht="15" hidden="false" customHeight="false" outlineLevel="0" collapsed="false">
      <c r="A2" s="27" t="s">
        <v>102</v>
      </c>
      <c r="B2" s="27"/>
      <c r="C2" s="27"/>
      <c r="D2" s="27"/>
    </row>
    <row r="3" customFormat="false" ht="15" hidden="false" customHeight="false" outlineLevel="0" collapsed="false">
      <c r="A3" s="11" t="s">
        <v>19</v>
      </c>
      <c r="B3" s="11" t="s">
        <v>103</v>
      </c>
      <c r="C3" s="11" t="s">
        <v>104</v>
      </c>
      <c r="D3" s="11" t="s">
        <v>105</v>
      </c>
    </row>
    <row r="4" customFormat="false" ht="15" hidden="false" customHeight="false" outlineLevel="0" collapsed="false">
      <c r="A4" s="28" t="s">
        <v>106</v>
      </c>
      <c r="B4" s="29" t="s">
        <v>107</v>
      </c>
      <c r="C4" s="20" t="n">
        <f aca="false">SUM(Data!$C$2:$C$37)</f>
        <v>450000000</v>
      </c>
      <c r="D4" s="30" t="s">
        <v>108</v>
      </c>
    </row>
    <row r="5" customFormat="false" ht="15" hidden="false" customHeight="false" outlineLevel="0" collapsed="false">
      <c r="A5" s="28" t="s">
        <v>109</v>
      </c>
      <c r="B5" s="29" t="s">
        <v>110</v>
      </c>
      <c r="C5" s="20" t="n">
        <f aca="false">SUM(Data!$D$2:$D$37)</f>
        <v>430000000</v>
      </c>
      <c r="D5" s="30" t="s">
        <v>111</v>
      </c>
    </row>
    <row r="6" customFormat="false" ht="15" hidden="false" customHeight="false" outlineLevel="0" collapsed="false">
      <c r="A6" s="28" t="s">
        <v>112</v>
      </c>
      <c r="B6" s="29" t="s">
        <v>113</v>
      </c>
      <c r="C6" s="21" t="n">
        <f aca="false">C5/C4</f>
        <v>0.955555555555556</v>
      </c>
      <c r="D6" s="30" t="s">
        <v>114</v>
      </c>
    </row>
    <row r="7" customFormat="false" ht="15" hidden="false" customHeight="false" outlineLevel="0" collapsed="false">
      <c r="A7" s="28" t="s">
        <v>115</v>
      </c>
      <c r="B7" s="29" t="s">
        <v>116</v>
      </c>
      <c r="C7" s="22" t="n">
        <f aca="false">COUNTIF(Data!$H$2:$H$37,"Melebihi")</f>
        <v>13</v>
      </c>
      <c r="D7" s="30" t="s">
        <v>117</v>
      </c>
    </row>
    <row r="8" customFormat="false" ht="15" hidden="false" customHeight="false" outlineLevel="0" collapsed="false">
      <c r="A8" s="28" t="s">
        <v>118</v>
      </c>
      <c r="B8" s="29" t="s">
        <v>119</v>
      </c>
      <c r="C8" s="22" t="n">
        <f aca="false">COUNTIF(Data!$H$2:$H$37,"Hemat")</f>
        <v>10</v>
      </c>
      <c r="D8" s="30" t="s">
        <v>120</v>
      </c>
    </row>
    <row r="9" customFormat="false" ht="15" hidden="false" customHeight="false" outlineLevel="0" collapsed="false">
      <c r="A9" s="28" t="s">
        <v>121</v>
      </c>
      <c r="B9" s="29" t="s">
        <v>122</v>
      </c>
      <c r="C9" s="22" t="n">
        <f aca="false">COUNTIF(Data!$H$2:$H$37,"Sesuai")</f>
        <v>13</v>
      </c>
      <c r="D9" s="30" t="s">
        <v>123</v>
      </c>
    </row>
    <row r="10" customFormat="false" ht="15" hidden="false" customHeight="false" outlineLevel="0" collapsed="false">
      <c r="A10" s="28" t="s">
        <v>124</v>
      </c>
      <c r="B10" s="29" t="s">
        <v>125</v>
      </c>
      <c r="C10" s="22" t="n">
        <f aca="false">INDEX(Acuan!$A$2:$A$5,MATCH(MAX(Acuan!$D$2:$D$5),Acuan!$D$2:$D$5,0))</f>
        <v>1</v>
      </c>
      <c r="D10" s="30" t="s">
        <v>126</v>
      </c>
    </row>
    <row r="11" customFormat="false" ht="15" hidden="false" customHeight="false" outlineLevel="0" collapsed="false">
      <c r="A11" s="28" t="s">
        <v>127</v>
      </c>
      <c r="B11" s="29" t="s">
        <v>128</v>
      </c>
      <c r="C11" s="22" t="n">
        <f aca="false">INDEX(Acuan!$A$2:$A$5,MATCH(MIN(Acuan!$E$2:$E$5),Acuan!$E$2:$E$5,0))</f>
        <v>4</v>
      </c>
      <c r="D11" s="30" t="s">
        <v>126</v>
      </c>
    </row>
    <row r="12" customFormat="false" ht="15" hidden="false" customHeight="false" outlineLevel="0" collapsed="false">
      <c r="A12" s="28" t="s">
        <v>129</v>
      </c>
      <c r="B12" s="29" t="s">
        <v>130</v>
      </c>
      <c r="C12" s="20" t="n">
        <f aca="false">SUMPRODUCT((Data!$B$2:$B$37="Pemasaran")*(Data!$G$2:$G$37=4)*Data!$D$2:$D$37)</f>
        <v>52500000</v>
      </c>
      <c r="D12" s="30" t="s">
        <v>131</v>
      </c>
    </row>
    <row r="13" customFormat="false" ht="15" hidden="false" customHeight="false" outlineLevel="0" collapsed="false">
      <c r="A13" s="28" t="s">
        <v>132</v>
      </c>
      <c r="B13" s="29" t="s">
        <v>133</v>
      </c>
      <c r="C13" s="20" t="n">
        <f aca="false">SUMPRODUCT((Data!$B$2:$B$37="Pelatihan")*(Data!$A$2:$A$37&gt;=7)*Data!$C$2:$C$37)</f>
        <v>37000000</v>
      </c>
      <c r="D13" s="30" t="s">
        <v>134</v>
      </c>
    </row>
    <row r="14" customFormat="false" ht="15" hidden="false" customHeight="false" outlineLevel="0" collapsed="false">
      <c r="A14" s="28" t="s">
        <v>135</v>
      </c>
      <c r="B14" s="29" t="s">
        <v>136</v>
      </c>
      <c r="C14" s="20" t="n">
        <f aca="false">SUMIF(Data!$B$2:$B$37,"Operasional Kantor",Data!$E$2:$E$37)</f>
        <v>-18000000</v>
      </c>
      <c r="D14" s="30" t="s">
        <v>137</v>
      </c>
    </row>
    <row r="15" customFormat="false" ht="15" hidden="false" customHeight="false" outlineLevel="0" collapsed="false">
      <c r="A15" s="28" t="s">
        <v>138</v>
      </c>
      <c r="B15" s="29" t="s">
        <v>139</v>
      </c>
      <c r="C15" s="21" t="n">
        <f aca="false">AVERAGEIF(Data!$B$2:$B$37,"Pemasaran",Data!$F$2:$F$37)</f>
        <v>1.00729587542088</v>
      </c>
      <c r="D15" s="30" t="s">
        <v>140</v>
      </c>
    </row>
    <row r="16" customFormat="false" ht="15" hidden="false" customHeight="false" outlineLevel="0" collapsed="false">
      <c r="A16" s="28" t="s">
        <v>141</v>
      </c>
      <c r="B16" s="29" t="s">
        <v>142</v>
      </c>
      <c r="C16" s="22" t="n">
        <f aca="false">INDEX(Data!$A$2:$A$37,MATCH(MAX(Data!$D$2:$D$37),Data!$D$2:$D$37,0))</f>
        <v>12</v>
      </c>
      <c r="D16" s="30" t="s">
        <v>143</v>
      </c>
    </row>
    <row r="17" customFormat="false" ht="15" hidden="false" customHeight="false" outlineLevel="0" collapsed="false">
      <c r="A17" s="28" t="s">
        <v>144</v>
      </c>
      <c r="B17" s="29" t="s">
        <v>145</v>
      </c>
      <c r="C17" s="23" t="str">
        <f aca="false">INDEX(Data!$B$2:$B$37,MATCH(MAX(Data!$D$2:$D$37),Data!$D$2:$D$37,0))</f>
        <v>Operasional Kantor</v>
      </c>
      <c r="D17" s="30" t="s">
        <v>146</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2026-10-17T07:49:37Z</dcterms:created>
  <dc:creator>PushExcel</dc:creator>
  <dc:description/>
  <dc:language>en-US</dc:language>
  <cp:lastModifiedBy/>
  <dcterms:modified xsi:type="dcterms:W3CDTF">2026-10-17T07:49:37Z</dcterms:modified>
  <cp:revision>0</cp:revision>
  <dc:subject/>
  <dc:title>Anggaran dan Realisasi Biaya Tahunan - Kunci</dc:title>
</cp:coreProperties>
</file>

<file path=docProps/custom.xml><?xml version="1.0" encoding="utf-8"?>
<Properties xmlns="http://schemas.openxmlformats.org/officeDocument/2006/custom-properties" xmlns:vt="http://schemas.openxmlformats.org/officeDocument/2006/docPropsVTypes"/>
</file>