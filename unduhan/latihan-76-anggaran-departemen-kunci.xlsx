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<sst xmlns="http://schemas.openxmlformats.org/spreadsheetml/2006/main" count="200" uniqueCount="143">
  <si>
    <t xml:space="preserve">Kunci Jawaban: Anggaran dan Realisasi Biaya per Departemen</t>
  </si>
  <si>
    <t xml:space="preserve">Latihan 76 dari 40  |  Tingkat: Menengah  |  Perkiraan waktu: 50 menit  |  pushexcel.github.io/Pushexcel</t>
  </si>
  <si>
    <t xml:space="preserve">Skenario</t>
  </si>
  <si>
    <t xml:space="preserve">Kamu staf keuangan PT Mitra Prima Sejahtera yang memantau anggaran biaya operasional lima departemen selama enam bulan, Juli sampai Desember 2026. Tiap baris memuat anggaran dan realisasi satu departemen pada satu bulan. Sisa anggaran adalah anggaran dikurangi realisasi (boleh negatif bila melebihi). Persen serapan adalah realisasi dibagi anggaran. Status Hemat bila serapan di bawah 85 persen, Wajar bila serapan sampai 100 persen, dan Melebihi bila lebih dari 100 persen (batas ada di blok Parameter). Kolom No Bulan (1 sampai 6) dipakai untuk menghitung realisasi kumulatif.</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</si>
  <si>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</si>
  <si>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</si>
  <si>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</si>
  <si>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</si>
  <si>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</si>
  <si>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</si>
  <si>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</si>
  <si>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</si>
  <si>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</si>
  <si>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</si>
  <si>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</si>
  <si>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</si>
  <si>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</si>
  <si>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</si>
  <si>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</si>
  <si>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</si>
  <si>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</si>
  <si>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</si>
  <si>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</si>
  <si>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</si>
  <si>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sisa anggaran: anggaran dikurangi realisasi. Boleh negatif bila realisasi melebihi anggaran.</t>
  </si>
  <si>
    <t xml:space="preserve">Sheet Data, kolom F (Sisa Anggaran), baris 2 sampai 31</t>
  </si>
  <si>
    <t xml:space="preserve">=D2-E2</t>
  </si>
  <si>
    <t xml:space="preserve">2</t>
  </si>
  <si>
    <t xml:space="preserve">Hitung persen serapan: realisasi dibagi anggaran.</t>
  </si>
  <si>
    <t xml:space="preserve">Sheet Data, kolom G (Persen Serapan), baris 2 sampai 31</t>
  </si>
  <si>
    <t xml:space="preserve">=E2/D2</t>
  </si>
  <si>
    <t xml:space="preserve">3</t>
  </si>
  <si>
    <t xml:space="preserve">Beri status Hemat bila serapan di bawah batas hemat, Wajar bila serapan sampai batas wajar, selain itu Melebihi.</t>
  </si>
  <si>
    <t xml:space="preserve">Sheet Data, kolom H (Status Serapan), baris 2 sampai 31</t>
  </si>
  <si>
    <t xml:space="preserve">=IF(G2&lt;$L$2;"Hemat";IF(G2&lt;=$L$3;"Wajar";"Melebihi"))</t>
  </si>
  <si>
    <t xml:space="preserve">4</t>
  </si>
  <si>
    <t xml:space="preserve">Hitung realisasi kumulatif departemen sampai bulan pada baris ini: jumlah realisasi departemen yang sama dengan No Bulan sama atau lebih kecil.</t>
  </si>
  <si>
    <t xml:space="preserve">Sheet Data, kolom I (Realisasi Kumulatif), baris 2 sampai 31</t>
  </si>
  <si>
    <t xml:space="preserve">=SUMIFS($E$2:$E$31;$A$2:$A$31;A2;$C$2:$C$31;"&lt;="&amp;C2)</t>
  </si>
  <si>
    <t xml:space="preserve">5</t>
  </si>
  <si>
    <t xml:space="preserve">Pada sheet Acuan, hitung total anggaran enam bulan tiap departemen.</t>
  </si>
  <si>
    <t xml:space="preserve">Sheet Acuan, kolom B (Total Anggaran), baris 2 sampai 6</t>
  </si>
  <si>
    <t xml:space="preserve">=SUMIF(Data!$A$2:$A$31;A2;Data!$D$2:$D$31)</t>
  </si>
  <si>
    <t xml:space="preserve">6</t>
  </si>
  <si>
    <t xml:space="preserve">Pada sheet Acuan, hitung total realisasi enam bulan tiap departemen.</t>
  </si>
  <si>
    <t xml:space="preserve">Sheet Acuan, kolom C (Total Realisasi), baris 2 sampai 6</t>
  </si>
  <si>
    <t xml:space="preserve">=SUMIF(Data!$A$2:$A$31;A2;Data!$E$2:$E$31)</t>
  </si>
  <si>
    <t xml:space="preserve">7</t>
  </si>
  <si>
    <t xml:space="preserve">Pada sheet Acuan, hitung sisa anggaran tiap departemen: total anggaran dikurangi total realisasi.</t>
  </si>
  <si>
    <t xml:space="preserve">Sheet Acuan, kolom D (Sisa Departemen), baris 2 sampai 6</t>
  </si>
  <si>
    <t xml:space="preserve">=B2-C2</t>
  </si>
  <si>
    <t xml:space="preserve">8</t>
  </si>
  <si>
    <t xml:space="preserve">Pada sheet Acuan, hitung persen serapan tiap departemen: total realisasi dibagi total anggaran.</t>
  </si>
  <si>
    <t xml:space="preserve">Sheet Acuan, kolom E (Serapan Departemen), baris 2 sampai 6</t>
  </si>
  <si>
    <t xml:space="preserve">=C2/B2</t>
  </si>
  <si>
    <t xml:space="preserve">9</t>
  </si>
  <si>
    <t xml:space="preserve">Berapa total anggaran, total realisasi, dan total sisa anggaran seluruh departemen?</t>
  </si>
  <si>
    <t xml:space="preserve">Sheet Ringkasan, sel C4 sampai C6</t>
  </si>
  <si>
    <t xml:space="preserve">=SUM(Data!$D$2:$D$31)
=SUM(Data!$E$2:$E$31)
=SUM(Data!$F$2:$F$31)</t>
  </si>
  <si>
    <t xml:space="preserve">10</t>
  </si>
  <si>
    <t xml:space="preserve">Berapa baris yang berstatus Melebihi, dan berapa baris Hemat pada departemen Produksi?</t>
  </si>
  <si>
    <t xml:space="preserve">Sheet Ringkasan, sel C7 sampai C8</t>
  </si>
  <si>
    <t xml:space="preserve">=COUNTIF(Data!$H$2:$H$31;"Melebihi")
=COUNTIFS(Data!$A$2:$A$31;"Produksi";Data!$H$2:$H$31;"Hemat")</t>
  </si>
  <si>
    <t xml:space="preserve">11</t>
  </si>
  <si>
    <t xml:space="preserve">Departemen mana yang serapannya tertinggi, dan departemen mana yang sisa anggarannya terbesar?</t>
  </si>
  <si>
    <t xml:space="preserve">Sheet Ringkasan, sel C9 sampai C10</t>
  </si>
  <si>
    <t xml:space="preserve">=INDEX(Acuan!$A$2:$A$6;MATCH(MAX(Acuan!$E$2:$E$6);Acuan!$E$2:$E$6;0))
=INDEX(Acuan!$A$2:$A$6;MATCH(MAX(Acuan!$D$2:$D$6);Acuan!$D$2:$D$6;0))</t>
  </si>
  <si>
    <t xml:space="preserve">12</t>
  </si>
  <si>
    <t xml:space="preserve">Berapa rata-rata persen serapan seluruh baris, dan berapa rata-rata persen serapan bulan Desember?</t>
  </si>
  <si>
    <t xml:space="preserve">Sheet Ringkasan, sel C11 sampai C12</t>
  </si>
  <si>
    <t xml:space="preserve">=AVERAGE(Data!$G$2:$G$31)
=AVERAGEIF(Data!$B$2:$B$31;"Desember";Data!$G$2:$G$31)</t>
  </si>
  <si>
    <t xml:space="preserve">13</t>
  </si>
  <si>
    <t xml:space="preserve">Berapa realisasi terbesar pada satu baris, dan berapa total realisasi pada bulan November?</t>
  </si>
  <si>
    <t xml:space="preserve">Sheet Ringkasan, sel C13 sampai C14</t>
  </si>
  <si>
    <t xml:space="preserve">=MAX(Data!$E$2:$E$31)
=SUMIF(Data!$B$2:$B$31;"November";Data!$E$2:$E$31)</t>
  </si>
  <si>
    <t xml:space="preserve">Departemen</t>
  </si>
  <si>
    <t xml:space="preserve">Bulan</t>
  </si>
  <si>
    <t xml:space="preserve">No Bulan</t>
  </si>
  <si>
    <t xml:space="preserve">Anggaran</t>
  </si>
  <si>
    <t xml:space="preserve">Realisasi</t>
  </si>
  <si>
    <t xml:space="preserve">Sisa Anggaran</t>
  </si>
  <si>
    <t xml:space="preserve">Persen Serapan</t>
  </si>
  <si>
    <t xml:space="preserve">Status Serapan</t>
  </si>
  <si>
    <t xml:space="preserve">Realisasi Kumulatif</t>
  </si>
  <si>
    <t xml:space="preserve">Parameter</t>
  </si>
  <si>
    <t xml:space="preserve">Nilai</t>
  </si>
  <si>
    <t xml:space="preserve">Keterangan</t>
  </si>
  <si>
    <t xml:space="preserve">Produksi</t>
  </si>
  <si>
    <t xml:space="preserve">Juli</t>
  </si>
  <si>
    <t xml:space="preserve">Batas hemat</t>
  </si>
  <si>
    <t xml:space="preserve">Serapan di bawah batas ini = Hemat</t>
  </si>
  <si>
    <t xml:space="preserve">Pemasaran</t>
  </si>
  <si>
    <t xml:space="preserve">Batas wajar</t>
  </si>
  <si>
    <t xml:space="preserve">Serapan sampai batas ini = Wajar, di atasnya Melebihi</t>
  </si>
  <si>
    <t xml:space="preserve">Keuangan</t>
  </si>
  <si>
    <t xml:space="preserve">SDM</t>
  </si>
  <si>
    <t xml:space="preserve">Teknologi Informasi</t>
  </si>
  <si>
    <t xml:space="preserve">Agustus</t>
  </si>
  <si>
    <t xml:space="preserve">September</t>
  </si>
  <si>
    <t xml:space="preserve">Oktober</t>
  </si>
  <si>
    <t xml:space="preserve">November</t>
  </si>
  <si>
    <t xml:space="preserve">Desember</t>
  </si>
  <si>
    <t xml:space="preserve">Total Anggaran</t>
  </si>
  <si>
    <t xml:space="preserve">Total Realisasi</t>
  </si>
  <si>
    <t xml:space="preserve">Sisa Departemen</t>
  </si>
  <si>
    <t xml:space="preserve">Serapan Departemen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</si>
  <si>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</si>
  <si>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</si>
  <si>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</si>
  <si>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</si>
  <si>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</si>
  <si>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</si>
  <si>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anggaran</t>
  </si>
  <si>
    <t xml:space="preserve">Rupiah, mis. Rp 1.000.000.000</t>
  </si>
  <si>
    <t xml:space="preserve">9b</t>
  </si>
  <si>
    <t xml:space="preserve">Total realisasi</t>
  </si>
  <si>
    <t xml:space="preserve">Rupiah, mis. Rp 900.000.000</t>
  </si>
  <si>
    <t xml:space="preserve">9c</t>
  </si>
  <si>
    <t xml:space="preserve">Total sisa anggaran</t>
  </si>
  <si>
    <t xml:space="preserve">Rupiah, mis. Rp 100.000.000</t>
  </si>
  <si>
    <t xml:space="preserve">10a</t>
  </si>
  <si>
    <t xml:space="preserve">Baris Melebihi</t>
  </si>
  <si>
    <t xml:space="preserve">Angka bulat, mis. 7</t>
  </si>
  <si>
    <t xml:space="preserve">10b</t>
  </si>
  <si>
    <t xml:space="preserve">Baris Hemat departemen Produksi</t>
  </si>
  <si>
    <t xml:space="preserve">Angka bulat, mis. 3</t>
  </si>
  <si>
    <t xml:space="preserve">11a</t>
  </si>
  <si>
    <t xml:space="preserve">Departemen dengan serapan tertinggi</t>
  </si>
  <si>
    <t xml:space="preserve">Teks: nama departemen</t>
  </si>
  <si>
    <t xml:space="preserve">11b</t>
  </si>
  <si>
    <t xml:space="preserve">Departemen dengan sisa terbesar</t>
  </si>
  <si>
    <t xml:space="preserve">12a</t>
  </si>
  <si>
    <t xml:space="preserve">Rata-rata persen serapan</t>
  </si>
  <si>
    <t xml:space="preserve">Persen, mis. 90,5%</t>
  </si>
  <si>
    <t xml:space="preserve">12b</t>
  </si>
  <si>
    <t xml:space="preserve">Rata-rata persen serapan Desember</t>
  </si>
  <si>
    <t xml:space="preserve">Persen, mis. 93,5%</t>
  </si>
  <si>
    <t xml:space="preserve">13a</t>
  </si>
  <si>
    <t xml:space="preserve">Realisasi terbesar satu baris</t>
  </si>
  <si>
    <t xml:space="preserve">Rupiah, mis. Rp 80.000.000</t>
  </si>
  <si>
    <t xml:space="preserve">13b</t>
  </si>
  <si>
    <t xml:space="preserve">Total realisasi November</t>
  </si>
  <si>
    <t xml:space="preserve">Rupiah, mis. Rp 150.000.000</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</si>
</sst>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0"/>
    <col collapsed="false" customWidth="true" hidden="false" outlineLevel="0" max="6" min="4" style="0" width="15"/>
    <col collapsed="false" customWidth="true" hidden="false" outlineLevel="0" max="8" min="7" style="0" width="14"/>
    <col collapsed="false" customWidth="true" hidden="false" outlineLevel="0" max="9" min="9" style="0" width="18"/>
    <col collapsed="false" customWidth="true" hidden="false" outlineLevel="0" max="10" min="10" style="0" width="3"/>
    <col collapsed="false" customWidth="true" hidden="false" outlineLevel="0" max="11" min="11" style="0" width="30"/>
    <col collapsed="false" customWidth="true" hidden="false" outlineLevel="0" max="12" min="12" style="0" width="16"/>
    <col collapsed="false" customWidth="true" hidden="false" outlineLevel="0" max="13" min="13" style="0" width="42"/>
  </cols>
  <sheetData>
    <row r="1" customFormat="false" ht="33.75" hidden="false" customHeight="true" outlineLevel="0" collapsed="false">
      <c r="A1" s="11" t="s">
        <v>75</v>
      </c>
      <c r="B1" s="11" t="s">
        <v>76</v>
      </c>
      <c r="C1" s="11" t="s">
        <v>77</v>
      </c>
      <c r="D1" s="11" t="s">
        <v>78</v>
      </c>
      <c r="E1" s="11" t="s">
        <v>79</v>
      </c>
      <c r="F1" s="15" t="s">
        <v>80</v>
      </c>
      <c r="G1" s="15" t="s">
        <v>81</v>
      </c>
      <c r="H1" s="15" t="s">
        <v>82</v>
      </c>
      <c r="I1" s="15" t="s">
        <v>83</v>
      </c>
      <c r="K1" s="16" t="s">
        <v>84</v>
      </c>
      <c r="L1" s="16" t="s">
        <v>85</v>
      </c>
      <c r="M1" s="16" t="s">
        <v>86</v>
      </c>
    </row>
    <row r="2" customFormat="false" ht="15" hidden="false" customHeight="false" outlineLevel="0" collapsed="false">
      <c r="A2" s="17" t="s">
        <v>87</v>
      </c>
      <c r="B2" s="17" t="s">
        <v>88</v>
      </c>
      <c r="C2" s="18" t="n">
        <v>1</v>
      </c>
      <c r="D2" s="19" t="n">
        <v>88000000</v>
      </c>
      <c r="E2" s="19" t="n">
        <v>61300000</v>
      </c>
      <c r="F2" s="20" t="n">
        <f aca="false">D2-E2</f>
        <v>26700000</v>
      </c>
      <c r="G2" s="21" t="n">
        <f aca="false">E2/D2</f>
        <v>0.696590909090909</v>
      </c>
      <c r="H2" s="22" t="str">
        <f aca="false">IF(G2&lt;$L$2,"Hemat",IF(G2&lt;=$L$3,"Wajar","Melebihi"))</f>
        <v>Hemat</v>
      </c>
      <c r="I2" s="20" t="n">
        <f aca="false">SUMIFS($E$2:$E$31,$A$2:$A$31,A2,$C$2:$C$31,"&lt;="&amp;C2)</f>
        <v>61300000</v>
      </c>
      <c r="K2" s="23" t="s">
        <v>89</v>
      </c>
      <c r="L2" s="24" t="n">
        <v>0.85</v>
      </c>
      <c r="M2" s="23" t="s">
        <v>90</v>
      </c>
    </row>
    <row r="3" customFormat="false" ht="15" hidden="false" customHeight="false" outlineLevel="0" collapsed="false">
      <c r="A3" s="17" t="s">
        <v>91</v>
      </c>
      <c r="B3" s="17" t="s">
        <v>88</v>
      </c>
      <c r="C3" s="18" t="n">
        <v>1</v>
      </c>
      <c r="D3" s="19" t="n">
        <v>40500000</v>
      </c>
      <c r="E3" s="19" t="n">
        <v>40000000</v>
      </c>
      <c r="F3" s="20" t="n">
        <f aca="false">D3-E3</f>
        <v>500000</v>
      </c>
      <c r="G3" s="21" t="n">
        <f aca="false">E3/D3</f>
        <v>0.987654320987654</v>
      </c>
      <c r="H3" s="22" t="str">
        <f aca="false">IF(G3&lt;$L$2,"Hemat",IF(G3&lt;=$L$3,"Wajar","Melebihi"))</f>
        <v>Wajar</v>
      </c>
      <c r="I3" s="20" t="n">
        <f aca="false">SUMIFS($E$2:$E$31,$A$2:$A$31,A3,$C$2:$C$31,"&lt;="&amp;C3)</f>
        <v>40000000</v>
      </c>
      <c r="K3" s="23" t="s">
        <v>92</v>
      </c>
      <c r="L3" s="24" t="n">
        <v>1</v>
      </c>
      <c r="M3" s="23" t="s">
        <v>93</v>
      </c>
    </row>
    <row r="4" customFormat="false" ht="15" hidden="false" customHeight="false" outlineLevel="0" collapsed="false">
      <c r="A4" s="17" t="s">
        <v>94</v>
      </c>
      <c r="B4" s="17" t="s">
        <v>88</v>
      </c>
      <c r="C4" s="18" t="n">
        <v>1</v>
      </c>
      <c r="D4" s="19" t="n">
        <v>30000000</v>
      </c>
      <c r="E4" s="19" t="n">
        <v>24000000</v>
      </c>
      <c r="F4" s="20" t="n">
        <f aca="false">D4-E4</f>
        <v>6000000</v>
      </c>
      <c r="G4" s="21" t="n">
        <f aca="false">E4/D4</f>
        <v>0.8</v>
      </c>
      <c r="H4" s="22" t="str">
        <f aca="false">IF(G4&lt;$L$2,"Hemat",IF(G4&lt;=$L$3,"Wajar","Melebihi"))</f>
        <v>Hemat</v>
      </c>
      <c r="I4" s="20" t="n">
        <f aca="false">SUMIFS($E$2:$E$31,$A$2:$A$31,A4,$C$2:$C$31,"&lt;="&amp;C4)</f>
        <v>24000000</v>
      </c>
    </row>
    <row r="5" customFormat="false" ht="15" hidden="false" customHeight="false" outlineLevel="0" collapsed="false">
      <c r="A5" s="17" t="s">
        <v>95</v>
      </c>
      <c r="B5" s="17" t="s">
        <v>88</v>
      </c>
      <c r="C5" s="18" t="n">
        <v>1</v>
      </c>
      <c r="D5" s="19" t="n">
        <v>22500000</v>
      </c>
      <c r="E5" s="19" t="n">
        <v>16800000</v>
      </c>
      <c r="F5" s="20" t="n">
        <f aca="false">D5-E5</f>
        <v>5700000</v>
      </c>
      <c r="G5" s="21" t="n">
        <f aca="false">E5/D5</f>
        <v>0.746666666666667</v>
      </c>
      <c r="H5" s="22" t="str">
        <f aca="false">IF(G5&lt;$L$2,"Hemat",IF(G5&lt;=$L$3,"Wajar","Melebihi"))</f>
        <v>Hemat</v>
      </c>
      <c r="I5" s="20" t="n">
        <f aca="false">SUMIFS($E$2:$E$31,$A$2:$A$31,A5,$C$2:$C$31,"&lt;="&amp;C5)</f>
        <v>16800000</v>
      </c>
    </row>
    <row r="6" customFormat="false" ht="15" hidden="false" customHeight="false" outlineLevel="0" collapsed="false">
      <c r="A6" s="17" t="s">
        <v>96</v>
      </c>
      <c r="B6" s="17" t="s">
        <v>88</v>
      </c>
      <c r="C6" s="18" t="n">
        <v>1</v>
      </c>
      <c r="D6" s="19" t="n">
        <v>38000000</v>
      </c>
      <c r="E6" s="19" t="n">
        <v>26400000</v>
      </c>
      <c r="F6" s="20" t="n">
        <f aca="false">D6-E6</f>
        <v>11600000</v>
      </c>
      <c r="G6" s="21" t="n">
        <f aca="false">E6/D6</f>
        <v>0.694736842105263</v>
      </c>
      <c r="H6" s="22" t="str">
        <f aca="false">IF(G6&lt;$L$2,"Hemat",IF(G6&lt;=$L$3,"Wajar","Melebihi"))</f>
        <v>Hemat</v>
      </c>
      <c r="I6" s="20" t="n">
        <f aca="false">SUMIFS($E$2:$E$31,$A$2:$A$31,A6,$C$2:$C$31,"&lt;="&amp;C6)</f>
        <v>26400000</v>
      </c>
    </row>
    <row r="7" customFormat="false" ht="15" hidden="false" customHeight="false" outlineLevel="0" collapsed="false">
      <c r="A7" s="17" t="s">
        <v>87</v>
      </c>
      <c r="B7" s="17" t="s">
        <v>97</v>
      </c>
      <c r="C7" s="18" t="n">
        <v>2</v>
      </c>
      <c r="D7" s="19" t="n">
        <v>80000000</v>
      </c>
      <c r="E7" s="19" t="n">
        <v>92800000</v>
      </c>
      <c r="F7" s="20" t="n">
        <f aca="false">D7-E7</f>
        <v>-12800000</v>
      </c>
      <c r="G7" s="21" t="n">
        <f aca="false">E7/D7</f>
        <v>1.16</v>
      </c>
      <c r="H7" s="22" t="str">
        <f aca="false">IF(G7&lt;$L$2,"Hemat",IF(G7&lt;=$L$3,"Wajar","Melebihi"))</f>
        <v>Melebihi</v>
      </c>
      <c r="I7" s="20" t="n">
        <f aca="false">SUMIFS($E$2:$E$31,$A$2:$A$31,A7,$C$2:$C$31,"&lt;="&amp;C7)</f>
        <v>154100000</v>
      </c>
    </row>
    <row r="8" customFormat="false" ht="15" hidden="false" customHeight="false" outlineLevel="0" collapsed="false">
      <c r="A8" s="17" t="s">
        <v>91</v>
      </c>
      <c r="B8" s="17" t="s">
        <v>97</v>
      </c>
      <c r="C8" s="18" t="n">
        <v>2</v>
      </c>
      <c r="D8" s="19" t="n">
        <v>40500000</v>
      </c>
      <c r="E8" s="19" t="n">
        <v>44200000</v>
      </c>
      <c r="F8" s="20" t="n">
        <f aca="false">D8-E8</f>
        <v>-3700000</v>
      </c>
      <c r="G8" s="21" t="n">
        <f aca="false">E8/D8</f>
        <v>1.09135802469136</v>
      </c>
      <c r="H8" s="22" t="str">
        <f aca="false">IF(G8&lt;$L$2,"Hemat",IF(G8&lt;=$L$3,"Wajar","Melebihi"))</f>
        <v>Melebihi</v>
      </c>
      <c r="I8" s="20" t="n">
        <f aca="false">SUMIFS($E$2:$E$31,$A$2:$A$31,A8,$C$2:$C$31,"&lt;="&amp;C8)</f>
        <v>84200000</v>
      </c>
    </row>
    <row r="9" customFormat="false" ht="15" hidden="false" customHeight="false" outlineLevel="0" collapsed="false">
      <c r="A9" s="17" t="s">
        <v>94</v>
      </c>
      <c r="B9" s="17" t="s">
        <v>97</v>
      </c>
      <c r="C9" s="18" t="n">
        <v>2</v>
      </c>
      <c r="D9" s="19" t="n">
        <v>27000000</v>
      </c>
      <c r="E9" s="19" t="n">
        <v>24800000</v>
      </c>
      <c r="F9" s="20" t="n">
        <f aca="false">D9-E9</f>
        <v>2200000</v>
      </c>
      <c r="G9" s="21" t="n">
        <f aca="false">E9/D9</f>
        <v>0.918518518518519</v>
      </c>
      <c r="H9" s="22" t="str">
        <f aca="false">IF(G9&lt;$L$2,"Hemat",IF(G9&lt;=$L$3,"Wajar","Melebihi"))</f>
        <v>Wajar</v>
      </c>
      <c r="I9" s="20" t="n">
        <f aca="false">SUMIFS($E$2:$E$31,$A$2:$A$31,A9,$C$2:$C$31,"&lt;="&amp;C9)</f>
        <v>48800000</v>
      </c>
    </row>
    <row r="10" customFormat="false" ht="15" hidden="false" customHeight="false" outlineLevel="0" collapsed="false">
      <c r="A10" s="17" t="s">
        <v>95</v>
      </c>
      <c r="B10" s="17" t="s">
        <v>97</v>
      </c>
      <c r="C10" s="18" t="n">
        <v>2</v>
      </c>
      <c r="D10" s="19" t="n">
        <v>22500000</v>
      </c>
      <c r="E10" s="19" t="n">
        <v>21100000</v>
      </c>
      <c r="F10" s="20" t="n">
        <f aca="false">D10-E10</f>
        <v>1400000</v>
      </c>
      <c r="G10" s="21" t="n">
        <f aca="false">E10/D10</f>
        <v>0.937777777777778</v>
      </c>
      <c r="H10" s="22" t="str">
        <f aca="false">IF(G10&lt;$L$2,"Hemat",IF(G10&lt;=$L$3,"Wajar","Melebihi"))</f>
        <v>Wajar</v>
      </c>
      <c r="I10" s="20" t="n">
        <f aca="false">SUMIFS($E$2:$E$31,$A$2:$A$31,A10,$C$2:$C$31,"&lt;="&amp;C10)</f>
        <v>37900000</v>
      </c>
    </row>
    <row r="11" customFormat="false" ht="15" hidden="false" customHeight="false" outlineLevel="0" collapsed="false">
      <c r="A11" s="17" t="s">
        <v>96</v>
      </c>
      <c r="B11" s="17" t="s">
        <v>97</v>
      </c>
      <c r="C11" s="18" t="n">
        <v>2</v>
      </c>
      <c r="D11" s="19" t="n">
        <v>38000000</v>
      </c>
      <c r="E11" s="19" t="n">
        <v>28100000</v>
      </c>
      <c r="F11" s="20" t="n">
        <f aca="false">D11-E11</f>
        <v>9900000</v>
      </c>
      <c r="G11" s="21" t="n">
        <f aca="false">E11/D11</f>
        <v>0.739473684210526</v>
      </c>
      <c r="H11" s="22" t="str">
        <f aca="false">IF(G11&lt;$L$2,"Hemat",IF(G11&lt;=$L$3,"Wajar","Melebihi"))</f>
        <v>Hemat</v>
      </c>
      <c r="I11" s="20" t="n">
        <f aca="false">SUMIFS($E$2:$E$31,$A$2:$A$31,A11,$C$2:$C$31,"&lt;="&amp;C11)</f>
        <v>54500000</v>
      </c>
    </row>
    <row r="12" customFormat="false" ht="15" hidden="false" customHeight="false" outlineLevel="0" collapsed="false">
      <c r="A12" s="17" t="s">
        <v>87</v>
      </c>
      <c r="B12" s="17" t="s">
        <v>98</v>
      </c>
      <c r="C12" s="18" t="n">
        <v>3</v>
      </c>
      <c r="D12" s="19" t="n">
        <v>96000000</v>
      </c>
      <c r="E12" s="19" t="n">
        <v>93200000</v>
      </c>
      <c r="F12" s="20" t="n">
        <f aca="false">D12-E12</f>
        <v>2800000</v>
      </c>
      <c r="G12" s="21" t="n">
        <f aca="false">E12/D12</f>
        <v>0.970833333333333</v>
      </c>
      <c r="H12" s="22" t="str">
        <f aca="false">IF(G12&lt;$L$2,"Hemat",IF(G12&lt;=$L$3,"Wajar","Melebihi"))</f>
        <v>Wajar</v>
      </c>
      <c r="I12" s="20" t="n">
        <f aca="false">SUMIFS($E$2:$E$31,$A$2:$A$31,A12,$C$2:$C$31,"&lt;="&amp;C12)</f>
        <v>247300000</v>
      </c>
    </row>
    <row r="13" customFormat="false" ht="15" hidden="false" customHeight="false" outlineLevel="0" collapsed="false">
      <c r="A13" s="17" t="s">
        <v>91</v>
      </c>
      <c r="B13" s="17" t="s">
        <v>98</v>
      </c>
      <c r="C13" s="18" t="n">
        <v>3</v>
      </c>
      <c r="D13" s="19" t="n">
        <v>40500000</v>
      </c>
      <c r="E13" s="19" t="n">
        <v>41000000</v>
      </c>
      <c r="F13" s="20" t="n">
        <f aca="false">D13-E13</f>
        <v>-500000</v>
      </c>
      <c r="G13" s="21" t="n">
        <f aca="false">E13/D13</f>
        <v>1.01234567901235</v>
      </c>
      <c r="H13" s="22" t="str">
        <f aca="false">IF(G13&lt;$L$2,"Hemat",IF(G13&lt;=$L$3,"Wajar","Melebihi"))</f>
        <v>Melebihi</v>
      </c>
      <c r="I13" s="20" t="n">
        <f aca="false">SUMIFS($E$2:$E$31,$A$2:$A$31,A13,$C$2:$C$31,"&lt;="&amp;C13)</f>
        <v>125200000</v>
      </c>
    </row>
    <row r="14" customFormat="false" ht="15" hidden="false" customHeight="false" outlineLevel="0" collapsed="false">
      <c r="A14" s="17" t="s">
        <v>94</v>
      </c>
      <c r="B14" s="17" t="s">
        <v>98</v>
      </c>
      <c r="C14" s="18" t="n">
        <v>3</v>
      </c>
      <c r="D14" s="19" t="n">
        <v>30000000</v>
      </c>
      <c r="E14" s="19" t="n">
        <v>28800000</v>
      </c>
      <c r="F14" s="20" t="n">
        <f aca="false">D14-E14</f>
        <v>1200000</v>
      </c>
      <c r="G14" s="21" t="n">
        <f aca="false">E14/D14</f>
        <v>0.96</v>
      </c>
      <c r="H14" s="22" t="str">
        <f aca="false">IF(G14&lt;$L$2,"Hemat",IF(G14&lt;=$L$3,"Wajar","Melebihi"))</f>
        <v>Wajar</v>
      </c>
      <c r="I14" s="20" t="n">
        <f aca="false">SUMIFS($E$2:$E$31,$A$2:$A$31,A14,$C$2:$C$31,"&lt;="&amp;C14)</f>
        <v>77600000</v>
      </c>
    </row>
    <row r="15" customFormat="false" ht="15" hidden="false" customHeight="false" outlineLevel="0" collapsed="false">
      <c r="A15" s="17" t="s">
        <v>95</v>
      </c>
      <c r="B15" s="17" t="s">
        <v>98</v>
      </c>
      <c r="C15" s="18" t="n">
        <v>3</v>
      </c>
      <c r="D15" s="19" t="n">
        <v>25000000</v>
      </c>
      <c r="E15" s="19" t="n">
        <v>24200000</v>
      </c>
      <c r="F15" s="20" t="n">
        <f aca="false">D15-E15</f>
        <v>800000</v>
      </c>
      <c r="G15" s="21" t="n">
        <f aca="false">E15/D15</f>
        <v>0.968</v>
      </c>
      <c r="H15" s="22" t="str">
        <f aca="false">IF(G15&lt;$L$2,"Hemat",IF(G15&lt;=$L$3,"Wajar","Melebihi"))</f>
        <v>Wajar</v>
      </c>
      <c r="I15" s="20" t="n">
        <f aca="false">SUMIFS($E$2:$E$31,$A$2:$A$31,A15,$C$2:$C$31,"&lt;="&amp;C15)</f>
        <v>62100000</v>
      </c>
    </row>
    <row r="16" customFormat="false" ht="15" hidden="false" customHeight="false" outlineLevel="0" collapsed="false">
      <c r="A16" s="17" t="s">
        <v>96</v>
      </c>
      <c r="B16" s="17" t="s">
        <v>98</v>
      </c>
      <c r="C16" s="18" t="n">
        <v>3</v>
      </c>
      <c r="D16" s="19" t="n">
        <v>38000000</v>
      </c>
      <c r="E16" s="19" t="n">
        <v>43200000</v>
      </c>
      <c r="F16" s="20" t="n">
        <f aca="false">D16-E16</f>
        <v>-5200000</v>
      </c>
      <c r="G16" s="21" t="n">
        <f aca="false">E16/D16</f>
        <v>1.13684210526316</v>
      </c>
      <c r="H16" s="22" t="str">
        <f aca="false">IF(G16&lt;$L$2,"Hemat",IF(G16&lt;=$L$3,"Wajar","Melebihi"))</f>
        <v>Melebihi</v>
      </c>
      <c r="I16" s="20" t="n">
        <f aca="false">SUMIFS($E$2:$E$31,$A$2:$A$31,A16,$C$2:$C$31,"&lt;="&amp;C16)</f>
        <v>97700000</v>
      </c>
    </row>
    <row r="17" customFormat="false" ht="15" hidden="false" customHeight="false" outlineLevel="0" collapsed="false">
      <c r="A17" s="17" t="s">
        <v>87</v>
      </c>
      <c r="B17" s="17" t="s">
        <v>99</v>
      </c>
      <c r="C17" s="18" t="n">
        <v>4</v>
      </c>
      <c r="D17" s="19" t="n">
        <v>72000000</v>
      </c>
      <c r="E17" s="19" t="n">
        <v>49700000</v>
      </c>
      <c r="F17" s="20" t="n">
        <f aca="false">D17-E17</f>
        <v>22300000</v>
      </c>
      <c r="G17" s="21" t="n">
        <f aca="false">E17/D17</f>
        <v>0.690277777777778</v>
      </c>
      <c r="H17" s="22" t="str">
        <f aca="false">IF(G17&lt;$L$2,"Hemat",IF(G17&lt;=$L$3,"Wajar","Melebihi"))</f>
        <v>Hemat</v>
      </c>
      <c r="I17" s="20" t="n">
        <f aca="false">SUMIFS($E$2:$E$31,$A$2:$A$31,A17,$C$2:$C$31,"&lt;="&amp;C17)</f>
        <v>297000000</v>
      </c>
    </row>
    <row r="18" customFormat="false" ht="15" hidden="false" customHeight="false" outlineLevel="0" collapsed="false">
      <c r="A18" s="17" t="s">
        <v>91</v>
      </c>
      <c r="B18" s="17" t="s">
        <v>99</v>
      </c>
      <c r="C18" s="18" t="n">
        <v>4</v>
      </c>
      <c r="D18" s="19" t="n">
        <v>49500000</v>
      </c>
      <c r="E18" s="19" t="n">
        <v>34100000</v>
      </c>
      <c r="F18" s="20" t="n">
        <f aca="false">D18-E18</f>
        <v>15400000</v>
      </c>
      <c r="G18" s="21" t="n">
        <f aca="false">E18/D18</f>
        <v>0.688888888888889</v>
      </c>
      <c r="H18" s="22" t="str">
        <f aca="false">IF(G18&lt;$L$2,"Hemat",IF(G18&lt;=$L$3,"Wajar","Melebihi"))</f>
        <v>Hemat</v>
      </c>
      <c r="I18" s="20" t="n">
        <f aca="false">SUMIFS($E$2:$E$31,$A$2:$A$31,A18,$C$2:$C$31,"&lt;="&amp;C18)</f>
        <v>159300000</v>
      </c>
    </row>
    <row r="19" customFormat="false" ht="15" hidden="false" customHeight="false" outlineLevel="0" collapsed="false">
      <c r="A19" s="17" t="s">
        <v>94</v>
      </c>
      <c r="B19" s="17" t="s">
        <v>99</v>
      </c>
      <c r="C19" s="18" t="n">
        <v>4</v>
      </c>
      <c r="D19" s="19" t="n">
        <v>33000000</v>
      </c>
      <c r="E19" s="19" t="n">
        <v>36200000</v>
      </c>
      <c r="F19" s="20" t="n">
        <f aca="false">D19-E19</f>
        <v>-3200000</v>
      </c>
      <c r="G19" s="21" t="n">
        <f aca="false">E19/D19</f>
        <v>1.0969696969697</v>
      </c>
      <c r="H19" s="22" t="str">
        <f aca="false">IF(G19&lt;$L$2,"Hemat",IF(G19&lt;=$L$3,"Wajar","Melebihi"))</f>
        <v>Melebihi</v>
      </c>
      <c r="I19" s="20" t="n">
        <f aca="false">SUMIFS($E$2:$E$31,$A$2:$A$31,A19,$C$2:$C$31,"&lt;="&amp;C19)</f>
        <v>113800000</v>
      </c>
    </row>
    <row r="20" customFormat="false" ht="15" hidden="false" customHeight="false" outlineLevel="0" collapsed="false">
      <c r="A20" s="17" t="s">
        <v>95</v>
      </c>
      <c r="B20" s="17" t="s">
        <v>99</v>
      </c>
      <c r="C20" s="18" t="n">
        <v>4</v>
      </c>
      <c r="D20" s="19" t="n">
        <v>25000000</v>
      </c>
      <c r="E20" s="19" t="n">
        <v>22000000</v>
      </c>
      <c r="F20" s="20" t="n">
        <f aca="false">D20-E20</f>
        <v>3000000</v>
      </c>
      <c r="G20" s="21" t="n">
        <f aca="false">E20/D20</f>
        <v>0.88</v>
      </c>
      <c r="H20" s="22" t="str">
        <f aca="false">IF(G20&lt;$L$2,"Hemat",IF(G20&lt;=$L$3,"Wajar","Melebihi"))</f>
        <v>Wajar</v>
      </c>
      <c r="I20" s="20" t="n">
        <f aca="false">SUMIFS($E$2:$E$31,$A$2:$A$31,A20,$C$2:$C$31,"&lt;="&amp;C20)</f>
        <v>84100000</v>
      </c>
    </row>
    <row r="21" customFormat="false" ht="15" hidden="false" customHeight="false" outlineLevel="0" collapsed="false">
      <c r="A21" s="17" t="s">
        <v>96</v>
      </c>
      <c r="B21" s="17" t="s">
        <v>99</v>
      </c>
      <c r="C21" s="18" t="n">
        <v>4</v>
      </c>
      <c r="D21" s="19" t="n">
        <v>34000000</v>
      </c>
      <c r="E21" s="19" t="n">
        <v>39700000</v>
      </c>
      <c r="F21" s="20" t="n">
        <f aca="false">D21-E21</f>
        <v>-5700000</v>
      </c>
      <c r="G21" s="21" t="n">
        <f aca="false">E21/D21</f>
        <v>1.16764705882353</v>
      </c>
      <c r="H21" s="22" t="str">
        <f aca="false">IF(G21&lt;$L$2,"Hemat",IF(G21&lt;=$L$3,"Wajar","Melebihi"))</f>
        <v>Melebihi</v>
      </c>
      <c r="I21" s="20" t="n">
        <f aca="false">SUMIFS($E$2:$E$31,$A$2:$A$31,A21,$C$2:$C$31,"&lt;="&amp;C21)</f>
        <v>137400000</v>
      </c>
    </row>
    <row r="22" customFormat="false" ht="15" hidden="false" customHeight="false" outlineLevel="0" collapsed="false">
      <c r="A22" s="17" t="s">
        <v>87</v>
      </c>
      <c r="B22" s="17" t="s">
        <v>100</v>
      </c>
      <c r="C22" s="18" t="n">
        <v>5</v>
      </c>
      <c r="D22" s="19" t="n">
        <v>96000000</v>
      </c>
      <c r="E22" s="19" t="n">
        <v>90000000</v>
      </c>
      <c r="F22" s="20" t="n">
        <f aca="false">D22-E22</f>
        <v>6000000</v>
      </c>
      <c r="G22" s="21" t="n">
        <f aca="false">E22/D22</f>
        <v>0.9375</v>
      </c>
      <c r="H22" s="22" t="str">
        <f aca="false">IF(G22&lt;$L$2,"Hemat",IF(G22&lt;=$L$3,"Wajar","Melebihi"))</f>
        <v>Wajar</v>
      </c>
      <c r="I22" s="20" t="n">
        <f aca="false">SUMIFS($E$2:$E$31,$A$2:$A$31,A22,$C$2:$C$31,"&lt;="&amp;C22)</f>
        <v>387000000</v>
      </c>
    </row>
    <row r="23" customFormat="false" ht="15" hidden="false" customHeight="false" outlineLevel="0" collapsed="false">
      <c r="A23" s="17" t="s">
        <v>91</v>
      </c>
      <c r="B23" s="17" t="s">
        <v>100</v>
      </c>
      <c r="C23" s="18" t="n">
        <v>5</v>
      </c>
      <c r="D23" s="19" t="n">
        <v>54000000</v>
      </c>
      <c r="E23" s="19" t="n">
        <v>62600000</v>
      </c>
      <c r="F23" s="20" t="n">
        <f aca="false">D23-E23</f>
        <v>-8600000</v>
      </c>
      <c r="G23" s="21" t="n">
        <f aca="false">E23/D23</f>
        <v>1.15925925925926</v>
      </c>
      <c r="H23" s="22" t="str">
        <f aca="false">IF(G23&lt;$L$2,"Hemat",IF(G23&lt;=$L$3,"Wajar","Melebihi"))</f>
        <v>Melebihi</v>
      </c>
      <c r="I23" s="20" t="n">
        <f aca="false">SUMIFS($E$2:$E$31,$A$2:$A$31,A23,$C$2:$C$31,"&lt;="&amp;C23)</f>
        <v>221900000</v>
      </c>
    </row>
    <row r="24" customFormat="false" ht="15" hidden="false" customHeight="false" outlineLevel="0" collapsed="false">
      <c r="A24" s="17" t="s">
        <v>94</v>
      </c>
      <c r="B24" s="17" t="s">
        <v>100</v>
      </c>
      <c r="C24" s="18" t="n">
        <v>5</v>
      </c>
      <c r="D24" s="19" t="n">
        <v>30000000</v>
      </c>
      <c r="E24" s="19" t="n">
        <v>20600000</v>
      </c>
      <c r="F24" s="20" t="n">
        <f aca="false">D24-E24</f>
        <v>9400000</v>
      </c>
      <c r="G24" s="21" t="n">
        <f aca="false">E24/D24</f>
        <v>0.686666666666667</v>
      </c>
      <c r="H24" s="22" t="str">
        <f aca="false">IF(G24&lt;$L$2,"Hemat",IF(G24&lt;=$L$3,"Wajar","Melebihi"))</f>
        <v>Hemat</v>
      </c>
      <c r="I24" s="20" t="n">
        <f aca="false">SUMIFS($E$2:$E$31,$A$2:$A$31,A24,$C$2:$C$31,"&lt;="&amp;C24)</f>
        <v>134400000</v>
      </c>
    </row>
    <row r="25" customFormat="false" ht="15" hidden="false" customHeight="false" outlineLevel="0" collapsed="false">
      <c r="A25" s="17" t="s">
        <v>95</v>
      </c>
      <c r="B25" s="17" t="s">
        <v>100</v>
      </c>
      <c r="C25" s="18" t="n">
        <v>5</v>
      </c>
      <c r="D25" s="19" t="n">
        <v>30000000</v>
      </c>
      <c r="E25" s="19" t="n">
        <v>28100000</v>
      </c>
      <c r="F25" s="20" t="n">
        <f aca="false">D25-E25</f>
        <v>1900000</v>
      </c>
      <c r="G25" s="21" t="n">
        <f aca="false">E25/D25</f>
        <v>0.936666666666667</v>
      </c>
      <c r="H25" s="22" t="str">
        <f aca="false">IF(G25&lt;$L$2,"Hemat",IF(G25&lt;=$L$3,"Wajar","Melebihi"))</f>
        <v>Wajar</v>
      </c>
      <c r="I25" s="20" t="n">
        <f aca="false">SUMIFS($E$2:$E$31,$A$2:$A$31,A25,$C$2:$C$31,"&lt;="&amp;C25)</f>
        <v>112200000</v>
      </c>
    </row>
    <row r="26" customFormat="false" ht="15" hidden="false" customHeight="false" outlineLevel="0" collapsed="false">
      <c r="A26" s="17" t="s">
        <v>96</v>
      </c>
      <c r="B26" s="17" t="s">
        <v>100</v>
      </c>
      <c r="C26" s="18" t="n">
        <v>5</v>
      </c>
      <c r="D26" s="19" t="n">
        <v>38000000</v>
      </c>
      <c r="E26" s="19" t="n">
        <v>24400000</v>
      </c>
      <c r="F26" s="20" t="n">
        <f aca="false">D26-E26</f>
        <v>13600000</v>
      </c>
      <c r="G26" s="21" t="n">
        <f aca="false">E26/D26</f>
        <v>0.642105263157895</v>
      </c>
      <c r="H26" s="22" t="str">
        <f aca="false">IF(G26&lt;$L$2,"Hemat",IF(G26&lt;=$L$3,"Wajar","Melebihi"))</f>
        <v>Hemat</v>
      </c>
      <c r="I26" s="20" t="n">
        <f aca="false">SUMIFS($E$2:$E$31,$A$2:$A$31,A26,$C$2:$C$31,"&lt;="&amp;C26)</f>
        <v>161800000</v>
      </c>
    </row>
    <row r="27" customFormat="false" ht="15" hidden="false" customHeight="false" outlineLevel="0" collapsed="false">
      <c r="A27" s="17" t="s">
        <v>87</v>
      </c>
      <c r="B27" s="17" t="s">
        <v>101</v>
      </c>
      <c r="C27" s="18" t="n">
        <v>6</v>
      </c>
      <c r="D27" s="19" t="n">
        <v>72000000</v>
      </c>
      <c r="E27" s="19" t="n">
        <v>68500000</v>
      </c>
      <c r="F27" s="20" t="n">
        <f aca="false">D27-E27</f>
        <v>3500000</v>
      </c>
      <c r="G27" s="21" t="n">
        <f aca="false">E27/D27</f>
        <v>0.951388888888889</v>
      </c>
      <c r="H27" s="22" t="str">
        <f aca="false">IF(G27&lt;$L$2,"Hemat",IF(G27&lt;=$L$3,"Wajar","Melebihi"))</f>
        <v>Wajar</v>
      </c>
      <c r="I27" s="20" t="n">
        <f aca="false">SUMIFS($E$2:$E$31,$A$2:$A$31,A27,$C$2:$C$31,"&lt;="&amp;C27)</f>
        <v>455500000</v>
      </c>
    </row>
    <row r="28" customFormat="false" ht="15" hidden="false" customHeight="false" outlineLevel="0" collapsed="false">
      <c r="A28" s="17" t="s">
        <v>91</v>
      </c>
      <c r="B28" s="17" t="s">
        <v>101</v>
      </c>
      <c r="C28" s="18" t="n">
        <v>6</v>
      </c>
      <c r="D28" s="19" t="n">
        <v>40500000</v>
      </c>
      <c r="E28" s="19" t="n">
        <v>46200000</v>
      </c>
      <c r="F28" s="20" t="n">
        <f aca="false">D28-E28</f>
        <v>-5700000</v>
      </c>
      <c r="G28" s="21" t="n">
        <f aca="false">E28/D28</f>
        <v>1.14074074074074</v>
      </c>
      <c r="H28" s="22" t="str">
        <f aca="false">IF(G28&lt;$L$2,"Hemat",IF(G28&lt;=$L$3,"Wajar","Melebihi"))</f>
        <v>Melebihi</v>
      </c>
      <c r="I28" s="20" t="n">
        <f aca="false">SUMIFS($E$2:$E$31,$A$2:$A$31,A28,$C$2:$C$31,"&lt;="&amp;C28)</f>
        <v>268100000</v>
      </c>
    </row>
    <row r="29" customFormat="false" ht="15" hidden="false" customHeight="false" outlineLevel="0" collapsed="false">
      <c r="A29" s="17" t="s">
        <v>94</v>
      </c>
      <c r="B29" s="17" t="s">
        <v>101</v>
      </c>
      <c r="C29" s="18" t="n">
        <v>6</v>
      </c>
      <c r="D29" s="19" t="n">
        <v>36000000</v>
      </c>
      <c r="E29" s="19" t="n">
        <v>38900000</v>
      </c>
      <c r="F29" s="20" t="n">
        <f aca="false">D29-E29</f>
        <v>-2900000</v>
      </c>
      <c r="G29" s="21" t="n">
        <f aca="false">E29/D29</f>
        <v>1.08055555555556</v>
      </c>
      <c r="H29" s="22" t="str">
        <f aca="false">IF(G29&lt;$L$2,"Hemat",IF(G29&lt;=$L$3,"Wajar","Melebihi"))</f>
        <v>Melebihi</v>
      </c>
      <c r="I29" s="20" t="n">
        <f aca="false">SUMIFS($E$2:$E$31,$A$2:$A$31,A29,$C$2:$C$31,"&lt;="&amp;C29)</f>
        <v>173300000</v>
      </c>
    </row>
    <row r="30" customFormat="false" ht="15" hidden="false" customHeight="false" outlineLevel="0" collapsed="false">
      <c r="A30" s="17" t="s">
        <v>95</v>
      </c>
      <c r="B30" s="17" t="s">
        <v>101</v>
      </c>
      <c r="C30" s="18" t="n">
        <v>6</v>
      </c>
      <c r="D30" s="19" t="n">
        <v>22500000</v>
      </c>
      <c r="E30" s="19" t="n">
        <v>18900000</v>
      </c>
      <c r="F30" s="20" t="n">
        <f aca="false">D30-E30</f>
        <v>3600000</v>
      </c>
      <c r="G30" s="21" t="n">
        <f aca="false">E30/D30</f>
        <v>0.84</v>
      </c>
      <c r="H30" s="22" t="str">
        <f aca="false">IF(G30&lt;$L$2,"Hemat",IF(G30&lt;=$L$3,"Wajar","Melebihi"))</f>
        <v>Hemat</v>
      </c>
      <c r="I30" s="20" t="n">
        <f aca="false">SUMIFS($E$2:$E$31,$A$2:$A$31,A30,$C$2:$C$31,"&lt;="&amp;C30)</f>
        <v>131100000</v>
      </c>
    </row>
    <row r="31" customFormat="false" ht="15" hidden="false" customHeight="false" outlineLevel="0" collapsed="false">
      <c r="A31" s="17" t="s">
        <v>96</v>
      </c>
      <c r="B31" s="17" t="s">
        <v>101</v>
      </c>
      <c r="C31" s="18" t="n">
        <v>6</v>
      </c>
      <c r="D31" s="19" t="n">
        <v>38000000</v>
      </c>
      <c r="E31" s="19" t="n">
        <v>26900000</v>
      </c>
      <c r="F31" s="20" t="n">
        <f aca="false">D31-E31</f>
        <v>11100000</v>
      </c>
      <c r="G31" s="21" t="n">
        <f aca="false">E31/D31</f>
        <v>0.707894736842105</v>
      </c>
      <c r="H31" s="22" t="str">
        <f aca="false">IF(G31&lt;$L$2,"Hemat",IF(G31&lt;=$L$3,"Wajar","Melebihi"))</f>
        <v>Hemat</v>
      </c>
      <c r="I31" s="20" t="n">
        <f aca="false">SUMIFS($E$2:$E$31,$A$2:$A$31,A31,$C$2:$C$31,"&lt;="&amp;C31)</f>
        <v>188700000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16"/>
    <col collapsed="false" customWidth="true" hidden="false" outlineLevel="0" max="5" min="5" style="0" width="17"/>
  </cols>
  <sheetData>
    <row r="1" customFormat="false" ht="33.75" hidden="false" customHeight="true" outlineLevel="0" collapsed="false">
      <c r="A1" s="11" t="s">
        <v>75</v>
      </c>
      <c r="B1" s="15" t="s">
        <v>102</v>
      </c>
      <c r="C1" s="15" t="s">
        <v>103</v>
      </c>
      <c r="D1" s="15" t="s">
        <v>104</v>
      </c>
      <c r="E1" s="15" t="s">
        <v>105</v>
      </c>
    </row>
    <row r="2" customFormat="false" ht="15" hidden="false" customHeight="false" outlineLevel="0" collapsed="false">
      <c r="A2" s="17" t="s">
        <v>87</v>
      </c>
      <c r="B2" s="20" t="n">
        <f aca="false">SUMIF(Data!$A$2:$A$31,A2,Data!$D$2:$D$31)</f>
        <v>504000000</v>
      </c>
      <c r="C2" s="20" t="n">
        <f aca="false">SUMIF(Data!$A$2:$A$31,A2,Data!$E$2:$E$31)</f>
        <v>455500000</v>
      </c>
      <c r="D2" s="20" t="n">
        <f aca="false">B2-C2</f>
        <v>48500000</v>
      </c>
      <c r="E2" s="21" t="n">
        <f aca="false">C2/B2</f>
        <v>0.903769841269841</v>
      </c>
    </row>
    <row r="3" customFormat="false" ht="15" hidden="false" customHeight="false" outlineLevel="0" collapsed="false">
      <c r="A3" s="17" t="s">
        <v>91</v>
      </c>
      <c r="B3" s="20" t="n">
        <f aca="false">SUMIF(Data!$A$2:$A$31,A3,Data!$D$2:$D$31)</f>
        <v>265500000</v>
      </c>
      <c r="C3" s="20" t="n">
        <f aca="false">SUMIF(Data!$A$2:$A$31,A3,Data!$E$2:$E$31)</f>
        <v>268100000</v>
      </c>
      <c r="D3" s="20" t="n">
        <f aca="false">B3-C3</f>
        <v>-2600000</v>
      </c>
      <c r="E3" s="21" t="n">
        <f aca="false">C3/B3</f>
        <v>1.00979284369115</v>
      </c>
    </row>
    <row r="4" customFormat="false" ht="15" hidden="false" customHeight="false" outlineLevel="0" collapsed="false">
      <c r="A4" s="17" t="s">
        <v>94</v>
      </c>
      <c r="B4" s="20" t="n">
        <f aca="false">SUMIF(Data!$A$2:$A$31,A4,Data!$D$2:$D$31)</f>
        <v>186000000</v>
      </c>
      <c r="C4" s="20" t="n">
        <f aca="false">SUMIF(Data!$A$2:$A$31,A4,Data!$E$2:$E$31)</f>
        <v>173300000</v>
      </c>
      <c r="D4" s="20" t="n">
        <f aca="false">B4-C4</f>
        <v>12700000</v>
      </c>
      <c r="E4" s="21" t="n">
        <f aca="false">C4/B4</f>
        <v>0.931720430107527</v>
      </c>
    </row>
    <row r="5" customFormat="false" ht="15" hidden="false" customHeight="false" outlineLevel="0" collapsed="false">
      <c r="A5" s="17" t="s">
        <v>95</v>
      </c>
      <c r="B5" s="20" t="n">
        <f aca="false">SUMIF(Data!$A$2:$A$31,A5,Data!$D$2:$D$31)</f>
        <v>147500000</v>
      </c>
      <c r="C5" s="20" t="n">
        <f aca="false">SUMIF(Data!$A$2:$A$31,A5,Data!$E$2:$E$31)</f>
        <v>131100000</v>
      </c>
      <c r="D5" s="20" t="n">
        <f aca="false">B5-C5</f>
        <v>16400000</v>
      </c>
      <c r="E5" s="21" t="n">
        <f aca="false">C5/B5</f>
        <v>0.888813559322034</v>
      </c>
    </row>
    <row r="6" customFormat="false" ht="15" hidden="false" customHeight="false" outlineLevel="0" collapsed="false">
      <c r="A6" s="17" t="s">
        <v>96</v>
      </c>
      <c r="B6" s="20" t="n">
        <f aca="false">SUMIF(Data!$A$2:$A$31,A6,Data!$D$2:$D$31)</f>
        <v>224000000</v>
      </c>
      <c r="C6" s="20" t="n">
        <f aca="false">SUMIF(Data!$A$2:$A$31,A6,Data!$E$2:$E$31)</f>
        <v>188700000</v>
      </c>
      <c r="D6" s="20" t="n">
        <f aca="false">B6-C6</f>
        <v>35300000</v>
      </c>
      <c r="E6" s="21" t="n">
        <f aca="false">C6/B6</f>
        <v>0.842410714285714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106</v>
      </c>
      <c r="B1" s="25"/>
      <c r="C1" s="25"/>
      <c r="D1" s="25"/>
    </row>
    <row r="2" customFormat="false" ht="15" hidden="false" customHeight="false" outlineLevel="0" collapsed="false">
      <c r="A2" s="26" t="s">
        <v>107</v>
      </c>
      <c r="B2" s="26"/>
      <c r="C2" s="26"/>
      <c r="D2" s="26"/>
    </row>
    <row r="3" customFormat="false" ht="15" hidden="false" customHeight="false" outlineLevel="0" collapsed="false">
      <c r="A3" s="11" t="s">
        <v>19</v>
      </c>
      <c r="B3" s="11" t="s">
        <v>108</v>
      </c>
      <c r="C3" s="11" t="s">
        <v>109</v>
      </c>
      <c r="D3" s="11" t="s">
        <v>110</v>
      </c>
    </row>
    <row r="4" customFormat="false" ht="15" hidden="false" customHeight="false" outlineLevel="0" collapsed="false">
      <c r="A4" s="27" t="s">
        <v>111</v>
      </c>
      <c r="B4" s="28" t="s">
        <v>112</v>
      </c>
      <c r="C4" s="20" t="n">
        <f aca="false">SUM(Data!$D$2:$D$31)</f>
        <v>1327000000</v>
      </c>
      <c r="D4" s="29" t="s">
        <v>113</v>
      </c>
    </row>
    <row r="5" customFormat="false" ht="15" hidden="false" customHeight="false" outlineLevel="0" collapsed="false">
      <c r="A5" s="27" t="s">
        <v>114</v>
      </c>
      <c r="B5" s="28" t="s">
        <v>115</v>
      </c>
      <c r="C5" s="20" t="n">
        <f aca="false">SUM(Data!$E$2:$E$31)</f>
        <v>1216700000</v>
      </c>
      <c r="D5" s="29" t="s">
        <v>116</v>
      </c>
    </row>
    <row r="6" customFormat="false" ht="15" hidden="false" customHeight="false" outlineLevel="0" collapsed="false">
      <c r="A6" s="27" t="s">
        <v>117</v>
      </c>
      <c r="B6" s="28" t="s">
        <v>118</v>
      </c>
      <c r="C6" s="20" t="n">
        <f aca="false">SUM(Data!$F$2:$F$31)</f>
        <v>110300000</v>
      </c>
      <c r="D6" s="29" t="s">
        <v>119</v>
      </c>
    </row>
    <row r="7" customFormat="false" ht="15" hidden="false" customHeight="false" outlineLevel="0" collapsed="false">
      <c r="A7" s="27" t="s">
        <v>120</v>
      </c>
      <c r="B7" s="28" t="s">
        <v>121</v>
      </c>
      <c r="C7" s="30" t="n">
        <f aca="false">COUNTIF(Data!$H$2:$H$31,"Melebihi")</f>
        <v>9</v>
      </c>
      <c r="D7" s="29" t="s">
        <v>122</v>
      </c>
    </row>
    <row r="8" customFormat="false" ht="15" hidden="false" customHeight="false" outlineLevel="0" collapsed="false">
      <c r="A8" s="27" t="s">
        <v>123</v>
      </c>
      <c r="B8" s="28" t="s">
        <v>124</v>
      </c>
      <c r="C8" s="30" t="n">
        <f aca="false">COUNTIFS(Data!$A$2:$A$31,"Produksi",Data!$H$2:$H$31,"Hemat")</f>
        <v>2</v>
      </c>
      <c r="D8" s="29" t="s">
        <v>125</v>
      </c>
    </row>
    <row r="9" customFormat="false" ht="15" hidden="false" customHeight="false" outlineLevel="0" collapsed="false">
      <c r="A9" s="27" t="s">
        <v>126</v>
      </c>
      <c r="B9" s="28" t="s">
        <v>127</v>
      </c>
      <c r="C9" s="22" t="str">
        <f aca="false">INDEX(Acuan!$A$2:$A$6,MATCH(MAX(Acuan!$E$2:$E$6),Acuan!$E$2:$E$6,0))</f>
        <v>Pemasaran</v>
      </c>
      <c r="D9" s="29" t="s">
        <v>128</v>
      </c>
    </row>
    <row r="10" customFormat="false" ht="15" hidden="false" customHeight="false" outlineLevel="0" collapsed="false">
      <c r="A10" s="27" t="s">
        <v>129</v>
      </c>
      <c r="B10" s="28" t="s">
        <v>130</v>
      </c>
      <c r="C10" s="22" t="str">
        <f aca="false">INDEX(Acuan!$A$2:$A$6,MATCH(MAX(Acuan!$D$2:$D$6),Acuan!$D$2:$D$6,0))</f>
        <v>Produksi</v>
      </c>
      <c r="D10" s="29" t="s">
        <v>128</v>
      </c>
    </row>
    <row r="11" customFormat="false" ht="15" hidden="false" customHeight="false" outlineLevel="0" collapsed="false">
      <c r="A11" s="27" t="s">
        <v>131</v>
      </c>
      <c r="B11" s="28" t="s">
        <v>132</v>
      </c>
      <c r="C11" s="21" t="n">
        <f aca="false">AVERAGE(Data!$G$2:$G$31)</f>
        <v>0.914245302063173</v>
      </c>
      <c r="D11" s="29" t="s">
        <v>133</v>
      </c>
    </row>
    <row r="12" customFormat="false" ht="15" hidden="false" customHeight="false" outlineLevel="0" collapsed="false">
      <c r="A12" s="27" t="s">
        <v>134</v>
      </c>
      <c r="B12" s="28" t="s">
        <v>135</v>
      </c>
      <c r="C12" s="21" t="n">
        <f aca="false">AVERAGEIF(Data!$B$2:$B$31,"Desember",Data!$G$2:$G$31)</f>
        <v>0.944115984405458</v>
      </c>
      <c r="D12" s="29" t="s">
        <v>136</v>
      </c>
    </row>
    <row r="13" customFormat="false" ht="15" hidden="false" customHeight="false" outlineLevel="0" collapsed="false">
      <c r="A13" s="27" t="s">
        <v>137</v>
      </c>
      <c r="B13" s="28" t="s">
        <v>138</v>
      </c>
      <c r="C13" s="20" t="n">
        <f aca="false">MAX(Data!$E$2:$E$31)</f>
        <v>93200000</v>
      </c>
      <c r="D13" s="29" t="s">
        <v>139</v>
      </c>
    </row>
    <row r="14" customFormat="false" ht="15" hidden="false" customHeight="false" outlineLevel="0" collapsed="false">
      <c r="A14" s="27" t="s">
        <v>140</v>
      </c>
      <c r="B14" s="28" t="s">
        <v>141</v>
      </c>
      <c r="C14" s="20" t="n">
        <f aca="false">SUMIF(Data!$B$2:$B$31,"November",Data!$E$2:$E$31)</f>
        <v>225700000</v>
      </c>
      <c r="D14" s="29" t="s">
        <v>142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2026-10-16T10:35:48Z</dcterms:created>
  <dc:creator>PushExcel</dc:creator>
  <dc:description/>
  <dc:language>en-US</dc:language>
  <cp:lastModifiedBy/>
  <dcterms:modified xsi:type="dcterms:W3CDTF">2026-10-16T10:35:48Z</dcterms:modified>
  <cp:revision>0</cp:revision>
  <dc:subject/>
  <dc:title>Anggaran dan Realisasi Biaya per Departemen - Kunci</dc:title>
</cp:coreProperties>
</file>

<file path=docProps/custom.xml><?xml version="1.0" encoding="utf-8"?>
<Properties xmlns="http://schemas.openxmlformats.org/officeDocument/2006/custom-properties" xmlns:vt="http://schemas.openxmlformats.org/officeDocument/2006/docPropsVTypes"/>
</file>