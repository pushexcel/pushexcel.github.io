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<sst xmlns="http://schemas.openxmlformats.org/spreadsheetml/2006/main" count="194" uniqueCount="138">
  <si>
    <t xml:space="preserve">Kunci Jawaban: Rekap Pembelian ATK per Divisi</t>
  </si>
  <si>
    <t xml:space="preserve">Latihan 41 dari 56  |  Tingkat: Pemula  |  Perkiraan waktu: 35 menit  |  pushexcel.github.io/Pushexcel</t>
  </si>
  <si>
    <t xml:space="preserve">Skenario</t>
  </si>
  <si>
    <t xml:space="preserve">Kamu staf umum PT Sinar Mandiri. Selama Agustus sampai Oktober 2026 ada 30 transaksi pembelian alat tulis kantor (ATK) dari lima divisi. Pemasok memberi diskon 5 persen untuk transaksi yang subtotalnya sama dengan atau lebih dari Rp 500.000, dan nilai batas serta persen diskon itu ada di blok Parameter. Kamu menyusun rekap pembelian untuk kepala bagian umum.</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</si>
  <si>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</si>
  <si>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</si>
  <si>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</si>
  <si>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</si>
  <si>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</si>
  <si>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</si>
  <si>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</si>
  <si>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</si>
  <si>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</si>
  <si>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</si>
  <si>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</si>
  <si>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</si>
  <si>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</si>
  <si>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</si>
  <si>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</si>
  <si>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</si>
  <si>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</si>
  <si>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</si>
  <si>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</si>
  <si>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</si>
  <si>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subtotal tiap transaksi: jumlah dikali harga satuan.</t>
  </si>
  <si>
    <t xml:space="preserve">Sheet Data, kolom F (Subtotal), baris 2 sampai 31</t>
  </si>
  <si>
    <t xml:space="preserve">=D2*E2</t>
  </si>
  <si>
    <t xml:space="preserve">2</t>
  </si>
  <si>
    <t xml:space="preserve">Beri diskon sebesar persen diskon dari subtotal bila subtotal sama dengan atau di atas batas diskon. Selain itu 0. Bulatkan ke rupiah.</t>
  </si>
  <si>
    <t xml:space="preserve">Sheet Data, kolom G (Diskon), baris 2 sampai 31</t>
  </si>
  <si>
    <t xml:space="preserve">=IF(F2&gt;=$L$2;ROUND(F2*$L$3;0);0)</t>
  </si>
  <si>
    <t xml:space="preserve">3</t>
  </si>
  <si>
    <t xml:space="preserve">Hitung total bayar: subtotal dikurangi diskon.</t>
  </si>
  <si>
    <t xml:space="preserve">Sheet Data, kolom H (Total Bayar), baris 2 sampai 31</t>
  </si>
  <si>
    <t xml:space="preserve">=F2-G2</t>
  </si>
  <si>
    <t xml:space="preserve">4</t>
  </si>
  <si>
    <t xml:space="preserve">Ambil nomor bulan dari tanggal pembelian.</t>
  </si>
  <si>
    <t xml:space="preserve">Sheet Data, kolom I (Bulan), baris 2 sampai 31</t>
  </si>
  <si>
    <t xml:space="preserve">=MONTH(A2)</t>
  </si>
  <si>
    <t xml:space="preserve">5</t>
  </si>
  <si>
    <t xml:space="preserve">Pada sheet Acuan, hitung jumlah transaksi tiap divisi.</t>
  </si>
  <si>
    <t xml:space="preserve">Sheet Acuan, kolom B (Jumlah Transaksi), baris 2 sampai 6</t>
  </si>
  <si>
    <t xml:space="preserve">=COUNTIF(Data!$B$2:$B$31;A2)</t>
  </si>
  <si>
    <t xml:space="preserve">6</t>
  </si>
  <si>
    <t xml:space="preserve">Pada sheet Acuan, hitung total bayar tiap divisi.</t>
  </si>
  <si>
    <t xml:space="preserve">Sheet Acuan, kolom C (Total Pembelian), baris 2 sampai 6</t>
  </si>
  <si>
    <t xml:space="preserve">=SUMIF(Data!$B$2:$B$31;A2;Data!$H$2:$H$31)</t>
  </si>
  <si>
    <t xml:space="preserve">7</t>
  </si>
  <si>
    <t xml:space="preserve">Pada sheet Acuan, hitung persen total pembelian tiap divisi terhadap seluruh pembelian.</t>
  </si>
  <si>
    <t xml:space="preserve">Sheet Acuan, kolom D (Persen dari Total), baris 2 sampai 6</t>
  </si>
  <si>
    <t xml:space="preserve">=C2/SUM($C$2:$C$6)</t>
  </si>
  <si>
    <t xml:space="preserve">8</t>
  </si>
  <si>
    <t xml:space="preserve">Berapa total subtotal, total diskon, dan total bayar seluruh transaksi?</t>
  </si>
  <si>
    <t xml:space="preserve">Sheet Ringkasan, sel C4 sampai C6</t>
  </si>
  <si>
    <t xml:space="preserve">=SUM(Data!$F$2:$F$31)
=SUM(Data!$G$2:$G$31)
=SUM(Data!$H$2:$H$31)</t>
  </si>
  <si>
    <t xml:space="preserve">9</t>
  </si>
  <si>
    <t xml:space="preserve">Berapa transaksi yang mendapat diskon, dan berapa transaksi yang terjadi pada Oktober?</t>
  </si>
  <si>
    <t xml:space="preserve">Sheet Ringkasan, sel C7 sampai C8</t>
  </si>
  <si>
    <t xml:space="preserve">=COUNTIF(Data!$G$2:$G$31;"&gt;0")
=COUNTIF(Data!$I$2:$I$31;10)</t>
  </si>
  <si>
    <t xml:space="preserve">10</t>
  </si>
  <si>
    <t xml:space="preserve">Divisi mana yang total pembeliannya terbesar, dan barang apa yang subtotalnya terbesar?</t>
  </si>
  <si>
    <t xml:space="preserve">Sheet Ringkasan, sel C9 sampai C10</t>
  </si>
  <si>
    <t xml:space="preserve">=INDEX(Acuan!$A$2:$A$6;MATCH(MAX(Acuan!$C$2:$C$6);Acuan!$C$2:$C$6;0))
=INDEX(Data!$C$2:$C$31;MATCH(MAX(Data!$F$2:$F$31);Data!$F$2:$F$31;0))</t>
  </si>
  <si>
    <t xml:space="preserve">11</t>
  </si>
  <si>
    <t xml:space="preserve">Berapa total bayar divisi Pemasaran, dan berapa rata-rata total bayar per transaksi?</t>
  </si>
  <si>
    <t xml:space="preserve">Sheet Ringkasan, sel C11 sampai C12</t>
  </si>
  <si>
    <t xml:space="preserve">=SUMIF(Data!$B$2:$B$31;"Pemasaran";Data!$H$2:$H$31)
=AVERAGE(Data!$H$2:$H$31)</t>
  </si>
  <si>
    <t xml:space="preserve">12</t>
  </si>
  <si>
    <t xml:space="preserve">Berapa rim kertas A4 yang dibeli seluruhnya, dan berapa total bayar kertas A4 pada September 2026?</t>
  </si>
  <si>
    <t xml:space="preserve">Sheet Ringkasan, sel C13 sampai C14</t>
  </si>
  <si>
    <t xml:space="preserve">=SUMIF(Data!$C$2:$C$31;"Kertas A4 (rim)";Data!$D$2:$D$31)
=SUMIFS(Data!$H$2:$H$31;Data!$C$2:$C$31;"Kertas A4 (rim)";Data!$I$2:$I$31;9)</t>
  </si>
  <si>
    <t xml:space="preserve">Tanggal</t>
  </si>
  <si>
    <t xml:space="preserve">Divisi</t>
  </si>
  <si>
    <t xml:space="preserve">Barang</t>
  </si>
  <si>
    <t xml:space="preserve">Jumlah</t>
  </si>
  <si>
    <t xml:space="preserve">Harga Satuan</t>
  </si>
  <si>
    <t xml:space="preserve">Subtotal</t>
  </si>
  <si>
    <t xml:space="preserve">Diskon</t>
  </si>
  <si>
    <t xml:space="preserve">Total Bayar</t>
  </si>
  <si>
    <t xml:space="preserve">Bulan</t>
  </si>
  <si>
    <t xml:space="preserve">Parameter</t>
  </si>
  <si>
    <t xml:space="preserve">Nilai</t>
  </si>
  <si>
    <t xml:space="preserve">Keterangan</t>
  </si>
  <si>
    <t xml:space="preserve">Produksi</t>
  </si>
  <si>
    <t xml:space="preserve">Amplop (pak)</t>
  </si>
  <si>
    <t xml:space="preserve">Batas diskon</t>
  </si>
  <si>
    <t xml:space="preserve">Subtotal sama dengan atau di atas batas mendapat diskon</t>
  </si>
  <si>
    <t xml:space="preserve">Pulpen (lusin)</t>
  </si>
  <si>
    <t xml:space="preserve">Persen diskon</t>
  </si>
  <si>
    <t xml:space="preserve">Keuangan</t>
  </si>
  <si>
    <t xml:space="preserve">Stapler</t>
  </si>
  <si>
    <t xml:space="preserve">SDM</t>
  </si>
  <si>
    <t xml:space="preserve">Spidol (kotak)</t>
  </si>
  <si>
    <t xml:space="preserve">Buku Agenda</t>
  </si>
  <si>
    <t xml:space="preserve">Pemasaran</t>
  </si>
  <si>
    <t xml:space="preserve">Kertas A4 (rim)</t>
  </si>
  <si>
    <t xml:space="preserve">Umum</t>
  </si>
  <si>
    <t xml:space="preserve">Map Folder (pak)</t>
  </si>
  <si>
    <t xml:space="preserve">Jumlah Transaksi</t>
  </si>
  <si>
    <t xml:space="preserve">Total Pembelian</t>
  </si>
  <si>
    <t xml:space="preserve">Persen dari Total</t>
  </si>
  <si>
    <t xml:space="preserve">Ringkasan: lembar jawaban soal berjenis ringkasan</t>
  </si>
  <si>
    <t xml:space="preserve">Sel hijau berisi rumus kunci.</t>
  </si>
  <si>
    <t xml:space="preserve">Pertanyaan</t>
  </si>
  <si>
    <t xml:space="preserve">Jawaban</t>
  </si>
  <si>
    <t xml:space="preserve">Contoh format hasil</t>
  </si>
  <si>
    <t xml:space="preserve">8a</t>
  </si>
  <si>
    <t xml:space="preserve">Total subtotal</t>
  </si>
  <si>
    <t xml:space="preserve">Rupiah, mis. Rp 9.000.000</t>
  </si>
  <si>
    <t xml:space="preserve">8b</t>
  </si>
  <si>
    <t xml:space="preserve">Total diskon</t>
  </si>
  <si>
    <t xml:space="preserve">Rupiah, mis. Rp 400.000</t>
  </si>
  <si>
    <t xml:space="preserve">8c</t>
  </si>
  <si>
    <t xml:space="preserve">Total bayar</t>
  </si>
  <si>
    <t xml:space="preserve">Rupiah, mis. Rp 8.600.000</t>
  </si>
  <si>
    <t xml:space="preserve">9a</t>
  </si>
  <si>
    <t xml:space="preserve">Jumlah transaksi berdiskon</t>
  </si>
  <si>
    <t xml:space="preserve">Angka bulat, mis. 5</t>
  </si>
  <si>
    <t xml:space="preserve">9b</t>
  </si>
  <si>
    <t xml:space="preserve">Jumlah transaksi pada Oktober</t>
  </si>
  <si>
    <t xml:space="preserve">Angka bulat, mis. 7</t>
  </si>
  <si>
    <t xml:space="preserve">10a</t>
  </si>
  <si>
    <t xml:space="preserve">Divisi dengan total pembelian terbesar</t>
  </si>
  <si>
    <t xml:space="preserve">Teks: nama divisi</t>
  </si>
  <si>
    <t xml:space="preserve">10b</t>
  </si>
  <si>
    <t xml:space="preserve">Barang pada transaksi dengan subtotal terbesar</t>
  </si>
  <si>
    <t xml:space="preserve">Teks: nama barang</t>
  </si>
  <si>
    <t xml:space="preserve">11a</t>
  </si>
  <si>
    <t xml:space="preserve">Total bayar divisi Pemasaran</t>
  </si>
  <si>
    <t xml:space="preserve">Rupiah, mis. Rp 2.000.000</t>
  </si>
  <si>
    <t xml:space="preserve">11b</t>
  </si>
  <si>
    <t xml:space="preserve">Rata-rata total bayar per transaksi</t>
  </si>
  <si>
    <t xml:space="preserve">Rupiah, mis. Rp 300.000</t>
  </si>
  <si>
    <t xml:space="preserve">12a</t>
  </si>
  <si>
    <t xml:space="preserve">Total rim kertas A4 dibeli</t>
  </si>
  <si>
    <t xml:space="preserve">Angka bulat, mis. 15</t>
  </si>
  <si>
    <t xml:space="preserve">12b</t>
  </si>
  <si>
    <t xml:space="preserve">Total bayar kertas A4 pada September</t>
  </si>
</sst>
</file>

<file path=xl/styles.xml><?xml version="1.0" encoding="utf-8"?>
<styleSheet xmlns="http://schemas.openxmlformats.org/spreadsheetml/2006/main">
  <numFmts count="6">
    <numFmt numFmtId="164" formatCode="General"/>
    <numFmt numFmtId="165" formatCode="dd/mm/yyyy"/>
    <numFmt numFmtId="166" formatCode="0"/>
    <numFmt numFmtId="167" formatCode="&quot;Rp &quot;#,##0"/>
    <numFmt numFmtId="168" formatCode="0%"/>
    <numFmt numFmtId="169"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42"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57.75"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55.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8"/>
    <col collapsed="false" customWidth="true" hidden="false" outlineLevel="0" max="4" min="4" style="0" width="9"/>
    <col collapsed="false" customWidth="true" hidden="false" outlineLevel="0" max="6" min="5" style="0" width="14"/>
    <col collapsed="false" customWidth="true" hidden="false" outlineLevel="0" max="7" min="7" style="0" width="13"/>
    <col collapsed="false" customWidth="true" hidden="false" outlineLevel="0" max="8" min="8" style="0" width="14"/>
    <col collapsed="false" customWidth="true" hidden="false" outlineLevel="0" max="9" min="9" style="0" width="8"/>
    <col collapsed="false" customWidth="true" hidden="false" outlineLevel="0" max="10" min="10" style="0" width="3"/>
    <col collapsed="false" customWidth="true" hidden="false" outlineLevel="0" max="11" min="11" style="0" width="30"/>
    <col collapsed="false" customWidth="true" hidden="false" outlineLevel="0" max="12" min="12" style="0" width="16"/>
    <col collapsed="false" customWidth="true" hidden="false" outlineLevel="0" max="13" min="13" style="0" width="42"/>
  </cols>
  <sheetData>
    <row r="1" customFormat="false" ht="33.75" hidden="false" customHeight="true" outlineLevel="0" collapsed="false">
      <c r="A1" s="11" t="s">
        <v>71</v>
      </c>
      <c r="B1" s="11" t="s">
        <v>72</v>
      </c>
      <c r="C1" s="11" t="s">
        <v>73</v>
      </c>
      <c r="D1" s="11" t="s">
        <v>74</v>
      </c>
      <c r="E1" s="11" t="s">
        <v>75</v>
      </c>
      <c r="F1" s="15" t="s">
        <v>76</v>
      </c>
      <c r="G1" s="15" t="s">
        <v>77</v>
      </c>
      <c r="H1" s="15" t="s">
        <v>78</v>
      </c>
      <c r="I1" s="15" t="s">
        <v>79</v>
      </c>
      <c r="K1" s="16" t="s">
        <v>80</v>
      </c>
      <c r="L1" s="16" t="s">
        <v>81</v>
      </c>
      <c r="M1" s="16" t="s">
        <v>82</v>
      </c>
    </row>
    <row r="2" customFormat="false" ht="15" hidden="false" customHeight="false" outlineLevel="0" collapsed="false">
      <c r="A2" s="17" t="n">
        <v>46242</v>
      </c>
      <c r="B2" s="18" t="s">
        <v>83</v>
      </c>
      <c r="C2" s="18" t="s">
        <v>84</v>
      </c>
      <c r="D2" s="19" t="n">
        <v>10</v>
      </c>
      <c r="E2" s="20" t="n">
        <v>21000</v>
      </c>
      <c r="F2" s="21" t="n">
        <f aca="false">D2*E2</f>
        <v>210000</v>
      </c>
      <c r="G2" s="21" t="n">
        <f aca="false">IF(F2&gt;=$L$2,ROUND(F2*$L$3,0),0)</f>
        <v>0</v>
      </c>
      <c r="H2" s="21" t="n">
        <f aca="false">F2-G2</f>
        <v>210000</v>
      </c>
      <c r="I2" s="22" t="n">
        <f aca="false">MONTH(A2)</f>
        <v>8</v>
      </c>
      <c r="K2" s="23" t="s">
        <v>85</v>
      </c>
      <c r="L2" s="24" t="n">
        <v>500000</v>
      </c>
      <c r="M2" s="23" t="s">
        <v>86</v>
      </c>
    </row>
    <row r="3" customFormat="false" ht="15" hidden="false" customHeight="false" outlineLevel="0" collapsed="false">
      <c r="A3" s="17" t="n">
        <v>46243</v>
      </c>
      <c r="B3" s="18" t="s">
        <v>83</v>
      </c>
      <c r="C3" s="18" t="s">
        <v>87</v>
      </c>
      <c r="D3" s="19" t="n">
        <v>5</v>
      </c>
      <c r="E3" s="20" t="n">
        <v>24000</v>
      </c>
      <c r="F3" s="21" t="n">
        <f aca="false">D3*E3</f>
        <v>120000</v>
      </c>
      <c r="G3" s="21" t="n">
        <f aca="false">IF(F3&gt;=$L$2,ROUND(F3*$L$3,0),0)</f>
        <v>0</v>
      </c>
      <c r="H3" s="21" t="n">
        <f aca="false">F3-G3</f>
        <v>120000</v>
      </c>
      <c r="I3" s="22" t="n">
        <f aca="false">MONTH(A3)</f>
        <v>8</v>
      </c>
      <c r="K3" s="23" t="s">
        <v>88</v>
      </c>
      <c r="L3" s="25" t="n">
        <v>0.05</v>
      </c>
      <c r="M3" s="23"/>
    </row>
    <row r="4" customFormat="false" ht="15" hidden="false" customHeight="false" outlineLevel="0" collapsed="false">
      <c r="A4" s="17" t="n">
        <v>46243</v>
      </c>
      <c r="B4" s="18" t="s">
        <v>89</v>
      </c>
      <c r="C4" s="18" t="s">
        <v>90</v>
      </c>
      <c r="D4" s="19" t="n">
        <v>3</v>
      </c>
      <c r="E4" s="20" t="n">
        <v>28000</v>
      </c>
      <c r="F4" s="21" t="n">
        <f aca="false">D4*E4</f>
        <v>84000</v>
      </c>
      <c r="G4" s="21" t="n">
        <f aca="false">IF(F4&gt;=$L$2,ROUND(F4*$L$3,0),0)</f>
        <v>0</v>
      </c>
      <c r="H4" s="21" t="n">
        <f aca="false">F4-G4</f>
        <v>84000</v>
      </c>
      <c r="I4" s="22" t="n">
        <f aca="false">MONTH(A4)</f>
        <v>8</v>
      </c>
    </row>
    <row r="5" customFormat="false" ht="15" hidden="false" customHeight="false" outlineLevel="0" collapsed="false">
      <c r="A5" s="17" t="n">
        <v>46246</v>
      </c>
      <c r="B5" s="18" t="s">
        <v>91</v>
      </c>
      <c r="C5" s="18" t="s">
        <v>92</v>
      </c>
      <c r="D5" s="19" t="n">
        <v>12</v>
      </c>
      <c r="E5" s="20" t="n">
        <v>45000</v>
      </c>
      <c r="F5" s="21" t="n">
        <f aca="false">D5*E5</f>
        <v>540000</v>
      </c>
      <c r="G5" s="21" t="n">
        <f aca="false">IF(F5&gt;=$L$2,ROUND(F5*$L$3,0),0)</f>
        <v>27000</v>
      </c>
      <c r="H5" s="21" t="n">
        <f aca="false">F5-G5</f>
        <v>513000</v>
      </c>
      <c r="I5" s="22" t="n">
        <f aca="false">MONTH(A5)</f>
        <v>8</v>
      </c>
    </row>
    <row r="6" customFormat="false" ht="15" hidden="false" customHeight="false" outlineLevel="0" collapsed="false">
      <c r="A6" s="17" t="n">
        <v>46246</v>
      </c>
      <c r="B6" s="18" t="s">
        <v>91</v>
      </c>
      <c r="C6" s="18" t="s">
        <v>93</v>
      </c>
      <c r="D6" s="19" t="n">
        <v>1</v>
      </c>
      <c r="E6" s="20" t="n">
        <v>32000</v>
      </c>
      <c r="F6" s="21" t="n">
        <f aca="false">D6*E6</f>
        <v>32000</v>
      </c>
      <c r="G6" s="21" t="n">
        <f aca="false">IF(F6&gt;=$L$2,ROUND(F6*$L$3,0),0)</f>
        <v>0</v>
      </c>
      <c r="H6" s="21" t="n">
        <f aca="false">F6-G6</f>
        <v>32000</v>
      </c>
      <c r="I6" s="22" t="n">
        <f aca="false">MONTH(A6)</f>
        <v>8</v>
      </c>
    </row>
    <row r="7" customFormat="false" ht="15" hidden="false" customHeight="false" outlineLevel="0" collapsed="false">
      <c r="A7" s="17" t="n">
        <v>46249</v>
      </c>
      <c r="B7" s="18" t="s">
        <v>83</v>
      </c>
      <c r="C7" s="18" t="s">
        <v>87</v>
      </c>
      <c r="D7" s="19" t="n">
        <v>2</v>
      </c>
      <c r="E7" s="20" t="n">
        <v>24000</v>
      </c>
      <c r="F7" s="21" t="n">
        <f aca="false">D7*E7</f>
        <v>48000</v>
      </c>
      <c r="G7" s="21" t="n">
        <f aca="false">IF(F7&gt;=$L$2,ROUND(F7*$L$3,0),0)</f>
        <v>0</v>
      </c>
      <c r="H7" s="21" t="n">
        <f aca="false">F7-G7</f>
        <v>48000</v>
      </c>
      <c r="I7" s="22" t="n">
        <f aca="false">MONTH(A7)</f>
        <v>8</v>
      </c>
    </row>
    <row r="8" customFormat="false" ht="15" hidden="false" customHeight="false" outlineLevel="0" collapsed="false">
      <c r="A8" s="17" t="n">
        <v>46250</v>
      </c>
      <c r="B8" s="18" t="s">
        <v>91</v>
      </c>
      <c r="C8" s="18" t="s">
        <v>87</v>
      </c>
      <c r="D8" s="19" t="n">
        <v>2</v>
      </c>
      <c r="E8" s="20" t="n">
        <v>24000</v>
      </c>
      <c r="F8" s="21" t="n">
        <f aca="false">D8*E8</f>
        <v>48000</v>
      </c>
      <c r="G8" s="21" t="n">
        <f aca="false">IF(F8&gt;=$L$2,ROUND(F8*$L$3,0),0)</f>
        <v>0</v>
      </c>
      <c r="H8" s="21" t="n">
        <f aca="false">F8-G8</f>
        <v>48000</v>
      </c>
      <c r="I8" s="22" t="n">
        <f aca="false">MONTH(A8)</f>
        <v>8</v>
      </c>
    </row>
    <row r="9" customFormat="false" ht="15" hidden="false" customHeight="false" outlineLevel="0" collapsed="false">
      <c r="A9" s="17" t="n">
        <v>46251</v>
      </c>
      <c r="B9" s="18" t="s">
        <v>94</v>
      </c>
      <c r="C9" s="18" t="s">
        <v>95</v>
      </c>
      <c r="D9" s="19" t="n">
        <v>10</v>
      </c>
      <c r="E9" s="20" t="n">
        <v>52000</v>
      </c>
      <c r="F9" s="21" t="n">
        <f aca="false">D9*E9</f>
        <v>520000</v>
      </c>
      <c r="G9" s="21" t="n">
        <f aca="false">IF(F9&gt;=$L$2,ROUND(F9*$L$3,0),0)</f>
        <v>26000</v>
      </c>
      <c r="H9" s="21" t="n">
        <f aca="false">F9-G9</f>
        <v>494000</v>
      </c>
      <c r="I9" s="22" t="n">
        <f aca="false">MONTH(A9)</f>
        <v>8</v>
      </c>
    </row>
    <row r="10" customFormat="false" ht="15" hidden="false" customHeight="false" outlineLevel="0" collapsed="false">
      <c r="A10" s="17" t="n">
        <v>46254</v>
      </c>
      <c r="B10" s="18" t="s">
        <v>91</v>
      </c>
      <c r="C10" s="18" t="s">
        <v>95</v>
      </c>
      <c r="D10" s="19" t="n">
        <v>8</v>
      </c>
      <c r="E10" s="20" t="n">
        <v>52000</v>
      </c>
      <c r="F10" s="21" t="n">
        <f aca="false">D10*E10</f>
        <v>416000</v>
      </c>
      <c r="G10" s="21" t="n">
        <f aca="false">IF(F10&gt;=$L$2,ROUND(F10*$L$3,0),0)</f>
        <v>0</v>
      </c>
      <c r="H10" s="21" t="n">
        <f aca="false">F10-G10</f>
        <v>416000</v>
      </c>
      <c r="I10" s="22" t="n">
        <f aca="false">MONTH(A10)</f>
        <v>8</v>
      </c>
    </row>
    <row r="11" customFormat="false" ht="15" hidden="false" customHeight="false" outlineLevel="0" collapsed="false">
      <c r="A11" s="17" t="n">
        <v>46255</v>
      </c>
      <c r="B11" s="18" t="s">
        <v>89</v>
      </c>
      <c r="C11" s="18" t="s">
        <v>84</v>
      </c>
      <c r="D11" s="19" t="n">
        <v>8</v>
      </c>
      <c r="E11" s="20" t="n">
        <v>21000</v>
      </c>
      <c r="F11" s="21" t="n">
        <f aca="false">D11*E11</f>
        <v>168000</v>
      </c>
      <c r="G11" s="21" t="n">
        <f aca="false">IF(F11&gt;=$L$2,ROUND(F11*$L$3,0),0)</f>
        <v>0</v>
      </c>
      <c r="H11" s="21" t="n">
        <f aca="false">F11-G11</f>
        <v>168000</v>
      </c>
      <c r="I11" s="22" t="n">
        <f aca="false">MONTH(A11)</f>
        <v>8</v>
      </c>
    </row>
    <row r="12" customFormat="false" ht="15" hidden="false" customHeight="false" outlineLevel="0" collapsed="false">
      <c r="A12" s="17" t="n">
        <v>46262</v>
      </c>
      <c r="B12" s="18" t="s">
        <v>96</v>
      </c>
      <c r="C12" s="18" t="s">
        <v>84</v>
      </c>
      <c r="D12" s="19" t="n">
        <v>2</v>
      </c>
      <c r="E12" s="20" t="n">
        <v>21000</v>
      </c>
      <c r="F12" s="21" t="n">
        <f aca="false">D12*E12</f>
        <v>42000</v>
      </c>
      <c r="G12" s="21" t="n">
        <f aca="false">IF(F12&gt;=$L$2,ROUND(F12*$L$3,0),0)</f>
        <v>0</v>
      </c>
      <c r="H12" s="21" t="n">
        <f aca="false">F12-G12</f>
        <v>42000</v>
      </c>
      <c r="I12" s="22" t="n">
        <f aca="false">MONTH(A12)</f>
        <v>8</v>
      </c>
    </row>
    <row r="13" customFormat="false" ht="15" hidden="false" customHeight="false" outlineLevel="0" collapsed="false">
      <c r="A13" s="17" t="n">
        <v>46266</v>
      </c>
      <c r="B13" s="18" t="s">
        <v>94</v>
      </c>
      <c r="C13" s="18" t="s">
        <v>97</v>
      </c>
      <c r="D13" s="19" t="n">
        <v>12</v>
      </c>
      <c r="E13" s="20" t="n">
        <v>38000</v>
      </c>
      <c r="F13" s="21" t="n">
        <f aca="false">D13*E13</f>
        <v>456000</v>
      </c>
      <c r="G13" s="21" t="n">
        <f aca="false">IF(F13&gt;=$L$2,ROUND(F13*$L$3,0),0)</f>
        <v>0</v>
      </c>
      <c r="H13" s="21" t="n">
        <f aca="false">F13-G13</f>
        <v>456000</v>
      </c>
      <c r="I13" s="22" t="n">
        <f aca="false">MONTH(A13)</f>
        <v>9</v>
      </c>
    </row>
    <row r="14" customFormat="false" ht="15" hidden="false" customHeight="false" outlineLevel="0" collapsed="false">
      <c r="A14" s="17" t="n">
        <v>46270</v>
      </c>
      <c r="B14" s="18" t="s">
        <v>94</v>
      </c>
      <c r="C14" s="18" t="s">
        <v>95</v>
      </c>
      <c r="D14" s="19" t="n">
        <v>2</v>
      </c>
      <c r="E14" s="20" t="n">
        <v>52000</v>
      </c>
      <c r="F14" s="21" t="n">
        <f aca="false">D14*E14</f>
        <v>104000</v>
      </c>
      <c r="G14" s="21" t="n">
        <f aca="false">IF(F14&gt;=$L$2,ROUND(F14*$L$3,0),0)</f>
        <v>0</v>
      </c>
      <c r="H14" s="21" t="n">
        <f aca="false">F14-G14</f>
        <v>104000</v>
      </c>
      <c r="I14" s="22" t="n">
        <f aca="false">MONTH(A14)</f>
        <v>9</v>
      </c>
    </row>
    <row r="15" customFormat="false" ht="15" hidden="false" customHeight="false" outlineLevel="0" collapsed="false">
      <c r="A15" s="17" t="n">
        <v>46273</v>
      </c>
      <c r="B15" s="18" t="s">
        <v>89</v>
      </c>
      <c r="C15" s="18" t="s">
        <v>92</v>
      </c>
      <c r="D15" s="19" t="n">
        <v>12</v>
      </c>
      <c r="E15" s="20" t="n">
        <v>45000</v>
      </c>
      <c r="F15" s="21" t="n">
        <f aca="false">D15*E15</f>
        <v>540000</v>
      </c>
      <c r="G15" s="21" t="n">
        <f aca="false">IF(F15&gt;=$L$2,ROUND(F15*$L$3,0),0)</f>
        <v>27000</v>
      </c>
      <c r="H15" s="21" t="n">
        <f aca="false">F15-G15</f>
        <v>513000</v>
      </c>
      <c r="I15" s="22" t="n">
        <f aca="false">MONTH(A15)</f>
        <v>9</v>
      </c>
    </row>
    <row r="16" customFormat="false" ht="15" hidden="false" customHeight="false" outlineLevel="0" collapsed="false">
      <c r="A16" s="17" t="n">
        <v>46274</v>
      </c>
      <c r="B16" s="18" t="s">
        <v>96</v>
      </c>
      <c r="C16" s="18" t="s">
        <v>84</v>
      </c>
      <c r="D16" s="19" t="n">
        <v>6</v>
      </c>
      <c r="E16" s="20" t="n">
        <v>21000</v>
      </c>
      <c r="F16" s="21" t="n">
        <f aca="false">D16*E16</f>
        <v>126000</v>
      </c>
      <c r="G16" s="21" t="n">
        <f aca="false">IF(F16&gt;=$L$2,ROUND(F16*$L$3,0),0)</f>
        <v>0</v>
      </c>
      <c r="H16" s="21" t="n">
        <f aca="false">F16-G16</f>
        <v>126000</v>
      </c>
      <c r="I16" s="22" t="n">
        <f aca="false">MONTH(A16)</f>
        <v>9</v>
      </c>
    </row>
    <row r="17" customFormat="false" ht="15" hidden="false" customHeight="false" outlineLevel="0" collapsed="false">
      <c r="A17" s="17" t="n">
        <v>46274</v>
      </c>
      <c r="B17" s="18" t="s">
        <v>89</v>
      </c>
      <c r="C17" s="18" t="s">
        <v>84</v>
      </c>
      <c r="D17" s="19" t="n">
        <v>10</v>
      </c>
      <c r="E17" s="20" t="n">
        <v>21000</v>
      </c>
      <c r="F17" s="21" t="n">
        <f aca="false">D17*E17</f>
        <v>210000</v>
      </c>
      <c r="G17" s="21" t="n">
        <f aca="false">IF(F17&gt;=$L$2,ROUND(F17*$L$3,0),0)</f>
        <v>0</v>
      </c>
      <c r="H17" s="21" t="n">
        <f aca="false">F17-G17</f>
        <v>210000</v>
      </c>
      <c r="I17" s="22" t="n">
        <f aca="false">MONTH(A17)</f>
        <v>9</v>
      </c>
    </row>
    <row r="18" customFormat="false" ht="15" hidden="false" customHeight="false" outlineLevel="0" collapsed="false">
      <c r="A18" s="17" t="n">
        <v>46275</v>
      </c>
      <c r="B18" s="18" t="s">
        <v>96</v>
      </c>
      <c r="C18" s="18" t="s">
        <v>84</v>
      </c>
      <c r="D18" s="19" t="n">
        <v>8</v>
      </c>
      <c r="E18" s="20" t="n">
        <v>21000</v>
      </c>
      <c r="F18" s="21" t="n">
        <f aca="false">D18*E18</f>
        <v>168000</v>
      </c>
      <c r="G18" s="21" t="n">
        <f aca="false">IF(F18&gt;=$L$2,ROUND(F18*$L$3,0),0)</f>
        <v>0</v>
      </c>
      <c r="H18" s="21" t="n">
        <f aca="false">F18-G18</f>
        <v>168000</v>
      </c>
      <c r="I18" s="22" t="n">
        <f aca="false">MONTH(A18)</f>
        <v>9</v>
      </c>
    </row>
    <row r="19" customFormat="false" ht="15" hidden="false" customHeight="false" outlineLevel="0" collapsed="false">
      <c r="A19" s="17" t="n">
        <v>46276</v>
      </c>
      <c r="B19" s="18" t="s">
        <v>91</v>
      </c>
      <c r="C19" s="18" t="s">
        <v>87</v>
      </c>
      <c r="D19" s="19" t="n">
        <v>8</v>
      </c>
      <c r="E19" s="20" t="n">
        <v>24000</v>
      </c>
      <c r="F19" s="21" t="n">
        <f aca="false">D19*E19</f>
        <v>192000</v>
      </c>
      <c r="G19" s="21" t="n">
        <f aca="false">IF(F19&gt;=$L$2,ROUND(F19*$L$3,0),0)</f>
        <v>0</v>
      </c>
      <c r="H19" s="21" t="n">
        <f aca="false">F19-G19</f>
        <v>192000</v>
      </c>
      <c r="I19" s="22" t="n">
        <f aca="false">MONTH(A19)</f>
        <v>9</v>
      </c>
    </row>
    <row r="20" customFormat="false" ht="15" hidden="false" customHeight="false" outlineLevel="0" collapsed="false">
      <c r="A20" s="17" t="n">
        <v>46279</v>
      </c>
      <c r="B20" s="18" t="s">
        <v>96</v>
      </c>
      <c r="C20" s="18" t="s">
        <v>84</v>
      </c>
      <c r="D20" s="19" t="n">
        <v>3</v>
      </c>
      <c r="E20" s="20" t="n">
        <v>21000</v>
      </c>
      <c r="F20" s="21" t="n">
        <f aca="false">D20*E20</f>
        <v>63000</v>
      </c>
      <c r="G20" s="21" t="n">
        <f aca="false">IF(F20&gt;=$L$2,ROUND(F20*$L$3,0),0)</f>
        <v>0</v>
      </c>
      <c r="H20" s="21" t="n">
        <f aca="false">F20-G20</f>
        <v>63000</v>
      </c>
      <c r="I20" s="22" t="n">
        <f aca="false">MONTH(A20)</f>
        <v>9</v>
      </c>
    </row>
    <row r="21" customFormat="false" ht="15" hidden="false" customHeight="false" outlineLevel="0" collapsed="false">
      <c r="A21" s="17" t="n">
        <v>46285</v>
      </c>
      <c r="B21" s="18" t="s">
        <v>94</v>
      </c>
      <c r="C21" s="18" t="s">
        <v>97</v>
      </c>
      <c r="D21" s="19" t="n">
        <v>12</v>
      </c>
      <c r="E21" s="20" t="n">
        <v>38000</v>
      </c>
      <c r="F21" s="21" t="n">
        <f aca="false">D21*E21</f>
        <v>456000</v>
      </c>
      <c r="G21" s="21" t="n">
        <f aca="false">IF(F21&gt;=$L$2,ROUND(F21*$L$3,0),0)</f>
        <v>0</v>
      </c>
      <c r="H21" s="21" t="n">
        <f aca="false">F21-G21</f>
        <v>456000</v>
      </c>
      <c r="I21" s="22" t="n">
        <f aca="false">MONTH(A21)</f>
        <v>9</v>
      </c>
    </row>
    <row r="22" customFormat="false" ht="15" hidden="false" customHeight="false" outlineLevel="0" collapsed="false">
      <c r="A22" s="17" t="n">
        <v>46285</v>
      </c>
      <c r="B22" s="18" t="s">
        <v>96</v>
      </c>
      <c r="C22" s="18" t="s">
        <v>92</v>
      </c>
      <c r="D22" s="19" t="n">
        <v>3</v>
      </c>
      <c r="E22" s="20" t="n">
        <v>45000</v>
      </c>
      <c r="F22" s="21" t="n">
        <f aca="false">D22*E22</f>
        <v>135000</v>
      </c>
      <c r="G22" s="21" t="n">
        <f aca="false">IF(F22&gt;=$L$2,ROUND(F22*$L$3,0),0)</f>
        <v>0</v>
      </c>
      <c r="H22" s="21" t="n">
        <f aca="false">F22-G22</f>
        <v>135000</v>
      </c>
      <c r="I22" s="22" t="n">
        <f aca="false">MONTH(A22)</f>
        <v>9</v>
      </c>
    </row>
    <row r="23" customFormat="false" ht="15" hidden="false" customHeight="false" outlineLevel="0" collapsed="false">
      <c r="A23" s="17" t="n">
        <v>46286</v>
      </c>
      <c r="B23" s="18" t="s">
        <v>83</v>
      </c>
      <c r="C23" s="18" t="s">
        <v>95</v>
      </c>
      <c r="D23" s="19" t="n">
        <v>5</v>
      </c>
      <c r="E23" s="20" t="n">
        <v>52000</v>
      </c>
      <c r="F23" s="21" t="n">
        <f aca="false">D23*E23</f>
        <v>260000</v>
      </c>
      <c r="G23" s="21" t="n">
        <f aca="false">IF(F23&gt;=$L$2,ROUND(F23*$L$3,0),0)</f>
        <v>0</v>
      </c>
      <c r="H23" s="21" t="n">
        <f aca="false">F23-G23</f>
        <v>260000</v>
      </c>
      <c r="I23" s="22" t="n">
        <f aca="false">MONTH(A23)</f>
        <v>9</v>
      </c>
    </row>
    <row r="24" customFormat="false" ht="15" hidden="false" customHeight="false" outlineLevel="0" collapsed="false">
      <c r="A24" s="17" t="n">
        <v>46293</v>
      </c>
      <c r="B24" s="18" t="s">
        <v>96</v>
      </c>
      <c r="C24" s="18" t="s">
        <v>84</v>
      </c>
      <c r="D24" s="19" t="n">
        <v>3</v>
      </c>
      <c r="E24" s="20" t="n">
        <v>21000</v>
      </c>
      <c r="F24" s="21" t="n">
        <f aca="false">D24*E24</f>
        <v>63000</v>
      </c>
      <c r="G24" s="21" t="n">
        <f aca="false">IF(F24&gt;=$L$2,ROUND(F24*$L$3,0),0)</f>
        <v>0</v>
      </c>
      <c r="H24" s="21" t="n">
        <f aca="false">F24-G24</f>
        <v>63000</v>
      </c>
      <c r="I24" s="22" t="n">
        <f aca="false">MONTH(A24)</f>
        <v>9</v>
      </c>
    </row>
    <row r="25" customFormat="false" ht="15" hidden="false" customHeight="false" outlineLevel="0" collapsed="false">
      <c r="A25" s="17" t="n">
        <v>46294</v>
      </c>
      <c r="B25" s="18" t="s">
        <v>83</v>
      </c>
      <c r="C25" s="18" t="s">
        <v>95</v>
      </c>
      <c r="D25" s="19" t="n">
        <v>10</v>
      </c>
      <c r="E25" s="20" t="n">
        <v>52000</v>
      </c>
      <c r="F25" s="21" t="n">
        <f aca="false">D25*E25</f>
        <v>520000</v>
      </c>
      <c r="G25" s="21" t="n">
        <f aca="false">IF(F25&gt;=$L$2,ROUND(F25*$L$3,0),0)</f>
        <v>26000</v>
      </c>
      <c r="H25" s="21" t="n">
        <f aca="false">F25-G25</f>
        <v>494000</v>
      </c>
      <c r="I25" s="22" t="n">
        <f aca="false">MONTH(A25)</f>
        <v>9</v>
      </c>
    </row>
    <row r="26" customFormat="false" ht="15" hidden="false" customHeight="false" outlineLevel="0" collapsed="false">
      <c r="A26" s="17" t="n">
        <v>46300</v>
      </c>
      <c r="B26" s="18" t="s">
        <v>96</v>
      </c>
      <c r="C26" s="18" t="s">
        <v>92</v>
      </c>
      <c r="D26" s="19" t="n">
        <v>5</v>
      </c>
      <c r="E26" s="20" t="n">
        <v>45000</v>
      </c>
      <c r="F26" s="21" t="n">
        <f aca="false">D26*E26</f>
        <v>225000</v>
      </c>
      <c r="G26" s="21" t="n">
        <f aca="false">IF(F26&gt;=$L$2,ROUND(F26*$L$3,0),0)</f>
        <v>0</v>
      </c>
      <c r="H26" s="21" t="n">
        <f aca="false">F26-G26</f>
        <v>225000</v>
      </c>
      <c r="I26" s="22" t="n">
        <f aca="false">MONTH(A26)</f>
        <v>10</v>
      </c>
    </row>
    <row r="27" customFormat="false" ht="15" hidden="false" customHeight="false" outlineLevel="0" collapsed="false">
      <c r="A27" s="17" t="n">
        <v>46300</v>
      </c>
      <c r="B27" s="18" t="s">
        <v>83</v>
      </c>
      <c r="C27" s="18" t="s">
        <v>87</v>
      </c>
      <c r="D27" s="19" t="n">
        <v>1</v>
      </c>
      <c r="E27" s="20" t="n">
        <v>24000</v>
      </c>
      <c r="F27" s="21" t="n">
        <f aca="false">D27*E27</f>
        <v>24000</v>
      </c>
      <c r="G27" s="21" t="n">
        <f aca="false">IF(F27&gt;=$L$2,ROUND(F27*$L$3,0),0)</f>
        <v>0</v>
      </c>
      <c r="H27" s="21" t="n">
        <f aca="false">F27-G27</f>
        <v>24000</v>
      </c>
      <c r="I27" s="22" t="n">
        <f aca="false">MONTH(A27)</f>
        <v>10</v>
      </c>
    </row>
    <row r="28" customFormat="false" ht="15" hidden="false" customHeight="false" outlineLevel="0" collapsed="false">
      <c r="A28" s="17" t="n">
        <v>46302</v>
      </c>
      <c r="B28" s="18" t="s">
        <v>94</v>
      </c>
      <c r="C28" s="18" t="s">
        <v>95</v>
      </c>
      <c r="D28" s="19" t="n">
        <v>12</v>
      </c>
      <c r="E28" s="20" t="n">
        <v>52000</v>
      </c>
      <c r="F28" s="21" t="n">
        <f aca="false">D28*E28</f>
        <v>624000</v>
      </c>
      <c r="G28" s="21" t="n">
        <f aca="false">IF(F28&gt;=$L$2,ROUND(F28*$L$3,0),0)</f>
        <v>31200</v>
      </c>
      <c r="H28" s="21" t="n">
        <f aca="false">F28-G28</f>
        <v>592800</v>
      </c>
      <c r="I28" s="22" t="n">
        <f aca="false">MONTH(A28)</f>
        <v>10</v>
      </c>
    </row>
    <row r="29" customFormat="false" ht="15" hidden="false" customHeight="false" outlineLevel="0" collapsed="false">
      <c r="A29" s="17" t="n">
        <v>46306</v>
      </c>
      <c r="B29" s="18" t="s">
        <v>89</v>
      </c>
      <c r="C29" s="18" t="s">
        <v>95</v>
      </c>
      <c r="D29" s="19" t="n">
        <v>10</v>
      </c>
      <c r="E29" s="20" t="n">
        <v>52000</v>
      </c>
      <c r="F29" s="21" t="n">
        <f aca="false">D29*E29</f>
        <v>520000</v>
      </c>
      <c r="G29" s="21" t="n">
        <f aca="false">IF(F29&gt;=$L$2,ROUND(F29*$L$3,0),0)</f>
        <v>26000</v>
      </c>
      <c r="H29" s="21" t="n">
        <f aca="false">F29-G29</f>
        <v>494000</v>
      </c>
      <c r="I29" s="22" t="n">
        <f aca="false">MONTH(A29)</f>
        <v>10</v>
      </c>
    </row>
    <row r="30" customFormat="false" ht="15" hidden="false" customHeight="false" outlineLevel="0" collapsed="false">
      <c r="A30" s="17" t="n">
        <v>46309</v>
      </c>
      <c r="B30" s="18" t="s">
        <v>94</v>
      </c>
      <c r="C30" s="18" t="s">
        <v>92</v>
      </c>
      <c r="D30" s="19" t="n">
        <v>5</v>
      </c>
      <c r="E30" s="20" t="n">
        <v>45000</v>
      </c>
      <c r="F30" s="21" t="n">
        <f aca="false">D30*E30</f>
        <v>225000</v>
      </c>
      <c r="G30" s="21" t="n">
        <f aca="false">IF(F30&gt;=$L$2,ROUND(F30*$L$3,0),0)</f>
        <v>0</v>
      </c>
      <c r="H30" s="21" t="n">
        <f aca="false">F30-G30</f>
        <v>225000</v>
      </c>
      <c r="I30" s="22" t="n">
        <f aca="false">MONTH(A30)</f>
        <v>10</v>
      </c>
    </row>
    <row r="31" customFormat="false" ht="15" hidden="false" customHeight="false" outlineLevel="0" collapsed="false">
      <c r="A31" s="17" t="n">
        <v>46309</v>
      </c>
      <c r="B31" s="18" t="s">
        <v>83</v>
      </c>
      <c r="C31" s="18" t="s">
        <v>95</v>
      </c>
      <c r="D31" s="19" t="n">
        <v>6</v>
      </c>
      <c r="E31" s="20" t="n">
        <v>52000</v>
      </c>
      <c r="F31" s="21" t="n">
        <f aca="false">D31*E31</f>
        <v>312000</v>
      </c>
      <c r="G31" s="21" t="n">
        <f aca="false">IF(F31&gt;=$L$2,ROUND(F31*$L$3,0),0)</f>
        <v>0</v>
      </c>
      <c r="H31" s="21" t="n">
        <f aca="false">F31-G31</f>
        <v>312000</v>
      </c>
      <c r="I31" s="22" t="n">
        <f aca="false">MONTH(A31)</f>
        <v>10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7"/>
    <col collapsed="false" customWidth="true" hidden="false" outlineLevel="0" max="4" min="3" style="0" width="16"/>
  </cols>
  <sheetData>
    <row r="1" customFormat="false" ht="33.75" hidden="false" customHeight="true" outlineLevel="0" collapsed="false">
      <c r="A1" s="11" t="s">
        <v>72</v>
      </c>
      <c r="B1" s="15" t="s">
        <v>98</v>
      </c>
      <c r="C1" s="15" t="s">
        <v>99</v>
      </c>
      <c r="D1" s="15" t="s">
        <v>100</v>
      </c>
    </row>
    <row r="2" customFormat="false" ht="15" hidden="false" customHeight="false" outlineLevel="0" collapsed="false">
      <c r="A2" s="18" t="s">
        <v>89</v>
      </c>
      <c r="B2" s="22" t="n">
        <f aca="false">COUNTIF(Data!$B$2:$B$31,A2)</f>
        <v>5</v>
      </c>
      <c r="C2" s="21" t="n">
        <f aca="false">SUMIF(Data!$B$2:$B$31,A2,Data!$H$2:$H$31)</f>
        <v>1469000</v>
      </c>
      <c r="D2" s="26" t="n">
        <f aca="false">C2/SUM($C$2:$C$6)</f>
        <v>0.201569746699964</v>
      </c>
    </row>
    <row r="3" customFormat="false" ht="15" hidden="false" customHeight="false" outlineLevel="0" collapsed="false">
      <c r="A3" s="18" t="s">
        <v>94</v>
      </c>
      <c r="B3" s="22" t="n">
        <f aca="false">COUNTIF(Data!$B$2:$B$31,A3)</f>
        <v>6</v>
      </c>
      <c r="C3" s="21" t="n">
        <f aca="false">SUMIF(Data!$B$2:$B$31,A3,Data!$H$2:$H$31)</f>
        <v>2327800</v>
      </c>
      <c r="D3" s="26" t="n">
        <f aca="false">C3/SUM($C$2:$C$6)</f>
        <v>0.31941052169379</v>
      </c>
    </row>
    <row r="4" customFormat="false" ht="15" hidden="false" customHeight="false" outlineLevel="0" collapsed="false">
      <c r="A4" s="18" t="s">
        <v>83</v>
      </c>
      <c r="B4" s="22" t="n">
        <f aca="false">COUNTIF(Data!$B$2:$B$31,A4)</f>
        <v>7</v>
      </c>
      <c r="C4" s="21" t="n">
        <f aca="false">SUMIF(Data!$B$2:$B$31,A4,Data!$H$2:$H$31)</f>
        <v>1468000</v>
      </c>
      <c r="D4" s="26" t="n">
        <f aca="false">C4/SUM($C$2:$C$6)</f>
        <v>0.201432531079338</v>
      </c>
    </row>
    <row r="5" customFormat="false" ht="15" hidden="false" customHeight="false" outlineLevel="0" collapsed="false">
      <c r="A5" s="18" t="s">
        <v>96</v>
      </c>
      <c r="B5" s="22" t="n">
        <f aca="false">COUNTIF(Data!$B$2:$B$31,A5)</f>
        <v>7</v>
      </c>
      <c r="C5" s="21" t="n">
        <f aca="false">SUMIF(Data!$B$2:$B$31,A5,Data!$H$2:$H$31)</f>
        <v>822000</v>
      </c>
      <c r="D5" s="26" t="n">
        <f aca="false">C5/SUM($C$2:$C$6)</f>
        <v>0.112791240154779</v>
      </c>
    </row>
    <row r="6" customFormat="false" ht="15" hidden="false" customHeight="false" outlineLevel="0" collapsed="false">
      <c r="A6" s="18" t="s">
        <v>91</v>
      </c>
      <c r="B6" s="22" t="n">
        <f aca="false">COUNTIF(Data!$B$2:$B$31,A6)</f>
        <v>5</v>
      </c>
      <c r="C6" s="21" t="n">
        <f aca="false">SUMIF(Data!$B$2:$B$31,A6,Data!$H$2:$H$31)</f>
        <v>1201000</v>
      </c>
      <c r="D6" s="26" t="n">
        <f aca="false">C6/SUM($C$2:$C$6)</f>
        <v>0.164795960372129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7" t="s">
        <v>101</v>
      </c>
      <c r="B1" s="27"/>
      <c r="C1" s="27"/>
      <c r="D1" s="27"/>
    </row>
    <row r="2" customFormat="false" ht="15" hidden="false" customHeight="false" outlineLevel="0" collapsed="false">
      <c r="A2" s="28" t="s">
        <v>102</v>
      </c>
      <c r="B2" s="28"/>
      <c r="C2" s="28"/>
      <c r="D2" s="28"/>
    </row>
    <row r="3" customFormat="false" ht="15" hidden="false" customHeight="false" outlineLevel="0" collapsed="false">
      <c r="A3" s="11" t="s">
        <v>19</v>
      </c>
      <c r="B3" s="11" t="s">
        <v>103</v>
      </c>
      <c r="C3" s="11" t="s">
        <v>104</v>
      </c>
      <c r="D3" s="11" t="s">
        <v>105</v>
      </c>
    </row>
    <row r="4" customFormat="false" ht="15" hidden="false" customHeight="false" outlineLevel="0" collapsed="false">
      <c r="A4" s="29" t="s">
        <v>106</v>
      </c>
      <c r="B4" s="30" t="s">
        <v>107</v>
      </c>
      <c r="C4" s="21" t="n">
        <f aca="false">SUM(Data!$F$2:$F$31)</f>
        <v>7451000</v>
      </c>
      <c r="D4" s="31" t="s">
        <v>108</v>
      </c>
    </row>
    <row r="5" customFormat="false" ht="15" hidden="false" customHeight="false" outlineLevel="0" collapsed="false">
      <c r="A5" s="29" t="s">
        <v>109</v>
      </c>
      <c r="B5" s="30" t="s">
        <v>110</v>
      </c>
      <c r="C5" s="21" t="n">
        <f aca="false">SUM(Data!$G$2:$G$31)</f>
        <v>163200</v>
      </c>
      <c r="D5" s="31" t="s">
        <v>111</v>
      </c>
    </row>
    <row r="6" customFormat="false" ht="15" hidden="false" customHeight="false" outlineLevel="0" collapsed="false">
      <c r="A6" s="29" t="s">
        <v>112</v>
      </c>
      <c r="B6" s="30" t="s">
        <v>113</v>
      </c>
      <c r="C6" s="21" t="n">
        <f aca="false">SUM(Data!$H$2:$H$31)</f>
        <v>7287800</v>
      </c>
      <c r="D6" s="31" t="s">
        <v>114</v>
      </c>
    </row>
    <row r="7" customFormat="false" ht="15" hidden="false" customHeight="false" outlineLevel="0" collapsed="false">
      <c r="A7" s="29" t="s">
        <v>115</v>
      </c>
      <c r="B7" s="30" t="s">
        <v>116</v>
      </c>
      <c r="C7" s="22" t="n">
        <f aca="false">COUNTIF(Data!$G$2:$G$31,"&gt;0")</f>
        <v>6</v>
      </c>
      <c r="D7" s="31" t="s">
        <v>117</v>
      </c>
    </row>
    <row r="8" customFormat="false" ht="15" hidden="false" customHeight="false" outlineLevel="0" collapsed="false">
      <c r="A8" s="29" t="s">
        <v>118</v>
      </c>
      <c r="B8" s="30" t="s">
        <v>119</v>
      </c>
      <c r="C8" s="22" t="n">
        <f aca="false">COUNTIF(Data!$I$2:$I$31,10)</f>
        <v>6</v>
      </c>
      <c r="D8" s="31" t="s">
        <v>120</v>
      </c>
    </row>
    <row r="9" customFormat="false" ht="15" hidden="false" customHeight="false" outlineLevel="0" collapsed="false">
      <c r="A9" s="29" t="s">
        <v>121</v>
      </c>
      <c r="B9" s="30" t="s">
        <v>122</v>
      </c>
      <c r="C9" s="32" t="str">
        <f aca="false">INDEX(Acuan!$A$2:$A$6,MATCH(MAX(Acuan!$C$2:$C$6),Acuan!$C$2:$C$6,0))</f>
        <v>Pemasaran</v>
      </c>
      <c r="D9" s="31" t="s">
        <v>123</v>
      </c>
    </row>
    <row r="10" customFormat="false" ht="15" hidden="false" customHeight="false" outlineLevel="0" collapsed="false">
      <c r="A10" s="29" t="s">
        <v>124</v>
      </c>
      <c r="B10" s="30" t="s">
        <v>125</v>
      </c>
      <c r="C10" s="32" t="str">
        <f aca="false">INDEX(Data!$C$2:$C$31,MATCH(MAX(Data!$F$2:$F$31),Data!$F$2:$F$31,0))</f>
        <v>Kertas A4 (rim)</v>
      </c>
      <c r="D10" s="31" t="s">
        <v>126</v>
      </c>
    </row>
    <row r="11" customFormat="false" ht="15" hidden="false" customHeight="false" outlineLevel="0" collapsed="false">
      <c r="A11" s="29" t="s">
        <v>127</v>
      </c>
      <c r="B11" s="30" t="s">
        <v>128</v>
      </c>
      <c r="C11" s="21" t="n">
        <f aca="false">SUMIF(Data!$B$2:$B$31,"Pemasaran",Data!$H$2:$H$31)</f>
        <v>2327800</v>
      </c>
      <c r="D11" s="31" t="s">
        <v>129</v>
      </c>
    </row>
    <row r="12" customFormat="false" ht="15" hidden="false" customHeight="false" outlineLevel="0" collapsed="false">
      <c r="A12" s="29" t="s">
        <v>130</v>
      </c>
      <c r="B12" s="30" t="s">
        <v>131</v>
      </c>
      <c r="C12" s="21" t="n">
        <f aca="false">AVERAGE(Data!$H$2:$H$31)</f>
        <v>242926.666666667</v>
      </c>
      <c r="D12" s="31" t="s">
        <v>132</v>
      </c>
    </row>
    <row r="13" customFormat="false" ht="15" hidden="false" customHeight="false" outlineLevel="0" collapsed="false">
      <c r="A13" s="29" t="s">
        <v>133</v>
      </c>
      <c r="B13" s="30" t="s">
        <v>134</v>
      </c>
      <c r="C13" s="22" t="n">
        <f aca="false">SUMIF(Data!$C$2:$C$31,"Kertas A4 (rim)",Data!$D$2:$D$31)</f>
        <v>63</v>
      </c>
      <c r="D13" s="31" t="s">
        <v>135</v>
      </c>
    </row>
    <row r="14" customFormat="false" ht="15" hidden="false" customHeight="false" outlineLevel="0" collapsed="false">
      <c r="A14" s="29" t="s">
        <v>136</v>
      </c>
      <c r="B14" s="30" t="s">
        <v>137</v>
      </c>
      <c r="C14" s="21" t="n">
        <f aca="false">SUMIFS(Data!$H$2:$H$31,Data!$C$2:$C$31,"Kertas A4 (rim)",Data!$I$2:$I$31,9)</f>
        <v>858000</v>
      </c>
      <c r="D14" s="31" t="s">
        <v>111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2026-10-14T23:33:59Z</dcterms:created>
  <dc:creator>PushExcel</dc:creator>
  <dc:description/>
  <dc:language>en-US</dc:language>
  <cp:lastModifiedBy/>
  <dcterms:modified xsi:type="dcterms:W3CDTF">2026-10-14T23:33:59Z</dcterms:modified>
  <cp:revision>0</cp:revision>
  <dc:subject/>
  <dc:title>Rekap Pembelian ATK per Divisi - Kunci</dc:title>
</cp:coreProperties>
</file>

<file path=docProps/custom.xml><?xml version="1.0" encoding="utf-8"?>
<Properties xmlns="http://schemas.openxmlformats.org/officeDocument/2006/custom-properties" xmlns:vt="http://schemas.openxmlformats.org/officeDocument/2006/docPropsVTypes"/>
</file>