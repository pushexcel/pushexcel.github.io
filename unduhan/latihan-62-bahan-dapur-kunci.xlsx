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<sst xmlns="http://schemas.openxmlformats.org/spreadsheetml/2006/main" count="231" uniqueCount="174">
  <si>
    <t xml:space="preserve">Kunci Jawaban: Persediaan Bahan Dapur dan Daftar Belanja</t>
  </si>
  <si>
    <t xml:space="preserve">Latihan 62 dari 40  |  Tingkat: Pemula  |  Perkiraan waktu: 40 menit  |  pushexcel.github.io/Pushexcel</t>
  </si>
  <si>
    <t xml:space="preserve">Skenario</t>
  </si>
  <si>
    <t xml:space="preserve">Kamu kepala dapur Warung Makan Sedap Rasa yang menyusun daftar belanja akhir pekan dari 27 bahan. Tiap bahan punya stok awal, barang masuk, pemakaian, stok minimum, dan harga per satuan. Sisa stok adalah stok awal ditambah barang masuk dikurangi pemakaian. Bila sisa stok kurang dari stok minimum, bahan berstatus Perlu Belanja, selain itu Aman. Bahan yang perlu belanja dibeli sampai stoknya mencapai 2 kali stok minimum (faktor target di blok Parameter). Satuan stok adalah kg atau liter.</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</si>
  <si>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</si>
  <si>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</si>
  <si>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</si>
  <si>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</si>
  <si>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</si>
  <si>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</si>
  <si>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</si>
  <si>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</si>
  <si>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</si>
  <si>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</si>
  <si>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</si>
  <si>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</si>
  <si>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</si>
  <si>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</si>
  <si>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</si>
  <si>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</si>
  <si>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</si>
  <si>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</si>
  <si>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</si>
  <si>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</si>
  <si>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sisa stok: stok awal ditambah barang masuk, dikurangi pemakaian.</t>
  </si>
  <si>
    <t xml:space="preserve">Sheet Data, kolom J (Sisa Stok), baris 2 sampai 28</t>
  </si>
  <si>
    <t xml:space="preserve">=G2+H2-I2</t>
  </si>
  <si>
    <t xml:space="preserve">2</t>
  </si>
  <si>
    <t xml:space="preserve">Beri status Perlu Belanja bila sisa stok kurang dari stok minimum. Bila sama atau lebih, statusnya Aman.</t>
  </si>
  <si>
    <t xml:space="preserve">Sheet Data, kolom K (Status Belanja), baris 2 sampai 28</t>
  </si>
  <si>
    <t xml:space="preserve">=IF(J2&lt;F2;"Perlu Belanja";"Aman")</t>
  </si>
  <si>
    <t xml:space="preserve">3</t>
  </si>
  <si>
    <t xml:space="preserve">Hitung jumlah yang dibeli: bila Perlu Belanja, stok minimum dikali faktor target dikurangi sisa stok. Selain itu 0.</t>
  </si>
  <si>
    <t xml:space="preserve">Sheet Data, kolom L (Jumlah Belanja), baris 2 sampai 28</t>
  </si>
  <si>
    <t xml:space="preserve">=IF(K2="Perlu Belanja";F2*$P$2-J2;0)</t>
  </si>
  <si>
    <t xml:space="preserve">4</t>
  </si>
  <si>
    <t xml:space="preserve">Hitung biaya belanja: jumlah belanja dikali harga per satuan, dibulatkan ke rupiah.</t>
  </si>
  <si>
    <t xml:space="preserve">Sheet Data, kolom M (Biaya Belanja), baris 2 sampai 28</t>
  </si>
  <si>
    <t xml:space="preserve">=ROUND(L2*E2;0)</t>
  </si>
  <si>
    <t xml:space="preserve">5</t>
  </si>
  <si>
    <t xml:space="preserve">Pada sheet Acuan, hitung jumlah bahan tiap kategori.</t>
  </si>
  <si>
    <t xml:space="preserve">Sheet Acuan, kolom B (Jumlah Bahan), baris 2 sampai 5</t>
  </si>
  <si>
    <t xml:space="preserve">=COUNTIF(Data!$C$2:$C$28;A2)</t>
  </si>
  <si>
    <t xml:space="preserve">6</t>
  </si>
  <si>
    <t xml:space="preserve">Pada sheet Acuan, hitung berapa bahan yang Perlu Belanja di tiap kategori.</t>
  </si>
  <si>
    <t xml:space="preserve">Sheet Acuan, kolom C (Bahan Perlu Belanja), baris 2 sampai 5</t>
  </si>
  <si>
    <t xml:space="preserve">=COUNTIFS(Data!$C$2:$C$28;A2;Data!$K$2:$K$28;"Perlu Belanja")</t>
  </si>
  <si>
    <t xml:space="preserve">7</t>
  </si>
  <si>
    <t xml:space="preserve">Pada sheet Acuan, hitung total biaya belanja tiap kategori.</t>
  </si>
  <si>
    <t xml:space="preserve">Sheet Acuan, kolom D (Total Biaya Belanja), baris 2 sampai 5</t>
  </si>
  <si>
    <t xml:space="preserve">=SUMIF(Data!$C$2:$C$28;A2;Data!$M$2:$M$28)</t>
  </si>
  <si>
    <t xml:space="preserve">8</t>
  </si>
  <si>
    <t xml:space="preserve">Berapa bahan yang Perlu Belanja dan berapa yang Aman?</t>
  </si>
  <si>
    <t xml:space="preserve">Sheet Ringkasan, sel C4 sampai C5</t>
  </si>
  <si>
    <t xml:space="preserve">=COUNTIF(Data!$K$2:$K$28;"Perlu Belanja")
=COUNTIF(Data!$K$2:$K$28;"Aman")</t>
  </si>
  <si>
    <t xml:space="preserve">9</t>
  </si>
  <si>
    <t xml:space="preserve">Berapa total biaya belanja, dan berapa rata-rata biaya belanja per bahan yang perlu dibeli?</t>
  </si>
  <si>
    <t xml:space="preserve">Sheet Ringkasan, sel C6 sampai C7</t>
  </si>
  <si>
    <t xml:space="preserve">=SUM(Data!$M$2:$M$28)
=AVERAGEIF(Data!$K$2:$K$28;"Perlu Belanja";Data!$M$2:$M$28)</t>
  </si>
  <si>
    <t xml:space="preserve">10</t>
  </si>
  <si>
    <t xml:space="preserve">Bahan apa yang biaya belanjanya terbesar, dan bahan apa yang sisa stoknya paling banyak?</t>
  </si>
  <si>
    <t xml:space="preserve">Sheet Ringkasan, sel C8 sampai C9</t>
  </si>
  <si>
    <t xml:space="preserve">=INDEX(Data!$B$2:$B$28;MATCH(MAX(Data!$M$2:$M$28);Data!$M$2:$M$28;0))
=INDEX(Data!$B$2:$B$28;MATCH(MAX(Data!$J$2:$J$28);Data!$J$2:$J$28;0))</t>
  </si>
  <si>
    <t xml:space="preserve">11</t>
  </si>
  <si>
    <t xml:space="preserve">Kategori mana yang paling banyak butuh belanja, dan kategori mana yang total biayanya terbesar?</t>
  </si>
  <si>
    <t xml:space="preserve">Sheet Ringkasan, sel C10 sampai C11</t>
  </si>
  <si>
    <t xml:space="preserve">=INDEX(Acuan!$A$2:$A$5;MATCH(MAX(Acuan!$C$2:$C$5);Acuan!$C$2:$C$5;0))
=INDEX(Acuan!$A$2:$A$5;MATCH(MAX(Acuan!$D$2:$D$5);Acuan!$D$2:$D$5;0))</t>
  </si>
  <si>
    <t xml:space="preserve">Kode</t>
  </si>
  <si>
    <t xml:space="preserve">Nama Bahan</t>
  </si>
  <si>
    <t xml:space="preserve">Kategori</t>
  </si>
  <si>
    <t xml:space="preserve">Satuan</t>
  </si>
  <si>
    <t xml:space="preserve">Harga per Satuan</t>
  </si>
  <si>
    <t xml:space="preserve">Stok Minimum</t>
  </si>
  <si>
    <t xml:space="preserve">Stok Awal</t>
  </si>
  <si>
    <t xml:space="preserve">Barang Masuk</t>
  </si>
  <si>
    <t xml:space="preserve">Pemakaian</t>
  </si>
  <si>
    <t xml:space="preserve">Sisa Stok</t>
  </si>
  <si>
    <t xml:space="preserve">Status Belanja</t>
  </si>
  <si>
    <t xml:space="preserve">Jumlah Belanja</t>
  </si>
  <si>
    <t xml:space="preserve">Biaya Belanja</t>
  </si>
  <si>
    <t xml:space="preserve">Parameter</t>
  </si>
  <si>
    <t xml:space="preserve">Nilai</t>
  </si>
  <si>
    <t xml:space="preserve">Keterangan</t>
  </si>
  <si>
    <t xml:space="preserve">B-01</t>
  </si>
  <si>
    <t xml:space="preserve">Bawang Merah</t>
  </si>
  <si>
    <t xml:space="preserve">Sayur</t>
  </si>
  <si>
    <t xml:space="preserve">kg</t>
  </si>
  <si>
    <t xml:space="preserve">Faktor target stok</t>
  </si>
  <si>
    <t xml:space="preserve">Target stok = stok minimum dikali angka ini</t>
  </si>
  <si>
    <t xml:space="preserve">B-02</t>
  </si>
  <si>
    <t xml:space="preserve">Cabai Rawit</t>
  </si>
  <si>
    <t xml:space="preserve">B-03</t>
  </si>
  <si>
    <t xml:space="preserve">Tomat</t>
  </si>
  <si>
    <t xml:space="preserve">B-04</t>
  </si>
  <si>
    <t xml:space="preserve">Kol</t>
  </si>
  <si>
    <t xml:space="preserve">B-05</t>
  </si>
  <si>
    <t xml:space="preserve">Wortel</t>
  </si>
  <si>
    <t xml:space="preserve">B-06</t>
  </si>
  <si>
    <t xml:space="preserve">Daun Bawang</t>
  </si>
  <si>
    <t xml:space="preserve">B-07</t>
  </si>
  <si>
    <t xml:space="preserve">Kentang</t>
  </si>
  <si>
    <t xml:space="preserve">B-08</t>
  </si>
  <si>
    <t xml:space="preserve">Daging Ayam</t>
  </si>
  <si>
    <t xml:space="preserve">Daging dan Ikan</t>
  </si>
  <si>
    <t xml:space="preserve">B-09</t>
  </si>
  <si>
    <t xml:space="preserve">Daging Sapi</t>
  </si>
  <si>
    <t xml:space="preserve">B-10</t>
  </si>
  <si>
    <t xml:space="preserve">Ikan Nila</t>
  </si>
  <si>
    <t xml:space="preserve">B-11</t>
  </si>
  <si>
    <t xml:space="preserve">Telur Ayam</t>
  </si>
  <si>
    <t xml:space="preserve">B-12</t>
  </si>
  <si>
    <t xml:space="preserve">Udang</t>
  </si>
  <si>
    <t xml:space="preserve">B-13</t>
  </si>
  <si>
    <t xml:space="preserve">Tahu</t>
  </si>
  <si>
    <t xml:space="preserve">B-14</t>
  </si>
  <si>
    <t xml:space="preserve">Garam</t>
  </si>
  <si>
    <t xml:space="preserve">Bumbu</t>
  </si>
  <si>
    <t xml:space="preserve">B-15</t>
  </si>
  <si>
    <t xml:space="preserve">Kecap Manis</t>
  </si>
  <si>
    <t xml:space="preserve">liter</t>
  </si>
  <si>
    <t xml:space="preserve">B-16</t>
  </si>
  <si>
    <t xml:space="preserve">Saus Tomat</t>
  </si>
  <si>
    <t xml:space="preserve">B-17</t>
  </si>
  <si>
    <t xml:space="preserve">Kunyit</t>
  </si>
  <si>
    <t xml:space="preserve">B-18</t>
  </si>
  <si>
    <t xml:space="preserve">Jahe</t>
  </si>
  <si>
    <t xml:space="preserve">B-19</t>
  </si>
  <si>
    <t xml:space="preserve">Merica Bubuk</t>
  </si>
  <si>
    <t xml:space="preserve">B-20</t>
  </si>
  <si>
    <t xml:space="preserve">Santan</t>
  </si>
  <si>
    <t xml:space="preserve">B-21</t>
  </si>
  <si>
    <t xml:space="preserve">Beras</t>
  </si>
  <si>
    <t xml:space="preserve">Sembako</t>
  </si>
  <si>
    <t xml:space="preserve">B-22</t>
  </si>
  <si>
    <t xml:space="preserve">Minyak Goreng</t>
  </si>
  <si>
    <t xml:space="preserve">B-23</t>
  </si>
  <si>
    <t xml:space="preserve">Gula Pasir</t>
  </si>
  <si>
    <t xml:space="preserve">B-24</t>
  </si>
  <si>
    <t xml:space="preserve">Tepung Terigu</t>
  </si>
  <si>
    <t xml:space="preserve">B-25</t>
  </si>
  <si>
    <t xml:space="preserve">Mie Kering</t>
  </si>
  <si>
    <t xml:space="preserve">B-26</t>
  </si>
  <si>
    <t xml:space="preserve">Kopi Bubuk</t>
  </si>
  <si>
    <t xml:space="preserve">B-27</t>
  </si>
  <si>
    <t xml:space="preserve">Teh Celup</t>
  </si>
  <si>
    <t xml:space="preserve">Jumlah Bahan</t>
  </si>
  <si>
    <t xml:space="preserve">Bahan Perlu Belanja</t>
  </si>
  <si>
    <t xml:space="preserve">Total Biaya Belanja</t>
  </si>
  <si>
    <t xml:space="preserve">Ringkasan: lembar jawaban soal berjenis ringkasan</t>
  </si>
  <si>
    <t xml:space="preserve">Sel hijau berisi rumus kunci.</t>
  </si>
  <si>
    <t xml:space="preserve">Pertanyaan</t>
  </si>
  <si>
    <t xml:space="preserve">Jawaban</t>
  </si>
  <si>
    <t xml:space="preserve">Contoh format hasil</t>
  </si>
  <si>
    <t xml:space="preserve">8a</t>
  </si>
  <si>
    <t xml:space="preserve">Angka bulat, mis. 10</t>
  </si>
  <si>
    <t xml:space="preserve">8b</t>
  </si>
  <si>
    <t xml:space="preserve">Bahan Aman</t>
  </si>
  <si>
    <t xml:space="preserve">Angka bulat, mis. 17</t>
  </si>
  <si>
    <t xml:space="preserve">9a</t>
  </si>
  <si>
    <t xml:space="preserve">Total biaya belanja</t>
  </si>
  <si>
    <t xml:space="preserve">Rupiah, mis. Rp 1.500.000</t>
  </si>
  <si>
    <t xml:space="preserve">9b</t>
  </si>
  <si>
    <t xml:space="preserve">Rata-rata biaya per bahan yang dibeli</t>
  </si>
  <si>
    <t xml:space="preserve">Rupiah, mis. Rp 150.000</t>
  </si>
  <si>
    <t xml:space="preserve">10a</t>
  </si>
  <si>
    <t xml:space="preserve">Bahan dengan biaya belanja terbesar</t>
  </si>
  <si>
    <t xml:space="preserve">Teks: nama bahan</t>
  </si>
  <si>
    <t xml:space="preserve">10b</t>
  </si>
  <si>
    <t xml:space="preserve">Bahan dengan sisa stok terbanyak</t>
  </si>
  <si>
    <t xml:space="preserve">11a</t>
  </si>
  <si>
    <t xml:space="preserve">Kategori paling banyak perlu belanja</t>
  </si>
  <si>
    <t xml:space="preserve">Teks: nama kategori</t>
  </si>
  <si>
    <t xml:space="preserve">11b</t>
  </si>
  <si>
    <t xml:space="preserve">Kategori dengan biaya belanja terbesar</t>
  </si>
</sst>
</file>

<file path=xl/styles.xml><?xml version="1.0" encoding="utf-8"?>
<styleSheet xmlns="http://schemas.openxmlformats.org/spreadsheetml/2006/main">
  <numFmts count="4">
    <numFmt numFmtId="164" formatCode="General"/>
    <numFmt numFmtId="165" formatCode="&quot;Rp &quot;#,##0"/>
    <numFmt numFmtId="166" formatCode="0.0"/>
    <numFmt numFmtId="167" formatCode="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43.5" hidden="false" customHeight="true" outlineLevel="0" collapsed="false">
      <c r="A28" s="12" t="s">
        <v>51</v>
      </c>
      <c r="B28" s="13" t="s">
        <v>52</v>
      </c>
      <c r="C28" s="13" t="s">
        <v>53</v>
      </c>
      <c r="D28" s="14" t="s">
        <v>54</v>
      </c>
    </row>
    <row r="29" customFormat="false" ht="43.5" hidden="false" customHeight="true" outlineLevel="0" collapsed="false">
      <c r="A29" s="12" t="s">
        <v>55</v>
      </c>
      <c r="B29" s="13" t="s">
        <v>56</v>
      </c>
      <c r="C29" s="13" t="s">
        <v>57</v>
      </c>
      <c r="D29" s="14" t="s">
        <v>58</v>
      </c>
    </row>
    <row r="30" customFormat="false" ht="55.5" hidden="false" customHeight="true" outlineLevel="0" collapsed="false">
      <c r="A30" s="12" t="s">
        <v>59</v>
      </c>
      <c r="B30" s="13" t="s">
        <v>60</v>
      </c>
      <c r="C30" s="13" t="s">
        <v>61</v>
      </c>
      <c r="D30" s="14" t="s">
        <v>62</v>
      </c>
    </row>
    <row r="31" customFormat="false" ht="55.5" hidden="false" customHeight="true" outlineLevel="0" collapsed="false">
      <c r="A31" s="12" t="s">
        <v>63</v>
      </c>
      <c r="B31" s="13" t="s">
        <v>64</v>
      </c>
      <c r="C31" s="13" t="s">
        <v>65</v>
      </c>
      <c r="D31" s="14" t="s">
        <v>66</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8"/>
    <col collapsed="false" customWidth="true" hidden="false" outlineLevel="0" max="3" min="3" style="0" width="16"/>
    <col collapsed="false" customWidth="true" hidden="false" outlineLevel="0" max="4" min="4" style="0" width="8"/>
    <col collapsed="false" customWidth="true" hidden="false" outlineLevel="0" max="5" min="5" style="0" width="16"/>
    <col collapsed="false" customWidth="true" hidden="false" outlineLevel="0" max="6" min="6" style="0" width="13"/>
    <col collapsed="false" customWidth="true" hidden="false" outlineLevel="0" max="7" min="7" style="0" width="10"/>
    <col collapsed="false" customWidth="true" hidden="false" outlineLevel="0" max="8" min="8" style="0" width="13"/>
    <col collapsed="false" customWidth="true" hidden="false" outlineLevel="0" max="9" min="9" style="0" width="11"/>
    <col collapsed="false" customWidth="true" hidden="false" outlineLevel="0" max="10" min="10" style="0" width="10"/>
    <col collapsed="false" customWidth="true" hidden="false" outlineLevel="0" max="13" min="11" style="0" width="14"/>
    <col collapsed="false" customWidth="true" hidden="false" outlineLevel="0" max="14" min="14" style="0" width="3"/>
    <col collapsed="false" customWidth="true" hidden="false" outlineLevel="0" max="15" min="15" style="0" width="30"/>
    <col collapsed="false" customWidth="true" hidden="false" outlineLevel="0" max="16" min="16" style="0" width="16"/>
    <col collapsed="false" customWidth="true" hidden="false" outlineLevel="0" max="17" min="17" style="0" width="42"/>
  </cols>
  <sheetData>
    <row r="1" customFormat="false" ht="33.75" hidden="false" customHeight="true" outlineLevel="0" collapsed="false">
      <c r="A1" s="11" t="s">
        <v>67</v>
      </c>
      <c r="B1" s="11" t="s">
        <v>68</v>
      </c>
      <c r="C1" s="11" t="s">
        <v>69</v>
      </c>
      <c r="D1" s="11" t="s">
        <v>70</v>
      </c>
      <c r="E1" s="11" t="s">
        <v>71</v>
      </c>
      <c r="F1" s="11" t="s">
        <v>72</v>
      </c>
      <c r="G1" s="11" t="s">
        <v>73</v>
      </c>
      <c r="H1" s="11" t="s">
        <v>74</v>
      </c>
      <c r="I1" s="11" t="s">
        <v>75</v>
      </c>
      <c r="J1" s="15" t="s">
        <v>76</v>
      </c>
      <c r="K1" s="15" t="s">
        <v>77</v>
      </c>
      <c r="L1" s="15" t="s">
        <v>78</v>
      </c>
      <c r="M1" s="15" t="s">
        <v>79</v>
      </c>
      <c r="O1" s="16" t="s">
        <v>80</v>
      </c>
      <c r="P1" s="16" t="s">
        <v>81</v>
      </c>
      <c r="Q1" s="16" t="s">
        <v>82</v>
      </c>
    </row>
    <row r="2" customFormat="false" ht="15" hidden="false" customHeight="false" outlineLevel="0" collapsed="false">
      <c r="A2" s="17" t="s">
        <v>83</v>
      </c>
      <c r="B2" s="17" t="s">
        <v>84</v>
      </c>
      <c r="C2" s="17" t="s">
        <v>85</v>
      </c>
      <c r="D2" s="17" t="s">
        <v>86</v>
      </c>
      <c r="E2" s="18" t="n">
        <v>38000</v>
      </c>
      <c r="F2" s="19" t="n">
        <v>2</v>
      </c>
      <c r="G2" s="19" t="n">
        <v>10</v>
      </c>
      <c r="H2" s="19" t="n">
        <v>10</v>
      </c>
      <c r="I2" s="19" t="n">
        <v>8</v>
      </c>
      <c r="J2" s="20" t="n">
        <f aca="false">G2+H2-I2</f>
        <v>12</v>
      </c>
      <c r="K2" s="21" t="str">
        <f aca="false">IF(J2&lt;F2,"Perlu Belanja","Aman")</f>
        <v>Aman</v>
      </c>
      <c r="L2" s="20" t="n">
        <f aca="false">IF(K2="Perlu Belanja",F2*$P$2-J2,0)</f>
        <v>0</v>
      </c>
      <c r="M2" s="22" t="n">
        <f aca="false">ROUND(L2*E2,0)</f>
        <v>0</v>
      </c>
      <c r="O2" s="23" t="s">
        <v>87</v>
      </c>
      <c r="P2" s="24" t="n">
        <v>2</v>
      </c>
      <c r="Q2" s="23" t="s">
        <v>88</v>
      </c>
    </row>
    <row r="3" customFormat="false" ht="15" hidden="false" customHeight="false" outlineLevel="0" collapsed="false">
      <c r="A3" s="17" t="s">
        <v>89</v>
      </c>
      <c r="B3" s="17" t="s">
        <v>90</v>
      </c>
      <c r="C3" s="17" t="s">
        <v>85</v>
      </c>
      <c r="D3" s="17" t="s">
        <v>86</v>
      </c>
      <c r="E3" s="18" t="n">
        <v>60000</v>
      </c>
      <c r="F3" s="19" t="n">
        <v>6</v>
      </c>
      <c r="G3" s="19" t="n">
        <v>10</v>
      </c>
      <c r="H3" s="19" t="n">
        <v>10</v>
      </c>
      <c r="I3" s="19" t="n">
        <v>8.5</v>
      </c>
      <c r="J3" s="20" t="n">
        <f aca="false">G3+H3-I3</f>
        <v>11.5</v>
      </c>
      <c r="K3" s="21" t="str">
        <f aca="false">IF(J3&lt;F3,"Perlu Belanja","Aman")</f>
        <v>Aman</v>
      </c>
      <c r="L3" s="20" t="n">
        <f aca="false">IF(K3="Perlu Belanja",F3*$P$2-J3,0)</f>
        <v>0</v>
      </c>
      <c r="M3" s="22" t="n">
        <f aca="false">ROUND(L3*E3,0)</f>
        <v>0</v>
      </c>
    </row>
    <row r="4" customFormat="false" ht="15" hidden="false" customHeight="false" outlineLevel="0" collapsed="false">
      <c r="A4" s="17" t="s">
        <v>91</v>
      </c>
      <c r="B4" s="17" t="s">
        <v>92</v>
      </c>
      <c r="C4" s="17" t="s">
        <v>85</v>
      </c>
      <c r="D4" s="17" t="s">
        <v>86</v>
      </c>
      <c r="E4" s="18" t="n">
        <v>14000</v>
      </c>
      <c r="F4" s="19" t="n">
        <v>6</v>
      </c>
      <c r="G4" s="19" t="n">
        <v>6.5</v>
      </c>
      <c r="H4" s="19" t="n">
        <v>0</v>
      </c>
      <c r="I4" s="19" t="n">
        <v>3.5</v>
      </c>
      <c r="J4" s="20" t="n">
        <f aca="false">G4+H4-I4</f>
        <v>3</v>
      </c>
      <c r="K4" s="21" t="str">
        <f aca="false">IF(J4&lt;F4,"Perlu Belanja","Aman")</f>
        <v>Perlu Belanja</v>
      </c>
      <c r="L4" s="20" t="n">
        <f aca="false">IF(K4="Perlu Belanja",F4*$P$2-J4,0)</f>
        <v>9</v>
      </c>
      <c r="M4" s="22" t="n">
        <f aca="false">ROUND(L4*E4,0)</f>
        <v>126000</v>
      </c>
    </row>
    <row r="5" customFormat="false" ht="15" hidden="false" customHeight="false" outlineLevel="0" collapsed="false">
      <c r="A5" s="17" t="s">
        <v>93</v>
      </c>
      <c r="B5" s="17" t="s">
        <v>94</v>
      </c>
      <c r="C5" s="17" t="s">
        <v>85</v>
      </c>
      <c r="D5" s="17" t="s">
        <v>86</v>
      </c>
      <c r="E5" s="18" t="n">
        <v>9000</v>
      </c>
      <c r="F5" s="19" t="n">
        <v>4</v>
      </c>
      <c r="G5" s="19" t="n">
        <v>4</v>
      </c>
      <c r="H5" s="19" t="n">
        <v>0</v>
      </c>
      <c r="I5" s="19" t="n">
        <v>2.5</v>
      </c>
      <c r="J5" s="20" t="n">
        <f aca="false">G5+H5-I5</f>
        <v>1.5</v>
      </c>
      <c r="K5" s="21" t="str">
        <f aca="false">IF(J5&lt;F5,"Perlu Belanja","Aman")</f>
        <v>Perlu Belanja</v>
      </c>
      <c r="L5" s="20" t="n">
        <f aca="false">IF(K5="Perlu Belanja",F5*$P$2-J5,0)</f>
        <v>6.5</v>
      </c>
      <c r="M5" s="22" t="n">
        <f aca="false">ROUND(L5*E5,0)</f>
        <v>58500</v>
      </c>
    </row>
    <row r="6" customFormat="false" ht="15" hidden="false" customHeight="false" outlineLevel="0" collapsed="false">
      <c r="A6" s="17" t="s">
        <v>95</v>
      </c>
      <c r="B6" s="17" t="s">
        <v>96</v>
      </c>
      <c r="C6" s="17" t="s">
        <v>85</v>
      </c>
      <c r="D6" s="17" t="s">
        <v>86</v>
      </c>
      <c r="E6" s="18" t="n">
        <v>12000</v>
      </c>
      <c r="F6" s="19" t="n">
        <v>10</v>
      </c>
      <c r="G6" s="19" t="n">
        <v>8.5</v>
      </c>
      <c r="H6" s="19" t="n">
        <v>15</v>
      </c>
      <c r="I6" s="19" t="n">
        <v>11.5</v>
      </c>
      <c r="J6" s="20" t="n">
        <f aca="false">G6+H6-I6</f>
        <v>12</v>
      </c>
      <c r="K6" s="21" t="str">
        <f aca="false">IF(J6&lt;F6,"Perlu Belanja","Aman")</f>
        <v>Aman</v>
      </c>
      <c r="L6" s="20" t="n">
        <f aca="false">IF(K6="Perlu Belanja",F6*$P$2-J6,0)</f>
        <v>0</v>
      </c>
      <c r="M6" s="22" t="n">
        <f aca="false">ROUND(L6*E6,0)</f>
        <v>0</v>
      </c>
    </row>
    <row r="7" customFormat="false" ht="15" hidden="false" customHeight="false" outlineLevel="0" collapsed="false">
      <c r="A7" s="17" t="s">
        <v>97</v>
      </c>
      <c r="B7" s="17" t="s">
        <v>98</v>
      </c>
      <c r="C7" s="17" t="s">
        <v>85</v>
      </c>
      <c r="D7" s="17" t="s">
        <v>86</v>
      </c>
      <c r="E7" s="18" t="n">
        <v>22000</v>
      </c>
      <c r="F7" s="19" t="n">
        <v>5</v>
      </c>
      <c r="G7" s="19" t="n">
        <v>6.5</v>
      </c>
      <c r="H7" s="19" t="n">
        <v>5</v>
      </c>
      <c r="I7" s="19" t="n">
        <v>10</v>
      </c>
      <c r="J7" s="20" t="n">
        <f aca="false">G7+H7-I7</f>
        <v>1.5</v>
      </c>
      <c r="K7" s="21" t="str">
        <f aca="false">IF(J7&lt;F7,"Perlu Belanja","Aman")</f>
        <v>Perlu Belanja</v>
      </c>
      <c r="L7" s="20" t="n">
        <f aca="false">IF(K7="Perlu Belanja",F7*$P$2-J7,0)</f>
        <v>8.5</v>
      </c>
      <c r="M7" s="22" t="n">
        <f aca="false">ROUND(L7*E7,0)</f>
        <v>187000</v>
      </c>
    </row>
    <row r="8" customFormat="false" ht="15" hidden="false" customHeight="false" outlineLevel="0" collapsed="false">
      <c r="A8" s="17" t="s">
        <v>99</v>
      </c>
      <c r="B8" s="17" t="s">
        <v>100</v>
      </c>
      <c r="C8" s="17" t="s">
        <v>85</v>
      </c>
      <c r="D8" s="17" t="s">
        <v>86</v>
      </c>
      <c r="E8" s="18" t="n">
        <v>16000</v>
      </c>
      <c r="F8" s="19" t="n">
        <v>4</v>
      </c>
      <c r="G8" s="19" t="n">
        <v>12</v>
      </c>
      <c r="H8" s="19" t="n">
        <v>0</v>
      </c>
      <c r="I8" s="19" t="n">
        <v>7</v>
      </c>
      <c r="J8" s="20" t="n">
        <f aca="false">G8+H8-I8</f>
        <v>5</v>
      </c>
      <c r="K8" s="21" t="str">
        <f aca="false">IF(J8&lt;F8,"Perlu Belanja","Aman")</f>
        <v>Aman</v>
      </c>
      <c r="L8" s="20" t="n">
        <f aca="false">IF(K8="Perlu Belanja",F8*$P$2-J8,0)</f>
        <v>0</v>
      </c>
      <c r="M8" s="22" t="n">
        <f aca="false">ROUND(L8*E8,0)</f>
        <v>0</v>
      </c>
    </row>
    <row r="9" customFormat="false" ht="15" hidden="false" customHeight="false" outlineLevel="0" collapsed="false">
      <c r="A9" s="17" t="s">
        <v>101</v>
      </c>
      <c r="B9" s="17" t="s">
        <v>102</v>
      </c>
      <c r="C9" s="17" t="s">
        <v>103</v>
      </c>
      <c r="D9" s="17" t="s">
        <v>86</v>
      </c>
      <c r="E9" s="18" t="n">
        <v>38000</v>
      </c>
      <c r="F9" s="19" t="n">
        <v>5</v>
      </c>
      <c r="G9" s="19" t="n">
        <v>25</v>
      </c>
      <c r="H9" s="19" t="n">
        <v>5</v>
      </c>
      <c r="I9" s="19" t="n">
        <v>13.5</v>
      </c>
      <c r="J9" s="20" t="n">
        <f aca="false">G9+H9-I9</f>
        <v>16.5</v>
      </c>
      <c r="K9" s="21" t="str">
        <f aca="false">IF(J9&lt;F9,"Perlu Belanja","Aman")</f>
        <v>Aman</v>
      </c>
      <c r="L9" s="20" t="n">
        <f aca="false">IF(K9="Perlu Belanja",F9*$P$2-J9,0)</f>
        <v>0</v>
      </c>
      <c r="M9" s="22" t="n">
        <f aca="false">ROUND(L9*E9,0)</f>
        <v>0</v>
      </c>
    </row>
    <row r="10" customFormat="false" ht="15" hidden="false" customHeight="false" outlineLevel="0" collapsed="false">
      <c r="A10" s="17" t="s">
        <v>104</v>
      </c>
      <c r="B10" s="17" t="s">
        <v>105</v>
      </c>
      <c r="C10" s="17" t="s">
        <v>103</v>
      </c>
      <c r="D10" s="17" t="s">
        <v>86</v>
      </c>
      <c r="E10" s="18" t="n">
        <v>130000</v>
      </c>
      <c r="F10" s="19" t="n">
        <v>10</v>
      </c>
      <c r="G10" s="19" t="n">
        <v>12.5</v>
      </c>
      <c r="H10" s="19" t="n">
        <v>15</v>
      </c>
      <c r="I10" s="19" t="n">
        <v>25.5</v>
      </c>
      <c r="J10" s="20" t="n">
        <f aca="false">G10+H10-I10</f>
        <v>2</v>
      </c>
      <c r="K10" s="21" t="str">
        <f aca="false">IF(J10&lt;F10,"Perlu Belanja","Aman")</f>
        <v>Perlu Belanja</v>
      </c>
      <c r="L10" s="20" t="n">
        <f aca="false">IF(K10="Perlu Belanja",F10*$P$2-J10,0)</f>
        <v>18</v>
      </c>
      <c r="M10" s="22" t="n">
        <f aca="false">ROUND(L10*E10,0)</f>
        <v>2340000</v>
      </c>
    </row>
    <row r="11" customFormat="false" ht="15" hidden="false" customHeight="false" outlineLevel="0" collapsed="false">
      <c r="A11" s="17" t="s">
        <v>106</v>
      </c>
      <c r="B11" s="17" t="s">
        <v>107</v>
      </c>
      <c r="C11" s="17" t="s">
        <v>103</v>
      </c>
      <c r="D11" s="17" t="s">
        <v>86</v>
      </c>
      <c r="E11" s="18" t="n">
        <v>32000</v>
      </c>
      <c r="F11" s="19" t="n">
        <v>3</v>
      </c>
      <c r="G11" s="19" t="n">
        <v>12</v>
      </c>
      <c r="H11" s="19" t="n">
        <v>15</v>
      </c>
      <c r="I11" s="19" t="n">
        <v>9</v>
      </c>
      <c r="J11" s="20" t="n">
        <f aca="false">G11+H11-I11</f>
        <v>18</v>
      </c>
      <c r="K11" s="21" t="str">
        <f aca="false">IF(J11&lt;F11,"Perlu Belanja","Aman")</f>
        <v>Aman</v>
      </c>
      <c r="L11" s="20" t="n">
        <f aca="false">IF(K11="Perlu Belanja",F11*$P$2-J11,0)</f>
        <v>0</v>
      </c>
      <c r="M11" s="22" t="n">
        <f aca="false">ROUND(L11*E11,0)</f>
        <v>0</v>
      </c>
    </row>
    <row r="12" customFormat="false" ht="15" hidden="false" customHeight="false" outlineLevel="0" collapsed="false">
      <c r="A12" s="17" t="s">
        <v>108</v>
      </c>
      <c r="B12" s="17" t="s">
        <v>109</v>
      </c>
      <c r="C12" s="17" t="s">
        <v>103</v>
      </c>
      <c r="D12" s="17" t="s">
        <v>86</v>
      </c>
      <c r="E12" s="18" t="n">
        <v>28000</v>
      </c>
      <c r="F12" s="19" t="n">
        <v>5</v>
      </c>
      <c r="G12" s="19" t="n">
        <v>15.5</v>
      </c>
      <c r="H12" s="19" t="n">
        <v>15</v>
      </c>
      <c r="I12" s="19" t="n">
        <v>22.5</v>
      </c>
      <c r="J12" s="20" t="n">
        <f aca="false">G12+H12-I12</f>
        <v>8</v>
      </c>
      <c r="K12" s="21" t="str">
        <f aca="false">IF(J12&lt;F12,"Perlu Belanja","Aman")</f>
        <v>Aman</v>
      </c>
      <c r="L12" s="20" t="n">
        <f aca="false">IF(K12="Perlu Belanja",F12*$P$2-J12,0)</f>
        <v>0</v>
      </c>
      <c r="M12" s="22" t="n">
        <f aca="false">ROUND(L12*E12,0)</f>
        <v>0</v>
      </c>
    </row>
    <row r="13" customFormat="false" ht="15" hidden="false" customHeight="false" outlineLevel="0" collapsed="false">
      <c r="A13" s="17" t="s">
        <v>110</v>
      </c>
      <c r="B13" s="17" t="s">
        <v>111</v>
      </c>
      <c r="C13" s="17" t="s">
        <v>103</v>
      </c>
      <c r="D13" s="17" t="s">
        <v>86</v>
      </c>
      <c r="E13" s="18" t="n">
        <v>70000</v>
      </c>
      <c r="F13" s="19" t="n">
        <v>8</v>
      </c>
      <c r="G13" s="19" t="n">
        <v>4</v>
      </c>
      <c r="H13" s="19" t="n">
        <v>15</v>
      </c>
      <c r="I13" s="19" t="n">
        <v>9</v>
      </c>
      <c r="J13" s="20" t="n">
        <f aca="false">G13+H13-I13</f>
        <v>10</v>
      </c>
      <c r="K13" s="21" t="str">
        <f aca="false">IF(J13&lt;F13,"Perlu Belanja","Aman")</f>
        <v>Aman</v>
      </c>
      <c r="L13" s="20" t="n">
        <f aca="false">IF(K13="Perlu Belanja",F13*$P$2-J13,0)</f>
        <v>0</v>
      </c>
      <c r="M13" s="22" t="n">
        <f aca="false">ROUND(L13*E13,0)</f>
        <v>0</v>
      </c>
    </row>
    <row r="14" customFormat="false" ht="15" hidden="false" customHeight="false" outlineLevel="0" collapsed="false">
      <c r="A14" s="17" t="s">
        <v>112</v>
      </c>
      <c r="B14" s="17" t="s">
        <v>113</v>
      </c>
      <c r="C14" s="17" t="s">
        <v>103</v>
      </c>
      <c r="D14" s="17" t="s">
        <v>86</v>
      </c>
      <c r="E14" s="18" t="n">
        <v>15000</v>
      </c>
      <c r="F14" s="19" t="n">
        <v>10</v>
      </c>
      <c r="G14" s="19" t="n">
        <v>15</v>
      </c>
      <c r="H14" s="19" t="n">
        <v>5</v>
      </c>
      <c r="I14" s="19" t="n">
        <v>8</v>
      </c>
      <c r="J14" s="20" t="n">
        <f aca="false">G14+H14-I14</f>
        <v>12</v>
      </c>
      <c r="K14" s="21" t="str">
        <f aca="false">IF(J14&lt;F14,"Perlu Belanja","Aman")</f>
        <v>Aman</v>
      </c>
      <c r="L14" s="20" t="n">
        <f aca="false">IF(K14="Perlu Belanja",F14*$P$2-J14,0)</f>
        <v>0</v>
      </c>
      <c r="M14" s="22" t="n">
        <f aca="false">ROUND(L14*E14,0)</f>
        <v>0</v>
      </c>
    </row>
    <row r="15" customFormat="false" ht="15" hidden="false" customHeight="false" outlineLevel="0" collapsed="false">
      <c r="A15" s="17" t="s">
        <v>114</v>
      </c>
      <c r="B15" s="17" t="s">
        <v>115</v>
      </c>
      <c r="C15" s="17" t="s">
        <v>116</v>
      </c>
      <c r="D15" s="17" t="s">
        <v>86</v>
      </c>
      <c r="E15" s="18" t="n">
        <v>8000</v>
      </c>
      <c r="F15" s="19" t="n">
        <v>8</v>
      </c>
      <c r="G15" s="19" t="n">
        <v>12.5</v>
      </c>
      <c r="H15" s="19" t="n">
        <v>10</v>
      </c>
      <c r="I15" s="19" t="n">
        <v>22.5</v>
      </c>
      <c r="J15" s="20" t="n">
        <f aca="false">G15+H15-I15</f>
        <v>0</v>
      </c>
      <c r="K15" s="21" t="str">
        <f aca="false">IF(J15&lt;F15,"Perlu Belanja","Aman")</f>
        <v>Perlu Belanja</v>
      </c>
      <c r="L15" s="20" t="n">
        <f aca="false">IF(K15="Perlu Belanja",F15*$P$2-J15,0)</f>
        <v>16</v>
      </c>
      <c r="M15" s="22" t="n">
        <f aca="false">ROUND(L15*E15,0)</f>
        <v>128000</v>
      </c>
    </row>
    <row r="16" customFormat="false" ht="15" hidden="false" customHeight="false" outlineLevel="0" collapsed="false">
      <c r="A16" s="17" t="s">
        <v>117</v>
      </c>
      <c r="B16" s="17" t="s">
        <v>118</v>
      </c>
      <c r="C16" s="17" t="s">
        <v>116</v>
      </c>
      <c r="D16" s="17" t="s">
        <v>119</v>
      </c>
      <c r="E16" s="18" t="n">
        <v>24000</v>
      </c>
      <c r="F16" s="19" t="n">
        <v>8</v>
      </c>
      <c r="G16" s="19" t="n">
        <v>6</v>
      </c>
      <c r="H16" s="19" t="n">
        <v>10</v>
      </c>
      <c r="I16" s="19" t="n">
        <v>12.5</v>
      </c>
      <c r="J16" s="20" t="n">
        <f aca="false">G16+H16-I16</f>
        <v>3.5</v>
      </c>
      <c r="K16" s="21" t="str">
        <f aca="false">IF(J16&lt;F16,"Perlu Belanja","Aman")</f>
        <v>Perlu Belanja</v>
      </c>
      <c r="L16" s="20" t="n">
        <f aca="false">IF(K16="Perlu Belanja",F16*$P$2-J16,0)</f>
        <v>12.5</v>
      </c>
      <c r="M16" s="22" t="n">
        <f aca="false">ROUND(L16*E16,0)</f>
        <v>300000</v>
      </c>
    </row>
    <row r="17" customFormat="false" ht="15" hidden="false" customHeight="false" outlineLevel="0" collapsed="false">
      <c r="A17" s="17" t="s">
        <v>120</v>
      </c>
      <c r="B17" s="17" t="s">
        <v>121</v>
      </c>
      <c r="C17" s="17" t="s">
        <v>116</v>
      </c>
      <c r="D17" s="17" t="s">
        <v>119</v>
      </c>
      <c r="E17" s="18" t="n">
        <v>20000</v>
      </c>
      <c r="F17" s="19" t="n">
        <v>8</v>
      </c>
      <c r="G17" s="19" t="n">
        <v>4</v>
      </c>
      <c r="H17" s="19" t="n">
        <v>15</v>
      </c>
      <c r="I17" s="19" t="n">
        <v>16.5</v>
      </c>
      <c r="J17" s="20" t="n">
        <f aca="false">G17+H17-I17</f>
        <v>2.5</v>
      </c>
      <c r="K17" s="21" t="str">
        <f aca="false">IF(J17&lt;F17,"Perlu Belanja","Aman")</f>
        <v>Perlu Belanja</v>
      </c>
      <c r="L17" s="20" t="n">
        <f aca="false">IF(K17="Perlu Belanja",F17*$P$2-J17,0)</f>
        <v>13.5</v>
      </c>
      <c r="M17" s="22" t="n">
        <f aca="false">ROUND(L17*E17,0)</f>
        <v>270000</v>
      </c>
    </row>
    <row r="18" customFormat="false" ht="15" hidden="false" customHeight="false" outlineLevel="0" collapsed="false">
      <c r="A18" s="17" t="s">
        <v>122</v>
      </c>
      <c r="B18" s="17" t="s">
        <v>123</v>
      </c>
      <c r="C18" s="17" t="s">
        <v>116</v>
      </c>
      <c r="D18" s="17" t="s">
        <v>86</v>
      </c>
      <c r="E18" s="18" t="n">
        <v>18000</v>
      </c>
      <c r="F18" s="19" t="n">
        <v>3</v>
      </c>
      <c r="G18" s="19" t="n">
        <v>12.5</v>
      </c>
      <c r="H18" s="19" t="n">
        <v>10</v>
      </c>
      <c r="I18" s="19" t="n">
        <v>9.5</v>
      </c>
      <c r="J18" s="20" t="n">
        <f aca="false">G18+H18-I18</f>
        <v>13</v>
      </c>
      <c r="K18" s="21" t="str">
        <f aca="false">IF(J18&lt;F18,"Perlu Belanja","Aman")</f>
        <v>Aman</v>
      </c>
      <c r="L18" s="20" t="n">
        <f aca="false">IF(K18="Perlu Belanja",F18*$P$2-J18,0)</f>
        <v>0</v>
      </c>
      <c r="M18" s="22" t="n">
        <f aca="false">ROUND(L18*E18,0)</f>
        <v>0</v>
      </c>
    </row>
    <row r="19" customFormat="false" ht="15" hidden="false" customHeight="false" outlineLevel="0" collapsed="false">
      <c r="A19" s="17" t="s">
        <v>124</v>
      </c>
      <c r="B19" s="17" t="s">
        <v>125</v>
      </c>
      <c r="C19" s="17" t="s">
        <v>116</v>
      </c>
      <c r="D19" s="17" t="s">
        <v>86</v>
      </c>
      <c r="E19" s="18" t="n">
        <v>24000</v>
      </c>
      <c r="F19" s="19" t="n">
        <v>5</v>
      </c>
      <c r="G19" s="19" t="n">
        <v>8</v>
      </c>
      <c r="H19" s="19" t="n">
        <v>15</v>
      </c>
      <c r="I19" s="19" t="n">
        <v>12</v>
      </c>
      <c r="J19" s="20" t="n">
        <f aca="false">G19+H19-I19</f>
        <v>11</v>
      </c>
      <c r="K19" s="21" t="str">
        <f aca="false">IF(J19&lt;F19,"Perlu Belanja","Aman")</f>
        <v>Aman</v>
      </c>
      <c r="L19" s="20" t="n">
        <f aca="false">IF(K19="Perlu Belanja",F19*$P$2-J19,0)</f>
        <v>0</v>
      </c>
      <c r="M19" s="22" t="n">
        <f aca="false">ROUND(L19*E19,0)</f>
        <v>0</v>
      </c>
    </row>
    <row r="20" customFormat="false" ht="15" hidden="false" customHeight="false" outlineLevel="0" collapsed="false">
      <c r="A20" s="17" t="s">
        <v>126</v>
      </c>
      <c r="B20" s="17" t="s">
        <v>127</v>
      </c>
      <c r="C20" s="17" t="s">
        <v>116</v>
      </c>
      <c r="D20" s="17" t="s">
        <v>86</v>
      </c>
      <c r="E20" s="18" t="n">
        <v>90000</v>
      </c>
      <c r="F20" s="19" t="n">
        <v>4</v>
      </c>
      <c r="G20" s="19" t="n">
        <v>10.5</v>
      </c>
      <c r="H20" s="19" t="n">
        <v>0</v>
      </c>
      <c r="I20" s="19" t="n">
        <v>10</v>
      </c>
      <c r="J20" s="20" t="n">
        <f aca="false">G20+H20-I20</f>
        <v>0.5</v>
      </c>
      <c r="K20" s="21" t="str">
        <f aca="false">IF(J20&lt;F20,"Perlu Belanja","Aman")</f>
        <v>Perlu Belanja</v>
      </c>
      <c r="L20" s="20" t="n">
        <f aca="false">IF(K20="Perlu Belanja",F20*$P$2-J20,0)</f>
        <v>7.5</v>
      </c>
      <c r="M20" s="22" t="n">
        <f aca="false">ROUND(L20*E20,0)</f>
        <v>675000</v>
      </c>
    </row>
    <row r="21" customFormat="false" ht="15" hidden="false" customHeight="false" outlineLevel="0" collapsed="false">
      <c r="A21" s="17" t="s">
        <v>128</v>
      </c>
      <c r="B21" s="17" t="s">
        <v>129</v>
      </c>
      <c r="C21" s="17" t="s">
        <v>116</v>
      </c>
      <c r="D21" s="17" t="s">
        <v>119</v>
      </c>
      <c r="E21" s="18" t="n">
        <v>26000</v>
      </c>
      <c r="F21" s="19" t="n">
        <v>5</v>
      </c>
      <c r="G21" s="19" t="n">
        <v>15</v>
      </c>
      <c r="H21" s="19" t="n">
        <v>0</v>
      </c>
      <c r="I21" s="19" t="n">
        <v>10</v>
      </c>
      <c r="J21" s="20" t="n">
        <f aca="false">G21+H21-I21</f>
        <v>5</v>
      </c>
      <c r="K21" s="21" t="str">
        <f aca="false">IF(J21&lt;F21,"Perlu Belanja","Aman")</f>
        <v>Aman</v>
      </c>
      <c r="L21" s="20" t="n">
        <f aca="false">IF(K21="Perlu Belanja",F21*$P$2-J21,0)</f>
        <v>0</v>
      </c>
      <c r="M21" s="22" t="n">
        <f aca="false">ROUND(L21*E21,0)</f>
        <v>0</v>
      </c>
    </row>
    <row r="22" customFormat="false" ht="15" hidden="false" customHeight="false" outlineLevel="0" collapsed="false">
      <c r="A22" s="17" t="s">
        <v>130</v>
      </c>
      <c r="B22" s="17" t="s">
        <v>131</v>
      </c>
      <c r="C22" s="17" t="s">
        <v>132</v>
      </c>
      <c r="D22" s="17" t="s">
        <v>86</v>
      </c>
      <c r="E22" s="18" t="n">
        <v>14000</v>
      </c>
      <c r="F22" s="19" t="n">
        <v>5</v>
      </c>
      <c r="G22" s="19" t="n">
        <v>20.5</v>
      </c>
      <c r="H22" s="19" t="n">
        <v>5</v>
      </c>
      <c r="I22" s="19" t="n">
        <v>12</v>
      </c>
      <c r="J22" s="20" t="n">
        <f aca="false">G22+H22-I22</f>
        <v>13.5</v>
      </c>
      <c r="K22" s="21" t="str">
        <f aca="false">IF(J22&lt;F22,"Perlu Belanja","Aman")</f>
        <v>Aman</v>
      </c>
      <c r="L22" s="20" t="n">
        <f aca="false">IF(K22="Perlu Belanja",F22*$P$2-J22,0)</f>
        <v>0</v>
      </c>
      <c r="M22" s="22" t="n">
        <f aca="false">ROUND(L22*E22,0)</f>
        <v>0</v>
      </c>
    </row>
    <row r="23" customFormat="false" ht="15" hidden="false" customHeight="false" outlineLevel="0" collapsed="false">
      <c r="A23" s="17" t="s">
        <v>133</v>
      </c>
      <c r="B23" s="17" t="s">
        <v>134</v>
      </c>
      <c r="C23" s="17" t="s">
        <v>132</v>
      </c>
      <c r="D23" s="17" t="s">
        <v>119</v>
      </c>
      <c r="E23" s="18" t="n">
        <v>18000</v>
      </c>
      <c r="F23" s="19" t="n">
        <v>2</v>
      </c>
      <c r="G23" s="19" t="n">
        <v>8.5</v>
      </c>
      <c r="H23" s="19" t="n">
        <v>0</v>
      </c>
      <c r="I23" s="19" t="n">
        <v>5.5</v>
      </c>
      <c r="J23" s="20" t="n">
        <f aca="false">G23+H23-I23</f>
        <v>3</v>
      </c>
      <c r="K23" s="21" t="str">
        <f aca="false">IF(J23&lt;F23,"Perlu Belanja","Aman")</f>
        <v>Aman</v>
      </c>
      <c r="L23" s="20" t="n">
        <f aca="false">IF(K23="Perlu Belanja",F23*$P$2-J23,0)</f>
        <v>0</v>
      </c>
      <c r="M23" s="22" t="n">
        <f aca="false">ROUND(L23*E23,0)</f>
        <v>0</v>
      </c>
    </row>
    <row r="24" customFormat="false" ht="15" hidden="false" customHeight="false" outlineLevel="0" collapsed="false">
      <c r="A24" s="17" t="s">
        <v>135</v>
      </c>
      <c r="B24" s="17" t="s">
        <v>136</v>
      </c>
      <c r="C24" s="17" t="s">
        <v>132</v>
      </c>
      <c r="D24" s="17" t="s">
        <v>86</v>
      </c>
      <c r="E24" s="18" t="n">
        <v>17000</v>
      </c>
      <c r="F24" s="19" t="n">
        <v>4</v>
      </c>
      <c r="G24" s="19" t="n">
        <v>25</v>
      </c>
      <c r="H24" s="19" t="n">
        <v>10</v>
      </c>
      <c r="I24" s="19" t="n">
        <v>20</v>
      </c>
      <c r="J24" s="20" t="n">
        <f aca="false">G24+H24-I24</f>
        <v>15</v>
      </c>
      <c r="K24" s="21" t="str">
        <f aca="false">IF(J24&lt;F24,"Perlu Belanja","Aman")</f>
        <v>Aman</v>
      </c>
      <c r="L24" s="20" t="n">
        <f aca="false">IF(K24="Perlu Belanja",F24*$P$2-J24,0)</f>
        <v>0</v>
      </c>
      <c r="M24" s="22" t="n">
        <f aca="false">ROUND(L24*E24,0)</f>
        <v>0</v>
      </c>
    </row>
    <row r="25" customFormat="false" ht="15" hidden="false" customHeight="false" outlineLevel="0" collapsed="false">
      <c r="A25" s="17" t="s">
        <v>137</v>
      </c>
      <c r="B25" s="17" t="s">
        <v>138</v>
      </c>
      <c r="C25" s="17" t="s">
        <v>132</v>
      </c>
      <c r="D25" s="17" t="s">
        <v>86</v>
      </c>
      <c r="E25" s="18" t="n">
        <v>12000</v>
      </c>
      <c r="F25" s="19" t="n">
        <v>8</v>
      </c>
      <c r="G25" s="19" t="n">
        <v>20.5</v>
      </c>
      <c r="H25" s="19" t="n">
        <v>0</v>
      </c>
      <c r="I25" s="19" t="n">
        <v>15.5</v>
      </c>
      <c r="J25" s="20" t="n">
        <f aca="false">G25+H25-I25</f>
        <v>5</v>
      </c>
      <c r="K25" s="21" t="str">
        <f aca="false">IF(J25&lt;F25,"Perlu Belanja","Aman")</f>
        <v>Perlu Belanja</v>
      </c>
      <c r="L25" s="20" t="n">
        <f aca="false">IF(K25="Perlu Belanja",F25*$P$2-J25,0)</f>
        <v>11</v>
      </c>
      <c r="M25" s="22" t="n">
        <f aca="false">ROUND(L25*E25,0)</f>
        <v>132000</v>
      </c>
    </row>
    <row r="26" customFormat="false" ht="15" hidden="false" customHeight="false" outlineLevel="0" collapsed="false">
      <c r="A26" s="17" t="s">
        <v>139</v>
      </c>
      <c r="B26" s="17" t="s">
        <v>140</v>
      </c>
      <c r="C26" s="17" t="s">
        <v>132</v>
      </c>
      <c r="D26" s="17" t="s">
        <v>86</v>
      </c>
      <c r="E26" s="18" t="n">
        <v>20000</v>
      </c>
      <c r="F26" s="19" t="n">
        <v>10</v>
      </c>
      <c r="G26" s="19" t="n">
        <v>12.5</v>
      </c>
      <c r="H26" s="19" t="n">
        <v>15</v>
      </c>
      <c r="I26" s="19" t="n">
        <v>12</v>
      </c>
      <c r="J26" s="20" t="n">
        <f aca="false">G26+H26-I26</f>
        <v>15.5</v>
      </c>
      <c r="K26" s="21" t="str">
        <f aca="false">IF(J26&lt;F26,"Perlu Belanja","Aman")</f>
        <v>Aman</v>
      </c>
      <c r="L26" s="20" t="n">
        <f aca="false">IF(K26="Perlu Belanja",F26*$P$2-J26,0)</f>
        <v>0</v>
      </c>
      <c r="M26" s="22" t="n">
        <f aca="false">ROUND(L26*E26,0)</f>
        <v>0</v>
      </c>
    </row>
    <row r="27" customFormat="false" ht="15" hidden="false" customHeight="false" outlineLevel="0" collapsed="false">
      <c r="A27" s="17" t="s">
        <v>141</v>
      </c>
      <c r="B27" s="17" t="s">
        <v>142</v>
      </c>
      <c r="C27" s="17" t="s">
        <v>132</v>
      </c>
      <c r="D27" s="17" t="s">
        <v>86</v>
      </c>
      <c r="E27" s="18" t="n">
        <v>85000</v>
      </c>
      <c r="F27" s="19" t="n">
        <v>5</v>
      </c>
      <c r="G27" s="19" t="n">
        <v>8</v>
      </c>
      <c r="H27" s="19" t="n">
        <v>10</v>
      </c>
      <c r="I27" s="19" t="n">
        <v>7.5</v>
      </c>
      <c r="J27" s="20" t="n">
        <f aca="false">G27+H27-I27</f>
        <v>10.5</v>
      </c>
      <c r="K27" s="21" t="str">
        <f aca="false">IF(J27&lt;F27,"Perlu Belanja","Aman")</f>
        <v>Aman</v>
      </c>
      <c r="L27" s="20" t="n">
        <f aca="false">IF(K27="Perlu Belanja",F27*$P$2-J27,0)</f>
        <v>0</v>
      </c>
      <c r="M27" s="22" t="n">
        <f aca="false">ROUND(L27*E27,0)</f>
        <v>0</v>
      </c>
    </row>
    <row r="28" customFormat="false" ht="15" hidden="false" customHeight="false" outlineLevel="0" collapsed="false">
      <c r="A28" s="17" t="s">
        <v>143</v>
      </c>
      <c r="B28" s="17" t="s">
        <v>144</v>
      </c>
      <c r="C28" s="17" t="s">
        <v>132</v>
      </c>
      <c r="D28" s="17" t="s">
        <v>86</v>
      </c>
      <c r="E28" s="18" t="n">
        <v>60000</v>
      </c>
      <c r="F28" s="19" t="n">
        <v>3</v>
      </c>
      <c r="G28" s="19" t="n">
        <v>12</v>
      </c>
      <c r="H28" s="19" t="n">
        <v>10</v>
      </c>
      <c r="I28" s="19" t="n">
        <v>7.5</v>
      </c>
      <c r="J28" s="20" t="n">
        <f aca="false">G28+H28-I28</f>
        <v>14.5</v>
      </c>
      <c r="K28" s="21" t="str">
        <f aca="false">IF(J28&lt;F28,"Perlu Belanja","Aman")</f>
        <v>Aman</v>
      </c>
      <c r="L28" s="20" t="n">
        <f aca="false">IF(K28="Perlu Belanja",F28*$P$2-J28,0)</f>
        <v>0</v>
      </c>
      <c r="M28" s="22" t="n">
        <f aca="false">ROUND(L28*E28,0)</f>
        <v>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3"/>
    <col collapsed="false" customWidth="true" hidden="false" outlineLevel="0" max="4" min="3" style="0" width="18"/>
  </cols>
  <sheetData>
    <row r="1" customFormat="false" ht="33.75" hidden="false" customHeight="true" outlineLevel="0" collapsed="false">
      <c r="A1" s="11" t="s">
        <v>69</v>
      </c>
      <c r="B1" s="15" t="s">
        <v>145</v>
      </c>
      <c r="C1" s="15" t="s">
        <v>146</v>
      </c>
      <c r="D1" s="15" t="s">
        <v>147</v>
      </c>
    </row>
    <row r="2" customFormat="false" ht="15" hidden="false" customHeight="false" outlineLevel="0" collapsed="false">
      <c r="A2" s="17" t="s">
        <v>85</v>
      </c>
      <c r="B2" s="25" t="n">
        <f aca="false">COUNTIF(Data!$C$2:$C$28,A2)</f>
        <v>7</v>
      </c>
      <c r="C2" s="25" t="n">
        <f aca="false">COUNTIFS(Data!$C$2:$C$28,A2,Data!$K$2:$K$28,"Perlu Belanja")</f>
        <v>3</v>
      </c>
      <c r="D2" s="22" t="n">
        <f aca="false">SUMIF(Data!$C$2:$C$28,A2,Data!$M$2:$M$28)</f>
        <v>371500</v>
      </c>
    </row>
    <row r="3" customFormat="false" ht="15" hidden="false" customHeight="false" outlineLevel="0" collapsed="false">
      <c r="A3" s="17" t="s">
        <v>103</v>
      </c>
      <c r="B3" s="25" t="n">
        <f aca="false">COUNTIF(Data!$C$2:$C$28,A3)</f>
        <v>6</v>
      </c>
      <c r="C3" s="25" t="n">
        <f aca="false">COUNTIFS(Data!$C$2:$C$28,A3,Data!$K$2:$K$28,"Perlu Belanja")</f>
        <v>1</v>
      </c>
      <c r="D3" s="22" t="n">
        <f aca="false">SUMIF(Data!$C$2:$C$28,A3,Data!$M$2:$M$28)</f>
        <v>2340000</v>
      </c>
    </row>
    <row r="4" customFormat="false" ht="15" hidden="false" customHeight="false" outlineLevel="0" collapsed="false">
      <c r="A4" s="17" t="s">
        <v>116</v>
      </c>
      <c r="B4" s="25" t="n">
        <f aca="false">COUNTIF(Data!$C$2:$C$28,A4)</f>
        <v>7</v>
      </c>
      <c r="C4" s="25" t="n">
        <f aca="false">COUNTIFS(Data!$C$2:$C$28,A4,Data!$K$2:$K$28,"Perlu Belanja")</f>
        <v>4</v>
      </c>
      <c r="D4" s="22" t="n">
        <f aca="false">SUMIF(Data!$C$2:$C$28,A4,Data!$M$2:$M$28)</f>
        <v>1373000</v>
      </c>
    </row>
    <row r="5" customFormat="false" ht="15" hidden="false" customHeight="false" outlineLevel="0" collapsed="false">
      <c r="A5" s="17" t="s">
        <v>132</v>
      </c>
      <c r="B5" s="25" t="n">
        <f aca="false">COUNTIF(Data!$C$2:$C$28,A5)</f>
        <v>7</v>
      </c>
      <c r="C5" s="25" t="n">
        <f aca="false">COUNTIFS(Data!$C$2:$C$28,A5,Data!$K$2:$K$28,"Perlu Belanja")</f>
        <v>1</v>
      </c>
      <c r="D5" s="22" t="n">
        <f aca="false">SUMIF(Data!$C$2:$C$28,A5,Data!$M$2:$M$28)</f>
        <v>132000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6" t="s">
        <v>148</v>
      </c>
      <c r="B1" s="26"/>
      <c r="C1" s="26"/>
      <c r="D1" s="26"/>
    </row>
    <row r="2" customFormat="false" ht="15" hidden="false" customHeight="false" outlineLevel="0" collapsed="false">
      <c r="A2" s="27" t="s">
        <v>149</v>
      </c>
      <c r="B2" s="27"/>
      <c r="C2" s="27"/>
      <c r="D2" s="27"/>
    </row>
    <row r="3" customFormat="false" ht="15" hidden="false" customHeight="false" outlineLevel="0" collapsed="false">
      <c r="A3" s="11" t="s">
        <v>19</v>
      </c>
      <c r="B3" s="11" t="s">
        <v>150</v>
      </c>
      <c r="C3" s="11" t="s">
        <v>151</v>
      </c>
      <c r="D3" s="11" t="s">
        <v>152</v>
      </c>
    </row>
    <row r="4" customFormat="false" ht="15" hidden="false" customHeight="false" outlineLevel="0" collapsed="false">
      <c r="A4" s="28" t="s">
        <v>153</v>
      </c>
      <c r="B4" s="29" t="s">
        <v>146</v>
      </c>
      <c r="C4" s="25" t="n">
        <f aca="false">COUNTIF(Data!$K$2:$K$28,"Perlu Belanja")</f>
        <v>9</v>
      </c>
      <c r="D4" s="30" t="s">
        <v>154</v>
      </c>
    </row>
    <row r="5" customFormat="false" ht="15" hidden="false" customHeight="false" outlineLevel="0" collapsed="false">
      <c r="A5" s="28" t="s">
        <v>155</v>
      </c>
      <c r="B5" s="29" t="s">
        <v>156</v>
      </c>
      <c r="C5" s="25" t="n">
        <f aca="false">COUNTIF(Data!$K$2:$K$28,"Aman")</f>
        <v>18</v>
      </c>
      <c r="D5" s="30" t="s">
        <v>157</v>
      </c>
    </row>
    <row r="6" customFormat="false" ht="15" hidden="false" customHeight="false" outlineLevel="0" collapsed="false">
      <c r="A6" s="28" t="s">
        <v>158</v>
      </c>
      <c r="B6" s="29" t="s">
        <v>159</v>
      </c>
      <c r="C6" s="22" t="n">
        <f aca="false">SUM(Data!$M$2:$M$28)</f>
        <v>4216500</v>
      </c>
      <c r="D6" s="30" t="s">
        <v>160</v>
      </c>
    </row>
    <row r="7" customFormat="false" ht="15" hidden="false" customHeight="false" outlineLevel="0" collapsed="false">
      <c r="A7" s="28" t="s">
        <v>161</v>
      </c>
      <c r="B7" s="29" t="s">
        <v>162</v>
      </c>
      <c r="C7" s="22" t="n">
        <f aca="false">AVERAGEIF(Data!$K$2:$K$28,"Perlu Belanja",Data!$M$2:$M$28)</f>
        <v>468500</v>
      </c>
      <c r="D7" s="30" t="s">
        <v>163</v>
      </c>
    </row>
    <row r="8" customFormat="false" ht="15" hidden="false" customHeight="false" outlineLevel="0" collapsed="false">
      <c r="A8" s="28" t="s">
        <v>164</v>
      </c>
      <c r="B8" s="29" t="s">
        <v>165</v>
      </c>
      <c r="C8" s="21" t="str">
        <f aca="false">INDEX(Data!$B$2:$B$28,MATCH(MAX(Data!$M$2:$M$28),Data!$M$2:$M$28,0))</f>
        <v>Daging Sapi</v>
      </c>
      <c r="D8" s="30" t="s">
        <v>166</v>
      </c>
    </row>
    <row r="9" customFormat="false" ht="15" hidden="false" customHeight="false" outlineLevel="0" collapsed="false">
      <c r="A9" s="28" t="s">
        <v>167</v>
      </c>
      <c r="B9" s="29" t="s">
        <v>168</v>
      </c>
      <c r="C9" s="21" t="str">
        <f aca="false">INDEX(Data!$B$2:$B$28,MATCH(MAX(Data!$J$2:$J$28),Data!$J$2:$J$28,0))</f>
        <v>Ikan Nila</v>
      </c>
      <c r="D9" s="30" t="s">
        <v>166</v>
      </c>
    </row>
    <row r="10" customFormat="false" ht="15" hidden="false" customHeight="false" outlineLevel="0" collapsed="false">
      <c r="A10" s="28" t="s">
        <v>169</v>
      </c>
      <c r="B10" s="29" t="s">
        <v>170</v>
      </c>
      <c r="C10" s="21" t="str">
        <f aca="false">INDEX(Acuan!$A$2:$A$5,MATCH(MAX(Acuan!$C$2:$C$5),Acuan!$C$2:$C$5,0))</f>
        <v>Bumbu</v>
      </c>
      <c r="D10" s="30" t="s">
        <v>171</v>
      </c>
    </row>
    <row r="11" customFormat="false" ht="15" hidden="false" customHeight="false" outlineLevel="0" collapsed="false">
      <c r="A11" s="28" t="s">
        <v>172</v>
      </c>
      <c r="B11" s="29" t="s">
        <v>173</v>
      </c>
      <c r="C11" s="21" t="str">
        <f aca="false">INDEX(Acuan!$A$2:$A$5,MATCH(MAX(Acuan!$D$2:$D$5),Acuan!$D$2:$D$5,0))</f>
        <v>Daging dan Ikan</v>
      </c>
      <c r="D11" s="30" t="s">
        <v>171</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2026-10-15T23:39:11Z</dcterms:created>
  <dc:creator>PushExcel</dc:creator>
  <dc:description/>
  <dc:language>en-US</dc:language>
  <cp:lastModifiedBy/>
  <dcterms:modified xsi:type="dcterms:W3CDTF">2026-10-15T23:39:11Z</dcterms:modified>
  <cp:revision>0</cp:revision>
  <dc:subject/>
  <dc:title>Persediaan Bahan Dapur dan Daftar Belanja - Kunci</dc:title>
</cp:coreProperties>
</file>

<file path=docProps/custom.xml><?xml version="1.0" encoding="utf-8"?>
<Properties xmlns="http://schemas.openxmlformats.org/officeDocument/2006/custom-properties" xmlns:vt="http://schemas.openxmlformats.org/officeDocument/2006/docPropsVTypes"/>
</file>