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<sst xmlns="http://schemas.openxmlformats.org/spreadsheetml/2006/main" count="185" uniqueCount="152">
  <si>
    <t xml:space="preserve">Kunci Jawaban: Tabungan Siswa: Setoran, Penarikan, dan Saldo</t>
  </si>
  <si>
    <t xml:space="preserve">Latihan 61 dari 40  |  Tingkat: Pemula  |  Perkiraan waktu: 35 menit  |  pushexcel.github.io/Pushexcel</t>
  </si>
  <si>
    <t xml:space="preserve">Skenario</t>
  </si>
  <si>
    <t xml:space="preserve">Kamu pengurus koperasi sekolah SMP Harapan Bangsa yang mengelola tabungan 30 siswa kelas 7A, 7B, dan 7C. Tiap siswa punya saldo awal bulan Oktober 2026, setoran empat minggu, dan total penarikan sepanjang bulan. Saldo akhir adalah saldo awal ditambah total setoran dikurangi penarikan. Kategori saldo: Tinggi bila saldo akhir sama dengan atau lebih dari Rp 300.000, Sedang bila sama dengan atau lebih dari Rp 150.000, selain itu Rendah. Koperasi memberi bunga 0,5 persen dari saldo akhir. Angka tetap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</si>
  <si>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</si>
  <si>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</si>
  <si>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</si>
  <si>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</si>
  <si>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</si>
  <si>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</si>
  <si>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</si>
  <si>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</si>
  <si>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</si>
  <si>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</si>
  <si>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</si>
  <si>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</si>
  <si>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</si>
  <si>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</si>
  <si>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</si>
  <si>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</si>
  <si>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</si>
  <si>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</si>
  <si>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</si>
  <si>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</si>
  <si>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setoran empat minggu tiap siswa.</t>
  </si>
  <si>
    <t xml:space="preserve">Sheet Data, kolom J (Total Setoran), baris 2 sampai 31</t>
  </si>
  <si>
    <t xml:space="preserve">=SUM(E2:H2)</t>
  </si>
  <si>
    <t xml:space="preserve">2</t>
  </si>
  <si>
    <t xml:space="preserve">Hitung berapa minggu siswa menabung, yaitu minggu yang setorannya lebih dari 0.</t>
  </si>
  <si>
    <t xml:space="preserve">Sheet Data, kolom K (Minggu Menabung), baris 2 sampai 31</t>
  </si>
  <si>
    <t xml:space="preserve">=COUNTIF(E2:H2;"&gt;0")</t>
  </si>
  <si>
    <t xml:space="preserve">3</t>
  </si>
  <si>
    <t xml:space="preserve">Hitung saldo akhir: saldo awal ditambah total setoran, dikurangi penarikan.</t>
  </si>
  <si>
    <t xml:space="preserve">Sheet Data, kolom L (Saldo Akhir), baris 2 sampai 31</t>
  </si>
  <si>
    <t xml:space="preserve">=D2+J2-I2</t>
  </si>
  <si>
    <t xml:space="preserve">4</t>
  </si>
  <si>
    <t xml:space="preserve">Beri kategori: Tinggi bila saldo akhir sama dengan atau lebih dari batas Tinggi, Sedang bila sama dengan atau lebih dari batas Sedang, selain itu Rendah.</t>
  </si>
  <si>
    <t xml:space="preserve">Sheet Data, kolom M (Kategori Saldo), baris 2 sampai 31</t>
  </si>
  <si>
    <t xml:space="preserve">=IF(L2&gt;=$Q$2;"Tinggi";IF(L2&gt;=$Q$3;"Sedang";"Rendah"))</t>
  </si>
  <si>
    <t xml:space="preserve">5</t>
  </si>
  <si>
    <t xml:space="preserve">Hitung bunga tabungan: saldo akhir dikali persen bunga, dibulatkan ke rupiah.</t>
  </si>
  <si>
    <t xml:space="preserve">Sheet Data, kolom N (Bunga), baris 2 sampai 31</t>
  </si>
  <si>
    <t xml:space="preserve">=ROUND(L2*$Q$4;0)</t>
  </si>
  <si>
    <t xml:space="preserve">6</t>
  </si>
  <si>
    <t xml:space="preserve">Pada sheet Acuan, hitung jumlah siswa tiap kelas.</t>
  </si>
  <si>
    <t xml:space="preserve">Sheet Acuan, kolom B (Jumlah Siswa), baris 2 sampai 4</t>
  </si>
  <si>
    <t xml:space="preserve">=COUNTIF(Data!$C$2:$C$31;A2)</t>
  </si>
  <si>
    <t xml:space="preserve">7</t>
  </si>
  <si>
    <t xml:space="preserve">Pada sheet Acuan, hitung total saldo akhir tiap kelas.</t>
  </si>
  <si>
    <t xml:space="preserve">Sheet Acuan, kolom C (Total Saldo), baris 2 sampai 4</t>
  </si>
  <si>
    <t xml:space="preserve">=SUMIF(Data!$C$2:$C$31;A2;Data!$L$2:$L$31)</t>
  </si>
  <si>
    <t xml:space="preserve">8</t>
  </si>
  <si>
    <t xml:space="preserve">Pada sheet Acuan, hitung rata-rata saldo akhir per siswa di tiap kelas.</t>
  </si>
  <si>
    <t xml:space="preserve">Sheet Acuan, kolom D (Rata-rata Saldo), baris 2 sampai 4</t>
  </si>
  <si>
    <t xml:space="preserve">=AVERAGEIF(Data!$C$2:$C$31;A2;Data!$L$2:$L$31)</t>
  </si>
  <si>
    <t xml:space="preserve">9</t>
  </si>
  <si>
    <t xml:space="preserve">Berapa total setoran dan total penarikan seluruh siswa, dan berapa saldo akhir seluruh tabungan?</t>
  </si>
  <si>
    <t xml:space="preserve">Sheet Ringkasan, sel C4 sampai C6</t>
  </si>
  <si>
    <t xml:space="preserve">=SUM(Data!$J$2:$J$31)
=SUM(Data!$I$2:$I$31)
=SUM(Data!$L$2:$L$31)</t>
  </si>
  <si>
    <t xml:space="preserve">10</t>
  </si>
  <si>
    <t xml:space="preserve">Berapa siswa berkategori Tinggi, Sedang, dan Rendah?</t>
  </si>
  <si>
    <t xml:space="preserve">Sheet Ringkasan, sel C7 sampai C9</t>
  </si>
  <si>
    <t xml:space="preserve">=COUNTIF(Data!$M$2:$M$31;"Tinggi")
=COUNTIF(Data!$M$2:$M$31;"Sedang")
=COUNTIF(Data!$M$2:$M$31;"Rendah")</t>
  </si>
  <si>
    <t xml:space="preserve">11</t>
  </si>
  <si>
    <t xml:space="preserve">Siapa siswa dengan saldo akhir terbesar, dan kelas mana yang total saldonya terbesar?</t>
  </si>
  <si>
    <t xml:space="preserve">Sheet Ringkasan, sel C10 sampai C11</t>
  </si>
  <si>
    <t xml:space="preserve">=INDEX(Data!$B$2:$B$31;MATCH(MAX(Data!$L$2:$L$31);Data!$L$2:$L$31;0))
=INDEX(Acuan!$A$2:$A$4;MATCH(MAX(Acuan!$C$2:$C$4);Acuan!$C$2:$C$4;0))</t>
  </si>
  <si>
    <t xml:space="preserve">Nama Siswa</t>
  </si>
  <si>
    <t xml:space="preserve">Kelas</t>
  </si>
  <si>
    <t xml:space="preserve">Saldo Awal</t>
  </si>
  <si>
    <t xml:space="preserve">Setoran Minggu 1</t>
  </si>
  <si>
    <t xml:space="preserve">Setoran Minggu 2</t>
  </si>
  <si>
    <t xml:space="preserve">Setoran Minggu 3</t>
  </si>
  <si>
    <t xml:space="preserve">Setoran Minggu 4</t>
  </si>
  <si>
    <t xml:space="preserve">Penarikan</t>
  </si>
  <si>
    <t xml:space="preserve">Total Setoran</t>
  </si>
  <si>
    <t xml:space="preserve">Minggu Menabung</t>
  </si>
  <si>
    <t xml:space="preserve">Saldo Akhir</t>
  </si>
  <si>
    <t xml:space="preserve">Kategori Saldo</t>
  </si>
  <si>
    <t xml:space="preserve">Bunga</t>
  </si>
  <si>
    <t xml:space="preserve">Parameter</t>
  </si>
  <si>
    <t xml:space="preserve">Nilai</t>
  </si>
  <si>
    <t xml:space="preserve">Keterangan</t>
  </si>
  <si>
    <t xml:space="preserve">Dimas Pratama</t>
  </si>
  <si>
    <t xml:space="preserve">7A</t>
  </si>
  <si>
    <t xml:space="preserve">Batas saldo Tinggi</t>
  </si>
  <si>
    <t xml:space="preserve">Andi Amalia</t>
  </si>
  <si>
    <t xml:space="preserve">7B</t>
  </si>
  <si>
    <t xml:space="preserve">Batas saldo Sedang</t>
  </si>
  <si>
    <t xml:space="preserve">Tono Purnomo</t>
  </si>
  <si>
    <t xml:space="preserve">7C</t>
  </si>
  <si>
    <t xml:space="preserve">Persen bunga</t>
  </si>
  <si>
    <t xml:space="preserve">Dari saldo akhir</t>
  </si>
  <si>
    <t xml:space="preserve">Siti Setiawan</t>
  </si>
  <si>
    <t xml:space="preserve">Vivi Syahputra</t>
  </si>
  <si>
    <t xml:space="preserve">Bayu Pratama</t>
  </si>
  <si>
    <t xml:space="preserve">Agus Hartono</t>
  </si>
  <si>
    <t xml:space="preserve">Wawan Purnomo</t>
  </si>
  <si>
    <t xml:space="preserve">Prasetyo Permana</t>
  </si>
  <si>
    <t xml:space="preserve">Citra Suryani</t>
  </si>
  <si>
    <t xml:space="preserve">Intan Hartono</t>
  </si>
  <si>
    <t xml:space="preserve">Putri Anggraini</t>
  </si>
  <si>
    <t xml:space="preserve">Wawan Suryani</t>
  </si>
  <si>
    <t xml:space="preserve">Lina Rahayu</t>
  </si>
  <si>
    <t xml:space="preserve">Eka Hartono</t>
  </si>
  <si>
    <t xml:space="preserve">Tika Handayani</t>
  </si>
  <si>
    <t xml:space="preserve">Farida Suryani</t>
  </si>
  <si>
    <t xml:space="preserve">Joko Sari</t>
  </si>
  <si>
    <t xml:space="preserve">Galih Lestari</t>
  </si>
  <si>
    <t xml:space="preserve">Zainal Sari</t>
  </si>
  <si>
    <t xml:space="preserve">Farida Yulianto</t>
  </si>
  <si>
    <t xml:space="preserve">Hadi Wijaya</t>
  </si>
  <si>
    <t xml:space="preserve">Edi Nugroho</t>
  </si>
  <si>
    <t xml:space="preserve">Bayu Wibowo</t>
  </si>
  <si>
    <t xml:space="preserve">Vina Rahayu</t>
  </si>
  <si>
    <t xml:space="preserve">Lestari Nugroho</t>
  </si>
  <si>
    <t xml:space="preserve">Tika Amalia</t>
  </si>
  <si>
    <t xml:space="preserve">Andi Ramadhan</t>
  </si>
  <si>
    <t xml:space="preserve">Andi Kurniawan</t>
  </si>
  <si>
    <t xml:space="preserve">Ahmad Wijaya</t>
  </si>
  <si>
    <t xml:space="preserve">Jumlah Siswa</t>
  </si>
  <si>
    <t xml:space="preserve">Total Saldo</t>
  </si>
  <si>
    <t xml:space="preserve">Rata-rata Saldo</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</si>
  <si>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</si>
  <si>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</si>
  <si>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</si>
  <si>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</si>
  <si>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</si>
  <si>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</si>
  <si>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setoran seluruh siswa</t>
  </si>
  <si>
    <t xml:space="preserve">Rupiah, mis. Rp 1.500.000</t>
  </si>
  <si>
    <t xml:space="preserve">9b</t>
  </si>
  <si>
    <t xml:space="preserve">Total penarikan seluruh siswa</t>
  </si>
  <si>
    <t xml:space="preserve">Rupiah, mis. Rp 500.000</t>
  </si>
  <si>
    <t xml:space="preserve">9c</t>
  </si>
  <si>
    <t xml:space="preserve">Total saldo akhir seluruh siswa</t>
  </si>
  <si>
    <t xml:space="preserve">Rupiah, mis. Rp 6.000.000</t>
  </si>
  <si>
    <t xml:space="preserve">10a</t>
  </si>
  <si>
    <t xml:space="preserve">Siswa kategori Tinggi</t>
  </si>
  <si>
    <t xml:space="preserve">Angka bulat, mis. 8</t>
  </si>
  <si>
    <t xml:space="preserve">10b</t>
  </si>
  <si>
    <t xml:space="preserve">Siswa kategori Sedang</t>
  </si>
  <si>
    <t xml:space="preserve">Angka bulat, mis. 12</t>
  </si>
  <si>
    <t xml:space="preserve">10c</t>
  </si>
  <si>
    <t xml:space="preserve">Siswa kategori Rendah</t>
  </si>
  <si>
    <t xml:space="preserve">Angka bulat, mis. 10</t>
  </si>
  <si>
    <t xml:space="preserve">11a</t>
  </si>
  <si>
    <t xml:space="preserve">Siswa dengan saldo terbesar</t>
  </si>
  <si>
    <t xml:space="preserve">Teks: nama siswa</t>
  </si>
  <si>
    <t xml:space="preserve">11b</t>
  </si>
  <si>
    <t xml:space="preserve">Kelas dengan total saldo terbesar</t>
  </si>
  <si>
    <t xml:space="preserve">Teks: nama kelas</t>
  </si>
</sst>
</file>

<file path=xl/styles.xml><?xml version="1.0" encoding="utf-8"?>
<styleSheet xmlns="http://schemas.openxmlformats.org/spreadsheetml/2006/main">
  <numFmts count="4">
    <numFmt numFmtId="164" formatCode="General"/>
    <numFmt numFmtId="165" formatCode="0"/>
    <numFmt numFmtId="166" formatCode="&quot;Rp &quot;#,##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8"/>
    <col collapsed="false" customWidth="true" hidden="false" outlineLevel="0" max="4" min="4" style="0" width="13"/>
    <col collapsed="false" customWidth="true" hidden="false" outlineLevel="0" max="8" min="5" style="0" width="15"/>
    <col collapsed="false" customWidth="true" hidden="false" outlineLevel="0" max="9" min="9" style="0" width="12"/>
    <col collapsed="false" customWidth="true" hidden="false" outlineLevel="0" max="10" min="10" style="0" width="14"/>
    <col collapsed="false" customWidth="true" hidden="false" outlineLevel="0" max="11" min="11" style="0" width="15"/>
    <col collapsed="false" customWidth="true" hidden="false" outlineLevel="0" max="12" min="12" style="0" width="13"/>
    <col collapsed="false" customWidth="true" hidden="false" outlineLevel="0" max="13" min="13" style="0" width="14"/>
    <col collapsed="false" customWidth="true" hidden="false" outlineLevel="0" max="14" min="14" style="0" width="10"/>
    <col collapsed="false" customWidth="true" hidden="false" outlineLevel="0" max="15" min="15" style="0" width="3"/>
    <col collapsed="false" customWidth="true" hidden="false" outlineLevel="0" max="16" min="16" style="0" width="30"/>
    <col collapsed="false" customWidth="true" hidden="false" outlineLevel="0" max="17" min="17" style="0" width="16"/>
    <col collapsed="false" customWidth="true" hidden="false" outlineLevel="0" max="18" min="18" style="0" width="42"/>
  </cols>
  <sheetData>
    <row r="1" customFormat="false" ht="33.75" hidden="false" customHeight="true" outlineLevel="0" collapsed="false">
      <c r="A1" s="11" t="s">
        <v>19</v>
      </c>
      <c r="B1" s="11" t="s">
        <v>67</v>
      </c>
      <c r="C1" s="11" t="s">
        <v>68</v>
      </c>
      <c r="D1" s="11" t="s">
        <v>69</v>
      </c>
      <c r="E1" s="11" t="s">
        <v>70</v>
      </c>
      <c r="F1" s="11" t="s">
        <v>71</v>
      </c>
      <c r="G1" s="11" t="s">
        <v>72</v>
      </c>
      <c r="H1" s="11" t="s">
        <v>73</v>
      </c>
      <c r="I1" s="11" t="s">
        <v>74</v>
      </c>
      <c r="J1" s="15" t="s">
        <v>75</v>
      </c>
      <c r="K1" s="15" t="s">
        <v>76</v>
      </c>
      <c r="L1" s="15" t="s">
        <v>77</v>
      </c>
      <c r="M1" s="15" t="s">
        <v>78</v>
      </c>
      <c r="N1" s="15" t="s">
        <v>79</v>
      </c>
      <c r="P1" s="16" t="s">
        <v>80</v>
      </c>
      <c r="Q1" s="16" t="s">
        <v>81</v>
      </c>
      <c r="R1" s="16" t="s">
        <v>82</v>
      </c>
    </row>
    <row r="2" customFormat="false" ht="15" hidden="false" customHeight="false" outlineLevel="0" collapsed="false">
      <c r="A2" s="17" t="n">
        <v>1</v>
      </c>
      <c r="B2" s="18" t="s">
        <v>83</v>
      </c>
      <c r="C2" s="18" t="s">
        <v>84</v>
      </c>
      <c r="D2" s="19" t="n">
        <v>250000</v>
      </c>
      <c r="E2" s="19" t="n">
        <v>50000</v>
      </c>
      <c r="F2" s="19" t="n">
        <v>15000</v>
      </c>
      <c r="G2" s="19" t="n">
        <v>10000</v>
      </c>
      <c r="H2" s="19" t="n">
        <v>10000</v>
      </c>
      <c r="I2" s="19" t="n">
        <v>25000</v>
      </c>
      <c r="J2" s="20" t="n">
        <f aca="false">SUM(E2:H2)</f>
        <v>85000</v>
      </c>
      <c r="K2" s="21" t="n">
        <f aca="false">COUNTIF(E2:H2,"&gt;0")</f>
        <v>4</v>
      </c>
      <c r="L2" s="20" t="n">
        <f aca="false">D2+J2-I2</f>
        <v>310000</v>
      </c>
      <c r="M2" s="22" t="str">
        <f aca="false">IF(L2&gt;=$Q$2,"Tinggi",IF(L2&gt;=$Q$3,"Sedang","Rendah"))</f>
        <v>Tinggi</v>
      </c>
      <c r="N2" s="20" t="n">
        <f aca="false">ROUND(L2*$Q$4,0)</f>
        <v>1550</v>
      </c>
      <c r="P2" s="23" t="s">
        <v>85</v>
      </c>
      <c r="Q2" s="24" t="n">
        <v>300000</v>
      </c>
      <c r="R2" s="23"/>
    </row>
    <row r="3" customFormat="false" ht="15" hidden="false" customHeight="false" outlineLevel="0" collapsed="false">
      <c r="A3" s="17" t="n">
        <v>2</v>
      </c>
      <c r="B3" s="18" t="s">
        <v>86</v>
      </c>
      <c r="C3" s="18" t="s">
        <v>87</v>
      </c>
      <c r="D3" s="19" t="n">
        <v>250000</v>
      </c>
      <c r="E3" s="19" t="n">
        <v>20000</v>
      </c>
      <c r="F3" s="19" t="n">
        <v>50000</v>
      </c>
      <c r="G3" s="19" t="n">
        <v>25000</v>
      </c>
      <c r="H3" s="19" t="n">
        <v>0</v>
      </c>
      <c r="I3" s="19" t="n">
        <v>10000</v>
      </c>
      <c r="J3" s="20" t="n">
        <f aca="false">SUM(E3:H3)</f>
        <v>95000</v>
      </c>
      <c r="K3" s="21" t="n">
        <f aca="false">COUNTIF(E3:H3,"&gt;0")</f>
        <v>3</v>
      </c>
      <c r="L3" s="20" t="n">
        <f aca="false">D3+J3-I3</f>
        <v>335000</v>
      </c>
      <c r="M3" s="22" t="str">
        <f aca="false">IF(L3&gt;=$Q$2,"Tinggi",IF(L3&gt;=$Q$3,"Sedang","Rendah"))</f>
        <v>Tinggi</v>
      </c>
      <c r="N3" s="20" t="n">
        <f aca="false">ROUND(L3*$Q$4,0)</f>
        <v>1675</v>
      </c>
      <c r="P3" s="23" t="s">
        <v>88</v>
      </c>
      <c r="Q3" s="24" t="n">
        <v>150000</v>
      </c>
      <c r="R3" s="23"/>
    </row>
    <row r="4" customFormat="false" ht="15" hidden="false" customHeight="false" outlineLevel="0" collapsed="false">
      <c r="A4" s="17" t="n">
        <v>3</v>
      </c>
      <c r="B4" s="18" t="s">
        <v>89</v>
      </c>
      <c r="C4" s="18" t="s">
        <v>90</v>
      </c>
      <c r="D4" s="19" t="n">
        <v>300000</v>
      </c>
      <c r="E4" s="19" t="n">
        <v>5000</v>
      </c>
      <c r="F4" s="19" t="n">
        <v>50000</v>
      </c>
      <c r="G4" s="19" t="n">
        <v>0</v>
      </c>
      <c r="H4" s="19" t="n">
        <v>0</v>
      </c>
      <c r="I4" s="19" t="n">
        <v>0</v>
      </c>
      <c r="J4" s="20" t="n">
        <f aca="false">SUM(E4:H4)</f>
        <v>55000</v>
      </c>
      <c r="K4" s="21" t="n">
        <f aca="false">COUNTIF(E4:H4,"&gt;0")</f>
        <v>2</v>
      </c>
      <c r="L4" s="20" t="n">
        <f aca="false">D4+J4-I4</f>
        <v>355000</v>
      </c>
      <c r="M4" s="22" t="str">
        <f aca="false">IF(L4&gt;=$Q$2,"Tinggi",IF(L4&gt;=$Q$3,"Sedang","Rendah"))</f>
        <v>Tinggi</v>
      </c>
      <c r="N4" s="20" t="n">
        <f aca="false">ROUND(L4*$Q$4,0)</f>
        <v>1775</v>
      </c>
      <c r="P4" s="23" t="s">
        <v>91</v>
      </c>
      <c r="Q4" s="25" t="n">
        <v>0.005</v>
      </c>
      <c r="R4" s="23" t="s">
        <v>92</v>
      </c>
    </row>
    <row r="5" customFormat="false" ht="15" hidden="false" customHeight="false" outlineLevel="0" collapsed="false">
      <c r="A5" s="17" t="n">
        <v>4</v>
      </c>
      <c r="B5" s="18" t="s">
        <v>93</v>
      </c>
      <c r="C5" s="18" t="s">
        <v>84</v>
      </c>
      <c r="D5" s="19" t="n">
        <v>20000</v>
      </c>
      <c r="E5" s="19" t="n">
        <v>10000</v>
      </c>
      <c r="F5" s="19" t="n">
        <v>25000</v>
      </c>
      <c r="G5" s="19" t="n">
        <v>20000</v>
      </c>
      <c r="H5" s="19" t="n">
        <v>25000</v>
      </c>
      <c r="I5" s="19" t="n">
        <v>0</v>
      </c>
      <c r="J5" s="20" t="n">
        <f aca="false">SUM(E5:H5)</f>
        <v>80000</v>
      </c>
      <c r="K5" s="21" t="n">
        <f aca="false">COUNTIF(E5:H5,"&gt;0")</f>
        <v>4</v>
      </c>
      <c r="L5" s="20" t="n">
        <f aca="false">D5+J5-I5</f>
        <v>100000</v>
      </c>
      <c r="M5" s="22" t="str">
        <f aca="false">IF(L5&gt;=$Q$2,"Tinggi",IF(L5&gt;=$Q$3,"Sedang","Rendah"))</f>
        <v>Rendah</v>
      </c>
      <c r="N5" s="20" t="n">
        <f aca="false">ROUND(L5*$Q$4,0)</f>
        <v>500</v>
      </c>
    </row>
    <row r="6" customFormat="false" ht="15" hidden="false" customHeight="false" outlineLevel="0" collapsed="false">
      <c r="A6" s="17" t="n">
        <v>5</v>
      </c>
      <c r="B6" s="18" t="s">
        <v>94</v>
      </c>
      <c r="C6" s="18" t="s">
        <v>87</v>
      </c>
      <c r="D6" s="19" t="n">
        <v>300000</v>
      </c>
      <c r="E6" s="19" t="n">
        <v>10000</v>
      </c>
      <c r="F6" s="19" t="n">
        <v>0</v>
      </c>
      <c r="G6" s="19" t="n">
        <v>20000</v>
      </c>
      <c r="H6" s="19" t="n">
        <v>25000</v>
      </c>
      <c r="I6" s="19" t="n">
        <v>100000</v>
      </c>
      <c r="J6" s="20" t="n">
        <f aca="false">SUM(E6:H6)</f>
        <v>55000</v>
      </c>
      <c r="K6" s="21" t="n">
        <f aca="false">COUNTIF(E6:H6,"&gt;0")</f>
        <v>3</v>
      </c>
      <c r="L6" s="20" t="n">
        <f aca="false">D6+J6-I6</f>
        <v>255000</v>
      </c>
      <c r="M6" s="22" t="str">
        <f aca="false">IF(L6&gt;=$Q$2,"Tinggi",IF(L6&gt;=$Q$3,"Sedang","Rendah"))</f>
        <v>Sedang</v>
      </c>
      <c r="N6" s="20" t="n">
        <f aca="false">ROUND(L6*$Q$4,0)</f>
        <v>1275</v>
      </c>
    </row>
    <row r="7" customFormat="false" ht="15" hidden="false" customHeight="false" outlineLevel="0" collapsed="false">
      <c r="A7" s="17" t="n">
        <v>6</v>
      </c>
      <c r="B7" s="18" t="s">
        <v>95</v>
      </c>
      <c r="C7" s="18" t="s">
        <v>90</v>
      </c>
      <c r="D7" s="19" t="n">
        <v>100000</v>
      </c>
      <c r="E7" s="19" t="n">
        <v>15000</v>
      </c>
      <c r="F7" s="19" t="n">
        <v>30000</v>
      </c>
      <c r="G7" s="19" t="n">
        <v>25000</v>
      </c>
      <c r="H7" s="19" t="n">
        <v>15000</v>
      </c>
      <c r="I7" s="19" t="n">
        <v>20000</v>
      </c>
      <c r="J7" s="20" t="n">
        <f aca="false">SUM(E7:H7)</f>
        <v>85000</v>
      </c>
      <c r="K7" s="21" t="n">
        <f aca="false">COUNTIF(E7:H7,"&gt;0")</f>
        <v>4</v>
      </c>
      <c r="L7" s="20" t="n">
        <f aca="false">D7+J7-I7</f>
        <v>165000</v>
      </c>
      <c r="M7" s="22" t="str">
        <f aca="false">IF(L7&gt;=$Q$2,"Tinggi",IF(L7&gt;=$Q$3,"Sedang","Rendah"))</f>
        <v>Sedang</v>
      </c>
      <c r="N7" s="20" t="n">
        <f aca="false">ROUND(L7*$Q$4,0)</f>
        <v>825</v>
      </c>
    </row>
    <row r="8" customFormat="false" ht="15" hidden="false" customHeight="false" outlineLevel="0" collapsed="false">
      <c r="A8" s="17" t="n">
        <v>7</v>
      </c>
      <c r="B8" s="18" t="s">
        <v>96</v>
      </c>
      <c r="C8" s="18" t="s">
        <v>84</v>
      </c>
      <c r="D8" s="19" t="n">
        <v>100000</v>
      </c>
      <c r="E8" s="19" t="n">
        <v>30000</v>
      </c>
      <c r="F8" s="19" t="n">
        <v>0</v>
      </c>
      <c r="G8" s="19" t="n">
        <v>0</v>
      </c>
      <c r="H8" s="19" t="n">
        <v>0</v>
      </c>
      <c r="I8" s="19" t="n">
        <v>25000</v>
      </c>
      <c r="J8" s="20" t="n">
        <f aca="false">SUM(E8:H8)</f>
        <v>30000</v>
      </c>
      <c r="K8" s="21" t="n">
        <f aca="false">COUNTIF(E8:H8,"&gt;0")</f>
        <v>1</v>
      </c>
      <c r="L8" s="20" t="n">
        <f aca="false">D8+J8-I8</f>
        <v>105000</v>
      </c>
      <c r="M8" s="22" t="str">
        <f aca="false">IF(L8&gt;=$Q$2,"Tinggi",IF(L8&gt;=$Q$3,"Sedang","Rendah"))</f>
        <v>Rendah</v>
      </c>
      <c r="N8" s="20" t="n">
        <f aca="false">ROUND(L8*$Q$4,0)</f>
        <v>525</v>
      </c>
    </row>
    <row r="9" customFormat="false" ht="15" hidden="false" customHeight="false" outlineLevel="0" collapsed="false">
      <c r="A9" s="17" t="n">
        <v>8</v>
      </c>
      <c r="B9" s="18" t="s">
        <v>97</v>
      </c>
      <c r="C9" s="18" t="s">
        <v>87</v>
      </c>
      <c r="D9" s="19" t="n">
        <v>150000</v>
      </c>
      <c r="E9" s="19" t="n">
        <v>0</v>
      </c>
      <c r="F9" s="19" t="n">
        <v>0</v>
      </c>
      <c r="G9" s="19" t="n">
        <v>50000</v>
      </c>
      <c r="H9" s="19" t="n">
        <v>25000</v>
      </c>
      <c r="I9" s="19" t="n">
        <v>0</v>
      </c>
      <c r="J9" s="20" t="n">
        <f aca="false">SUM(E9:H9)</f>
        <v>75000</v>
      </c>
      <c r="K9" s="21" t="n">
        <f aca="false">COUNTIF(E9:H9,"&gt;0")</f>
        <v>2</v>
      </c>
      <c r="L9" s="20" t="n">
        <f aca="false">D9+J9-I9</f>
        <v>225000</v>
      </c>
      <c r="M9" s="22" t="str">
        <f aca="false">IF(L9&gt;=$Q$2,"Tinggi",IF(L9&gt;=$Q$3,"Sedang","Rendah"))</f>
        <v>Sedang</v>
      </c>
      <c r="N9" s="20" t="n">
        <f aca="false">ROUND(L9*$Q$4,0)</f>
        <v>1125</v>
      </c>
    </row>
    <row r="10" customFormat="false" ht="15" hidden="false" customHeight="false" outlineLevel="0" collapsed="false">
      <c r="A10" s="17" t="n">
        <v>9</v>
      </c>
      <c r="B10" s="18" t="s">
        <v>98</v>
      </c>
      <c r="C10" s="18" t="s">
        <v>90</v>
      </c>
      <c r="D10" s="19" t="n">
        <v>300000</v>
      </c>
      <c r="E10" s="19" t="n">
        <v>30000</v>
      </c>
      <c r="F10" s="19" t="n">
        <v>30000</v>
      </c>
      <c r="G10" s="19" t="n">
        <v>10000</v>
      </c>
      <c r="H10" s="19" t="n">
        <v>25000</v>
      </c>
      <c r="I10" s="19" t="n">
        <v>20000</v>
      </c>
      <c r="J10" s="20" t="n">
        <f aca="false">SUM(E10:H10)</f>
        <v>95000</v>
      </c>
      <c r="K10" s="21" t="n">
        <f aca="false">COUNTIF(E10:H10,"&gt;0")</f>
        <v>4</v>
      </c>
      <c r="L10" s="20" t="n">
        <f aca="false">D10+J10-I10</f>
        <v>375000</v>
      </c>
      <c r="M10" s="22" t="str">
        <f aca="false">IF(L10&gt;=$Q$2,"Tinggi",IF(L10&gt;=$Q$3,"Sedang","Rendah"))</f>
        <v>Tinggi</v>
      </c>
      <c r="N10" s="20" t="n">
        <f aca="false">ROUND(L10*$Q$4,0)</f>
        <v>1875</v>
      </c>
    </row>
    <row r="11" customFormat="false" ht="15" hidden="false" customHeight="false" outlineLevel="0" collapsed="false">
      <c r="A11" s="17" t="n">
        <v>10</v>
      </c>
      <c r="B11" s="18" t="s">
        <v>99</v>
      </c>
      <c r="C11" s="18" t="s">
        <v>84</v>
      </c>
      <c r="D11" s="19" t="n">
        <v>50000</v>
      </c>
      <c r="E11" s="19" t="n">
        <v>10000</v>
      </c>
      <c r="F11" s="19" t="n">
        <v>10000</v>
      </c>
      <c r="G11" s="19" t="n">
        <v>10000</v>
      </c>
      <c r="H11" s="19" t="n">
        <v>25000</v>
      </c>
      <c r="I11" s="19" t="n">
        <v>75000</v>
      </c>
      <c r="J11" s="20" t="n">
        <f aca="false">SUM(E11:H11)</f>
        <v>55000</v>
      </c>
      <c r="K11" s="21" t="n">
        <f aca="false">COUNTIF(E11:H11,"&gt;0")</f>
        <v>4</v>
      </c>
      <c r="L11" s="20" t="n">
        <f aca="false">D11+J11-I11</f>
        <v>30000</v>
      </c>
      <c r="M11" s="22" t="str">
        <f aca="false">IF(L11&gt;=$Q$2,"Tinggi",IF(L11&gt;=$Q$3,"Sedang","Rendah"))</f>
        <v>Rendah</v>
      </c>
      <c r="N11" s="20" t="n">
        <f aca="false">ROUND(L11*$Q$4,0)</f>
        <v>150</v>
      </c>
    </row>
    <row r="12" customFormat="false" ht="15" hidden="false" customHeight="false" outlineLevel="0" collapsed="false">
      <c r="A12" s="17" t="n">
        <v>11</v>
      </c>
      <c r="B12" s="18" t="s">
        <v>100</v>
      </c>
      <c r="C12" s="18" t="s">
        <v>87</v>
      </c>
      <c r="D12" s="19" t="n">
        <v>300000</v>
      </c>
      <c r="E12" s="19" t="n">
        <v>30000</v>
      </c>
      <c r="F12" s="19" t="n">
        <v>20000</v>
      </c>
      <c r="G12" s="19" t="n">
        <v>50000</v>
      </c>
      <c r="H12" s="19" t="n">
        <v>50000</v>
      </c>
      <c r="I12" s="19" t="n">
        <v>20000</v>
      </c>
      <c r="J12" s="20" t="n">
        <f aca="false">SUM(E12:H12)</f>
        <v>150000</v>
      </c>
      <c r="K12" s="21" t="n">
        <f aca="false">COUNTIF(E12:H12,"&gt;0")</f>
        <v>4</v>
      </c>
      <c r="L12" s="20" t="n">
        <f aca="false">D12+J12-I12</f>
        <v>430000</v>
      </c>
      <c r="M12" s="22" t="str">
        <f aca="false">IF(L12&gt;=$Q$2,"Tinggi",IF(L12&gt;=$Q$3,"Sedang","Rendah"))</f>
        <v>Tinggi</v>
      </c>
      <c r="N12" s="20" t="n">
        <f aca="false">ROUND(L12*$Q$4,0)</f>
        <v>2150</v>
      </c>
    </row>
    <row r="13" customFormat="false" ht="15" hidden="false" customHeight="false" outlineLevel="0" collapsed="false">
      <c r="A13" s="17" t="n">
        <v>12</v>
      </c>
      <c r="B13" s="18" t="s">
        <v>101</v>
      </c>
      <c r="C13" s="18" t="s">
        <v>90</v>
      </c>
      <c r="D13" s="19" t="n">
        <v>200000</v>
      </c>
      <c r="E13" s="19" t="n">
        <v>50000</v>
      </c>
      <c r="F13" s="19" t="n">
        <v>0</v>
      </c>
      <c r="G13" s="19" t="n">
        <v>0</v>
      </c>
      <c r="H13" s="19" t="n">
        <v>20000</v>
      </c>
      <c r="I13" s="19" t="n">
        <v>20000</v>
      </c>
      <c r="J13" s="20" t="n">
        <f aca="false">SUM(E13:H13)</f>
        <v>70000</v>
      </c>
      <c r="K13" s="21" t="n">
        <f aca="false">COUNTIF(E13:H13,"&gt;0")</f>
        <v>2</v>
      </c>
      <c r="L13" s="20" t="n">
        <f aca="false">D13+J13-I13</f>
        <v>250000</v>
      </c>
      <c r="M13" s="22" t="str">
        <f aca="false">IF(L13&gt;=$Q$2,"Tinggi",IF(L13&gt;=$Q$3,"Sedang","Rendah"))</f>
        <v>Sedang</v>
      </c>
      <c r="N13" s="20" t="n">
        <f aca="false">ROUND(L13*$Q$4,0)</f>
        <v>1250</v>
      </c>
    </row>
    <row r="14" customFormat="false" ht="15" hidden="false" customHeight="false" outlineLevel="0" collapsed="false">
      <c r="A14" s="17" t="n">
        <v>13</v>
      </c>
      <c r="B14" s="18" t="s">
        <v>102</v>
      </c>
      <c r="C14" s="18" t="s">
        <v>84</v>
      </c>
      <c r="D14" s="19" t="n">
        <v>250000</v>
      </c>
      <c r="E14" s="19" t="n">
        <v>25000</v>
      </c>
      <c r="F14" s="19" t="n">
        <v>10000</v>
      </c>
      <c r="G14" s="19" t="n">
        <v>0</v>
      </c>
      <c r="H14" s="19" t="n">
        <v>15000</v>
      </c>
      <c r="I14" s="19" t="n">
        <v>50000</v>
      </c>
      <c r="J14" s="20" t="n">
        <f aca="false">SUM(E14:H14)</f>
        <v>50000</v>
      </c>
      <c r="K14" s="21" t="n">
        <f aca="false">COUNTIF(E14:H14,"&gt;0")</f>
        <v>3</v>
      </c>
      <c r="L14" s="20" t="n">
        <f aca="false">D14+J14-I14</f>
        <v>250000</v>
      </c>
      <c r="M14" s="22" t="str">
        <f aca="false">IF(L14&gt;=$Q$2,"Tinggi",IF(L14&gt;=$Q$3,"Sedang","Rendah"))</f>
        <v>Sedang</v>
      </c>
      <c r="N14" s="20" t="n">
        <f aca="false">ROUND(L14*$Q$4,0)</f>
        <v>1250</v>
      </c>
    </row>
    <row r="15" customFormat="false" ht="15" hidden="false" customHeight="false" outlineLevel="0" collapsed="false">
      <c r="A15" s="17" t="n">
        <v>14</v>
      </c>
      <c r="B15" s="18" t="s">
        <v>103</v>
      </c>
      <c r="C15" s="18" t="s">
        <v>87</v>
      </c>
      <c r="D15" s="19" t="n">
        <v>250000</v>
      </c>
      <c r="E15" s="19" t="n">
        <v>20000</v>
      </c>
      <c r="F15" s="19" t="n">
        <v>25000</v>
      </c>
      <c r="G15" s="19" t="n">
        <v>30000</v>
      </c>
      <c r="H15" s="19" t="n">
        <v>0</v>
      </c>
      <c r="I15" s="19" t="n">
        <v>25000</v>
      </c>
      <c r="J15" s="20" t="n">
        <f aca="false">SUM(E15:H15)</f>
        <v>75000</v>
      </c>
      <c r="K15" s="21" t="n">
        <f aca="false">COUNTIF(E15:H15,"&gt;0")</f>
        <v>3</v>
      </c>
      <c r="L15" s="20" t="n">
        <f aca="false">D15+J15-I15</f>
        <v>300000</v>
      </c>
      <c r="M15" s="22" t="str">
        <f aca="false">IF(L15&gt;=$Q$2,"Tinggi",IF(L15&gt;=$Q$3,"Sedang","Rendah"))</f>
        <v>Tinggi</v>
      </c>
      <c r="N15" s="20" t="n">
        <f aca="false">ROUND(L15*$Q$4,0)</f>
        <v>1500</v>
      </c>
    </row>
    <row r="16" customFormat="false" ht="15" hidden="false" customHeight="false" outlineLevel="0" collapsed="false">
      <c r="A16" s="17" t="n">
        <v>15</v>
      </c>
      <c r="B16" s="18" t="s">
        <v>104</v>
      </c>
      <c r="C16" s="18" t="s">
        <v>90</v>
      </c>
      <c r="D16" s="19" t="n">
        <v>50000</v>
      </c>
      <c r="E16" s="19" t="n">
        <v>20000</v>
      </c>
      <c r="F16" s="19" t="n">
        <v>10000</v>
      </c>
      <c r="G16" s="19" t="n">
        <v>20000</v>
      </c>
      <c r="H16" s="19" t="n">
        <v>25000</v>
      </c>
      <c r="I16" s="19" t="n">
        <v>10000</v>
      </c>
      <c r="J16" s="20" t="n">
        <f aca="false">SUM(E16:H16)</f>
        <v>75000</v>
      </c>
      <c r="K16" s="21" t="n">
        <f aca="false">COUNTIF(E16:H16,"&gt;0")</f>
        <v>4</v>
      </c>
      <c r="L16" s="20" t="n">
        <f aca="false">D16+J16-I16</f>
        <v>115000</v>
      </c>
      <c r="M16" s="22" t="str">
        <f aca="false">IF(L16&gt;=$Q$2,"Tinggi",IF(L16&gt;=$Q$3,"Sedang","Rendah"))</f>
        <v>Rendah</v>
      </c>
      <c r="N16" s="20" t="n">
        <f aca="false">ROUND(L16*$Q$4,0)</f>
        <v>575</v>
      </c>
    </row>
    <row r="17" customFormat="false" ht="15" hidden="false" customHeight="false" outlineLevel="0" collapsed="false">
      <c r="A17" s="17" t="n">
        <v>16</v>
      </c>
      <c r="B17" s="18" t="s">
        <v>105</v>
      </c>
      <c r="C17" s="18" t="s">
        <v>84</v>
      </c>
      <c r="D17" s="19" t="n">
        <v>150000</v>
      </c>
      <c r="E17" s="19" t="n">
        <v>15000</v>
      </c>
      <c r="F17" s="19" t="n">
        <v>0</v>
      </c>
      <c r="G17" s="19" t="n">
        <v>50000</v>
      </c>
      <c r="H17" s="19" t="n">
        <v>0</v>
      </c>
      <c r="I17" s="19" t="n">
        <v>25000</v>
      </c>
      <c r="J17" s="20" t="n">
        <f aca="false">SUM(E17:H17)</f>
        <v>65000</v>
      </c>
      <c r="K17" s="21" t="n">
        <f aca="false">COUNTIF(E17:H17,"&gt;0")</f>
        <v>2</v>
      </c>
      <c r="L17" s="20" t="n">
        <f aca="false">D17+J17-I17</f>
        <v>190000</v>
      </c>
      <c r="M17" s="22" t="str">
        <f aca="false">IF(L17&gt;=$Q$2,"Tinggi",IF(L17&gt;=$Q$3,"Sedang","Rendah"))</f>
        <v>Sedang</v>
      </c>
      <c r="N17" s="20" t="n">
        <f aca="false">ROUND(L17*$Q$4,0)</f>
        <v>950</v>
      </c>
    </row>
    <row r="18" customFormat="false" ht="15" hidden="false" customHeight="false" outlineLevel="0" collapsed="false">
      <c r="A18" s="17" t="n">
        <v>17</v>
      </c>
      <c r="B18" s="18" t="s">
        <v>106</v>
      </c>
      <c r="C18" s="18" t="s">
        <v>87</v>
      </c>
      <c r="D18" s="19" t="n">
        <v>150000</v>
      </c>
      <c r="E18" s="19" t="n">
        <v>0</v>
      </c>
      <c r="F18" s="19" t="n">
        <v>0</v>
      </c>
      <c r="G18" s="19" t="n">
        <v>0</v>
      </c>
      <c r="H18" s="19" t="n">
        <v>0</v>
      </c>
      <c r="I18" s="19" t="n">
        <v>0</v>
      </c>
      <c r="J18" s="20" t="n">
        <f aca="false">SUM(E18:H18)</f>
        <v>0</v>
      </c>
      <c r="K18" s="21" t="n">
        <f aca="false">COUNTIF(E18:H18,"&gt;0")</f>
        <v>0</v>
      </c>
      <c r="L18" s="20" t="n">
        <f aca="false">D18+J18-I18</f>
        <v>150000</v>
      </c>
      <c r="M18" s="22" t="str">
        <f aca="false">IF(L18&gt;=$Q$2,"Tinggi",IF(L18&gt;=$Q$3,"Sedang","Rendah"))</f>
        <v>Sedang</v>
      </c>
      <c r="N18" s="20" t="n">
        <f aca="false">ROUND(L18*$Q$4,0)</f>
        <v>750</v>
      </c>
    </row>
    <row r="19" customFormat="false" ht="15" hidden="false" customHeight="false" outlineLevel="0" collapsed="false">
      <c r="A19" s="17" t="n">
        <v>18</v>
      </c>
      <c r="B19" s="18" t="s">
        <v>107</v>
      </c>
      <c r="C19" s="18" t="s">
        <v>90</v>
      </c>
      <c r="D19" s="19" t="n">
        <v>80000</v>
      </c>
      <c r="E19" s="19" t="n">
        <v>50000</v>
      </c>
      <c r="F19" s="19" t="n">
        <v>0</v>
      </c>
      <c r="G19" s="19" t="n">
        <v>5000</v>
      </c>
      <c r="H19" s="19" t="n">
        <v>50000</v>
      </c>
      <c r="I19" s="19" t="n">
        <v>100000</v>
      </c>
      <c r="J19" s="20" t="n">
        <f aca="false">SUM(E19:H19)</f>
        <v>105000</v>
      </c>
      <c r="K19" s="21" t="n">
        <f aca="false">COUNTIF(E19:H19,"&gt;0")</f>
        <v>3</v>
      </c>
      <c r="L19" s="20" t="n">
        <f aca="false">D19+J19-I19</f>
        <v>85000</v>
      </c>
      <c r="M19" s="22" t="str">
        <f aca="false">IF(L19&gt;=$Q$2,"Tinggi",IF(L19&gt;=$Q$3,"Sedang","Rendah"))</f>
        <v>Rendah</v>
      </c>
      <c r="N19" s="20" t="n">
        <f aca="false">ROUND(L19*$Q$4,0)</f>
        <v>425</v>
      </c>
    </row>
    <row r="20" customFormat="false" ht="15" hidden="false" customHeight="false" outlineLevel="0" collapsed="false">
      <c r="A20" s="17" t="n">
        <v>19</v>
      </c>
      <c r="B20" s="18" t="s">
        <v>108</v>
      </c>
      <c r="C20" s="18" t="s">
        <v>84</v>
      </c>
      <c r="D20" s="19" t="n">
        <v>120000</v>
      </c>
      <c r="E20" s="19" t="n">
        <v>20000</v>
      </c>
      <c r="F20" s="19" t="n">
        <v>0</v>
      </c>
      <c r="G20" s="19" t="n">
        <v>0</v>
      </c>
      <c r="H20" s="19" t="n">
        <v>20000</v>
      </c>
      <c r="I20" s="19" t="n">
        <v>75000</v>
      </c>
      <c r="J20" s="20" t="n">
        <f aca="false">SUM(E20:H20)</f>
        <v>40000</v>
      </c>
      <c r="K20" s="21" t="n">
        <f aca="false">COUNTIF(E20:H20,"&gt;0")</f>
        <v>2</v>
      </c>
      <c r="L20" s="20" t="n">
        <f aca="false">D20+J20-I20</f>
        <v>85000</v>
      </c>
      <c r="M20" s="22" t="str">
        <f aca="false">IF(L20&gt;=$Q$2,"Tinggi",IF(L20&gt;=$Q$3,"Sedang","Rendah"))</f>
        <v>Rendah</v>
      </c>
      <c r="N20" s="20" t="n">
        <f aca="false">ROUND(L20*$Q$4,0)</f>
        <v>425</v>
      </c>
    </row>
    <row r="21" customFormat="false" ht="15" hidden="false" customHeight="false" outlineLevel="0" collapsed="false">
      <c r="A21" s="17" t="n">
        <v>20</v>
      </c>
      <c r="B21" s="18" t="s">
        <v>109</v>
      </c>
      <c r="C21" s="18" t="s">
        <v>87</v>
      </c>
      <c r="D21" s="19" t="n">
        <v>200000</v>
      </c>
      <c r="E21" s="19" t="n">
        <v>5000</v>
      </c>
      <c r="F21" s="19" t="n">
        <v>50000</v>
      </c>
      <c r="G21" s="19" t="n">
        <v>25000</v>
      </c>
      <c r="H21" s="19" t="n">
        <v>20000</v>
      </c>
      <c r="I21" s="19" t="n">
        <v>20000</v>
      </c>
      <c r="J21" s="20" t="n">
        <f aca="false">SUM(E21:H21)</f>
        <v>100000</v>
      </c>
      <c r="K21" s="21" t="n">
        <f aca="false">COUNTIF(E21:H21,"&gt;0")</f>
        <v>4</v>
      </c>
      <c r="L21" s="20" t="n">
        <f aca="false">D21+J21-I21</f>
        <v>280000</v>
      </c>
      <c r="M21" s="22" t="str">
        <f aca="false">IF(L21&gt;=$Q$2,"Tinggi",IF(L21&gt;=$Q$3,"Sedang","Rendah"))</f>
        <v>Sedang</v>
      </c>
      <c r="N21" s="20" t="n">
        <f aca="false">ROUND(L21*$Q$4,0)</f>
        <v>1400</v>
      </c>
    </row>
    <row r="22" customFormat="false" ht="15" hidden="false" customHeight="false" outlineLevel="0" collapsed="false">
      <c r="A22" s="17" t="n">
        <v>21</v>
      </c>
      <c r="B22" s="18" t="s">
        <v>110</v>
      </c>
      <c r="C22" s="18" t="s">
        <v>90</v>
      </c>
      <c r="D22" s="19" t="n">
        <v>150000</v>
      </c>
      <c r="E22" s="19" t="n">
        <v>0</v>
      </c>
      <c r="F22" s="19" t="n">
        <v>10000</v>
      </c>
      <c r="G22" s="19" t="n">
        <v>25000</v>
      </c>
      <c r="H22" s="19" t="n">
        <v>50000</v>
      </c>
      <c r="I22" s="19" t="n">
        <v>50000</v>
      </c>
      <c r="J22" s="20" t="n">
        <f aca="false">SUM(E22:H22)</f>
        <v>85000</v>
      </c>
      <c r="K22" s="21" t="n">
        <f aca="false">COUNTIF(E22:H22,"&gt;0")</f>
        <v>3</v>
      </c>
      <c r="L22" s="20" t="n">
        <f aca="false">D22+J22-I22</f>
        <v>185000</v>
      </c>
      <c r="M22" s="22" t="str">
        <f aca="false">IF(L22&gt;=$Q$2,"Tinggi",IF(L22&gt;=$Q$3,"Sedang","Rendah"))</f>
        <v>Sedang</v>
      </c>
      <c r="N22" s="20" t="n">
        <f aca="false">ROUND(L22*$Q$4,0)</f>
        <v>925</v>
      </c>
    </row>
    <row r="23" customFormat="false" ht="15" hidden="false" customHeight="false" outlineLevel="0" collapsed="false">
      <c r="A23" s="17" t="n">
        <v>22</v>
      </c>
      <c r="B23" s="18" t="s">
        <v>111</v>
      </c>
      <c r="C23" s="18" t="s">
        <v>84</v>
      </c>
      <c r="D23" s="19" t="n">
        <v>120000</v>
      </c>
      <c r="E23" s="19" t="n">
        <v>0</v>
      </c>
      <c r="F23" s="19" t="n">
        <v>10000</v>
      </c>
      <c r="G23" s="19" t="n">
        <v>0</v>
      </c>
      <c r="H23" s="19" t="n">
        <v>5000</v>
      </c>
      <c r="I23" s="19" t="n">
        <v>0</v>
      </c>
      <c r="J23" s="20" t="n">
        <f aca="false">SUM(E23:H23)</f>
        <v>15000</v>
      </c>
      <c r="K23" s="21" t="n">
        <f aca="false">COUNTIF(E23:H23,"&gt;0")</f>
        <v>2</v>
      </c>
      <c r="L23" s="20" t="n">
        <f aca="false">D23+J23-I23</f>
        <v>135000</v>
      </c>
      <c r="M23" s="22" t="str">
        <f aca="false">IF(L23&gt;=$Q$2,"Tinggi",IF(L23&gt;=$Q$3,"Sedang","Rendah"))</f>
        <v>Rendah</v>
      </c>
      <c r="N23" s="20" t="n">
        <f aca="false">ROUND(L23*$Q$4,0)</f>
        <v>675</v>
      </c>
    </row>
    <row r="24" customFormat="false" ht="15" hidden="false" customHeight="false" outlineLevel="0" collapsed="false">
      <c r="A24" s="17" t="n">
        <v>23</v>
      </c>
      <c r="B24" s="18" t="s">
        <v>112</v>
      </c>
      <c r="C24" s="18" t="s">
        <v>87</v>
      </c>
      <c r="D24" s="19" t="n">
        <v>250000</v>
      </c>
      <c r="E24" s="19" t="n">
        <v>5000</v>
      </c>
      <c r="F24" s="19" t="n">
        <v>50000</v>
      </c>
      <c r="G24" s="19" t="n">
        <v>0</v>
      </c>
      <c r="H24" s="19" t="n">
        <v>5000</v>
      </c>
      <c r="I24" s="19" t="n">
        <v>100000</v>
      </c>
      <c r="J24" s="20" t="n">
        <f aca="false">SUM(E24:H24)</f>
        <v>60000</v>
      </c>
      <c r="K24" s="21" t="n">
        <f aca="false">COUNTIF(E24:H24,"&gt;0")</f>
        <v>3</v>
      </c>
      <c r="L24" s="20" t="n">
        <f aca="false">D24+J24-I24</f>
        <v>210000</v>
      </c>
      <c r="M24" s="22" t="str">
        <f aca="false">IF(L24&gt;=$Q$2,"Tinggi",IF(L24&gt;=$Q$3,"Sedang","Rendah"))</f>
        <v>Sedang</v>
      </c>
      <c r="N24" s="20" t="n">
        <f aca="false">ROUND(L24*$Q$4,0)</f>
        <v>1050</v>
      </c>
    </row>
    <row r="25" customFormat="false" ht="15" hidden="false" customHeight="false" outlineLevel="0" collapsed="false">
      <c r="A25" s="17" t="n">
        <v>24</v>
      </c>
      <c r="B25" s="18" t="s">
        <v>113</v>
      </c>
      <c r="C25" s="18" t="s">
        <v>90</v>
      </c>
      <c r="D25" s="19" t="n">
        <v>150000</v>
      </c>
      <c r="E25" s="19" t="n">
        <v>50000</v>
      </c>
      <c r="F25" s="19" t="n">
        <v>10000</v>
      </c>
      <c r="G25" s="19" t="n">
        <v>10000</v>
      </c>
      <c r="H25" s="19" t="n">
        <v>5000</v>
      </c>
      <c r="I25" s="19" t="n">
        <v>10000</v>
      </c>
      <c r="J25" s="20" t="n">
        <f aca="false">SUM(E25:H25)</f>
        <v>75000</v>
      </c>
      <c r="K25" s="21" t="n">
        <f aca="false">COUNTIF(E25:H25,"&gt;0")</f>
        <v>4</v>
      </c>
      <c r="L25" s="20" t="n">
        <f aca="false">D25+J25-I25</f>
        <v>215000</v>
      </c>
      <c r="M25" s="22" t="str">
        <f aca="false">IF(L25&gt;=$Q$2,"Tinggi",IF(L25&gt;=$Q$3,"Sedang","Rendah"))</f>
        <v>Sedang</v>
      </c>
      <c r="N25" s="20" t="n">
        <f aca="false">ROUND(L25*$Q$4,0)</f>
        <v>1075</v>
      </c>
    </row>
    <row r="26" customFormat="false" ht="15" hidden="false" customHeight="false" outlineLevel="0" collapsed="false">
      <c r="A26" s="17" t="n">
        <v>25</v>
      </c>
      <c r="B26" s="18" t="s">
        <v>114</v>
      </c>
      <c r="C26" s="18" t="s">
        <v>84</v>
      </c>
      <c r="D26" s="19" t="n">
        <v>250000</v>
      </c>
      <c r="E26" s="19" t="n">
        <v>5000</v>
      </c>
      <c r="F26" s="19" t="n">
        <v>10000</v>
      </c>
      <c r="G26" s="19" t="n">
        <v>20000</v>
      </c>
      <c r="H26" s="19" t="n">
        <v>10000</v>
      </c>
      <c r="I26" s="19" t="n">
        <v>10000</v>
      </c>
      <c r="J26" s="20" t="n">
        <f aca="false">SUM(E26:H26)</f>
        <v>45000</v>
      </c>
      <c r="K26" s="21" t="n">
        <f aca="false">COUNTIF(E26:H26,"&gt;0")</f>
        <v>4</v>
      </c>
      <c r="L26" s="20" t="n">
        <f aca="false">D26+J26-I26</f>
        <v>285000</v>
      </c>
      <c r="M26" s="22" t="str">
        <f aca="false">IF(L26&gt;=$Q$2,"Tinggi",IF(L26&gt;=$Q$3,"Sedang","Rendah"))</f>
        <v>Sedang</v>
      </c>
      <c r="N26" s="20" t="n">
        <f aca="false">ROUND(L26*$Q$4,0)</f>
        <v>1425</v>
      </c>
    </row>
    <row r="27" customFormat="false" ht="15" hidden="false" customHeight="false" outlineLevel="0" collapsed="false">
      <c r="A27" s="17" t="n">
        <v>26</v>
      </c>
      <c r="B27" s="18" t="s">
        <v>115</v>
      </c>
      <c r="C27" s="18" t="s">
        <v>87</v>
      </c>
      <c r="D27" s="19" t="n">
        <v>20000</v>
      </c>
      <c r="E27" s="19" t="n">
        <v>15000</v>
      </c>
      <c r="F27" s="19" t="n">
        <v>30000</v>
      </c>
      <c r="G27" s="19" t="n">
        <v>0</v>
      </c>
      <c r="H27" s="19" t="n">
        <v>25000</v>
      </c>
      <c r="I27" s="19" t="n">
        <v>0</v>
      </c>
      <c r="J27" s="20" t="n">
        <f aca="false">SUM(E27:H27)</f>
        <v>70000</v>
      </c>
      <c r="K27" s="21" t="n">
        <f aca="false">COUNTIF(E27:H27,"&gt;0")</f>
        <v>3</v>
      </c>
      <c r="L27" s="20" t="n">
        <f aca="false">D27+J27-I27</f>
        <v>90000</v>
      </c>
      <c r="M27" s="22" t="str">
        <f aca="false">IF(L27&gt;=$Q$2,"Tinggi",IF(L27&gt;=$Q$3,"Sedang","Rendah"))</f>
        <v>Rendah</v>
      </c>
      <c r="N27" s="20" t="n">
        <f aca="false">ROUND(L27*$Q$4,0)</f>
        <v>450</v>
      </c>
    </row>
    <row r="28" customFormat="false" ht="15" hidden="false" customHeight="false" outlineLevel="0" collapsed="false">
      <c r="A28" s="17" t="n">
        <v>27</v>
      </c>
      <c r="B28" s="18" t="s">
        <v>116</v>
      </c>
      <c r="C28" s="18" t="s">
        <v>90</v>
      </c>
      <c r="D28" s="19" t="n">
        <v>200000</v>
      </c>
      <c r="E28" s="19" t="n">
        <v>0</v>
      </c>
      <c r="F28" s="19" t="n">
        <v>0</v>
      </c>
      <c r="G28" s="19" t="n">
        <v>10000</v>
      </c>
      <c r="H28" s="19" t="n">
        <v>5000</v>
      </c>
      <c r="I28" s="19" t="n">
        <v>50000</v>
      </c>
      <c r="J28" s="20" t="n">
        <f aca="false">SUM(E28:H28)</f>
        <v>15000</v>
      </c>
      <c r="K28" s="21" t="n">
        <f aca="false">COUNTIF(E28:H28,"&gt;0")</f>
        <v>2</v>
      </c>
      <c r="L28" s="20" t="n">
        <f aca="false">D28+J28-I28</f>
        <v>165000</v>
      </c>
      <c r="M28" s="22" t="str">
        <f aca="false">IF(L28&gt;=$Q$2,"Tinggi",IF(L28&gt;=$Q$3,"Sedang","Rendah"))</f>
        <v>Sedang</v>
      </c>
      <c r="N28" s="20" t="n">
        <f aca="false">ROUND(L28*$Q$4,0)</f>
        <v>825</v>
      </c>
    </row>
    <row r="29" customFormat="false" ht="15" hidden="false" customHeight="false" outlineLevel="0" collapsed="false">
      <c r="A29" s="17" t="n">
        <v>28</v>
      </c>
      <c r="B29" s="18" t="s">
        <v>117</v>
      </c>
      <c r="C29" s="18" t="s">
        <v>84</v>
      </c>
      <c r="D29" s="19" t="n">
        <v>20000</v>
      </c>
      <c r="E29" s="19" t="n">
        <v>15000</v>
      </c>
      <c r="F29" s="19" t="n">
        <v>0</v>
      </c>
      <c r="G29" s="19" t="n">
        <v>15000</v>
      </c>
      <c r="H29" s="19" t="n">
        <v>15000</v>
      </c>
      <c r="I29" s="19" t="n">
        <v>50000</v>
      </c>
      <c r="J29" s="20" t="n">
        <f aca="false">SUM(E29:H29)</f>
        <v>45000</v>
      </c>
      <c r="K29" s="21" t="n">
        <f aca="false">COUNTIF(E29:H29,"&gt;0")</f>
        <v>3</v>
      </c>
      <c r="L29" s="20" t="n">
        <f aca="false">D29+J29-I29</f>
        <v>15000</v>
      </c>
      <c r="M29" s="22" t="str">
        <f aca="false">IF(L29&gt;=$Q$2,"Tinggi",IF(L29&gt;=$Q$3,"Sedang","Rendah"))</f>
        <v>Rendah</v>
      </c>
      <c r="N29" s="20" t="n">
        <f aca="false">ROUND(L29*$Q$4,0)</f>
        <v>75</v>
      </c>
    </row>
    <row r="30" customFormat="false" ht="15" hidden="false" customHeight="false" outlineLevel="0" collapsed="false">
      <c r="A30" s="17" t="n">
        <v>29</v>
      </c>
      <c r="B30" s="18" t="s">
        <v>118</v>
      </c>
      <c r="C30" s="18" t="s">
        <v>87</v>
      </c>
      <c r="D30" s="19" t="n">
        <v>250000</v>
      </c>
      <c r="E30" s="19" t="n">
        <v>10000</v>
      </c>
      <c r="F30" s="19" t="n">
        <v>5000</v>
      </c>
      <c r="G30" s="19" t="n">
        <v>15000</v>
      </c>
      <c r="H30" s="19" t="n">
        <v>5000</v>
      </c>
      <c r="I30" s="19" t="n">
        <v>0</v>
      </c>
      <c r="J30" s="20" t="n">
        <f aca="false">SUM(E30:H30)</f>
        <v>35000</v>
      </c>
      <c r="K30" s="21" t="n">
        <f aca="false">COUNTIF(E30:H30,"&gt;0")</f>
        <v>4</v>
      </c>
      <c r="L30" s="20" t="n">
        <f aca="false">D30+J30-I30</f>
        <v>285000</v>
      </c>
      <c r="M30" s="22" t="str">
        <f aca="false">IF(L30&gt;=$Q$2,"Tinggi",IF(L30&gt;=$Q$3,"Sedang","Rendah"))</f>
        <v>Sedang</v>
      </c>
      <c r="N30" s="20" t="n">
        <f aca="false">ROUND(L30*$Q$4,0)</f>
        <v>1425</v>
      </c>
    </row>
    <row r="31" customFormat="false" ht="15" hidden="false" customHeight="false" outlineLevel="0" collapsed="false">
      <c r="A31" s="17" t="n">
        <v>30</v>
      </c>
      <c r="B31" s="18" t="s">
        <v>119</v>
      </c>
      <c r="C31" s="18" t="s">
        <v>90</v>
      </c>
      <c r="D31" s="19" t="n">
        <v>300000</v>
      </c>
      <c r="E31" s="19" t="n">
        <v>5000</v>
      </c>
      <c r="F31" s="19" t="n">
        <v>5000</v>
      </c>
      <c r="G31" s="19" t="n">
        <v>0</v>
      </c>
      <c r="H31" s="19" t="n">
        <v>10000</v>
      </c>
      <c r="I31" s="19" t="n">
        <v>25000</v>
      </c>
      <c r="J31" s="20" t="n">
        <f aca="false">SUM(E31:H31)</f>
        <v>20000</v>
      </c>
      <c r="K31" s="21" t="n">
        <f aca="false">COUNTIF(E31:H31,"&gt;0")</f>
        <v>3</v>
      </c>
      <c r="L31" s="20" t="n">
        <f aca="false">D31+J31-I31</f>
        <v>295000</v>
      </c>
      <c r="M31" s="22" t="str">
        <f aca="false">IF(L31&gt;=$Q$2,"Tinggi",IF(L31&gt;=$Q$3,"Sedang","Rendah"))</f>
        <v>Sedang</v>
      </c>
      <c r="N31" s="20" t="n">
        <f aca="false">ROUND(L31*$Q$4,0)</f>
        <v>1475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4"/>
    <col collapsed="false" customWidth="true" hidden="false" outlineLevel="0" max="4" min="4" style="0" width="15"/>
  </cols>
  <sheetData>
    <row r="1" customFormat="false" ht="33.75" hidden="false" customHeight="true" outlineLevel="0" collapsed="false">
      <c r="A1" s="11" t="s">
        <v>68</v>
      </c>
      <c r="B1" s="15" t="s">
        <v>120</v>
      </c>
      <c r="C1" s="15" t="s">
        <v>121</v>
      </c>
      <c r="D1" s="15" t="s">
        <v>122</v>
      </c>
    </row>
    <row r="2" customFormat="false" ht="15" hidden="false" customHeight="false" outlineLevel="0" collapsed="false">
      <c r="A2" s="18" t="s">
        <v>84</v>
      </c>
      <c r="B2" s="21" t="n">
        <f aca="false">COUNTIF(Data!$C$2:$C$31,A2)</f>
        <v>10</v>
      </c>
      <c r="C2" s="20" t="n">
        <f aca="false">SUMIF(Data!$C$2:$C$31,A2,Data!$L$2:$L$31)</f>
        <v>1505000</v>
      </c>
      <c r="D2" s="20" t="n">
        <f aca="false">AVERAGEIF(Data!$C$2:$C$31,A2,Data!$L$2:$L$31)</f>
        <v>150500</v>
      </c>
    </row>
    <row r="3" customFormat="false" ht="15" hidden="false" customHeight="false" outlineLevel="0" collapsed="false">
      <c r="A3" s="18" t="s">
        <v>87</v>
      </c>
      <c r="B3" s="21" t="n">
        <f aca="false">COUNTIF(Data!$C$2:$C$31,A3)</f>
        <v>10</v>
      </c>
      <c r="C3" s="20" t="n">
        <f aca="false">SUMIF(Data!$C$2:$C$31,A3,Data!$L$2:$L$31)</f>
        <v>2560000</v>
      </c>
      <c r="D3" s="20" t="n">
        <f aca="false">AVERAGEIF(Data!$C$2:$C$31,A3,Data!$L$2:$L$31)</f>
        <v>256000</v>
      </c>
    </row>
    <row r="4" customFormat="false" ht="15" hidden="false" customHeight="false" outlineLevel="0" collapsed="false">
      <c r="A4" s="18" t="s">
        <v>90</v>
      </c>
      <c r="B4" s="21" t="n">
        <f aca="false">COUNTIF(Data!$C$2:$C$31,A4)</f>
        <v>10</v>
      </c>
      <c r="C4" s="20" t="n">
        <f aca="false">SUMIF(Data!$C$2:$C$31,A4,Data!$L$2:$L$31)</f>
        <v>2205000</v>
      </c>
      <c r="D4" s="20" t="n">
        <f aca="false">AVERAGEIF(Data!$C$2:$C$31,A4,Data!$L$2:$L$31)</f>
        <v>220500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123</v>
      </c>
      <c r="B1" s="26"/>
      <c r="C1" s="26"/>
      <c r="D1" s="26"/>
    </row>
    <row r="2" customFormat="false" ht="15" hidden="false" customHeight="false" outlineLevel="0" collapsed="false">
      <c r="A2" s="27" t="s">
        <v>124</v>
      </c>
      <c r="B2" s="27"/>
      <c r="C2" s="27"/>
      <c r="D2" s="27"/>
    </row>
    <row r="3" customFormat="false" ht="15" hidden="false" customHeight="false" outlineLevel="0" collapsed="false">
      <c r="A3" s="11" t="s">
        <v>19</v>
      </c>
      <c r="B3" s="11" t="s">
        <v>125</v>
      </c>
      <c r="C3" s="11" t="s">
        <v>126</v>
      </c>
      <c r="D3" s="11" t="s">
        <v>127</v>
      </c>
    </row>
    <row r="4" customFormat="false" ht="15" hidden="false" customHeight="false" outlineLevel="0" collapsed="false">
      <c r="A4" s="28" t="s">
        <v>128</v>
      </c>
      <c r="B4" s="29" t="s">
        <v>129</v>
      </c>
      <c r="C4" s="20" t="n">
        <f aca="false">SUM(Data!$J$2:$J$31)</f>
        <v>1905000</v>
      </c>
      <c r="D4" s="30" t="s">
        <v>130</v>
      </c>
    </row>
    <row r="5" customFormat="false" ht="15" hidden="false" customHeight="false" outlineLevel="0" collapsed="false">
      <c r="A5" s="28" t="s">
        <v>131</v>
      </c>
      <c r="B5" s="29" t="s">
        <v>132</v>
      </c>
      <c r="C5" s="20" t="n">
        <f aca="false">SUM(Data!$I$2:$I$31)</f>
        <v>915000</v>
      </c>
      <c r="D5" s="30" t="s">
        <v>133</v>
      </c>
    </row>
    <row r="6" customFormat="false" ht="15" hidden="false" customHeight="false" outlineLevel="0" collapsed="false">
      <c r="A6" s="28" t="s">
        <v>134</v>
      </c>
      <c r="B6" s="29" t="s">
        <v>135</v>
      </c>
      <c r="C6" s="20" t="n">
        <f aca="false">SUM(Data!$L$2:$L$31)</f>
        <v>6270000</v>
      </c>
      <c r="D6" s="30" t="s">
        <v>136</v>
      </c>
    </row>
    <row r="7" customFormat="false" ht="15" hidden="false" customHeight="false" outlineLevel="0" collapsed="false">
      <c r="A7" s="28" t="s">
        <v>137</v>
      </c>
      <c r="B7" s="29" t="s">
        <v>138</v>
      </c>
      <c r="C7" s="21" t="n">
        <f aca="false">COUNTIF(Data!$M$2:$M$31,"Tinggi")</f>
        <v>6</v>
      </c>
      <c r="D7" s="30" t="s">
        <v>139</v>
      </c>
    </row>
    <row r="8" customFormat="false" ht="15" hidden="false" customHeight="false" outlineLevel="0" collapsed="false">
      <c r="A8" s="28" t="s">
        <v>140</v>
      </c>
      <c r="B8" s="29" t="s">
        <v>141</v>
      </c>
      <c r="C8" s="21" t="n">
        <f aca="false">COUNTIF(Data!$M$2:$M$31,"Sedang")</f>
        <v>15</v>
      </c>
      <c r="D8" s="30" t="s">
        <v>142</v>
      </c>
    </row>
    <row r="9" customFormat="false" ht="15" hidden="false" customHeight="false" outlineLevel="0" collapsed="false">
      <c r="A9" s="28" t="s">
        <v>143</v>
      </c>
      <c r="B9" s="29" t="s">
        <v>144</v>
      </c>
      <c r="C9" s="21" t="n">
        <f aca="false">COUNTIF(Data!$M$2:$M$31,"Rendah")</f>
        <v>9</v>
      </c>
      <c r="D9" s="30" t="s">
        <v>145</v>
      </c>
    </row>
    <row r="10" customFormat="false" ht="15" hidden="false" customHeight="false" outlineLevel="0" collapsed="false">
      <c r="A10" s="28" t="s">
        <v>146</v>
      </c>
      <c r="B10" s="29" t="s">
        <v>147</v>
      </c>
      <c r="C10" s="22" t="str">
        <f aca="false">INDEX(Data!$B$2:$B$31,MATCH(MAX(Data!$L$2:$L$31),Data!$L$2:$L$31,0))</f>
        <v>Intan Hartono</v>
      </c>
      <c r="D10" s="30" t="s">
        <v>148</v>
      </c>
    </row>
    <row r="11" customFormat="false" ht="15" hidden="false" customHeight="false" outlineLevel="0" collapsed="false">
      <c r="A11" s="28" t="s">
        <v>149</v>
      </c>
      <c r="B11" s="29" t="s">
        <v>150</v>
      </c>
      <c r="C11" s="22" t="str">
        <f aca="false">INDEX(Acuan!$A$2:$A$4,MATCH(MAX(Acuan!$C$2:$C$4),Acuan!$C$2:$C$4,0))</f>
        <v>7B</v>
      </c>
      <c r="D11" s="30" t="s">
        <v>151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2026-10-15T23:39:10Z</dcterms:created>
  <dc:creator>PushExcel</dc:creator>
  <dc:description/>
  <dc:language>en-US</dc:language>
  <cp:lastModifiedBy/>
  <dcterms:modified xsi:type="dcterms:W3CDTF">2026-10-15T23:39:10Z</dcterms:modified>
  <cp:revision>0</cp:revision>
  <dc:subject/>
  <dc:title>Tabungan Siswa: Setoran, Penarikan, dan Saldo - Kunci</dc:title>
</cp:coreProperties>
</file>

<file path=docProps/custom.xml><?xml version="1.0" encoding="utf-8"?>
<Properties xmlns="http://schemas.openxmlformats.org/officeDocument/2006/custom-properties" xmlns:vt="http://schemas.openxmlformats.org/officeDocument/2006/docPropsVTypes"/>
</file>