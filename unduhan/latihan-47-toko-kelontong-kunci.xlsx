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<sst xmlns="http://schemas.openxmlformats.org/spreadsheetml/2006/main" count="262" uniqueCount="147">
  <si>
    <t xml:space="preserve">Kunci Jawaban: Penjualan Toko Kelontong per Produk dan Kasir</t>
  </si>
  <si>
    <t xml:space="preserve">Latihan 47 dari 56  |  Tingkat: Menengah  |  Perkiraan waktu: 50 menit  |  pushexcel.github.io/Pushexcel</t>
  </si>
  <si>
    <t xml:space="preserve">Skenario</t>
  </si>
  <si>
    <t xml:space="preserve">Kamu pengelola Toko Kelontong Berkah Jaya yang punya empat kasir. Daftar 12 produk beserta kategori, harga jual, dan harga modal ada di sheet Acuan. Selama dua minggu tercatat 36 transaksi penjualan. Transaksi dengan nilai penjualan sama dengan atau di atas Rp 100.000 masuk kelompok Besar, sama dengan atau di atas Rp 40.000 kelompok Sedang, dan selain itu Kecil. Margin adalah laba dibagi nilai penjualan.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</si>
  <si>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</si>
  <si>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</si>
  <si>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</si>
  <si>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</si>
  <si>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</si>
  <si>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</si>
  <si>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</si>
  <si>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</si>
  <si>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</si>
  <si>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</si>
  <si>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</si>
  <si>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</si>
  <si>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</si>
  <si>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</si>
  <si>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</si>
  <si>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</si>
  <si>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</si>
  <si>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</si>
  <si>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</si>
  <si>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Ambil kategori produk dari sheet Acuan berdasarkan nama produk.</t>
  </si>
  <si>
    <t xml:space="preserve">Sheet Data, kolom F (Kategori), baris 2 sampai 37</t>
  </si>
  <si>
    <t xml:space="preserve">=VLOOKUP(C2;Acuan!$A$2:$D$13;2;FALSE)</t>
  </si>
  <si>
    <t xml:space="preserve">2</t>
  </si>
  <si>
    <t xml:space="preserve">Ambil harga jual produk dari sheet Acuan.</t>
  </si>
  <si>
    <t xml:space="preserve">Sheet Data, kolom G (Harga Jual), baris 2 sampai 37</t>
  </si>
  <si>
    <t xml:space="preserve">=VLOOKUP(C2;Acuan!$A$2:$D$13;3;FALSE)</t>
  </si>
  <si>
    <t xml:space="preserve">3</t>
  </si>
  <si>
    <t xml:space="preserve">Hitung nilai penjualan: jumlah dikali harga jual.</t>
  </si>
  <si>
    <t xml:space="preserve">Sheet Data, kolom H (Penjualan), baris 2 sampai 37</t>
  </si>
  <si>
    <t xml:space="preserve">=D2*G2</t>
  </si>
  <si>
    <t xml:space="preserve">4</t>
  </si>
  <si>
    <t xml:space="preserve">Hitung laba transaksi: jumlah dikali selisih harga jual dan harga modal (harga modal diambil dari Acuan).</t>
  </si>
  <si>
    <t xml:space="preserve">Sheet Data, kolom I (Laba), baris 2 sampai 37</t>
  </si>
  <si>
    <t xml:space="preserve">=D2*(G2-VLOOKUP(C2;Acuan!$A$2:$D$13;4;FALSE))</t>
  </si>
  <si>
    <t xml:space="preserve">5</t>
  </si>
  <si>
    <t xml:space="preserve">Hitung margin: laba dibagi nilai penjualan.</t>
  </si>
  <si>
    <t xml:space="preserve">Sheet Data, kolom J (Margin), baris 2 sampai 37</t>
  </si>
  <si>
    <t xml:space="preserve">=I2/H2</t>
  </si>
  <si>
    <t xml:space="preserve">6</t>
  </si>
  <si>
    <t xml:space="preserve">Tentukan kelompok: Besar bila penjualan sama dengan atau di atas Rp 100.000, Sedang bila sama dengan atau di atas Rp 40.000, selain itu Kecil.</t>
  </si>
  <si>
    <t xml:space="preserve">Sheet Data, kolom K (Kelompok Belanja), baris 2 sampai 37</t>
  </si>
  <si>
    <t xml:space="preserve">=IF(H2&gt;=100000;"Besar";IF(H2&gt;=40000;"Sedang";"Kecil"))</t>
  </si>
  <si>
    <t xml:space="preserve">7</t>
  </si>
  <si>
    <t xml:space="preserve">Pada sheet Acuan, hitung total jumlah terjual tiap produk.</t>
  </si>
  <si>
    <t xml:space="preserve">Sheet Acuan, kolom E (Jumlah Terjual), baris 2 sampai 13</t>
  </si>
  <si>
    <t xml:space="preserve">=SUMIF(Data!$C$2:$C$37;A2;Data!$D$2:$D$37)</t>
  </si>
  <si>
    <t xml:space="preserve">8</t>
  </si>
  <si>
    <t xml:space="preserve">Pada sheet Acuan, hitung total laba tiap produk.</t>
  </si>
  <si>
    <t xml:space="preserve">Sheet Acuan, kolom F (Total Laba), baris 2 sampai 13</t>
  </si>
  <si>
    <t xml:space="preserve">=SUMIF(Data!$C$2:$C$37;A2;Data!$I$2:$I$37)</t>
  </si>
  <si>
    <t xml:space="preserve">9</t>
  </si>
  <si>
    <t xml:space="preserve">Berapa total penjualan, total laba, dan margin keseluruhan?</t>
  </si>
  <si>
    <t xml:space="preserve">Sheet Ringkasan, sel C4 sampai C6</t>
  </si>
  <si>
    <t xml:space="preserve">=SUM(Data!$H$2:$H$37)
=SUM(Data!$I$2:$I$37)
=C5/C4</t>
  </si>
  <si>
    <t xml:space="preserve">10</t>
  </si>
  <si>
    <t xml:space="preserve">Produk apa yang paling banyak terjual, dan produk apa yang labanya terbesar?</t>
  </si>
  <si>
    <t xml:space="preserve">Sheet Ringkasan, sel C7 sampai C8</t>
  </si>
  <si>
    <t xml:space="preserve">=INDEX(Acuan!$A$2:$A$13;MATCH(MAX(Acuan!$E$2:$E$13);Acuan!$E$2:$E$13;0))
=INDEX(Acuan!$A$2:$A$13;MATCH(MAX(Acuan!$F$2:$F$13);Acuan!$F$2:$F$13;0))</t>
  </si>
  <si>
    <t xml:space="preserve">11</t>
  </si>
  <si>
    <t xml:space="preserve">Berapa total penjualan kategori Sembako, dan berapa rata-rata margin kategori Minuman?</t>
  </si>
  <si>
    <t xml:space="preserve">Sheet Ringkasan, sel C9 sampai C10</t>
  </si>
  <si>
    <t xml:space="preserve">=SUMIF(Data!$F$2:$F$37;"Sembako";Data!$H$2:$H$37)
=AVERAGEIF(Data!$F$2:$F$37;"Minuman";Data!$J$2:$J$37)</t>
  </si>
  <si>
    <t xml:space="preserve">12</t>
  </si>
  <si>
    <t xml:space="preserve">Berapa total penjualan kasir Rina, dan berapa total penjualan kasir Dedi?</t>
  </si>
  <si>
    <t xml:space="preserve">Sheet Ringkasan, sel C11 sampai C12</t>
  </si>
  <si>
    <t xml:space="preserve">=SUMIF(Data!$B$2:$B$37;"Rina";Data!$H$2:$H$37)
=SUMIF(Data!$B$2:$B$37;"Dedi";Data!$H$2:$H$37)</t>
  </si>
  <si>
    <t xml:space="preserve">13</t>
  </si>
  <si>
    <t xml:space="preserve">Berapa transaksi kelompok Besar, dan berapa transaksi QRIS yang dilayani kasir Rina?</t>
  </si>
  <si>
    <t xml:space="preserve">Sheet Ringkasan, sel C13 sampai C14</t>
  </si>
  <si>
    <t xml:space="preserve">=COUNTIF(Data!$K$2:$K$37;"Besar")
=COUNTIFS(Data!$B$2:$B$37;"Rina";Data!$E$2:$E$37;"QRIS")</t>
  </si>
  <si>
    <t xml:space="preserve">Tanggal</t>
  </si>
  <si>
    <t xml:space="preserve">Kasir</t>
  </si>
  <si>
    <t xml:space="preserve">Produk</t>
  </si>
  <si>
    <t xml:space="preserve">Jumlah</t>
  </si>
  <si>
    <t xml:space="preserve">Metode Bayar</t>
  </si>
  <si>
    <t xml:space="preserve">Kategori</t>
  </si>
  <si>
    <t xml:space="preserve">Harga Jual</t>
  </si>
  <si>
    <t xml:space="preserve">Penjualan</t>
  </si>
  <si>
    <t xml:space="preserve">Laba</t>
  </si>
  <si>
    <t xml:space="preserve">Margin</t>
  </si>
  <si>
    <t xml:space="preserve">Kelompok Belanja</t>
  </si>
  <si>
    <t xml:space="preserve">Dedi</t>
  </si>
  <si>
    <t xml:space="preserve">Biskuit</t>
  </si>
  <si>
    <t xml:space="preserve">Tunai</t>
  </si>
  <si>
    <t xml:space="preserve">Gula 1 kg</t>
  </si>
  <si>
    <t xml:space="preserve">Agus</t>
  </si>
  <si>
    <t xml:space="preserve">Beras 5 kg</t>
  </si>
  <si>
    <t xml:space="preserve">QRIS</t>
  </si>
  <si>
    <t xml:space="preserve">Deterjen 1 kg</t>
  </si>
  <si>
    <t xml:space="preserve">Rina</t>
  </si>
  <si>
    <t xml:space="preserve">Teh Kotak (dus)</t>
  </si>
  <si>
    <t xml:space="preserve">Minyak Goreng 2 L</t>
  </si>
  <si>
    <t xml:space="preserve">Sabun Cuci</t>
  </si>
  <si>
    <t xml:space="preserve">Mi Instan (dus)</t>
  </si>
  <si>
    <t xml:space="preserve">Air Mineral (dus)</t>
  </si>
  <si>
    <t xml:space="preserve">Sari</t>
  </si>
  <si>
    <t xml:space="preserve">Telur 1 kg</t>
  </si>
  <si>
    <t xml:space="preserve">Keripik</t>
  </si>
  <si>
    <t xml:space="preserve">Kopi Sachet (renceng)</t>
  </si>
  <si>
    <t xml:space="preserve">Harga Modal</t>
  </si>
  <si>
    <t xml:space="preserve">Jumlah Terjual</t>
  </si>
  <si>
    <t xml:space="preserve">Total Laba</t>
  </si>
  <si>
    <t xml:space="preserve">Sembako</t>
  </si>
  <si>
    <t xml:space="preserve">Minuman</t>
  </si>
  <si>
    <t xml:space="preserve">Makanan</t>
  </si>
  <si>
    <t xml:space="preserve">Kebersihan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</si>
  <si>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</si>
  <si>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</si>
  <si>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</si>
  <si>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</si>
  <si>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</si>
  <si>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</si>
  <si>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penjualan</t>
  </si>
  <si>
    <t xml:space="preserve">Rupiah, mis. Rp 3.000.000</t>
  </si>
  <si>
    <t xml:space="preserve">9b</t>
  </si>
  <si>
    <t xml:space="preserve">Total laba</t>
  </si>
  <si>
    <t xml:space="preserve">Rupiah, mis. Rp 250.000</t>
  </si>
  <si>
    <t xml:space="preserve">9c</t>
  </si>
  <si>
    <t xml:space="preserve">Margin keseluruhan</t>
  </si>
  <si>
    <t xml:space="preserve">Persen, mis. 11,5%</t>
  </si>
  <si>
    <t xml:space="preserve">10a</t>
  </si>
  <si>
    <t xml:space="preserve">Produk paling banyak terjual</t>
  </si>
  <si>
    <t xml:space="preserve">Teks: nama produk</t>
  </si>
  <si>
    <t xml:space="preserve">10b</t>
  </si>
  <si>
    <t xml:space="preserve">Produk dengan laba terbesar</t>
  </si>
  <si>
    <t xml:space="preserve">11a</t>
  </si>
  <si>
    <t xml:space="preserve">Total penjualan kategori Sembako</t>
  </si>
  <si>
    <t xml:space="preserve">Rupiah, mis. Rp 1.200.000</t>
  </si>
  <si>
    <t xml:space="preserve">11b</t>
  </si>
  <si>
    <t xml:space="preserve">Rata-rata margin kategori Minuman</t>
  </si>
  <si>
    <t xml:space="preserve">Persen, mis. 9,5%</t>
  </si>
  <si>
    <t xml:space="preserve">12a</t>
  </si>
  <si>
    <t xml:space="preserve">Total penjualan kasir Rina</t>
  </si>
  <si>
    <t xml:space="preserve">Rupiah, mis. Rp 800.000</t>
  </si>
  <si>
    <t xml:space="preserve">12b</t>
  </si>
  <si>
    <t xml:space="preserve">Total penjualan kasir Dedi</t>
  </si>
  <si>
    <t xml:space="preserve">Rupiah, mis. Rp 700.000</t>
  </si>
  <si>
    <t xml:space="preserve">13a</t>
  </si>
  <si>
    <t xml:space="preserve">Jumlah transaksi kelompok Besar</t>
  </si>
  <si>
    <t xml:space="preserve">Angka bulat, mis. 8</t>
  </si>
  <si>
    <t xml:space="preserve">13b</t>
  </si>
  <si>
    <t xml:space="preserve">Transaksi QRIS kasir Rina</t>
  </si>
  <si>
    <t xml:space="preserve">Angka bulat, mis. 3</t>
  </si>
</sst>
</file>

<file path=xl/styles.xml><?xml version="1.0" encoding="utf-8"?>
<styleSheet xmlns="http://schemas.openxmlformats.org/spreadsheetml/2006/main">
  <numFmts count="5">
    <numFmt numFmtId="164" formatCode="General"/>
    <numFmt numFmtId="165" formatCode="dd/mm/yyyy"/>
    <numFmt numFmtId="166" formatCode="0"/>
    <numFmt numFmtId="167" formatCode="&quot;Rp &quot;#,##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30" hidden="false" customHeight="true" outlineLevel="0" collapsed="false">
      <c r="A24" s="11" t="s">
        <v>38</v>
      </c>
      <c r="B24" s="12" t="s">
        <v>39</v>
      </c>
      <c r="C24" s="12" t="s">
        <v>40</v>
      </c>
      <c r="D24" s="13" t="s">
        <v>41</v>
      </c>
    </row>
    <row r="25" customFormat="false" ht="42" hidden="false" customHeight="true" outlineLevel="0" collapsed="false">
      <c r="A25" s="11" t="s">
        <v>42</v>
      </c>
      <c r="B25" s="12" t="s">
        <v>43</v>
      </c>
      <c r="C25" s="12" t="s">
        <v>44</v>
      </c>
      <c r="D25" s="13" t="s">
        <v>45</v>
      </c>
    </row>
    <row r="26" customFormat="false" ht="30" hidden="false" customHeight="true" outlineLevel="0" collapsed="false">
      <c r="A26" s="11" t="s">
        <v>46</v>
      </c>
      <c r="B26" s="12" t="s">
        <v>47</v>
      </c>
      <c r="C26" s="12" t="s">
        <v>48</v>
      </c>
      <c r="D26" s="13" t="s">
        <v>49</v>
      </c>
    </row>
    <row r="27" customFormat="false" ht="30" hidden="false" customHeight="true" outlineLevel="0" collapsed="false">
      <c r="A27" s="11" t="s">
        <v>50</v>
      </c>
      <c r="B27" s="12" t="s">
        <v>51</v>
      </c>
      <c r="C27" s="12" t="s">
        <v>52</v>
      </c>
      <c r="D27" s="13" t="s">
        <v>53</v>
      </c>
    </row>
    <row r="28" customFormat="false" ht="57.75" hidden="false" customHeight="true" outlineLevel="0" collapsed="false">
      <c r="A28" s="11" t="s">
        <v>54</v>
      </c>
      <c r="B28" s="12" t="s">
        <v>55</v>
      </c>
      <c r="C28" s="12" t="s">
        <v>56</v>
      </c>
      <c r="D28" s="13" t="s">
        <v>57</v>
      </c>
    </row>
    <row r="29" customFormat="false" ht="55.5" hidden="false" customHeight="true" outlineLevel="0" collapsed="false">
      <c r="A29" s="11" t="s">
        <v>58</v>
      </c>
      <c r="B29" s="12" t="s">
        <v>59</v>
      </c>
      <c r="C29" s="12" t="s">
        <v>60</v>
      </c>
      <c r="D29" s="13" t="s">
        <v>61</v>
      </c>
    </row>
    <row r="30" customFormat="false" ht="43.5" hidden="false" customHeight="true" outlineLevel="0" collapsed="false">
      <c r="A30" s="11" t="s">
        <v>62</v>
      </c>
      <c r="B30" s="12" t="s">
        <v>63</v>
      </c>
      <c r="C30" s="12" t="s">
        <v>64</v>
      </c>
      <c r="D30" s="13" t="s">
        <v>65</v>
      </c>
    </row>
    <row r="31" customFormat="false" ht="43.5" hidden="false" customHeight="true" outlineLevel="0" collapsed="false">
      <c r="A31" s="11" t="s">
        <v>66</v>
      </c>
      <c r="B31" s="12" t="s">
        <v>67</v>
      </c>
      <c r="C31" s="12" t="s">
        <v>68</v>
      </c>
      <c r="D31" s="13" t="s">
        <v>69</v>
      </c>
    </row>
    <row r="32" customFormat="false" ht="43.5" hidden="false" customHeight="true" outlineLevel="0" collapsed="false">
      <c r="A32" s="11" t="s">
        <v>70</v>
      </c>
      <c r="B32" s="12" t="s">
        <v>71</v>
      </c>
      <c r="C32" s="12" t="s">
        <v>72</v>
      </c>
      <c r="D32" s="13" t="s">
        <v>73</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22"/>
    <col collapsed="false" customWidth="true" hidden="false" outlineLevel="0" max="4" min="4" style="0" width="9"/>
    <col collapsed="false" customWidth="true" hidden="false" outlineLevel="0" max="5" min="5" style="0" width="13"/>
    <col collapsed="false" customWidth="true" hidden="false" outlineLevel="0" max="6" min="6" style="0" width="12"/>
    <col collapsed="false" customWidth="true" hidden="false" outlineLevel="0" max="8" min="7" style="0" width="13"/>
    <col collapsed="false" customWidth="true" hidden="false" outlineLevel="0" max="9" min="9" style="0" width="12"/>
    <col collapsed="false" customWidth="true" hidden="false" outlineLevel="0" max="10" min="10" style="0" width="9"/>
    <col collapsed="false" customWidth="true" hidden="false" outlineLevel="0" max="11" min="11" style="0" width="16"/>
  </cols>
  <sheetData>
    <row r="1" customFormat="false" ht="33.75" hidden="false" customHeight="true" outlineLevel="0" collapsed="false">
      <c r="A1" s="10" t="s">
        <v>74</v>
      </c>
      <c r="B1" s="10" t="s">
        <v>75</v>
      </c>
      <c r="C1" s="10" t="s">
        <v>76</v>
      </c>
      <c r="D1" s="10" t="s">
        <v>77</v>
      </c>
      <c r="E1" s="10" t="s">
        <v>78</v>
      </c>
      <c r="F1" s="14" t="s">
        <v>79</v>
      </c>
      <c r="G1" s="14" t="s">
        <v>80</v>
      </c>
      <c r="H1" s="14" t="s">
        <v>81</v>
      </c>
      <c r="I1" s="14" t="s">
        <v>82</v>
      </c>
      <c r="J1" s="14" t="s">
        <v>83</v>
      </c>
      <c r="K1" s="14" t="s">
        <v>84</v>
      </c>
    </row>
    <row r="2" customFormat="false" ht="15" hidden="false" customHeight="false" outlineLevel="0" collapsed="false">
      <c r="A2" s="15" t="n">
        <v>46286</v>
      </c>
      <c r="B2" s="16" t="s">
        <v>85</v>
      </c>
      <c r="C2" s="16" t="s">
        <v>86</v>
      </c>
      <c r="D2" s="17" t="n">
        <v>1</v>
      </c>
      <c r="E2" s="16" t="s">
        <v>87</v>
      </c>
      <c r="F2" s="18" t="str">
        <f aca="false">VLOOKUP(C2,Acuan!$A$2:$D$13,2,FALSE())</f>
        <v>Makanan</v>
      </c>
      <c r="G2" s="19" t="n">
        <f aca="false">VLOOKUP(C2,Acuan!$A$2:$D$13,3,FALSE())</f>
        <v>12000</v>
      </c>
      <c r="H2" s="19" t="n">
        <f aca="false">D2*G2</f>
        <v>12000</v>
      </c>
      <c r="I2" s="19" t="n">
        <f aca="false">D2*(G2-VLOOKUP(C2,Acuan!$A$2:$D$13,4,FALSE()))</f>
        <v>2500</v>
      </c>
      <c r="J2" s="20" t="n">
        <f aca="false">I2/H2</f>
        <v>0.208333333333333</v>
      </c>
      <c r="K2" s="18" t="str">
        <f aca="false">IF(H2&gt;=100000,"Besar",IF(H2&gt;=40000,"Sedang","Kecil"))</f>
        <v>Kecil</v>
      </c>
    </row>
    <row r="3" customFormat="false" ht="15" hidden="false" customHeight="false" outlineLevel="0" collapsed="false">
      <c r="A3" s="15" t="n">
        <v>46286</v>
      </c>
      <c r="B3" s="16" t="s">
        <v>85</v>
      </c>
      <c r="C3" s="16" t="s">
        <v>88</v>
      </c>
      <c r="D3" s="17" t="n">
        <v>3</v>
      </c>
      <c r="E3" s="16" t="s">
        <v>87</v>
      </c>
      <c r="F3" s="18" t="str">
        <f aca="false">VLOOKUP(C3,Acuan!$A$2:$D$13,2,FALSE())</f>
        <v>Sembako</v>
      </c>
      <c r="G3" s="19" t="n">
        <f aca="false">VLOOKUP(C3,Acuan!$A$2:$D$13,3,FALSE())</f>
        <v>17000</v>
      </c>
      <c r="H3" s="19" t="n">
        <f aca="false">D3*G3</f>
        <v>51000</v>
      </c>
      <c r="I3" s="19" t="n">
        <f aca="false">D3*(G3-VLOOKUP(C3,Acuan!$A$2:$D$13,4,FALSE()))</f>
        <v>4500</v>
      </c>
      <c r="J3" s="20" t="n">
        <f aca="false">I3/H3</f>
        <v>0.0882352941176471</v>
      </c>
      <c r="K3" s="18" t="str">
        <f aca="false">IF(H3&gt;=100000,"Besar",IF(H3&gt;=40000,"Sedang","Kecil"))</f>
        <v>Sedang</v>
      </c>
    </row>
    <row r="4" customFormat="false" ht="15" hidden="false" customHeight="false" outlineLevel="0" collapsed="false">
      <c r="A4" s="15" t="n">
        <v>46287</v>
      </c>
      <c r="B4" s="16" t="s">
        <v>89</v>
      </c>
      <c r="C4" s="16" t="s">
        <v>90</v>
      </c>
      <c r="D4" s="17" t="n">
        <v>3</v>
      </c>
      <c r="E4" s="16" t="s">
        <v>91</v>
      </c>
      <c r="F4" s="18" t="str">
        <f aca="false">VLOOKUP(C4,Acuan!$A$2:$D$13,2,FALSE())</f>
        <v>Sembako</v>
      </c>
      <c r="G4" s="19" t="n">
        <f aca="false">VLOOKUP(C4,Acuan!$A$2:$D$13,3,FALSE())</f>
        <v>68000</v>
      </c>
      <c r="H4" s="19" t="n">
        <f aca="false">D4*G4</f>
        <v>204000</v>
      </c>
      <c r="I4" s="19" t="n">
        <f aca="false">D4*(G4-VLOOKUP(C4,Acuan!$A$2:$D$13,4,FALSE()))</f>
        <v>18000</v>
      </c>
      <c r="J4" s="20" t="n">
        <f aca="false">I4/H4</f>
        <v>0.0882352941176471</v>
      </c>
      <c r="K4" s="18" t="str">
        <f aca="false">IF(H4&gt;=100000,"Besar",IF(H4&gt;=40000,"Sedang","Kecil"))</f>
        <v>Besar</v>
      </c>
    </row>
    <row r="5" customFormat="false" ht="15" hidden="false" customHeight="false" outlineLevel="0" collapsed="false">
      <c r="A5" s="15" t="n">
        <v>46287</v>
      </c>
      <c r="B5" s="16" t="s">
        <v>89</v>
      </c>
      <c r="C5" s="16" t="s">
        <v>92</v>
      </c>
      <c r="D5" s="17" t="n">
        <v>5</v>
      </c>
      <c r="E5" s="16" t="s">
        <v>87</v>
      </c>
      <c r="F5" s="18" t="str">
        <f aca="false">VLOOKUP(C5,Acuan!$A$2:$D$13,2,FALSE())</f>
        <v>Kebersihan</v>
      </c>
      <c r="G5" s="19" t="n">
        <f aca="false">VLOOKUP(C5,Acuan!$A$2:$D$13,3,FALSE())</f>
        <v>28000</v>
      </c>
      <c r="H5" s="19" t="n">
        <f aca="false">D5*G5</f>
        <v>140000</v>
      </c>
      <c r="I5" s="19" t="n">
        <f aca="false">D5*(G5-VLOOKUP(C5,Acuan!$A$2:$D$13,4,FALSE()))</f>
        <v>22500</v>
      </c>
      <c r="J5" s="20" t="n">
        <f aca="false">I5/H5</f>
        <v>0.160714285714286</v>
      </c>
      <c r="K5" s="18" t="str">
        <f aca="false">IF(H5&gt;=100000,"Besar",IF(H5&gt;=40000,"Sedang","Kecil"))</f>
        <v>Besar</v>
      </c>
    </row>
    <row r="6" customFormat="false" ht="15" hidden="false" customHeight="false" outlineLevel="0" collapsed="false">
      <c r="A6" s="15" t="n">
        <v>46287</v>
      </c>
      <c r="B6" s="16" t="s">
        <v>85</v>
      </c>
      <c r="C6" s="16" t="s">
        <v>88</v>
      </c>
      <c r="D6" s="17" t="n">
        <v>2</v>
      </c>
      <c r="E6" s="16" t="s">
        <v>91</v>
      </c>
      <c r="F6" s="18" t="str">
        <f aca="false">VLOOKUP(C6,Acuan!$A$2:$D$13,2,FALSE())</f>
        <v>Sembako</v>
      </c>
      <c r="G6" s="19" t="n">
        <f aca="false">VLOOKUP(C6,Acuan!$A$2:$D$13,3,FALSE())</f>
        <v>17000</v>
      </c>
      <c r="H6" s="19" t="n">
        <f aca="false">D6*G6</f>
        <v>34000</v>
      </c>
      <c r="I6" s="19" t="n">
        <f aca="false">D6*(G6-VLOOKUP(C6,Acuan!$A$2:$D$13,4,FALSE()))</f>
        <v>3000</v>
      </c>
      <c r="J6" s="20" t="n">
        <f aca="false">I6/H6</f>
        <v>0.0882352941176471</v>
      </c>
      <c r="K6" s="18" t="str">
        <f aca="false">IF(H6&gt;=100000,"Besar",IF(H6&gt;=40000,"Sedang","Kecil"))</f>
        <v>Kecil</v>
      </c>
    </row>
    <row r="7" customFormat="false" ht="15" hidden="false" customHeight="false" outlineLevel="0" collapsed="false">
      <c r="A7" s="15" t="n">
        <v>46288</v>
      </c>
      <c r="B7" s="16" t="s">
        <v>93</v>
      </c>
      <c r="C7" s="16" t="s">
        <v>88</v>
      </c>
      <c r="D7" s="17" t="n">
        <v>5</v>
      </c>
      <c r="E7" s="16" t="s">
        <v>91</v>
      </c>
      <c r="F7" s="18" t="str">
        <f aca="false">VLOOKUP(C7,Acuan!$A$2:$D$13,2,FALSE())</f>
        <v>Sembako</v>
      </c>
      <c r="G7" s="19" t="n">
        <f aca="false">VLOOKUP(C7,Acuan!$A$2:$D$13,3,FALSE())</f>
        <v>17000</v>
      </c>
      <c r="H7" s="19" t="n">
        <f aca="false">D7*G7</f>
        <v>85000</v>
      </c>
      <c r="I7" s="19" t="n">
        <f aca="false">D7*(G7-VLOOKUP(C7,Acuan!$A$2:$D$13,4,FALSE()))</f>
        <v>7500</v>
      </c>
      <c r="J7" s="20" t="n">
        <f aca="false">I7/H7</f>
        <v>0.0882352941176471</v>
      </c>
      <c r="K7" s="18" t="str">
        <f aca="false">IF(H7&gt;=100000,"Besar",IF(H7&gt;=40000,"Sedang","Kecil"))</f>
        <v>Sedang</v>
      </c>
    </row>
    <row r="8" customFormat="false" ht="15" hidden="false" customHeight="false" outlineLevel="0" collapsed="false">
      <c r="A8" s="15" t="n">
        <v>46288</v>
      </c>
      <c r="B8" s="16" t="s">
        <v>89</v>
      </c>
      <c r="C8" s="16" t="s">
        <v>94</v>
      </c>
      <c r="D8" s="17" t="n">
        <v>2</v>
      </c>
      <c r="E8" s="16" t="s">
        <v>91</v>
      </c>
      <c r="F8" s="18" t="str">
        <f aca="false">VLOOKUP(C8,Acuan!$A$2:$D$13,2,FALSE())</f>
        <v>Minuman</v>
      </c>
      <c r="G8" s="19" t="n">
        <f aca="false">VLOOKUP(C8,Acuan!$A$2:$D$13,3,FALSE())</f>
        <v>55000</v>
      </c>
      <c r="H8" s="19" t="n">
        <f aca="false">D8*G8</f>
        <v>110000</v>
      </c>
      <c r="I8" s="19" t="n">
        <f aca="false">D8*(G8-VLOOKUP(C8,Acuan!$A$2:$D$13,4,FALSE()))</f>
        <v>12000</v>
      </c>
      <c r="J8" s="20" t="n">
        <f aca="false">I8/H8</f>
        <v>0.109090909090909</v>
      </c>
      <c r="K8" s="18" t="str">
        <f aca="false">IF(H8&gt;=100000,"Besar",IF(H8&gt;=40000,"Sedang","Kecil"))</f>
        <v>Besar</v>
      </c>
    </row>
    <row r="9" customFormat="false" ht="15" hidden="false" customHeight="false" outlineLevel="0" collapsed="false">
      <c r="A9" s="15" t="n">
        <v>46289</v>
      </c>
      <c r="B9" s="16" t="s">
        <v>85</v>
      </c>
      <c r="C9" s="16" t="s">
        <v>95</v>
      </c>
      <c r="D9" s="17" t="n">
        <v>3</v>
      </c>
      <c r="E9" s="16" t="s">
        <v>87</v>
      </c>
      <c r="F9" s="18" t="str">
        <f aca="false">VLOOKUP(C9,Acuan!$A$2:$D$13,2,FALSE())</f>
        <v>Sembako</v>
      </c>
      <c r="G9" s="19" t="n">
        <f aca="false">VLOOKUP(C9,Acuan!$A$2:$D$13,3,FALSE())</f>
        <v>36000</v>
      </c>
      <c r="H9" s="19" t="n">
        <f aca="false">D9*G9</f>
        <v>108000</v>
      </c>
      <c r="I9" s="19" t="n">
        <f aca="false">D9*(G9-VLOOKUP(C9,Acuan!$A$2:$D$13,4,FALSE()))</f>
        <v>9000</v>
      </c>
      <c r="J9" s="20" t="n">
        <f aca="false">I9/H9</f>
        <v>0.0833333333333333</v>
      </c>
      <c r="K9" s="18" t="str">
        <f aca="false">IF(H9&gt;=100000,"Besar",IF(H9&gt;=40000,"Sedang","Kecil"))</f>
        <v>Besar</v>
      </c>
    </row>
    <row r="10" customFormat="false" ht="15" hidden="false" customHeight="false" outlineLevel="0" collapsed="false">
      <c r="A10" s="15" t="n">
        <v>46289</v>
      </c>
      <c r="B10" s="16" t="s">
        <v>85</v>
      </c>
      <c r="C10" s="16" t="s">
        <v>96</v>
      </c>
      <c r="D10" s="17" t="n">
        <v>6</v>
      </c>
      <c r="E10" s="16" t="s">
        <v>87</v>
      </c>
      <c r="F10" s="18" t="str">
        <f aca="false">VLOOKUP(C10,Acuan!$A$2:$D$13,2,FALSE())</f>
        <v>Kebersihan</v>
      </c>
      <c r="G10" s="19" t="n">
        <f aca="false">VLOOKUP(C10,Acuan!$A$2:$D$13,3,FALSE())</f>
        <v>14000</v>
      </c>
      <c r="H10" s="19" t="n">
        <f aca="false">D10*G10</f>
        <v>84000</v>
      </c>
      <c r="I10" s="19" t="n">
        <f aca="false">D10*(G10-VLOOKUP(C10,Acuan!$A$2:$D$13,4,FALSE()))</f>
        <v>15000</v>
      </c>
      <c r="J10" s="20" t="n">
        <f aca="false">I10/H10</f>
        <v>0.178571428571429</v>
      </c>
      <c r="K10" s="18" t="str">
        <f aca="false">IF(H10&gt;=100000,"Besar",IF(H10&gt;=40000,"Sedang","Kecil"))</f>
        <v>Sedang</v>
      </c>
    </row>
    <row r="11" customFormat="false" ht="15" hidden="false" customHeight="false" outlineLevel="0" collapsed="false">
      <c r="A11" s="15" t="n">
        <v>46289</v>
      </c>
      <c r="B11" s="16" t="s">
        <v>89</v>
      </c>
      <c r="C11" s="16" t="s">
        <v>97</v>
      </c>
      <c r="D11" s="17" t="n">
        <v>1</v>
      </c>
      <c r="E11" s="16" t="s">
        <v>87</v>
      </c>
      <c r="F11" s="18" t="str">
        <f aca="false">VLOOKUP(C11,Acuan!$A$2:$D$13,2,FALSE())</f>
        <v>Makanan</v>
      </c>
      <c r="G11" s="19" t="n">
        <f aca="false">VLOOKUP(C11,Acuan!$A$2:$D$13,3,FALSE())</f>
        <v>108000</v>
      </c>
      <c r="H11" s="19" t="n">
        <f aca="false">D11*G11</f>
        <v>108000</v>
      </c>
      <c r="I11" s="19" t="n">
        <f aca="false">D11*(G11-VLOOKUP(C11,Acuan!$A$2:$D$13,4,FALSE()))</f>
        <v>9000</v>
      </c>
      <c r="J11" s="20" t="n">
        <f aca="false">I11/H11</f>
        <v>0.0833333333333333</v>
      </c>
      <c r="K11" s="18" t="str">
        <f aca="false">IF(H11&gt;=100000,"Besar",IF(H11&gt;=40000,"Sedang","Kecil"))</f>
        <v>Besar</v>
      </c>
    </row>
    <row r="12" customFormat="false" ht="15" hidden="false" customHeight="false" outlineLevel="0" collapsed="false">
      <c r="A12" s="15" t="n">
        <v>46289</v>
      </c>
      <c r="B12" s="16" t="s">
        <v>93</v>
      </c>
      <c r="C12" s="16" t="s">
        <v>98</v>
      </c>
      <c r="D12" s="17" t="n">
        <v>1</v>
      </c>
      <c r="E12" s="16" t="s">
        <v>87</v>
      </c>
      <c r="F12" s="18" t="str">
        <f aca="false">VLOOKUP(C12,Acuan!$A$2:$D$13,2,FALSE())</f>
        <v>Minuman</v>
      </c>
      <c r="G12" s="19" t="n">
        <f aca="false">VLOOKUP(C12,Acuan!$A$2:$D$13,3,FALSE())</f>
        <v>40000</v>
      </c>
      <c r="H12" s="19" t="n">
        <f aca="false">D12*G12</f>
        <v>40000</v>
      </c>
      <c r="I12" s="19" t="n">
        <f aca="false">D12*(G12-VLOOKUP(C12,Acuan!$A$2:$D$13,4,FALSE()))</f>
        <v>4000</v>
      </c>
      <c r="J12" s="20" t="n">
        <f aca="false">I12/H12</f>
        <v>0.1</v>
      </c>
      <c r="K12" s="18" t="str">
        <f aca="false">IF(H12&gt;=100000,"Besar",IF(H12&gt;=40000,"Sedang","Kecil"))</f>
        <v>Sedang</v>
      </c>
    </row>
    <row r="13" customFormat="false" ht="15" hidden="false" customHeight="false" outlineLevel="0" collapsed="false">
      <c r="A13" s="15" t="n">
        <v>46290</v>
      </c>
      <c r="B13" s="16" t="s">
        <v>89</v>
      </c>
      <c r="C13" s="16" t="s">
        <v>88</v>
      </c>
      <c r="D13" s="17" t="n">
        <v>4</v>
      </c>
      <c r="E13" s="16" t="s">
        <v>91</v>
      </c>
      <c r="F13" s="18" t="str">
        <f aca="false">VLOOKUP(C13,Acuan!$A$2:$D$13,2,FALSE())</f>
        <v>Sembako</v>
      </c>
      <c r="G13" s="19" t="n">
        <f aca="false">VLOOKUP(C13,Acuan!$A$2:$D$13,3,FALSE())</f>
        <v>17000</v>
      </c>
      <c r="H13" s="19" t="n">
        <f aca="false">D13*G13</f>
        <v>68000</v>
      </c>
      <c r="I13" s="19" t="n">
        <f aca="false">D13*(G13-VLOOKUP(C13,Acuan!$A$2:$D$13,4,FALSE()))</f>
        <v>6000</v>
      </c>
      <c r="J13" s="20" t="n">
        <f aca="false">I13/H13</f>
        <v>0.0882352941176471</v>
      </c>
      <c r="K13" s="18" t="str">
        <f aca="false">IF(H13&gt;=100000,"Besar",IF(H13&gt;=40000,"Sedang","Kecil"))</f>
        <v>Sedang</v>
      </c>
    </row>
    <row r="14" customFormat="false" ht="15" hidden="false" customHeight="false" outlineLevel="0" collapsed="false">
      <c r="A14" s="15" t="n">
        <v>46290</v>
      </c>
      <c r="B14" s="16" t="s">
        <v>99</v>
      </c>
      <c r="C14" s="16" t="s">
        <v>100</v>
      </c>
      <c r="D14" s="17" t="n">
        <v>5</v>
      </c>
      <c r="E14" s="16" t="s">
        <v>87</v>
      </c>
      <c r="F14" s="18" t="str">
        <f aca="false">VLOOKUP(C14,Acuan!$A$2:$D$13,2,FALSE())</f>
        <v>Sembako</v>
      </c>
      <c r="G14" s="19" t="n">
        <f aca="false">VLOOKUP(C14,Acuan!$A$2:$D$13,3,FALSE())</f>
        <v>29000</v>
      </c>
      <c r="H14" s="19" t="n">
        <f aca="false">D14*G14</f>
        <v>145000</v>
      </c>
      <c r="I14" s="19" t="n">
        <f aca="false">D14*(G14-VLOOKUP(C14,Acuan!$A$2:$D$13,4,FALSE()))</f>
        <v>12500</v>
      </c>
      <c r="J14" s="20" t="n">
        <f aca="false">I14/H14</f>
        <v>0.0862068965517241</v>
      </c>
      <c r="K14" s="18" t="str">
        <f aca="false">IF(H14&gt;=100000,"Besar",IF(H14&gt;=40000,"Sedang","Kecil"))</f>
        <v>Besar</v>
      </c>
    </row>
    <row r="15" customFormat="false" ht="15" hidden="false" customHeight="false" outlineLevel="0" collapsed="false">
      <c r="A15" s="15" t="n">
        <v>46290</v>
      </c>
      <c r="B15" s="16" t="s">
        <v>85</v>
      </c>
      <c r="C15" s="16" t="s">
        <v>94</v>
      </c>
      <c r="D15" s="17" t="n">
        <v>2</v>
      </c>
      <c r="E15" s="16" t="s">
        <v>87</v>
      </c>
      <c r="F15" s="18" t="str">
        <f aca="false">VLOOKUP(C15,Acuan!$A$2:$D$13,2,FALSE())</f>
        <v>Minuman</v>
      </c>
      <c r="G15" s="19" t="n">
        <f aca="false">VLOOKUP(C15,Acuan!$A$2:$D$13,3,FALSE())</f>
        <v>55000</v>
      </c>
      <c r="H15" s="19" t="n">
        <f aca="false">D15*G15</f>
        <v>110000</v>
      </c>
      <c r="I15" s="19" t="n">
        <f aca="false">D15*(G15-VLOOKUP(C15,Acuan!$A$2:$D$13,4,FALSE()))</f>
        <v>12000</v>
      </c>
      <c r="J15" s="20" t="n">
        <f aca="false">I15/H15</f>
        <v>0.109090909090909</v>
      </c>
      <c r="K15" s="18" t="str">
        <f aca="false">IF(H15&gt;=100000,"Besar",IF(H15&gt;=40000,"Sedang","Kecil"))</f>
        <v>Besar</v>
      </c>
    </row>
    <row r="16" customFormat="false" ht="15" hidden="false" customHeight="false" outlineLevel="0" collapsed="false">
      <c r="A16" s="15" t="n">
        <v>46290</v>
      </c>
      <c r="B16" s="16" t="s">
        <v>85</v>
      </c>
      <c r="C16" s="16" t="s">
        <v>92</v>
      </c>
      <c r="D16" s="17" t="n">
        <v>2</v>
      </c>
      <c r="E16" s="16" t="s">
        <v>91</v>
      </c>
      <c r="F16" s="18" t="str">
        <f aca="false">VLOOKUP(C16,Acuan!$A$2:$D$13,2,FALSE())</f>
        <v>Kebersihan</v>
      </c>
      <c r="G16" s="19" t="n">
        <f aca="false">VLOOKUP(C16,Acuan!$A$2:$D$13,3,FALSE())</f>
        <v>28000</v>
      </c>
      <c r="H16" s="19" t="n">
        <f aca="false">D16*G16</f>
        <v>56000</v>
      </c>
      <c r="I16" s="19" t="n">
        <f aca="false">D16*(G16-VLOOKUP(C16,Acuan!$A$2:$D$13,4,FALSE()))</f>
        <v>9000</v>
      </c>
      <c r="J16" s="20" t="n">
        <f aca="false">I16/H16</f>
        <v>0.160714285714286</v>
      </c>
      <c r="K16" s="18" t="str">
        <f aca="false">IF(H16&gt;=100000,"Besar",IF(H16&gt;=40000,"Sedang","Kecil"))</f>
        <v>Sedang</v>
      </c>
    </row>
    <row r="17" customFormat="false" ht="15" hidden="false" customHeight="false" outlineLevel="0" collapsed="false">
      <c r="A17" s="15" t="n">
        <v>46291</v>
      </c>
      <c r="B17" s="16" t="s">
        <v>93</v>
      </c>
      <c r="C17" s="16" t="s">
        <v>92</v>
      </c>
      <c r="D17" s="17" t="n">
        <v>4</v>
      </c>
      <c r="E17" s="16" t="s">
        <v>91</v>
      </c>
      <c r="F17" s="18" t="str">
        <f aca="false">VLOOKUP(C17,Acuan!$A$2:$D$13,2,FALSE())</f>
        <v>Kebersihan</v>
      </c>
      <c r="G17" s="19" t="n">
        <f aca="false">VLOOKUP(C17,Acuan!$A$2:$D$13,3,FALSE())</f>
        <v>28000</v>
      </c>
      <c r="H17" s="19" t="n">
        <f aca="false">D17*G17</f>
        <v>112000</v>
      </c>
      <c r="I17" s="19" t="n">
        <f aca="false">D17*(G17-VLOOKUP(C17,Acuan!$A$2:$D$13,4,FALSE()))</f>
        <v>18000</v>
      </c>
      <c r="J17" s="20" t="n">
        <f aca="false">I17/H17</f>
        <v>0.160714285714286</v>
      </c>
      <c r="K17" s="18" t="str">
        <f aca="false">IF(H17&gt;=100000,"Besar",IF(H17&gt;=40000,"Sedang","Kecil"))</f>
        <v>Besar</v>
      </c>
    </row>
    <row r="18" customFormat="false" ht="15" hidden="false" customHeight="false" outlineLevel="0" collapsed="false">
      <c r="A18" s="15" t="n">
        <v>46291</v>
      </c>
      <c r="B18" s="16" t="s">
        <v>93</v>
      </c>
      <c r="C18" s="16" t="s">
        <v>95</v>
      </c>
      <c r="D18" s="17" t="n">
        <v>3</v>
      </c>
      <c r="E18" s="16" t="s">
        <v>91</v>
      </c>
      <c r="F18" s="18" t="str">
        <f aca="false">VLOOKUP(C18,Acuan!$A$2:$D$13,2,FALSE())</f>
        <v>Sembako</v>
      </c>
      <c r="G18" s="19" t="n">
        <f aca="false">VLOOKUP(C18,Acuan!$A$2:$D$13,3,FALSE())</f>
        <v>36000</v>
      </c>
      <c r="H18" s="19" t="n">
        <f aca="false">D18*G18</f>
        <v>108000</v>
      </c>
      <c r="I18" s="19" t="n">
        <f aca="false">D18*(G18-VLOOKUP(C18,Acuan!$A$2:$D$13,4,FALSE()))</f>
        <v>9000</v>
      </c>
      <c r="J18" s="20" t="n">
        <f aca="false">I18/H18</f>
        <v>0.0833333333333333</v>
      </c>
      <c r="K18" s="18" t="str">
        <f aca="false">IF(H18&gt;=100000,"Besar",IF(H18&gt;=40000,"Sedang","Kecil"))</f>
        <v>Besar</v>
      </c>
    </row>
    <row r="19" customFormat="false" ht="15" hidden="false" customHeight="false" outlineLevel="0" collapsed="false">
      <c r="A19" s="15" t="n">
        <v>46291</v>
      </c>
      <c r="B19" s="16" t="s">
        <v>99</v>
      </c>
      <c r="C19" s="16" t="s">
        <v>90</v>
      </c>
      <c r="D19" s="17" t="n">
        <v>1</v>
      </c>
      <c r="E19" s="16" t="s">
        <v>87</v>
      </c>
      <c r="F19" s="18" t="str">
        <f aca="false">VLOOKUP(C19,Acuan!$A$2:$D$13,2,FALSE())</f>
        <v>Sembako</v>
      </c>
      <c r="G19" s="19" t="n">
        <f aca="false">VLOOKUP(C19,Acuan!$A$2:$D$13,3,FALSE())</f>
        <v>68000</v>
      </c>
      <c r="H19" s="19" t="n">
        <f aca="false">D19*G19</f>
        <v>68000</v>
      </c>
      <c r="I19" s="19" t="n">
        <f aca="false">D19*(G19-VLOOKUP(C19,Acuan!$A$2:$D$13,4,FALSE()))</f>
        <v>6000</v>
      </c>
      <c r="J19" s="20" t="n">
        <f aca="false">I19/H19</f>
        <v>0.0882352941176471</v>
      </c>
      <c r="K19" s="18" t="str">
        <f aca="false">IF(H19&gt;=100000,"Besar",IF(H19&gt;=40000,"Sedang","Kecil"))</f>
        <v>Sedang</v>
      </c>
    </row>
    <row r="20" customFormat="false" ht="15" hidden="false" customHeight="false" outlineLevel="0" collapsed="false">
      <c r="A20" s="15" t="n">
        <v>46292</v>
      </c>
      <c r="B20" s="16" t="s">
        <v>85</v>
      </c>
      <c r="C20" s="16" t="s">
        <v>100</v>
      </c>
      <c r="D20" s="17" t="n">
        <v>4</v>
      </c>
      <c r="E20" s="16" t="s">
        <v>87</v>
      </c>
      <c r="F20" s="18" t="str">
        <f aca="false">VLOOKUP(C20,Acuan!$A$2:$D$13,2,FALSE())</f>
        <v>Sembako</v>
      </c>
      <c r="G20" s="19" t="n">
        <f aca="false">VLOOKUP(C20,Acuan!$A$2:$D$13,3,FALSE())</f>
        <v>29000</v>
      </c>
      <c r="H20" s="19" t="n">
        <f aca="false">D20*G20</f>
        <v>116000</v>
      </c>
      <c r="I20" s="19" t="n">
        <f aca="false">D20*(G20-VLOOKUP(C20,Acuan!$A$2:$D$13,4,FALSE()))</f>
        <v>10000</v>
      </c>
      <c r="J20" s="20" t="n">
        <f aca="false">I20/H20</f>
        <v>0.0862068965517241</v>
      </c>
      <c r="K20" s="18" t="str">
        <f aca="false">IF(H20&gt;=100000,"Besar",IF(H20&gt;=40000,"Sedang","Kecil"))</f>
        <v>Besar</v>
      </c>
    </row>
    <row r="21" customFormat="false" ht="15" hidden="false" customHeight="false" outlineLevel="0" collapsed="false">
      <c r="A21" s="15" t="n">
        <v>46293</v>
      </c>
      <c r="B21" s="16" t="s">
        <v>93</v>
      </c>
      <c r="C21" s="16" t="s">
        <v>88</v>
      </c>
      <c r="D21" s="17" t="n">
        <v>3</v>
      </c>
      <c r="E21" s="16" t="s">
        <v>91</v>
      </c>
      <c r="F21" s="18" t="str">
        <f aca="false">VLOOKUP(C21,Acuan!$A$2:$D$13,2,FALSE())</f>
        <v>Sembako</v>
      </c>
      <c r="G21" s="19" t="n">
        <f aca="false">VLOOKUP(C21,Acuan!$A$2:$D$13,3,FALSE())</f>
        <v>17000</v>
      </c>
      <c r="H21" s="19" t="n">
        <f aca="false">D21*G21</f>
        <v>51000</v>
      </c>
      <c r="I21" s="19" t="n">
        <f aca="false">D21*(G21-VLOOKUP(C21,Acuan!$A$2:$D$13,4,FALSE()))</f>
        <v>4500</v>
      </c>
      <c r="J21" s="20" t="n">
        <f aca="false">I21/H21</f>
        <v>0.0882352941176471</v>
      </c>
      <c r="K21" s="18" t="str">
        <f aca="false">IF(H21&gt;=100000,"Besar",IF(H21&gt;=40000,"Sedang","Kecil"))</f>
        <v>Sedang</v>
      </c>
    </row>
    <row r="22" customFormat="false" ht="15" hidden="false" customHeight="false" outlineLevel="0" collapsed="false">
      <c r="A22" s="15" t="n">
        <v>46295</v>
      </c>
      <c r="B22" s="16" t="s">
        <v>93</v>
      </c>
      <c r="C22" s="16" t="s">
        <v>97</v>
      </c>
      <c r="D22" s="17" t="n">
        <v>3</v>
      </c>
      <c r="E22" s="16" t="s">
        <v>87</v>
      </c>
      <c r="F22" s="18" t="str">
        <f aca="false">VLOOKUP(C22,Acuan!$A$2:$D$13,2,FALSE())</f>
        <v>Makanan</v>
      </c>
      <c r="G22" s="19" t="n">
        <f aca="false">VLOOKUP(C22,Acuan!$A$2:$D$13,3,FALSE())</f>
        <v>108000</v>
      </c>
      <c r="H22" s="19" t="n">
        <f aca="false">D22*G22</f>
        <v>324000</v>
      </c>
      <c r="I22" s="19" t="n">
        <f aca="false">D22*(G22-VLOOKUP(C22,Acuan!$A$2:$D$13,4,FALSE()))</f>
        <v>27000</v>
      </c>
      <c r="J22" s="20" t="n">
        <f aca="false">I22/H22</f>
        <v>0.0833333333333333</v>
      </c>
      <c r="K22" s="18" t="str">
        <f aca="false">IF(H22&gt;=100000,"Besar",IF(H22&gt;=40000,"Sedang","Kecil"))</f>
        <v>Besar</v>
      </c>
    </row>
    <row r="23" customFormat="false" ht="15" hidden="false" customHeight="false" outlineLevel="0" collapsed="false">
      <c r="A23" s="15" t="n">
        <v>46296</v>
      </c>
      <c r="B23" s="16" t="s">
        <v>93</v>
      </c>
      <c r="C23" s="16" t="s">
        <v>97</v>
      </c>
      <c r="D23" s="17" t="n">
        <v>2</v>
      </c>
      <c r="E23" s="16" t="s">
        <v>87</v>
      </c>
      <c r="F23" s="18" t="str">
        <f aca="false">VLOOKUP(C23,Acuan!$A$2:$D$13,2,FALSE())</f>
        <v>Makanan</v>
      </c>
      <c r="G23" s="19" t="n">
        <f aca="false">VLOOKUP(C23,Acuan!$A$2:$D$13,3,FALSE())</f>
        <v>108000</v>
      </c>
      <c r="H23" s="19" t="n">
        <f aca="false">D23*G23</f>
        <v>216000</v>
      </c>
      <c r="I23" s="19" t="n">
        <f aca="false">D23*(G23-VLOOKUP(C23,Acuan!$A$2:$D$13,4,FALSE()))</f>
        <v>18000</v>
      </c>
      <c r="J23" s="20" t="n">
        <f aca="false">I23/H23</f>
        <v>0.0833333333333333</v>
      </c>
      <c r="K23" s="18" t="str">
        <f aca="false">IF(H23&gt;=100000,"Besar",IF(H23&gt;=40000,"Sedang","Kecil"))</f>
        <v>Besar</v>
      </c>
    </row>
    <row r="24" customFormat="false" ht="15" hidden="false" customHeight="false" outlineLevel="0" collapsed="false">
      <c r="A24" s="15" t="n">
        <v>46296</v>
      </c>
      <c r="B24" s="16" t="s">
        <v>99</v>
      </c>
      <c r="C24" s="16" t="s">
        <v>95</v>
      </c>
      <c r="D24" s="17" t="n">
        <v>1</v>
      </c>
      <c r="E24" s="16" t="s">
        <v>91</v>
      </c>
      <c r="F24" s="18" t="str">
        <f aca="false">VLOOKUP(C24,Acuan!$A$2:$D$13,2,FALSE())</f>
        <v>Sembako</v>
      </c>
      <c r="G24" s="19" t="n">
        <f aca="false">VLOOKUP(C24,Acuan!$A$2:$D$13,3,FALSE())</f>
        <v>36000</v>
      </c>
      <c r="H24" s="19" t="n">
        <f aca="false">D24*G24</f>
        <v>36000</v>
      </c>
      <c r="I24" s="19" t="n">
        <f aca="false">D24*(G24-VLOOKUP(C24,Acuan!$A$2:$D$13,4,FALSE()))</f>
        <v>3000</v>
      </c>
      <c r="J24" s="20" t="n">
        <f aca="false">I24/H24</f>
        <v>0.0833333333333333</v>
      </c>
      <c r="K24" s="18" t="str">
        <f aca="false">IF(H24&gt;=100000,"Besar",IF(H24&gt;=40000,"Sedang","Kecil"))</f>
        <v>Kecil</v>
      </c>
    </row>
    <row r="25" customFormat="false" ht="15" hidden="false" customHeight="false" outlineLevel="0" collapsed="false">
      <c r="A25" s="15" t="n">
        <v>46297</v>
      </c>
      <c r="B25" s="16" t="s">
        <v>89</v>
      </c>
      <c r="C25" s="16" t="s">
        <v>98</v>
      </c>
      <c r="D25" s="17" t="n">
        <v>3</v>
      </c>
      <c r="E25" s="16" t="s">
        <v>87</v>
      </c>
      <c r="F25" s="18" t="str">
        <f aca="false">VLOOKUP(C25,Acuan!$A$2:$D$13,2,FALSE())</f>
        <v>Minuman</v>
      </c>
      <c r="G25" s="19" t="n">
        <f aca="false">VLOOKUP(C25,Acuan!$A$2:$D$13,3,FALSE())</f>
        <v>40000</v>
      </c>
      <c r="H25" s="19" t="n">
        <f aca="false">D25*G25</f>
        <v>120000</v>
      </c>
      <c r="I25" s="19" t="n">
        <f aca="false">D25*(G25-VLOOKUP(C25,Acuan!$A$2:$D$13,4,FALSE()))</f>
        <v>12000</v>
      </c>
      <c r="J25" s="20" t="n">
        <f aca="false">I25/H25</f>
        <v>0.1</v>
      </c>
      <c r="K25" s="18" t="str">
        <f aca="false">IF(H25&gt;=100000,"Besar",IF(H25&gt;=40000,"Sedang","Kecil"))</f>
        <v>Besar</v>
      </c>
    </row>
    <row r="26" customFormat="false" ht="15" hidden="false" customHeight="false" outlineLevel="0" collapsed="false">
      <c r="A26" s="15" t="n">
        <v>46297</v>
      </c>
      <c r="B26" s="16" t="s">
        <v>93</v>
      </c>
      <c r="C26" s="16" t="s">
        <v>101</v>
      </c>
      <c r="D26" s="17" t="n">
        <v>2</v>
      </c>
      <c r="E26" s="16" t="s">
        <v>87</v>
      </c>
      <c r="F26" s="18" t="str">
        <f aca="false">VLOOKUP(C26,Acuan!$A$2:$D$13,2,FALSE())</f>
        <v>Makanan</v>
      </c>
      <c r="G26" s="19" t="n">
        <f aca="false">VLOOKUP(C26,Acuan!$A$2:$D$13,3,FALSE())</f>
        <v>9000</v>
      </c>
      <c r="H26" s="19" t="n">
        <f aca="false">D26*G26</f>
        <v>18000</v>
      </c>
      <c r="I26" s="19" t="n">
        <f aca="false">D26*(G26-VLOOKUP(C26,Acuan!$A$2:$D$13,4,FALSE()))</f>
        <v>5000</v>
      </c>
      <c r="J26" s="20" t="n">
        <f aca="false">I26/H26</f>
        <v>0.277777777777778</v>
      </c>
      <c r="K26" s="18" t="str">
        <f aca="false">IF(H26&gt;=100000,"Besar",IF(H26&gt;=40000,"Sedang","Kecil"))</f>
        <v>Kecil</v>
      </c>
    </row>
    <row r="27" customFormat="false" ht="15" hidden="false" customHeight="false" outlineLevel="0" collapsed="false">
      <c r="A27" s="15" t="n">
        <v>46297</v>
      </c>
      <c r="B27" s="16" t="s">
        <v>85</v>
      </c>
      <c r="C27" s="16" t="s">
        <v>102</v>
      </c>
      <c r="D27" s="17" t="n">
        <v>6</v>
      </c>
      <c r="E27" s="16" t="s">
        <v>87</v>
      </c>
      <c r="F27" s="18" t="str">
        <f aca="false">VLOOKUP(C27,Acuan!$A$2:$D$13,2,FALSE())</f>
        <v>Minuman</v>
      </c>
      <c r="G27" s="19" t="n">
        <f aca="false">VLOOKUP(C27,Acuan!$A$2:$D$13,3,FALSE())</f>
        <v>16000</v>
      </c>
      <c r="H27" s="19" t="n">
        <f aca="false">D27*G27</f>
        <v>96000</v>
      </c>
      <c r="I27" s="19" t="n">
        <f aca="false">D27*(G27-VLOOKUP(C27,Acuan!$A$2:$D$13,4,FALSE()))</f>
        <v>15000</v>
      </c>
      <c r="J27" s="20" t="n">
        <f aca="false">I27/H27</f>
        <v>0.15625</v>
      </c>
      <c r="K27" s="18" t="str">
        <f aca="false">IF(H27&gt;=100000,"Besar",IF(H27&gt;=40000,"Sedang","Kecil"))</f>
        <v>Sedang</v>
      </c>
    </row>
    <row r="28" customFormat="false" ht="15" hidden="false" customHeight="false" outlineLevel="0" collapsed="false">
      <c r="A28" s="15" t="n">
        <v>46297</v>
      </c>
      <c r="B28" s="16" t="s">
        <v>93</v>
      </c>
      <c r="C28" s="16" t="s">
        <v>86</v>
      </c>
      <c r="D28" s="17" t="n">
        <v>2</v>
      </c>
      <c r="E28" s="16" t="s">
        <v>87</v>
      </c>
      <c r="F28" s="18" t="str">
        <f aca="false">VLOOKUP(C28,Acuan!$A$2:$D$13,2,FALSE())</f>
        <v>Makanan</v>
      </c>
      <c r="G28" s="19" t="n">
        <f aca="false">VLOOKUP(C28,Acuan!$A$2:$D$13,3,FALSE())</f>
        <v>12000</v>
      </c>
      <c r="H28" s="19" t="n">
        <f aca="false">D28*G28</f>
        <v>24000</v>
      </c>
      <c r="I28" s="19" t="n">
        <f aca="false">D28*(G28-VLOOKUP(C28,Acuan!$A$2:$D$13,4,FALSE()))</f>
        <v>5000</v>
      </c>
      <c r="J28" s="20" t="n">
        <f aca="false">I28/H28</f>
        <v>0.208333333333333</v>
      </c>
      <c r="K28" s="18" t="str">
        <f aca="false">IF(H28&gt;=100000,"Besar",IF(H28&gt;=40000,"Sedang","Kecil"))</f>
        <v>Kecil</v>
      </c>
    </row>
    <row r="29" customFormat="false" ht="15" hidden="false" customHeight="false" outlineLevel="0" collapsed="false">
      <c r="A29" s="15" t="n">
        <v>46298</v>
      </c>
      <c r="B29" s="16" t="s">
        <v>93</v>
      </c>
      <c r="C29" s="16" t="s">
        <v>102</v>
      </c>
      <c r="D29" s="17" t="n">
        <v>4</v>
      </c>
      <c r="E29" s="16" t="s">
        <v>87</v>
      </c>
      <c r="F29" s="18" t="str">
        <f aca="false">VLOOKUP(C29,Acuan!$A$2:$D$13,2,FALSE())</f>
        <v>Minuman</v>
      </c>
      <c r="G29" s="19" t="n">
        <f aca="false">VLOOKUP(C29,Acuan!$A$2:$D$13,3,FALSE())</f>
        <v>16000</v>
      </c>
      <c r="H29" s="19" t="n">
        <f aca="false">D29*G29</f>
        <v>64000</v>
      </c>
      <c r="I29" s="19" t="n">
        <f aca="false">D29*(G29-VLOOKUP(C29,Acuan!$A$2:$D$13,4,FALSE()))</f>
        <v>10000</v>
      </c>
      <c r="J29" s="20" t="n">
        <f aca="false">I29/H29</f>
        <v>0.15625</v>
      </c>
      <c r="K29" s="18" t="str">
        <f aca="false">IF(H29&gt;=100000,"Besar",IF(H29&gt;=40000,"Sedang","Kecil"))</f>
        <v>Sedang</v>
      </c>
    </row>
    <row r="30" customFormat="false" ht="15" hidden="false" customHeight="false" outlineLevel="0" collapsed="false">
      <c r="A30" s="15" t="n">
        <v>46298</v>
      </c>
      <c r="B30" s="16" t="s">
        <v>89</v>
      </c>
      <c r="C30" s="16" t="s">
        <v>94</v>
      </c>
      <c r="D30" s="17" t="n">
        <v>3</v>
      </c>
      <c r="E30" s="16" t="s">
        <v>91</v>
      </c>
      <c r="F30" s="18" t="str">
        <f aca="false">VLOOKUP(C30,Acuan!$A$2:$D$13,2,FALSE())</f>
        <v>Minuman</v>
      </c>
      <c r="G30" s="19" t="n">
        <f aca="false">VLOOKUP(C30,Acuan!$A$2:$D$13,3,FALSE())</f>
        <v>55000</v>
      </c>
      <c r="H30" s="19" t="n">
        <f aca="false">D30*G30</f>
        <v>165000</v>
      </c>
      <c r="I30" s="19" t="n">
        <f aca="false">D30*(G30-VLOOKUP(C30,Acuan!$A$2:$D$13,4,FALSE()))</f>
        <v>18000</v>
      </c>
      <c r="J30" s="20" t="n">
        <f aca="false">I30/H30</f>
        <v>0.109090909090909</v>
      </c>
      <c r="K30" s="18" t="str">
        <f aca="false">IF(H30&gt;=100000,"Besar",IF(H30&gt;=40000,"Sedang","Kecil"))</f>
        <v>Besar</v>
      </c>
    </row>
    <row r="31" customFormat="false" ht="15" hidden="false" customHeight="false" outlineLevel="0" collapsed="false">
      <c r="A31" s="15" t="n">
        <v>46299</v>
      </c>
      <c r="B31" s="16" t="s">
        <v>89</v>
      </c>
      <c r="C31" s="16" t="s">
        <v>96</v>
      </c>
      <c r="D31" s="17" t="n">
        <v>1</v>
      </c>
      <c r="E31" s="16" t="s">
        <v>87</v>
      </c>
      <c r="F31" s="18" t="str">
        <f aca="false">VLOOKUP(C31,Acuan!$A$2:$D$13,2,FALSE())</f>
        <v>Kebersihan</v>
      </c>
      <c r="G31" s="19" t="n">
        <f aca="false">VLOOKUP(C31,Acuan!$A$2:$D$13,3,FALSE())</f>
        <v>14000</v>
      </c>
      <c r="H31" s="19" t="n">
        <f aca="false">D31*G31</f>
        <v>14000</v>
      </c>
      <c r="I31" s="19" t="n">
        <f aca="false">D31*(G31-VLOOKUP(C31,Acuan!$A$2:$D$13,4,FALSE()))</f>
        <v>2500</v>
      </c>
      <c r="J31" s="20" t="n">
        <f aca="false">I31/H31</f>
        <v>0.178571428571429</v>
      </c>
      <c r="K31" s="18" t="str">
        <f aca="false">IF(H31&gt;=100000,"Besar",IF(H31&gt;=40000,"Sedang","Kecil"))</f>
        <v>Kecil</v>
      </c>
    </row>
    <row r="32" customFormat="false" ht="15" hidden="false" customHeight="false" outlineLevel="0" collapsed="false">
      <c r="A32" s="15" t="n">
        <v>46299</v>
      </c>
      <c r="B32" s="16" t="s">
        <v>85</v>
      </c>
      <c r="C32" s="16" t="s">
        <v>90</v>
      </c>
      <c r="D32" s="17" t="n">
        <v>2</v>
      </c>
      <c r="E32" s="16" t="s">
        <v>87</v>
      </c>
      <c r="F32" s="18" t="str">
        <f aca="false">VLOOKUP(C32,Acuan!$A$2:$D$13,2,FALSE())</f>
        <v>Sembako</v>
      </c>
      <c r="G32" s="19" t="n">
        <f aca="false">VLOOKUP(C32,Acuan!$A$2:$D$13,3,FALSE())</f>
        <v>68000</v>
      </c>
      <c r="H32" s="19" t="n">
        <f aca="false">D32*G32</f>
        <v>136000</v>
      </c>
      <c r="I32" s="19" t="n">
        <f aca="false">D32*(G32-VLOOKUP(C32,Acuan!$A$2:$D$13,4,FALSE()))</f>
        <v>12000</v>
      </c>
      <c r="J32" s="20" t="n">
        <f aca="false">I32/H32</f>
        <v>0.0882352941176471</v>
      </c>
      <c r="K32" s="18" t="str">
        <f aca="false">IF(H32&gt;=100000,"Besar",IF(H32&gt;=40000,"Sedang","Kecil"))</f>
        <v>Besar</v>
      </c>
    </row>
    <row r="33" customFormat="false" ht="15" hidden="false" customHeight="false" outlineLevel="0" collapsed="false">
      <c r="A33" s="15" t="n">
        <v>46299</v>
      </c>
      <c r="B33" s="16" t="s">
        <v>85</v>
      </c>
      <c r="C33" s="16" t="s">
        <v>95</v>
      </c>
      <c r="D33" s="17" t="n">
        <v>5</v>
      </c>
      <c r="E33" s="16" t="s">
        <v>87</v>
      </c>
      <c r="F33" s="18" t="str">
        <f aca="false">VLOOKUP(C33,Acuan!$A$2:$D$13,2,FALSE())</f>
        <v>Sembako</v>
      </c>
      <c r="G33" s="19" t="n">
        <f aca="false">VLOOKUP(C33,Acuan!$A$2:$D$13,3,FALSE())</f>
        <v>36000</v>
      </c>
      <c r="H33" s="19" t="n">
        <f aca="false">D33*G33</f>
        <v>180000</v>
      </c>
      <c r="I33" s="19" t="n">
        <f aca="false">D33*(G33-VLOOKUP(C33,Acuan!$A$2:$D$13,4,FALSE()))</f>
        <v>15000</v>
      </c>
      <c r="J33" s="20" t="n">
        <f aca="false">I33/H33</f>
        <v>0.0833333333333333</v>
      </c>
      <c r="K33" s="18" t="str">
        <f aca="false">IF(H33&gt;=100000,"Besar",IF(H33&gt;=40000,"Sedang","Kecil"))</f>
        <v>Besar</v>
      </c>
    </row>
    <row r="34" customFormat="false" ht="15" hidden="false" customHeight="false" outlineLevel="0" collapsed="false">
      <c r="A34" s="15" t="n">
        <v>46299</v>
      </c>
      <c r="B34" s="16" t="s">
        <v>89</v>
      </c>
      <c r="C34" s="16" t="s">
        <v>98</v>
      </c>
      <c r="D34" s="17" t="n">
        <v>2</v>
      </c>
      <c r="E34" s="16" t="s">
        <v>91</v>
      </c>
      <c r="F34" s="18" t="str">
        <f aca="false">VLOOKUP(C34,Acuan!$A$2:$D$13,2,FALSE())</f>
        <v>Minuman</v>
      </c>
      <c r="G34" s="19" t="n">
        <f aca="false">VLOOKUP(C34,Acuan!$A$2:$D$13,3,FALSE())</f>
        <v>40000</v>
      </c>
      <c r="H34" s="19" t="n">
        <f aca="false">D34*G34</f>
        <v>80000</v>
      </c>
      <c r="I34" s="19" t="n">
        <f aca="false">D34*(G34-VLOOKUP(C34,Acuan!$A$2:$D$13,4,FALSE()))</f>
        <v>8000</v>
      </c>
      <c r="J34" s="20" t="n">
        <f aca="false">I34/H34</f>
        <v>0.1</v>
      </c>
      <c r="K34" s="18" t="str">
        <f aca="false">IF(H34&gt;=100000,"Besar",IF(H34&gt;=40000,"Sedang","Kecil"))</f>
        <v>Sedang</v>
      </c>
    </row>
    <row r="35" customFormat="false" ht="15" hidden="false" customHeight="false" outlineLevel="0" collapsed="false">
      <c r="A35" s="15" t="n">
        <v>46299</v>
      </c>
      <c r="B35" s="16" t="s">
        <v>93</v>
      </c>
      <c r="C35" s="16" t="s">
        <v>94</v>
      </c>
      <c r="D35" s="17" t="n">
        <v>3</v>
      </c>
      <c r="E35" s="16" t="s">
        <v>87</v>
      </c>
      <c r="F35" s="18" t="str">
        <f aca="false">VLOOKUP(C35,Acuan!$A$2:$D$13,2,FALSE())</f>
        <v>Minuman</v>
      </c>
      <c r="G35" s="19" t="n">
        <f aca="false">VLOOKUP(C35,Acuan!$A$2:$D$13,3,FALSE())</f>
        <v>55000</v>
      </c>
      <c r="H35" s="19" t="n">
        <f aca="false">D35*G35</f>
        <v>165000</v>
      </c>
      <c r="I35" s="19" t="n">
        <f aca="false">D35*(G35-VLOOKUP(C35,Acuan!$A$2:$D$13,4,FALSE()))</f>
        <v>18000</v>
      </c>
      <c r="J35" s="20" t="n">
        <f aca="false">I35/H35</f>
        <v>0.109090909090909</v>
      </c>
      <c r="K35" s="18" t="str">
        <f aca="false">IF(H35&gt;=100000,"Besar",IF(H35&gt;=40000,"Sedang","Kecil"))</f>
        <v>Besar</v>
      </c>
    </row>
    <row r="36" customFormat="false" ht="15" hidden="false" customHeight="false" outlineLevel="0" collapsed="false">
      <c r="A36" s="15" t="n">
        <v>46299</v>
      </c>
      <c r="B36" s="16" t="s">
        <v>85</v>
      </c>
      <c r="C36" s="16" t="s">
        <v>86</v>
      </c>
      <c r="D36" s="17" t="n">
        <v>3</v>
      </c>
      <c r="E36" s="16" t="s">
        <v>87</v>
      </c>
      <c r="F36" s="18" t="str">
        <f aca="false">VLOOKUP(C36,Acuan!$A$2:$D$13,2,FALSE())</f>
        <v>Makanan</v>
      </c>
      <c r="G36" s="19" t="n">
        <f aca="false">VLOOKUP(C36,Acuan!$A$2:$D$13,3,FALSE())</f>
        <v>12000</v>
      </c>
      <c r="H36" s="19" t="n">
        <f aca="false">D36*G36</f>
        <v>36000</v>
      </c>
      <c r="I36" s="19" t="n">
        <f aca="false">D36*(G36-VLOOKUP(C36,Acuan!$A$2:$D$13,4,FALSE()))</f>
        <v>7500</v>
      </c>
      <c r="J36" s="20" t="n">
        <f aca="false">I36/H36</f>
        <v>0.208333333333333</v>
      </c>
      <c r="K36" s="18" t="str">
        <f aca="false">IF(H36&gt;=100000,"Besar",IF(H36&gt;=40000,"Sedang","Kecil"))</f>
        <v>Kecil</v>
      </c>
    </row>
    <row r="37" customFormat="false" ht="15" hidden="false" customHeight="false" outlineLevel="0" collapsed="false">
      <c r="A37" s="15" t="n">
        <v>46299</v>
      </c>
      <c r="B37" s="16" t="s">
        <v>89</v>
      </c>
      <c r="C37" s="16" t="s">
        <v>101</v>
      </c>
      <c r="D37" s="17" t="n">
        <v>2</v>
      </c>
      <c r="E37" s="16" t="s">
        <v>91</v>
      </c>
      <c r="F37" s="18" t="str">
        <f aca="false">VLOOKUP(C37,Acuan!$A$2:$D$13,2,FALSE())</f>
        <v>Makanan</v>
      </c>
      <c r="G37" s="19" t="n">
        <f aca="false">VLOOKUP(C37,Acuan!$A$2:$D$13,3,FALSE())</f>
        <v>9000</v>
      </c>
      <c r="H37" s="19" t="n">
        <f aca="false">D37*G37</f>
        <v>18000</v>
      </c>
      <c r="I37" s="19" t="n">
        <f aca="false">D37*(G37-VLOOKUP(C37,Acuan!$A$2:$D$13,4,FALSE()))</f>
        <v>5000</v>
      </c>
      <c r="J37" s="20" t="n">
        <f aca="false">I37/H37</f>
        <v>0.277777777777778</v>
      </c>
      <c r="K37" s="18" t="str">
        <f aca="false">IF(H37&gt;=100000,"Besar",IF(H37&gt;=40000,"Sedang","Kecil"))</f>
        <v>Kecil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4" min="3" style="0" width="13"/>
    <col collapsed="false" customWidth="true" hidden="false" outlineLevel="0" max="5" min="5" style="0" width="15"/>
    <col collapsed="false" customWidth="true" hidden="false" outlineLevel="0" max="6" min="6" style="0" width="13"/>
  </cols>
  <sheetData>
    <row r="1" customFormat="false" ht="33.75" hidden="false" customHeight="true" outlineLevel="0" collapsed="false">
      <c r="A1" s="10" t="s">
        <v>76</v>
      </c>
      <c r="B1" s="10" t="s">
        <v>79</v>
      </c>
      <c r="C1" s="10" t="s">
        <v>80</v>
      </c>
      <c r="D1" s="10" t="s">
        <v>103</v>
      </c>
      <c r="E1" s="14" t="s">
        <v>104</v>
      </c>
      <c r="F1" s="14" t="s">
        <v>105</v>
      </c>
    </row>
    <row r="2" customFormat="false" ht="15" hidden="false" customHeight="false" outlineLevel="0" collapsed="false">
      <c r="A2" s="16" t="s">
        <v>90</v>
      </c>
      <c r="B2" s="16" t="s">
        <v>106</v>
      </c>
      <c r="C2" s="21" t="n">
        <v>68000</v>
      </c>
      <c r="D2" s="21" t="n">
        <v>62000</v>
      </c>
      <c r="E2" s="22" t="n">
        <f aca="false">SUMIF(Data!$C$2:$C$37,A2,Data!$D$2:$D$37)</f>
        <v>6</v>
      </c>
      <c r="F2" s="19" t="n">
        <f aca="false">SUMIF(Data!$C$2:$C$37,A2,Data!$I$2:$I$37)</f>
        <v>36000</v>
      </c>
    </row>
    <row r="3" customFormat="false" ht="15" hidden="false" customHeight="false" outlineLevel="0" collapsed="false">
      <c r="A3" s="16" t="s">
        <v>95</v>
      </c>
      <c r="B3" s="16" t="s">
        <v>106</v>
      </c>
      <c r="C3" s="21" t="n">
        <v>36000</v>
      </c>
      <c r="D3" s="21" t="n">
        <v>33000</v>
      </c>
      <c r="E3" s="22" t="n">
        <f aca="false">SUMIF(Data!$C$2:$C$37,A3,Data!$D$2:$D$37)</f>
        <v>12</v>
      </c>
      <c r="F3" s="19" t="n">
        <f aca="false">SUMIF(Data!$C$2:$C$37,A3,Data!$I$2:$I$37)</f>
        <v>36000</v>
      </c>
    </row>
    <row r="4" customFormat="false" ht="15" hidden="false" customHeight="false" outlineLevel="0" collapsed="false">
      <c r="A4" s="16" t="s">
        <v>88</v>
      </c>
      <c r="B4" s="16" t="s">
        <v>106</v>
      </c>
      <c r="C4" s="21" t="n">
        <v>17000</v>
      </c>
      <c r="D4" s="21" t="n">
        <v>15500</v>
      </c>
      <c r="E4" s="22" t="n">
        <f aca="false">SUMIF(Data!$C$2:$C$37,A4,Data!$D$2:$D$37)</f>
        <v>17</v>
      </c>
      <c r="F4" s="19" t="n">
        <f aca="false">SUMIF(Data!$C$2:$C$37,A4,Data!$I$2:$I$37)</f>
        <v>25500</v>
      </c>
    </row>
    <row r="5" customFormat="false" ht="15" hidden="false" customHeight="false" outlineLevel="0" collapsed="false">
      <c r="A5" s="16" t="s">
        <v>100</v>
      </c>
      <c r="B5" s="16" t="s">
        <v>106</v>
      </c>
      <c r="C5" s="21" t="n">
        <v>29000</v>
      </c>
      <c r="D5" s="21" t="n">
        <v>26500</v>
      </c>
      <c r="E5" s="22" t="n">
        <f aca="false">SUMIF(Data!$C$2:$C$37,A5,Data!$D$2:$D$37)</f>
        <v>9</v>
      </c>
      <c r="F5" s="19" t="n">
        <f aca="false">SUMIF(Data!$C$2:$C$37,A5,Data!$I$2:$I$37)</f>
        <v>22500</v>
      </c>
    </row>
    <row r="6" customFormat="false" ht="15" hidden="false" customHeight="false" outlineLevel="0" collapsed="false">
      <c r="A6" s="16" t="s">
        <v>98</v>
      </c>
      <c r="B6" s="16" t="s">
        <v>107</v>
      </c>
      <c r="C6" s="21" t="n">
        <v>40000</v>
      </c>
      <c r="D6" s="21" t="n">
        <v>36000</v>
      </c>
      <c r="E6" s="22" t="n">
        <f aca="false">SUMIF(Data!$C$2:$C$37,A6,Data!$D$2:$D$37)</f>
        <v>6</v>
      </c>
      <c r="F6" s="19" t="n">
        <f aca="false">SUMIF(Data!$C$2:$C$37,A6,Data!$I$2:$I$37)</f>
        <v>24000</v>
      </c>
    </row>
    <row r="7" customFormat="false" ht="15" hidden="false" customHeight="false" outlineLevel="0" collapsed="false">
      <c r="A7" s="16" t="s">
        <v>94</v>
      </c>
      <c r="B7" s="16" t="s">
        <v>107</v>
      </c>
      <c r="C7" s="21" t="n">
        <v>55000</v>
      </c>
      <c r="D7" s="21" t="n">
        <v>49000</v>
      </c>
      <c r="E7" s="22" t="n">
        <f aca="false">SUMIF(Data!$C$2:$C$37,A7,Data!$D$2:$D$37)</f>
        <v>10</v>
      </c>
      <c r="F7" s="19" t="n">
        <f aca="false">SUMIF(Data!$C$2:$C$37,A7,Data!$I$2:$I$37)</f>
        <v>60000</v>
      </c>
    </row>
    <row r="8" customFormat="false" ht="15" hidden="false" customHeight="false" outlineLevel="0" collapsed="false">
      <c r="A8" s="16" t="s">
        <v>102</v>
      </c>
      <c r="B8" s="16" t="s">
        <v>107</v>
      </c>
      <c r="C8" s="21" t="n">
        <v>16000</v>
      </c>
      <c r="D8" s="21" t="n">
        <v>13500</v>
      </c>
      <c r="E8" s="22" t="n">
        <f aca="false">SUMIF(Data!$C$2:$C$37,A8,Data!$D$2:$D$37)</f>
        <v>10</v>
      </c>
      <c r="F8" s="19" t="n">
        <f aca="false">SUMIF(Data!$C$2:$C$37,A8,Data!$I$2:$I$37)</f>
        <v>25000</v>
      </c>
    </row>
    <row r="9" customFormat="false" ht="15" hidden="false" customHeight="false" outlineLevel="0" collapsed="false">
      <c r="A9" s="16" t="s">
        <v>97</v>
      </c>
      <c r="B9" s="16" t="s">
        <v>108</v>
      </c>
      <c r="C9" s="21" t="n">
        <v>108000</v>
      </c>
      <c r="D9" s="21" t="n">
        <v>99000</v>
      </c>
      <c r="E9" s="22" t="n">
        <f aca="false">SUMIF(Data!$C$2:$C$37,A9,Data!$D$2:$D$37)</f>
        <v>6</v>
      </c>
      <c r="F9" s="19" t="n">
        <f aca="false">SUMIF(Data!$C$2:$C$37,A9,Data!$I$2:$I$37)</f>
        <v>54000</v>
      </c>
    </row>
    <row r="10" customFormat="false" ht="15" hidden="false" customHeight="false" outlineLevel="0" collapsed="false">
      <c r="A10" s="16" t="s">
        <v>86</v>
      </c>
      <c r="B10" s="16" t="s">
        <v>108</v>
      </c>
      <c r="C10" s="21" t="n">
        <v>12000</v>
      </c>
      <c r="D10" s="21" t="n">
        <v>9500</v>
      </c>
      <c r="E10" s="22" t="n">
        <f aca="false">SUMIF(Data!$C$2:$C$37,A10,Data!$D$2:$D$37)</f>
        <v>6</v>
      </c>
      <c r="F10" s="19" t="n">
        <f aca="false">SUMIF(Data!$C$2:$C$37,A10,Data!$I$2:$I$37)</f>
        <v>15000</v>
      </c>
    </row>
    <row r="11" customFormat="false" ht="15" hidden="false" customHeight="false" outlineLevel="0" collapsed="false">
      <c r="A11" s="16" t="s">
        <v>101</v>
      </c>
      <c r="B11" s="16" t="s">
        <v>108</v>
      </c>
      <c r="C11" s="21" t="n">
        <v>9000</v>
      </c>
      <c r="D11" s="21" t="n">
        <v>6500</v>
      </c>
      <c r="E11" s="22" t="n">
        <f aca="false">SUMIF(Data!$C$2:$C$37,A11,Data!$D$2:$D$37)</f>
        <v>4</v>
      </c>
      <c r="F11" s="19" t="n">
        <f aca="false">SUMIF(Data!$C$2:$C$37,A11,Data!$I$2:$I$37)</f>
        <v>10000</v>
      </c>
    </row>
    <row r="12" customFormat="false" ht="15" hidden="false" customHeight="false" outlineLevel="0" collapsed="false">
      <c r="A12" s="16" t="s">
        <v>96</v>
      </c>
      <c r="B12" s="16" t="s">
        <v>109</v>
      </c>
      <c r="C12" s="21" t="n">
        <v>14000</v>
      </c>
      <c r="D12" s="21" t="n">
        <v>11500</v>
      </c>
      <c r="E12" s="22" t="n">
        <f aca="false">SUMIF(Data!$C$2:$C$37,A12,Data!$D$2:$D$37)</f>
        <v>7</v>
      </c>
      <c r="F12" s="19" t="n">
        <f aca="false">SUMIF(Data!$C$2:$C$37,A12,Data!$I$2:$I$37)</f>
        <v>17500</v>
      </c>
    </row>
    <row r="13" customFormat="false" ht="15" hidden="false" customHeight="false" outlineLevel="0" collapsed="false">
      <c r="A13" s="16" t="s">
        <v>92</v>
      </c>
      <c r="B13" s="16" t="s">
        <v>109</v>
      </c>
      <c r="C13" s="21" t="n">
        <v>28000</v>
      </c>
      <c r="D13" s="21" t="n">
        <v>23500</v>
      </c>
      <c r="E13" s="22" t="n">
        <f aca="false">SUMIF(Data!$C$2:$C$37,A13,Data!$D$2:$D$37)</f>
        <v>11</v>
      </c>
      <c r="F13" s="19" t="n">
        <f aca="false">SUMIF(Data!$C$2:$C$37,A13,Data!$I$2:$I$37)</f>
        <v>49500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3" t="s">
        <v>110</v>
      </c>
      <c r="B1" s="23"/>
      <c r="C1" s="23"/>
      <c r="D1" s="23"/>
    </row>
    <row r="2" customFormat="false" ht="15" hidden="false" customHeight="false" outlineLevel="0" collapsed="false">
      <c r="A2" s="24" t="s">
        <v>111</v>
      </c>
      <c r="B2" s="24"/>
      <c r="C2" s="24"/>
      <c r="D2" s="24"/>
    </row>
    <row r="3" customFormat="false" ht="15" hidden="false" customHeight="false" outlineLevel="0" collapsed="false">
      <c r="A3" s="10" t="s">
        <v>18</v>
      </c>
      <c r="B3" s="10" t="s">
        <v>112</v>
      </c>
      <c r="C3" s="10" t="s">
        <v>113</v>
      </c>
      <c r="D3" s="10" t="s">
        <v>114</v>
      </c>
    </row>
    <row r="4" customFormat="false" ht="15" hidden="false" customHeight="false" outlineLevel="0" collapsed="false">
      <c r="A4" s="25" t="s">
        <v>115</v>
      </c>
      <c r="B4" s="26" t="s">
        <v>116</v>
      </c>
      <c r="C4" s="19" t="n">
        <f aca="false">SUM(Data!$H$2:$H$37)</f>
        <v>3502000</v>
      </c>
      <c r="D4" s="27" t="s">
        <v>117</v>
      </c>
    </row>
    <row r="5" customFormat="false" ht="15" hidden="false" customHeight="false" outlineLevel="0" collapsed="false">
      <c r="A5" s="25" t="s">
        <v>118</v>
      </c>
      <c r="B5" s="26" t="s">
        <v>119</v>
      </c>
      <c r="C5" s="19" t="n">
        <f aca="false">SUM(Data!$I$2:$I$37)</f>
        <v>375000</v>
      </c>
      <c r="D5" s="27" t="s">
        <v>120</v>
      </c>
    </row>
    <row r="6" customFormat="false" ht="15" hidden="false" customHeight="false" outlineLevel="0" collapsed="false">
      <c r="A6" s="25" t="s">
        <v>121</v>
      </c>
      <c r="B6" s="26" t="s">
        <v>122</v>
      </c>
      <c r="C6" s="20" t="n">
        <f aca="false">C5/C4</f>
        <v>0.107081667618504</v>
      </c>
      <c r="D6" s="27" t="s">
        <v>123</v>
      </c>
    </row>
    <row r="7" customFormat="false" ht="15" hidden="false" customHeight="false" outlineLevel="0" collapsed="false">
      <c r="A7" s="25" t="s">
        <v>124</v>
      </c>
      <c r="B7" s="26" t="s">
        <v>125</v>
      </c>
      <c r="C7" s="18" t="str">
        <f aca="false">INDEX(Acuan!$A$2:$A$13,MATCH(MAX(Acuan!$E$2:$E$13),Acuan!$E$2:$E$13,0))</f>
        <v>Gula 1 kg</v>
      </c>
      <c r="D7" s="27" t="s">
        <v>126</v>
      </c>
    </row>
    <row r="8" customFormat="false" ht="15" hidden="false" customHeight="false" outlineLevel="0" collapsed="false">
      <c r="A8" s="25" t="s">
        <v>127</v>
      </c>
      <c r="B8" s="26" t="s">
        <v>128</v>
      </c>
      <c r="C8" s="18" t="str">
        <f aca="false">INDEX(Acuan!$A$2:$A$13,MATCH(MAX(Acuan!$F$2:$F$13),Acuan!$F$2:$F$13,0))</f>
        <v>Teh Kotak (dus)</v>
      </c>
      <c r="D8" s="27" t="s">
        <v>126</v>
      </c>
    </row>
    <row r="9" customFormat="false" ht="15" hidden="false" customHeight="false" outlineLevel="0" collapsed="false">
      <c r="A9" s="25" t="s">
        <v>129</v>
      </c>
      <c r="B9" s="26" t="s">
        <v>130</v>
      </c>
      <c r="C9" s="19" t="n">
        <f aca="false">SUMIF(Data!$F$2:$F$37,"Sembako",Data!$H$2:$H$37)</f>
        <v>1390000</v>
      </c>
      <c r="D9" s="27" t="s">
        <v>131</v>
      </c>
    </row>
    <row r="10" customFormat="false" ht="15" hidden="false" customHeight="false" outlineLevel="0" collapsed="false">
      <c r="A10" s="25" t="s">
        <v>132</v>
      </c>
      <c r="B10" s="26" t="s">
        <v>133</v>
      </c>
      <c r="C10" s="20" t="n">
        <f aca="false">AVERAGEIF(Data!$F$2:$F$37,"Minuman",Data!$J$2:$J$37)</f>
        <v>0.116540404040404</v>
      </c>
      <c r="D10" s="27" t="s">
        <v>134</v>
      </c>
    </row>
    <row r="11" customFormat="false" ht="15" hidden="false" customHeight="false" outlineLevel="0" collapsed="false">
      <c r="A11" s="25" t="s">
        <v>135</v>
      </c>
      <c r="B11" s="26" t="s">
        <v>136</v>
      </c>
      <c r="C11" s="19" t="n">
        <f aca="false">SUMIF(Data!$B$2:$B$37,"Rina",Data!$H$2:$H$37)</f>
        <v>1207000</v>
      </c>
      <c r="D11" s="27" t="s">
        <v>137</v>
      </c>
    </row>
    <row r="12" customFormat="false" ht="15" hidden="false" customHeight="false" outlineLevel="0" collapsed="false">
      <c r="A12" s="25" t="s">
        <v>138</v>
      </c>
      <c r="B12" s="26" t="s">
        <v>139</v>
      </c>
      <c r="C12" s="19" t="n">
        <f aca="false">SUMIF(Data!$B$2:$B$37,"Dedi",Data!$H$2:$H$37)</f>
        <v>1019000</v>
      </c>
      <c r="D12" s="27" t="s">
        <v>140</v>
      </c>
    </row>
    <row r="13" customFormat="false" ht="15" hidden="false" customHeight="false" outlineLevel="0" collapsed="false">
      <c r="A13" s="25" t="s">
        <v>141</v>
      </c>
      <c r="B13" s="26" t="s">
        <v>142</v>
      </c>
      <c r="C13" s="22" t="n">
        <f aca="false">COUNTIF(Data!$K$2:$K$37,"Besar")</f>
        <v>17</v>
      </c>
      <c r="D13" s="27" t="s">
        <v>143</v>
      </c>
    </row>
    <row r="14" customFormat="false" ht="15" hidden="false" customHeight="false" outlineLevel="0" collapsed="false">
      <c r="A14" s="25" t="s">
        <v>144</v>
      </c>
      <c r="B14" s="26" t="s">
        <v>145</v>
      </c>
      <c r="C14" s="22" t="n">
        <f aca="false">COUNTIFS(Data!$B$2:$B$37,"Rina",Data!$E$2:$E$37,"QRIS")</f>
        <v>4</v>
      </c>
      <c r="D14" s="27" t="s">
        <v>146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2026-10-14T23:34:08Z</dcterms:created>
  <dc:creator>PushExcel</dc:creator>
  <dc:description/>
  <dc:language>en-US</dc:language>
  <cp:lastModifiedBy/>
  <dcterms:modified xsi:type="dcterms:W3CDTF">2026-10-14T23:34:08Z</dcterms:modified>
  <cp:revision>0</cp:revision>
  <dc:subject/>
  <dc:title>Penjualan Toko Kelontong per Produk dan Kasir - Kunci</dc:title>
</cp:coreProperties>
</file>

<file path=docProps/custom.xml><?xml version="1.0" encoding="utf-8"?>
<Properties xmlns="http://schemas.openxmlformats.org/officeDocument/2006/custom-properties" xmlns:vt="http://schemas.openxmlformats.org/officeDocument/2006/docPropsVTypes"/>
</file>