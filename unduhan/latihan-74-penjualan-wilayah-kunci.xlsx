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<sst xmlns="http://schemas.openxmlformats.org/spreadsheetml/2006/main" count="243" uniqueCount="156">
  <si>
    <t xml:space="preserve">Kunci Jawaban: Rekap Penjualan Sales per Wilayah dan Produk</t>
  </si>
  <si>
    <t xml:space="preserve">Latihan 74 dari 40  |  Tingkat: Menengah  |  Perkiraan waktu: 50 menit  |  pushexcel.github.io/Pushexcel</t>
  </si>
  <si>
    <t xml:space="preserve">Skenario</t>
  </si>
  <si>
    <t xml:space="preserve">Kamu analis penjualan PT Bersih Lestari yang merekap penjualan bulan Oktober 2026 dari 8 sales di 4 wilayah. Tiap sales menjual 4 produk, dan setiap produk punya target unit sendiri. Harga satuan tiap produk ada di sheet Acuan. Omzet adalah unit terjual dikali harga satuan. Pencapaian adalah unit terjual dibagi target unit. Status Tercapai bila pencapaian 100 persen atau lebih, Hampir bila 80 persen atau lebih, dan Belum bila di bawah itu (batasnya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</si>
  <si>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</si>
  <si>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</si>
  <si>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</si>
  <si>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</si>
  <si>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</si>
  <si>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</si>
  <si>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</si>
  <si>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</si>
  <si>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</si>
  <si>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</si>
  <si>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</si>
  <si>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</si>
  <si>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</si>
  <si>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</si>
  <si>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</si>
  <si>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</si>
  <si>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</si>
  <si>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</si>
  <si>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</si>
  <si>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</si>
  <si>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harga satuan tiap produk dari tabel di sheet Acuan.</t>
  </si>
  <si>
    <t xml:space="preserve">Sheet Data, kolom F (Harga Satuan), baris 2 sampai 33</t>
  </si>
  <si>
    <t xml:space="preserve">=VLOOKUP(C2;Acuan!$A$2:$B$5;2;FALSE)</t>
  </si>
  <si>
    <t xml:space="preserve">2</t>
  </si>
  <si>
    <t xml:space="preserve">Hitung omzet: unit terjual dikali harga satuan.</t>
  </si>
  <si>
    <t xml:space="preserve">Sheet Data, kolom G (Omzet), baris 2 sampai 33</t>
  </si>
  <si>
    <t xml:space="preserve">=D2*F2</t>
  </si>
  <si>
    <t xml:space="preserve">3</t>
  </si>
  <si>
    <t xml:space="preserve">Hitung pencapaian: unit terjual dibagi target unit.</t>
  </si>
  <si>
    <t xml:space="preserve">Sheet Data, kolom H (Pencapaian), baris 2 sampai 33</t>
  </si>
  <si>
    <t xml:space="preserve">=D2/E2</t>
  </si>
  <si>
    <t xml:space="preserve">4</t>
  </si>
  <si>
    <t xml:space="preserve">Beri status Tercapai bila pencapaian sama dengan atau di atas batas tercapai, Hampir bila sama dengan atau di atas batas hampir, selain itu Belum.</t>
  </si>
  <si>
    <t xml:space="preserve">Sheet Data, kolom I (Status Target), baris 2 sampai 33</t>
  </si>
  <si>
    <t xml:space="preserve">=IF(H2&gt;=$N$2;"Tercapai";IF(H2&gt;=$N$3;"Hampir";"Belum"))</t>
  </si>
  <si>
    <t xml:space="preserve">5</t>
  </si>
  <si>
    <t xml:space="preserve">Hitung kekurangan unit terhadap target. Bila sudah mencapai atau melebihi target, hasilnya 0.</t>
  </si>
  <si>
    <t xml:space="preserve">Sheet Data, kolom J (Kekurangan Unit), baris 2 sampai 33</t>
  </si>
  <si>
    <t xml:space="preserve">=MAX(0;E2-D2)</t>
  </si>
  <si>
    <t xml:space="preserve">6</t>
  </si>
  <si>
    <t xml:space="preserve">Hitung porsi omzet baris ini terhadap total omzet seluruh baris di wilayah yang sama.</t>
  </si>
  <si>
    <t xml:space="preserve">Sheet Data, kolom K (Porsi Omzet Wilayah), baris 2 sampai 33</t>
  </si>
  <si>
    <t xml:space="preserve">=G2/SUMIF($B$2:$B$33;B2;$G$2:$G$33)</t>
  </si>
  <si>
    <t xml:space="preserve">7</t>
  </si>
  <si>
    <t xml:space="preserve">Pada sheet Acuan, hitung total unit terjual tiap produk.</t>
  </si>
  <si>
    <t xml:space="preserve">Sheet Acuan, kolom C (Total Unit), baris 2 sampai 5</t>
  </si>
  <si>
    <t xml:space="preserve">=SUMIF(Data!$C$2:$C$33;A2;Data!$D$2:$D$33)</t>
  </si>
  <si>
    <t xml:space="preserve">8</t>
  </si>
  <si>
    <t xml:space="preserve">Pada sheet Acuan, hitung total omzet tiap produk.</t>
  </si>
  <si>
    <t xml:space="preserve">Sheet Acuan, kolom D (Total Omzet), baris 2 sampai 5</t>
  </si>
  <si>
    <t xml:space="preserve">=SUMIF(Data!$C$2:$C$33;A2;Data!$G$2:$G$33)</t>
  </si>
  <si>
    <t xml:space="preserve">9</t>
  </si>
  <si>
    <t xml:space="preserve">Berapa total unit terjual dan total omzet seluruh sales?</t>
  </si>
  <si>
    <t xml:space="preserve">Sheet Ringkasan, sel C4 sampai C5</t>
  </si>
  <si>
    <t xml:space="preserve">=SUM(Data!$D$2:$D$33)
=SUM(Data!$G$2:$G$33)</t>
  </si>
  <si>
    <t xml:space="preserve">10</t>
  </si>
  <si>
    <t xml:space="preserve">Berapa omzet produk Detergen di wilayah Timur, dan berapa unit Sabun Cair yang terjual di wilayah Barat?</t>
  </si>
  <si>
    <t xml:space="preserve">Sheet Ringkasan, sel C6 sampai C7</t>
  </si>
  <si>
    <t xml:space="preserve">=SUMIFS(Data!$G$2:$G$33;Data!$C$2:$C$33;"Detergen";Data!$B$2:$B$33;"Timur")
=SUMIFS(Data!$D$2:$D$33;Data!$C$2:$C$33;"Sabun Cair";Data!$B$2:$B$33;"Barat")</t>
  </si>
  <si>
    <t xml:space="preserve">11</t>
  </si>
  <si>
    <t xml:space="preserve">Berapa catatan penjualan yang berstatus Tercapai, dan berapa yang berstatus Belum?</t>
  </si>
  <si>
    <t xml:space="preserve">Sheet Ringkasan, sel C8 sampai C9</t>
  </si>
  <si>
    <t xml:space="preserve">=COUNTIF(Data!$I$2:$I$33;"Tercapai")
=COUNTIF(Data!$I$2:$I$33;"Belum")</t>
  </si>
  <si>
    <t xml:space="preserve">12</t>
  </si>
  <si>
    <t xml:space="preserve">Siapa sales pada catatan dengan omzet terbesar, dan produk apa yang total omzetnya terbesar?</t>
  </si>
  <si>
    <t xml:space="preserve">Sheet Ringkasan, sel C10 sampai C11</t>
  </si>
  <si>
    <t xml:space="preserve">=INDEX(Data!$A$2:$A$33;MATCH(MAX(Data!$G$2:$G$33);Data!$G$2:$G$33;0))
=INDEX(Acuan!$A$2:$A$5;MATCH(MAX(Acuan!$D$2:$D$5);Acuan!$D$2:$D$5;0))</t>
  </si>
  <si>
    <t xml:space="preserve">13</t>
  </si>
  <si>
    <t xml:space="preserve">Berapa rata-rata pencapaian seluruh catatan, dan berapa rata-rata pencapaian wilayah Selatan?</t>
  </si>
  <si>
    <t xml:space="preserve">Sheet Ringkasan, sel C12 sampai C13</t>
  </si>
  <si>
    <t xml:space="preserve">=AVERAGE(Data!$H$2:$H$33)
=AVERAGEIF(Data!$B$2:$B$33;"Selatan";Data!$H$2:$H$33)</t>
  </si>
  <si>
    <t xml:space="preserve">14</t>
  </si>
  <si>
    <t xml:space="preserve">Berapa total kekurangan unit seluruh catatan, dan berapa kekurangan unit terbesar pada satu catatan?</t>
  </si>
  <si>
    <t xml:space="preserve">Sheet Ringkasan, sel C14 sampai C15</t>
  </si>
  <si>
    <t xml:space="preserve">=SUM(Data!$J$2:$J$33)
=MAX(Data!$J$2:$J$33)</t>
  </si>
  <si>
    <t xml:space="preserve">Sales</t>
  </si>
  <si>
    <t xml:space="preserve">Wilayah</t>
  </si>
  <si>
    <t xml:space="preserve">Produk</t>
  </si>
  <si>
    <t xml:space="preserve">Unit Terjual</t>
  </si>
  <si>
    <t xml:space="preserve">Target Unit</t>
  </si>
  <si>
    <t xml:space="preserve">Harga Satuan</t>
  </si>
  <si>
    <t xml:space="preserve">Omzet</t>
  </si>
  <si>
    <t xml:space="preserve">Pencapaian</t>
  </si>
  <si>
    <t xml:space="preserve">Status Target</t>
  </si>
  <si>
    <t xml:space="preserve">Kekurangan Unit</t>
  </si>
  <si>
    <t xml:space="preserve">Porsi Omzet Wilayah</t>
  </si>
  <si>
    <t xml:space="preserve">Parameter</t>
  </si>
  <si>
    <t xml:space="preserve">Nilai</t>
  </si>
  <si>
    <t xml:space="preserve">Keterangan</t>
  </si>
  <si>
    <t xml:space="preserve">Zainal Pratama</t>
  </si>
  <si>
    <t xml:space="preserve">Timur</t>
  </si>
  <si>
    <t xml:space="preserve">Detergen</t>
  </si>
  <si>
    <t xml:space="preserve">Batas tercapai</t>
  </si>
  <si>
    <t xml:space="preserve">Pencapaian sama dengan atau di atas batas ini = Tercapai</t>
  </si>
  <si>
    <t xml:space="preserve">Sabun Cair</t>
  </si>
  <si>
    <t xml:space="preserve">Batas hampir</t>
  </si>
  <si>
    <t xml:space="preserve">Pencapaian sama dengan atau di atas batas ini = Hampir</t>
  </si>
  <si>
    <t xml:space="preserve">Wahyu Rahayu</t>
  </si>
  <si>
    <t xml:space="preserve">Selatan</t>
  </si>
  <si>
    <t xml:space="preserve">Fajar Kusuma</t>
  </si>
  <si>
    <t xml:space="preserve">Utara</t>
  </si>
  <si>
    <t xml:space="preserve">Pembersih Lantai</t>
  </si>
  <si>
    <t xml:space="preserve">Khoirul Pratama</t>
  </si>
  <si>
    <t xml:space="preserve">Pewangi Pakaian</t>
  </si>
  <si>
    <t xml:space="preserve">Wawan Fauzi</t>
  </si>
  <si>
    <t xml:space="preserve">Barat</t>
  </si>
  <si>
    <t xml:space="preserve">Ahmad Syahputra</t>
  </si>
  <si>
    <t xml:space="preserve">Umar Pratama</t>
  </si>
  <si>
    <t xml:space="preserve">Jihan Setiawan</t>
  </si>
  <si>
    <t xml:space="preserve">Total Unit</t>
  </si>
  <si>
    <t xml:space="preserve">Total Omzet</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</si>
  <si>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</si>
  <si>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</si>
  <si>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</si>
  <si>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</si>
  <si>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</si>
  <si>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</si>
  <si>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unit terjual</t>
  </si>
  <si>
    <t xml:space="preserve">Angka bulat, mis. 1.500</t>
  </si>
  <si>
    <t xml:space="preserve">9b</t>
  </si>
  <si>
    <t xml:space="preserve">Total omzet</t>
  </si>
  <si>
    <t xml:space="preserve">Rupiah, mis. Rp 40.000.000</t>
  </si>
  <si>
    <t xml:space="preserve">10a</t>
  </si>
  <si>
    <t xml:space="preserve">Omzet Detergen wilayah Timur</t>
  </si>
  <si>
    <t xml:space="preserve">Rupiah, mis. Rp 6.000.000</t>
  </si>
  <si>
    <t xml:space="preserve">10b</t>
  </si>
  <si>
    <t xml:space="preserve">Unit Sabun Cair wilayah Barat</t>
  </si>
  <si>
    <t xml:space="preserve">Angka bulat, mis. 210</t>
  </si>
  <si>
    <t xml:space="preserve">11a</t>
  </si>
  <si>
    <t xml:space="preserve">Catatan Tercapai</t>
  </si>
  <si>
    <t xml:space="preserve">Angka bulat, mis. 10</t>
  </si>
  <si>
    <t xml:space="preserve">11b</t>
  </si>
  <si>
    <t xml:space="preserve">Catatan Belum</t>
  </si>
  <si>
    <t xml:space="preserve">Angka bulat, mis. 6</t>
  </si>
  <si>
    <t xml:space="preserve">12a</t>
  </si>
  <si>
    <t xml:space="preserve">Sales pada omzet terbesar</t>
  </si>
  <si>
    <t xml:space="preserve">Teks: nama sales</t>
  </si>
  <si>
    <t xml:space="preserve">12b</t>
  </si>
  <si>
    <t xml:space="preserve">Produk dengan total omzet terbesar</t>
  </si>
  <si>
    <t xml:space="preserve">Teks: nama produk</t>
  </si>
  <si>
    <t xml:space="preserve">13a</t>
  </si>
  <si>
    <t xml:space="preserve">Rata-rata pencapaian</t>
  </si>
  <si>
    <t xml:space="preserve">Persen, mis. 88,5%</t>
  </si>
  <si>
    <t xml:space="preserve">13b</t>
  </si>
  <si>
    <t xml:space="preserve">Rata-rata pencapaian wilayah Selatan</t>
  </si>
  <si>
    <t xml:space="preserve">Persen, mis. 95,2%</t>
  </si>
  <si>
    <t xml:space="preserve">14a</t>
  </si>
  <si>
    <t xml:space="preserve">Total kekurangan unit</t>
  </si>
  <si>
    <t xml:space="preserve">Angka bulat, mis. 350</t>
  </si>
  <si>
    <t xml:space="preserve">14b</t>
  </si>
  <si>
    <t xml:space="preserve">Kekurangan unit terbesar</t>
  </si>
  <si>
    <t xml:space="preserve">Angka bulat, mis. 60</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</si>
</sst>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13"/>
    <col collapsed="false" customWidth="true" hidden="false" outlineLevel="0" max="7" min="7" style="0" width="14"/>
    <col collapsed="false" customWidth="true" hidden="false" outlineLevel="0" max="8" min="8" style="0" width="12"/>
    <col collapsed="false" customWidth="true" hidden="false" outlineLevel="0" max="9" min="9" style="0" width="13"/>
    <col collapsed="false" customWidth="true" hidden="false" outlineLevel="0" max="10" min="10" style="0" width="14"/>
    <col collapsed="false" customWidth="true" hidden="false" outlineLevel="0" max="11" min="11" style="0" width="19"/>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79</v>
      </c>
      <c r="B1" s="11" t="s">
        <v>80</v>
      </c>
      <c r="C1" s="11" t="s">
        <v>81</v>
      </c>
      <c r="D1" s="11" t="s">
        <v>82</v>
      </c>
      <c r="E1" s="11" t="s">
        <v>83</v>
      </c>
      <c r="F1" s="15" t="s">
        <v>84</v>
      </c>
      <c r="G1" s="15" t="s">
        <v>85</v>
      </c>
      <c r="H1" s="15" t="s">
        <v>86</v>
      </c>
      <c r="I1" s="15" t="s">
        <v>87</v>
      </c>
      <c r="J1" s="15" t="s">
        <v>88</v>
      </c>
      <c r="K1" s="15" t="s">
        <v>89</v>
      </c>
      <c r="M1" s="16" t="s">
        <v>90</v>
      </c>
      <c r="N1" s="16" t="s">
        <v>91</v>
      </c>
      <c r="O1" s="16" t="s">
        <v>92</v>
      </c>
    </row>
    <row r="2" customFormat="false" ht="15" hidden="false" customHeight="false" outlineLevel="0" collapsed="false">
      <c r="A2" s="17" t="s">
        <v>93</v>
      </c>
      <c r="B2" s="17" t="s">
        <v>94</v>
      </c>
      <c r="C2" s="17" t="s">
        <v>95</v>
      </c>
      <c r="D2" s="18" t="n">
        <v>83</v>
      </c>
      <c r="E2" s="18" t="n">
        <v>100</v>
      </c>
      <c r="F2" s="19" t="n">
        <f aca="false">VLOOKUP(C2,Acuan!$A$2:$B$5,2,FALSE())</f>
        <v>32000</v>
      </c>
      <c r="G2" s="19" t="n">
        <f aca="false">D2*F2</f>
        <v>2656000</v>
      </c>
      <c r="H2" s="20" t="n">
        <f aca="false">D2/E2</f>
        <v>0.83</v>
      </c>
      <c r="I2" s="21" t="str">
        <f aca="false">IF(H2&gt;=$N$2,"Tercapai",IF(H2&gt;=$N$3,"Hampir","Belum"))</f>
        <v>Hampir</v>
      </c>
      <c r="J2" s="22" t="n">
        <f aca="false">MAX(0,E2-D2)</f>
        <v>17</v>
      </c>
      <c r="K2" s="20" t="n">
        <f aca="false">G2/SUMIF($B$2:$B$33,B2,$G$2:$G$33)</f>
        <v>0.150179525600068</v>
      </c>
      <c r="M2" s="23" t="s">
        <v>96</v>
      </c>
      <c r="N2" s="24" t="n">
        <v>1</v>
      </c>
      <c r="O2" s="23" t="s">
        <v>97</v>
      </c>
    </row>
    <row r="3" customFormat="false" ht="15" hidden="false" customHeight="false" outlineLevel="0" collapsed="false">
      <c r="A3" s="17" t="s">
        <v>93</v>
      </c>
      <c r="B3" s="17" t="s">
        <v>94</v>
      </c>
      <c r="C3" s="17" t="s">
        <v>98</v>
      </c>
      <c r="D3" s="18" t="n">
        <v>49</v>
      </c>
      <c r="E3" s="18" t="n">
        <v>60</v>
      </c>
      <c r="F3" s="19" t="n">
        <f aca="false">VLOOKUP(C3,Acuan!$A$2:$B$5,2,FALSE())</f>
        <v>18500</v>
      </c>
      <c r="G3" s="19" t="n">
        <f aca="false">D3*F3</f>
        <v>906500</v>
      </c>
      <c r="H3" s="20" t="n">
        <f aca="false">D3/E3</f>
        <v>0.816666666666667</v>
      </c>
      <c r="I3" s="21" t="str">
        <f aca="false">IF(H3&gt;=$N$2,"Tercapai",IF(H3&gt;=$N$3,"Hampir","Belum"))</f>
        <v>Hampir</v>
      </c>
      <c r="J3" s="22" t="n">
        <f aca="false">MAX(0,E3-D3)</f>
        <v>11</v>
      </c>
      <c r="K3" s="20" t="n">
        <f aca="false">G3/SUMIF($B$2:$B$33,B3,$G$2:$G$33)</f>
        <v>0.051256679200475</v>
      </c>
      <c r="M3" s="23" t="s">
        <v>99</v>
      </c>
      <c r="N3" s="24" t="n">
        <v>0.8</v>
      </c>
      <c r="O3" s="23" t="s">
        <v>100</v>
      </c>
    </row>
    <row r="4" customFormat="false" ht="15" hidden="false" customHeight="false" outlineLevel="0" collapsed="false">
      <c r="A4" s="17" t="s">
        <v>101</v>
      </c>
      <c r="B4" s="17" t="s">
        <v>102</v>
      </c>
      <c r="C4" s="17" t="s">
        <v>95</v>
      </c>
      <c r="D4" s="18" t="n">
        <v>142</v>
      </c>
      <c r="E4" s="18" t="n">
        <v>100</v>
      </c>
      <c r="F4" s="19" t="n">
        <f aca="false">VLOOKUP(C4,Acuan!$A$2:$B$5,2,FALSE())</f>
        <v>32000</v>
      </c>
      <c r="G4" s="19" t="n">
        <f aca="false">D4*F4</f>
        <v>4544000</v>
      </c>
      <c r="H4" s="20" t="n">
        <f aca="false">D4/E4</f>
        <v>1.42</v>
      </c>
      <c r="I4" s="21" t="str">
        <f aca="false">IF(H4&gt;=$N$2,"Tercapai",IF(H4&gt;=$N$3,"Hampir","Belum"))</f>
        <v>Tercapai</v>
      </c>
      <c r="J4" s="22" t="n">
        <f aca="false">MAX(0,E4-D4)</f>
        <v>0</v>
      </c>
      <c r="K4" s="20" t="n">
        <f aca="false">G4/SUMIF($B$2:$B$33,B4,$G$2:$G$33)</f>
        <v>0.232715353887125</v>
      </c>
    </row>
    <row r="5" customFormat="false" ht="15" hidden="false" customHeight="false" outlineLevel="0" collapsed="false">
      <c r="A5" s="17" t="s">
        <v>103</v>
      </c>
      <c r="B5" s="17" t="s">
        <v>104</v>
      </c>
      <c r="C5" s="17" t="s">
        <v>105</v>
      </c>
      <c r="D5" s="18" t="n">
        <v>107</v>
      </c>
      <c r="E5" s="18" t="n">
        <v>120</v>
      </c>
      <c r="F5" s="19" t="n">
        <f aca="false">VLOOKUP(C5,Acuan!$A$2:$B$5,2,FALSE())</f>
        <v>27500</v>
      </c>
      <c r="G5" s="19" t="n">
        <f aca="false">D5*F5</f>
        <v>2942500</v>
      </c>
      <c r="H5" s="20" t="n">
        <f aca="false">D5/E5</f>
        <v>0.891666666666667</v>
      </c>
      <c r="I5" s="21" t="str">
        <f aca="false">IF(H5&gt;=$N$2,"Tercapai",IF(H5&gt;=$N$3,"Hampir","Belum"))</f>
        <v>Hampir</v>
      </c>
      <c r="J5" s="22" t="n">
        <f aca="false">MAX(0,E5-D5)</f>
        <v>13</v>
      </c>
      <c r="K5" s="20" t="n">
        <f aca="false">G5/SUMIF($B$2:$B$33,B5,$G$2:$G$33)</f>
        <v>0.113553042874233</v>
      </c>
    </row>
    <row r="6" customFormat="false" ht="15" hidden="false" customHeight="false" outlineLevel="0" collapsed="false">
      <c r="A6" s="17" t="s">
        <v>106</v>
      </c>
      <c r="B6" s="17" t="s">
        <v>104</v>
      </c>
      <c r="C6" s="17" t="s">
        <v>107</v>
      </c>
      <c r="D6" s="18" t="n">
        <v>211</v>
      </c>
      <c r="E6" s="18" t="n">
        <v>200</v>
      </c>
      <c r="F6" s="19" t="n">
        <f aca="false">VLOOKUP(C6,Acuan!$A$2:$B$5,2,FALSE())</f>
        <v>24500</v>
      </c>
      <c r="G6" s="19" t="n">
        <f aca="false">D6*F6</f>
        <v>5169500</v>
      </c>
      <c r="H6" s="20" t="n">
        <f aca="false">D6/E6</f>
        <v>1.055</v>
      </c>
      <c r="I6" s="21" t="str">
        <f aca="false">IF(H6&gt;=$N$2,"Tercapai",IF(H6&gt;=$N$3,"Hampir","Belum"))</f>
        <v>Tercapai</v>
      </c>
      <c r="J6" s="22" t="n">
        <f aca="false">MAX(0,E6-D6)</f>
        <v>0</v>
      </c>
      <c r="K6" s="20" t="n">
        <f aca="false">G6/SUMIF($B$2:$B$33,B6,$G$2:$G$33)</f>
        <v>0.199494462239031</v>
      </c>
    </row>
    <row r="7" customFormat="false" ht="15" hidden="false" customHeight="false" outlineLevel="0" collapsed="false">
      <c r="A7" s="17" t="s">
        <v>108</v>
      </c>
      <c r="B7" s="17" t="s">
        <v>109</v>
      </c>
      <c r="C7" s="17" t="s">
        <v>95</v>
      </c>
      <c r="D7" s="18" t="n">
        <v>240</v>
      </c>
      <c r="E7" s="18" t="n">
        <v>200</v>
      </c>
      <c r="F7" s="19" t="n">
        <f aca="false">VLOOKUP(C7,Acuan!$A$2:$B$5,2,FALSE())</f>
        <v>32000</v>
      </c>
      <c r="G7" s="19" t="n">
        <f aca="false">D7*F7</f>
        <v>7680000</v>
      </c>
      <c r="H7" s="20" t="n">
        <f aca="false">D7/E7</f>
        <v>1.2</v>
      </c>
      <c r="I7" s="21" t="str">
        <f aca="false">IF(H7&gt;=$N$2,"Tercapai",IF(H7&gt;=$N$3,"Hampir","Belum"))</f>
        <v>Tercapai</v>
      </c>
      <c r="J7" s="22" t="n">
        <f aca="false">MAX(0,E7-D7)</f>
        <v>0</v>
      </c>
      <c r="K7" s="20" t="n">
        <f aca="false">G7/SUMIF($B$2:$B$33,B7,$G$2:$G$33)</f>
        <v>0.288429038194314</v>
      </c>
    </row>
    <row r="8" customFormat="false" ht="15" hidden="false" customHeight="false" outlineLevel="0" collapsed="false">
      <c r="A8" s="17" t="s">
        <v>103</v>
      </c>
      <c r="B8" s="17" t="s">
        <v>104</v>
      </c>
      <c r="C8" s="17" t="s">
        <v>98</v>
      </c>
      <c r="D8" s="18" t="n">
        <v>108</v>
      </c>
      <c r="E8" s="18" t="n">
        <v>120</v>
      </c>
      <c r="F8" s="19" t="n">
        <f aca="false">VLOOKUP(C8,Acuan!$A$2:$B$5,2,FALSE())</f>
        <v>18500</v>
      </c>
      <c r="G8" s="19" t="n">
        <f aca="false">D8*F8</f>
        <v>1998000</v>
      </c>
      <c r="H8" s="20" t="n">
        <f aca="false">D8/E8</f>
        <v>0.9</v>
      </c>
      <c r="I8" s="21" t="str">
        <f aca="false">IF(H8&gt;=$N$2,"Tercapai",IF(H8&gt;=$N$3,"Hampir","Belum"))</f>
        <v>Hampir</v>
      </c>
      <c r="J8" s="22" t="n">
        <f aca="false">MAX(0,E8-D8)</f>
        <v>12</v>
      </c>
      <c r="K8" s="20" t="n">
        <f aca="false">G8/SUMIF($B$2:$B$33,B8,$G$2:$G$33)</f>
        <v>0.0771041562150272</v>
      </c>
    </row>
    <row r="9" customFormat="false" ht="15" hidden="false" customHeight="false" outlineLevel="0" collapsed="false">
      <c r="A9" s="17" t="s">
        <v>103</v>
      </c>
      <c r="B9" s="17" t="s">
        <v>104</v>
      </c>
      <c r="C9" s="17" t="s">
        <v>95</v>
      </c>
      <c r="D9" s="18" t="n">
        <v>114</v>
      </c>
      <c r="E9" s="18" t="n">
        <v>100</v>
      </c>
      <c r="F9" s="19" t="n">
        <f aca="false">VLOOKUP(C9,Acuan!$A$2:$B$5,2,FALSE())</f>
        <v>32000</v>
      </c>
      <c r="G9" s="19" t="n">
        <f aca="false">D9*F9</f>
        <v>3648000</v>
      </c>
      <c r="H9" s="20" t="n">
        <f aca="false">D9/E9</f>
        <v>1.14</v>
      </c>
      <c r="I9" s="21" t="str">
        <f aca="false">IF(H9&gt;=$N$2,"Tercapai",IF(H9&gt;=$N$3,"Hampir","Belum"))</f>
        <v>Tercapai</v>
      </c>
      <c r="J9" s="22" t="n">
        <f aca="false">MAX(0,E9-D9)</f>
        <v>0</v>
      </c>
      <c r="K9" s="20" t="n">
        <f aca="false">G9/SUMIF($B$2:$B$33,B9,$G$2:$G$33)</f>
        <v>0.140778759695906</v>
      </c>
    </row>
    <row r="10" customFormat="false" ht="15" hidden="false" customHeight="false" outlineLevel="0" collapsed="false">
      <c r="A10" s="17" t="s">
        <v>106</v>
      </c>
      <c r="B10" s="17" t="s">
        <v>104</v>
      </c>
      <c r="C10" s="17" t="s">
        <v>95</v>
      </c>
      <c r="D10" s="18" t="n">
        <v>125</v>
      </c>
      <c r="E10" s="18" t="n">
        <v>120</v>
      </c>
      <c r="F10" s="19" t="n">
        <f aca="false">VLOOKUP(C10,Acuan!$A$2:$B$5,2,FALSE())</f>
        <v>32000</v>
      </c>
      <c r="G10" s="19" t="n">
        <f aca="false">D10*F10</f>
        <v>4000000</v>
      </c>
      <c r="H10" s="20" t="n">
        <f aca="false">D10/E10</f>
        <v>1.04166666666667</v>
      </c>
      <c r="I10" s="21" t="str">
        <f aca="false">IF(H10&gt;=$N$2,"Tercapai",IF(H10&gt;=$N$3,"Hampir","Belum"))</f>
        <v>Tercapai</v>
      </c>
      <c r="J10" s="22" t="n">
        <f aca="false">MAX(0,E10-D10)</f>
        <v>0</v>
      </c>
      <c r="K10" s="20" t="n">
        <f aca="false">G10/SUMIF($B$2:$B$33,B10,$G$2:$G$33)</f>
        <v>0.15436267510516</v>
      </c>
    </row>
    <row r="11" customFormat="false" ht="15" hidden="false" customHeight="false" outlineLevel="0" collapsed="false">
      <c r="A11" s="17" t="s">
        <v>108</v>
      </c>
      <c r="B11" s="17" t="s">
        <v>109</v>
      </c>
      <c r="C11" s="17" t="s">
        <v>105</v>
      </c>
      <c r="D11" s="18" t="n">
        <v>181</v>
      </c>
      <c r="E11" s="18" t="n">
        <v>200</v>
      </c>
      <c r="F11" s="19" t="n">
        <f aca="false">VLOOKUP(C11,Acuan!$A$2:$B$5,2,FALSE())</f>
        <v>27500</v>
      </c>
      <c r="G11" s="19" t="n">
        <f aca="false">D11*F11</f>
        <v>4977500</v>
      </c>
      <c r="H11" s="20" t="n">
        <f aca="false">D11/E11</f>
        <v>0.905</v>
      </c>
      <c r="I11" s="21" t="str">
        <f aca="false">IF(H11&gt;=$N$2,"Tercapai",IF(H11&gt;=$N$3,"Hampir","Belum"))</f>
        <v>Hampir</v>
      </c>
      <c r="J11" s="22" t="n">
        <f aca="false">MAX(0,E11-D11)</f>
        <v>19</v>
      </c>
      <c r="K11" s="20" t="n">
        <f aca="false">G11/SUMIF($B$2:$B$33,B11,$G$2:$G$33)</f>
        <v>0.186934314793255</v>
      </c>
    </row>
    <row r="12" customFormat="false" ht="15" hidden="false" customHeight="false" outlineLevel="0" collapsed="false">
      <c r="A12" s="17" t="s">
        <v>106</v>
      </c>
      <c r="B12" s="17" t="s">
        <v>104</v>
      </c>
      <c r="C12" s="17" t="s">
        <v>105</v>
      </c>
      <c r="D12" s="18" t="n">
        <v>141</v>
      </c>
      <c r="E12" s="18" t="n">
        <v>200</v>
      </c>
      <c r="F12" s="19" t="n">
        <f aca="false">VLOOKUP(C12,Acuan!$A$2:$B$5,2,FALSE())</f>
        <v>27500</v>
      </c>
      <c r="G12" s="19" t="n">
        <f aca="false">D12*F12</f>
        <v>3877500</v>
      </c>
      <c r="H12" s="20" t="n">
        <f aca="false">D12/E12</f>
        <v>0.705</v>
      </c>
      <c r="I12" s="21" t="str">
        <f aca="false">IF(H12&gt;=$N$2,"Tercapai",IF(H12&gt;=$N$3,"Hampir","Belum"))</f>
        <v>Belum</v>
      </c>
      <c r="J12" s="22" t="n">
        <f aca="false">MAX(0,E12-D12)</f>
        <v>59</v>
      </c>
      <c r="K12" s="20" t="n">
        <f aca="false">G12/SUMIF($B$2:$B$33,B12,$G$2:$G$33)</f>
        <v>0.149635318180064</v>
      </c>
    </row>
    <row r="13" customFormat="false" ht="15" hidden="false" customHeight="false" outlineLevel="0" collapsed="false">
      <c r="A13" s="17" t="s">
        <v>101</v>
      </c>
      <c r="B13" s="17" t="s">
        <v>102</v>
      </c>
      <c r="C13" s="17" t="s">
        <v>98</v>
      </c>
      <c r="D13" s="18" t="n">
        <v>56</v>
      </c>
      <c r="E13" s="18" t="n">
        <v>80</v>
      </c>
      <c r="F13" s="19" t="n">
        <f aca="false">VLOOKUP(C13,Acuan!$A$2:$B$5,2,FALSE())</f>
        <v>18500</v>
      </c>
      <c r="G13" s="19" t="n">
        <f aca="false">D13*F13</f>
        <v>1036000</v>
      </c>
      <c r="H13" s="20" t="n">
        <f aca="false">D13/E13</f>
        <v>0.7</v>
      </c>
      <c r="I13" s="21" t="str">
        <f aca="false">IF(H13&gt;=$N$2,"Tercapai",IF(H13&gt;=$N$3,"Hampir","Belum"))</f>
        <v>Belum</v>
      </c>
      <c r="J13" s="22" t="n">
        <f aca="false">MAX(0,E13-D13)</f>
        <v>24</v>
      </c>
      <c r="K13" s="20" t="n">
        <f aca="false">G13/SUMIF($B$2:$B$33,B13,$G$2:$G$33)</f>
        <v>0.0530574618457441</v>
      </c>
    </row>
    <row r="14" customFormat="false" ht="15" hidden="false" customHeight="false" outlineLevel="0" collapsed="false">
      <c r="A14" s="17" t="s">
        <v>101</v>
      </c>
      <c r="B14" s="17" t="s">
        <v>102</v>
      </c>
      <c r="C14" s="17" t="s">
        <v>105</v>
      </c>
      <c r="D14" s="18" t="n">
        <v>112</v>
      </c>
      <c r="E14" s="18" t="n">
        <v>120</v>
      </c>
      <c r="F14" s="19" t="n">
        <f aca="false">VLOOKUP(C14,Acuan!$A$2:$B$5,2,FALSE())</f>
        <v>27500</v>
      </c>
      <c r="G14" s="19" t="n">
        <f aca="false">D14*F14</f>
        <v>3080000</v>
      </c>
      <c r="H14" s="20" t="n">
        <f aca="false">D14/E14</f>
        <v>0.933333333333333</v>
      </c>
      <c r="I14" s="21" t="str">
        <f aca="false">IF(H14&gt;=$N$2,"Tercapai",IF(H14&gt;=$N$3,"Hampir","Belum"))</f>
        <v>Hampir</v>
      </c>
      <c r="J14" s="22" t="n">
        <f aca="false">MAX(0,E14-D14)</f>
        <v>8</v>
      </c>
      <c r="K14" s="20" t="n">
        <f aca="false">G14/SUMIF($B$2:$B$33,B14,$G$2:$G$33)</f>
        <v>0.157738400081942</v>
      </c>
    </row>
    <row r="15" customFormat="false" ht="15" hidden="false" customHeight="false" outlineLevel="0" collapsed="false">
      <c r="A15" s="17" t="s">
        <v>93</v>
      </c>
      <c r="B15" s="17" t="s">
        <v>94</v>
      </c>
      <c r="C15" s="17" t="s">
        <v>107</v>
      </c>
      <c r="D15" s="18" t="n">
        <v>46</v>
      </c>
      <c r="E15" s="18" t="n">
        <v>60</v>
      </c>
      <c r="F15" s="19" t="n">
        <f aca="false">VLOOKUP(C15,Acuan!$A$2:$B$5,2,FALSE())</f>
        <v>24500</v>
      </c>
      <c r="G15" s="19" t="n">
        <f aca="false">D15*F15</f>
        <v>1127000</v>
      </c>
      <c r="H15" s="20" t="n">
        <f aca="false">D15/E15</f>
        <v>0.766666666666667</v>
      </c>
      <c r="I15" s="21" t="str">
        <f aca="false">IF(H15&gt;=$N$2,"Tercapai",IF(H15&gt;=$N$3,"Hampir","Belum"))</f>
        <v>Belum</v>
      </c>
      <c r="J15" s="22" t="n">
        <f aca="false">MAX(0,E15-D15)</f>
        <v>14</v>
      </c>
      <c r="K15" s="20" t="n">
        <f aca="false">G15/SUMIF($B$2:$B$33,B15,$G$2:$G$33)</f>
        <v>0.063724520087077</v>
      </c>
    </row>
    <row r="16" customFormat="false" ht="15" hidden="false" customHeight="false" outlineLevel="0" collapsed="false">
      <c r="A16" s="17" t="s">
        <v>110</v>
      </c>
      <c r="B16" s="17" t="s">
        <v>102</v>
      </c>
      <c r="C16" s="17" t="s">
        <v>107</v>
      </c>
      <c r="D16" s="18" t="n">
        <v>67</v>
      </c>
      <c r="E16" s="18" t="n">
        <v>100</v>
      </c>
      <c r="F16" s="19" t="n">
        <f aca="false">VLOOKUP(C16,Acuan!$A$2:$B$5,2,FALSE())</f>
        <v>24500</v>
      </c>
      <c r="G16" s="19" t="n">
        <f aca="false">D16*F16</f>
        <v>1641500</v>
      </c>
      <c r="H16" s="20" t="n">
        <f aca="false">D16/E16</f>
        <v>0.67</v>
      </c>
      <c r="I16" s="21" t="str">
        <f aca="false">IF(H16&gt;=$N$2,"Tercapai",IF(H16&gt;=$N$3,"Hampir","Belum"))</f>
        <v>Belum</v>
      </c>
      <c r="J16" s="22" t="n">
        <f aca="false">MAX(0,E16-D16)</f>
        <v>33</v>
      </c>
      <c r="K16" s="20" t="n">
        <f aca="false">G16/SUMIF($B$2:$B$33,B16,$G$2:$G$33)</f>
        <v>0.0840673973163987</v>
      </c>
    </row>
    <row r="17" customFormat="false" ht="15" hidden="false" customHeight="false" outlineLevel="0" collapsed="false">
      <c r="A17" s="17" t="s">
        <v>111</v>
      </c>
      <c r="B17" s="17" t="s">
        <v>109</v>
      </c>
      <c r="C17" s="17" t="s">
        <v>107</v>
      </c>
      <c r="D17" s="18" t="n">
        <v>89</v>
      </c>
      <c r="E17" s="18" t="n">
        <v>120</v>
      </c>
      <c r="F17" s="19" t="n">
        <f aca="false">VLOOKUP(C17,Acuan!$A$2:$B$5,2,FALSE())</f>
        <v>24500</v>
      </c>
      <c r="G17" s="19" t="n">
        <f aca="false">D17*F17</f>
        <v>2180500</v>
      </c>
      <c r="H17" s="20" t="n">
        <f aca="false">D17/E17</f>
        <v>0.741666666666667</v>
      </c>
      <c r="I17" s="21" t="str">
        <f aca="false">IF(H17&gt;=$N$2,"Tercapai",IF(H17&gt;=$N$3,"Hampir","Belum"))</f>
        <v>Belum</v>
      </c>
      <c r="J17" s="22" t="n">
        <f aca="false">MAX(0,E17-D17)</f>
        <v>31</v>
      </c>
      <c r="K17" s="20" t="n">
        <f aca="false">G17/SUMIF($B$2:$B$33,B17,$G$2:$G$33)</f>
        <v>0.0818905622112893</v>
      </c>
    </row>
    <row r="18" customFormat="false" ht="15" hidden="false" customHeight="false" outlineLevel="0" collapsed="false">
      <c r="A18" s="17" t="s">
        <v>108</v>
      </c>
      <c r="B18" s="17" t="s">
        <v>109</v>
      </c>
      <c r="C18" s="17" t="s">
        <v>98</v>
      </c>
      <c r="D18" s="18" t="n">
        <v>42</v>
      </c>
      <c r="E18" s="18" t="n">
        <v>60</v>
      </c>
      <c r="F18" s="19" t="n">
        <f aca="false">VLOOKUP(C18,Acuan!$A$2:$B$5,2,FALSE())</f>
        <v>18500</v>
      </c>
      <c r="G18" s="19" t="n">
        <f aca="false">D18*F18</f>
        <v>777000</v>
      </c>
      <c r="H18" s="20" t="n">
        <f aca="false">D18/E18</f>
        <v>0.7</v>
      </c>
      <c r="I18" s="21" t="str">
        <f aca="false">IF(H18&gt;=$N$2,"Tercapai",IF(H18&gt;=$N$3,"Hampir","Belum"))</f>
        <v>Belum</v>
      </c>
      <c r="J18" s="22" t="n">
        <f aca="false">MAX(0,E18-D18)</f>
        <v>18</v>
      </c>
      <c r="K18" s="20" t="n">
        <f aca="false">G18/SUMIF($B$2:$B$33,B18,$G$2:$G$33)</f>
        <v>0.0291809065985654</v>
      </c>
    </row>
    <row r="19" customFormat="false" ht="15" hidden="false" customHeight="false" outlineLevel="0" collapsed="false">
      <c r="A19" s="17" t="s">
        <v>112</v>
      </c>
      <c r="B19" s="17" t="s">
        <v>94</v>
      </c>
      <c r="C19" s="17" t="s">
        <v>98</v>
      </c>
      <c r="D19" s="18" t="n">
        <v>56</v>
      </c>
      <c r="E19" s="18" t="n">
        <v>60</v>
      </c>
      <c r="F19" s="19" t="n">
        <f aca="false">VLOOKUP(C19,Acuan!$A$2:$B$5,2,FALSE())</f>
        <v>18500</v>
      </c>
      <c r="G19" s="19" t="n">
        <f aca="false">D19*F19</f>
        <v>1036000</v>
      </c>
      <c r="H19" s="20" t="n">
        <f aca="false">D19/E19</f>
        <v>0.933333333333333</v>
      </c>
      <c r="I19" s="21" t="str">
        <f aca="false">IF(H19&gt;=$N$2,"Tercapai",IF(H19&gt;=$N$3,"Hampir","Belum"))</f>
        <v>Hampir</v>
      </c>
      <c r="J19" s="22" t="n">
        <f aca="false">MAX(0,E19-D19)</f>
        <v>4</v>
      </c>
      <c r="K19" s="20" t="n">
        <f aca="false">G19/SUMIF($B$2:$B$33,B19,$G$2:$G$33)</f>
        <v>0.0585790619434</v>
      </c>
    </row>
    <row r="20" customFormat="false" ht="15" hidden="false" customHeight="false" outlineLevel="0" collapsed="false">
      <c r="A20" s="17" t="s">
        <v>111</v>
      </c>
      <c r="B20" s="17" t="s">
        <v>109</v>
      </c>
      <c r="C20" s="17" t="s">
        <v>98</v>
      </c>
      <c r="D20" s="18" t="n">
        <v>151</v>
      </c>
      <c r="E20" s="18" t="n">
        <v>120</v>
      </c>
      <c r="F20" s="19" t="n">
        <f aca="false">VLOOKUP(C20,Acuan!$A$2:$B$5,2,FALSE())</f>
        <v>18500</v>
      </c>
      <c r="G20" s="19" t="n">
        <f aca="false">D20*F20</f>
        <v>2793500</v>
      </c>
      <c r="H20" s="20" t="n">
        <f aca="false">D20/E20</f>
        <v>1.25833333333333</v>
      </c>
      <c r="I20" s="21" t="str">
        <f aca="false">IF(H20&gt;=$N$2,"Tercapai",IF(H20&gt;=$N$3,"Hampir","Belum"))</f>
        <v>Tercapai</v>
      </c>
      <c r="J20" s="22" t="n">
        <f aca="false">MAX(0,E20-D20)</f>
        <v>0</v>
      </c>
      <c r="K20" s="20" t="n">
        <f aca="false">G20/SUMIF($B$2:$B$33,B20,$G$2:$G$33)</f>
        <v>0.104912307056747</v>
      </c>
    </row>
    <row r="21" customFormat="false" ht="15" hidden="false" customHeight="false" outlineLevel="0" collapsed="false">
      <c r="A21" s="17" t="s">
        <v>111</v>
      </c>
      <c r="B21" s="17" t="s">
        <v>109</v>
      </c>
      <c r="C21" s="17" t="s">
        <v>95</v>
      </c>
      <c r="D21" s="18" t="n">
        <v>70</v>
      </c>
      <c r="E21" s="18" t="n">
        <v>60</v>
      </c>
      <c r="F21" s="19" t="n">
        <f aca="false">VLOOKUP(C21,Acuan!$A$2:$B$5,2,FALSE())</f>
        <v>32000</v>
      </c>
      <c r="G21" s="19" t="n">
        <f aca="false">D21*F21</f>
        <v>2240000</v>
      </c>
      <c r="H21" s="20" t="n">
        <f aca="false">D21/E21</f>
        <v>1.16666666666667</v>
      </c>
      <c r="I21" s="21" t="str">
        <f aca="false">IF(H21&gt;=$N$2,"Tercapai",IF(H21&gt;=$N$3,"Hampir","Belum"))</f>
        <v>Tercapai</v>
      </c>
      <c r="J21" s="22" t="n">
        <f aca="false">MAX(0,E21-D21)</f>
        <v>0</v>
      </c>
      <c r="K21" s="20" t="n">
        <f aca="false">G21/SUMIF($B$2:$B$33,B21,$G$2:$G$33)</f>
        <v>0.0841251361400083</v>
      </c>
    </row>
    <row r="22" customFormat="false" ht="15" hidden="false" customHeight="false" outlineLevel="0" collapsed="false">
      <c r="A22" s="17" t="s">
        <v>93</v>
      </c>
      <c r="B22" s="17" t="s">
        <v>94</v>
      </c>
      <c r="C22" s="17" t="s">
        <v>105</v>
      </c>
      <c r="D22" s="18" t="n">
        <v>104</v>
      </c>
      <c r="E22" s="18" t="n">
        <v>120</v>
      </c>
      <c r="F22" s="19" t="n">
        <f aca="false">VLOOKUP(C22,Acuan!$A$2:$B$5,2,FALSE())</f>
        <v>27500</v>
      </c>
      <c r="G22" s="19" t="n">
        <f aca="false">D22*F22</f>
        <v>2860000</v>
      </c>
      <c r="H22" s="20" t="n">
        <f aca="false">D22/E22</f>
        <v>0.866666666666667</v>
      </c>
      <c r="I22" s="21" t="str">
        <f aca="false">IF(H22&gt;=$N$2,"Tercapai",IF(H22&gt;=$N$3,"Hampir","Belum"))</f>
        <v>Hampir</v>
      </c>
      <c r="J22" s="22" t="n">
        <f aca="false">MAX(0,E22-D22)</f>
        <v>16</v>
      </c>
      <c r="K22" s="20" t="n">
        <f aca="false">G22/SUMIF($B$2:$B$33,B22,$G$2:$G$33)</f>
        <v>0.161714398801278</v>
      </c>
    </row>
    <row r="23" customFormat="false" ht="15" hidden="false" customHeight="false" outlineLevel="0" collapsed="false">
      <c r="A23" s="17" t="s">
        <v>112</v>
      </c>
      <c r="B23" s="17" t="s">
        <v>94</v>
      </c>
      <c r="C23" s="17" t="s">
        <v>95</v>
      </c>
      <c r="D23" s="18" t="n">
        <v>57</v>
      </c>
      <c r="E23" s="18" t="n">
        <v>80</v>
      </c>
      <c r="F23" s="19" t="n">
        <f aca="false">VLOOKUP(C23,Acuan!$A$2:$B$5,2,FALSE())</f>
        <v>32000</v>
      </c>
      <c r="G23" s="19" t="n">
        <f aca="false">D23*F23</f>
        <v>1824000</v>
      </c>
      <c r="H23" s="20" t="n">
        <f aca="false">D23/E23</f>
        <v>0.7125</v>
      </c>
      <c r="I23" s="21" t="str">
        <f aca="false">IF(H23&gt;=$N$2,"Tercapai",IF(H23&gt;=$N$3,"Hampir","Belum"))</f>
        <v>Belum</v>
      </c>
      <c r="J23" s="22" t="n">
        <f aca="false">MAX(0,E23-D23)</f>
        <v>23</v>
      </c>
      <c r="K23" s="20" t="n">
        <f aca="false">G23/SUMIF($B$2:$B$33,B23,$G$2:$G$33)</f>
        <v>0.103135336857878</v>
      </c>
    </row>
    <row r="24" customFormat="false" ht="15" hidden="false" customHeight="false" outlineLevel="0" collapsed="false">
      <c r="A24" s="17" t="s">
        <v>112</v>
      </c>
      <c r="B24" s="17" t="s">
        <v>94</v>
      </c>
      <c r="C24" s="17" t="s">
        <v>105</v>
      </c>
      <c r="D24" s="18" t="n">
        <v>204</v>
      </c>
      <c r="E24" s="18" t="n">
        <v>200</v>
      </c>
      <c r="F24" s="19" t="n">
        <f aca="false">VLOOKUP(C24,Acuan!$A$2:$B$5,2,FALSE())</f>
        <v>27500</v>
      </c>
      <c r="G24" s="19" t="n">
        <f aca="false">D24*F24</f>
        <v>5610000</v>
      </c>
      <c r="H24" s="20" t="n">
        <f aca="false">D24/E24</f>
        <v>1.02</v>
      </c>
      <c r="I24" s="21" t="str">
        <f aca="false">IF(H24&gt;=$N$2,"Tercapai",IF(H24&gt;=$N$3,"Hampir","Belum"))</f>
        <v>Tercapai</v>
      </c>
      <c r="J24" s="22" t="n">
        <f aca="false">MAX(0,E24-D24)</f>
        <v>0</v>
      </c>
      <c r="K24" s="20" t="n">
        <f aca="false">G24/SUMIF($B$2:$B$33,B24,$G$2:$G$33)</f>
        <v>0.317209013033276</v>
      </c>
    </row>
    <row r="25" customFormat="false" ht="15" hidden="false" customHeight="false" outlineLevel="0" collapsed="false">
      <c r="A25" s="17" t="s">
        <v>111</v>
      </c>
      <c r="B25" s="17" t="s">
        <v>109</v>
      </c>
      <c r="C25" s="17" t="s">
        <v>105</v>
      </c>
      <c r="D25" s="18" t="n">
        <v>139</v>
      </c>
      <c r="E25" s="18" t="n">
        <v>150</v>
      </c>
      <c r="F25" s="19" t="n">
        <f aca="false">VLOOKUP(C25,Acuan!$A$2:$B$5,2,FALSE())</f>
        <v>27500</v>
      </c>
      <c r="G25" s="19" t="n">
        <f aca="false">D25*F25</f>
        <v>3822500</v>
      </c>
      <c r="H25" s="20" t="n">
        <f aca="false">D25/E25</f>
        <v>0.926666666666667</v>
      </c>
      <c r="I25" s="21" t="str">
        <f aca="false">IF(H25&gt;=$N$2,"Tercapai",IF(H25&gt;=$N$3,"Hampir","Belum"))</f>
        <v>Hampir</v>
      </c>
      <c r="J25" s="22" t="n">
        <f aca="false">MAX(0,E25-D25)</f>
        <v>11</v>
      </c>
      <c r="K25" s="20" t="n">
        <f aca="false">G25/SUMIF($B$2:$B$33,B25,$G$2:$G$33)</f>
        <v>0.143557291471063</v>
      </c>
    </row>
    <row r="26" customFormat="false" ht="15" hidden="false" customHeight="false" outlineLevel="0" collapsed="false">
      <c r="A26" s="17" t="s">
        <v>110</v>
      </c>
      <c r="B26" s="17" t="s">
        <v>102</v>
      </c>
      <c r="C26" s="17" t="s">
        <v>95</v>
      </c>
      <c r="D26" s="18" t="n">
        <v>138</v>
      </c>
      <c r="E26" s="18" t="n">
        <v>120</v>
      </c>
      <c r="F26" s="19" t="n">
        <f aca="false">VLOOKUP(C26,Acuan!$A$2:$B$5,2,FALSE())</f>
        <v>32000</v>
      </c>
      <c r="G26" s="19" t="n">
        <f aca="false">D26*F26</f>
        <v>4416000</v>
      </c>
      <c r="H26" s="20" t="n">
        <f aca="false">D26/E26</f>
        <v>1.15</v>
      </c>
      <c r="I26" s="21" t="str">
        <f aca="false">IF(H26&gt;=$N$2,"Tercapai",IF(H26&gt;=$N$3,"Hampir","Belum"))</f>
        <v>Tercapai</v>
      </c>
      <c r="J26" s="22" t="n">
        <f aca="false">MAX(0,E26-D26)</f>
        <v>0</v>
      </c>
      <c r="K26" s="20" t="n">
        <f aca="false">G26/SUMIF($B$2:$B$33,B26,$G$2:$G$33)</f>
        <v>0.226159991805797</v>
      </c>
    </row>
    <row r="27" customFormat="false" ht="15" hidden="false" customHeight="false" outlineLevel="0" collapsed="false">
      <c r="A27" s="17" t="s">
        <v>110</v>
      </c>
      <c r="B27" s="17" t="s">
        <v>102</v>
      </c>
      <c r="C27" s="17" t="s">
        <v>98</v>
      </c>
      <c r="D27" s="18" t="n">
        <v>45</v>
      </c>
      <c r="E27" s="18" t="n">
        <v>60</v>
      </c>
      <c r="F27" s="19" t="n">
        <f aca="false">VLOOKUP(C27,Acuan!$A$2:$B$5,2,FALSE())</f>
        <v>18500</v>
      </c>
      <c r="G27" s="19" t="n">
        <f aca="false">D27*F27</f>
        <v>832500</v>
      </c>
      <c r="H27" s="20" t="n">
        <f aca="false">D27/E27</f>
        <v>0.75</v>
      </c>
      <c r="I27" s="21" t="str">
        <f aca="false">IF(H27&gt;=$N$2,"Tercapai",IF(H27&gt;=$N$3,"Hampir","Belum"))</f>
        <v>Belum</v>
      </c>
      <c r="J27" s="22" t="n">
        <f aca="false">MAX(0,E27-D27)</f>
        <v>15</v>
      </c>
      <c r="K27" s="20" t="n">
        <f aca="false">G27/SUMIF($B$2:$B$33,B27,$G$2:$G$33)</f>
        <v>0.0426354604117587</v>
      </c>
    </row>
    <row r="28" customFormat="false" ht="15" hidden="false" customHeight="false" outlineLevel="0" collapsed="false">
      <c r="A28" s="17" t="s">
        <v>110</v>
      </c>
      <c r="B28" s="17" t="s">
        <v>102</v>
      </c>
      <c r="C28" s="17" t="s">
        <v>105</v>
      </c>
      <c r="D28" s="18" t="n">
        <v>84</v>
      </c>
      <c r="E28" s="18" t="n">
        <v>100</v>
      </c>
      <c r="F28" s="19" t="n">
        <f aca="false">VLOOKUP(C28,Acuan!$A$2:$B$5,2,FALSE())</f>
        <v>27500</v>
      </c>
      <c r="G28" s="19" t="n">
        <f aca="false">D28*F28</f>
        <v>2310000</v>
      </c>
      <c r="H28" s="20" t="n">
        <f aca="false">D28/E28</f>
        <v>0.84</v>
      </c>
      <c r="I28" s="21" t="str">
        <f aca="false">IF(H28&gt;=$N$2,"Tercapai",IF(H28&gt;=$N$3,"Hampir","Belum"))</f>
        <v>Hampir</v>
      </c>
      <c r="J28" s="22" t="n">
        <f aca="false">MAX(0,E28-D28)</f>
        <v>16</v>
      </c>
      <c r="K28" s="20" t="n">
        <f aca="false">G28/SUMIF($B$2:$B$33,B28,$G$2:$G$33)</f>
        <v>0.118303800061457</v>
      </c>
    </row>
    <row r="29" customFormat="false" ht="15" hidden="false" customHeight="false" outlineLevel="0" collapsed="false">
      <c r="A29" s="17" t="s">
        <v>101</v>
      </c>
      <c r="B29" s="17" t="s">
        <v>102</v>
      </c>
      <c r="C29" s="17" t="s">
        <v>107</v>
      </c>
      <c r="D29" s="18" t="n">
        <v>68</v>
      </c>
      <c r="E29" s="18" t="n">
        <v>60</v>
      </c>
      <c r="F29" s="19" t="n">
        <f aca="false">VLOOKUP(C29,Acuan!$A$2:$B$5,2,FALSE())</f>
        <v>24500</v>
      </c>
      <c r="G29" s="19" t="n">
        <f aca="false">D29*F29</f>
        <v>1666000</v>
      </c>
      <c r="H29" s="20" t="n">
        <f aca="false">D29/E29</f>
        <v>1.13333333333333</v>
      </c>
      <c r="I29" s="21" t="str">
        <f aca="false">IF(H29&gt;=$N$2,"Tercapai",IF(H29&gt;=$N$3,"Hampir","Belum"))</f>
        <v>Tercapai</v>
      </c>
      <c r="J29" s="22" t="n">
        <f aca="false">MAX(0,E29-D29)</f>
        <v>0</v>
      </c>
      <c r="K29" s="20" t="n">
        <f aca="false">G29/SUMIF($B$2:$B$33,B29,$G$2:$G$33)</f>
        <v>0.0853221345897777</v>
      </c>
    </row>
    <row r="30" customFormat="false" ht="15" hidden="false" customHeight="false" outlineLevel="0" collapsed="false">
      <c r="A30" s="17" t="s">
        <v>106</v>
      </c>
      <c r="B30" s="17" t="s">
        <v>104</v>
      </c>
      <c r="C30" s="17" t="s">
        <v>98</v>
      </c>
      <c r="D30" s="18" t="n">
        <v>116</v>
      </c>
      <c r="E30" s="18" t="n">
        <v>120</v>
      </c>
      <c r="F30" s="19" t="n">
        <f aca="false">VLOOKUP(C30,Acuan!$A$2:$B$5,2,FALSE())</f>
        <v>18500</v>
      </c>
      <c r="G30" s="19" t="n">
        <f aca="false">D30*F30</f>
        <v>2146000</v>
      </c>
      <c r="H30" s="20" t="n">
        <f aca="false">D30/E30</f>
        <v>0.966666666666667</v>
      </c>
      <c r="I30" s="21" t="str">
        <f aca="false">IF(H30&gt;=$N$2,"Tercapai",IF(H30&gt;=$N$3,"Hampir","Belum"))</f>
        <v>Hampir</v>
      </c>
      <c r="J30" s="22" t="n">
        <f aca="false">MAX(0,E30-D30)</f>
        <v>4</v>
      </c>
      <c r="K30" s="20" t="n">
        <f aca="false">G30/SUMIF($B$2:$B$33,B30,$G$2:$G$33)</f>
        <v>0.0828155751939181</v>
      </c>
    </row>
    <row r="31" customFormat="false" ht="15" hidden="false" customHeight="false" outlineLevel="0" collapsed="false">
      <c r="A31" s="17" t="s">
        <v>112</v>
      </c>
      <c r="B31" s="17" t="s">
        <v>94</v>
      </c>
      <c r="C31" s="17" t="s">
        <v>107</v>
      </c>
      <c r="D31" s="18" t="n">
        <v>68</v>
      </c>
      <c r="E31" s="18" t="n">
        <v>60</v>
      </c>
      <c r="F31" s="19" t="n">
        <f aca="false">VLOOKUP(C31,Acuan!$A$2:$B$5,2,FALSE())</f>
        <v>24500</v>
      </c>
      <c r="G31" s="19" t="n">
        <f aca="false">D31*F31</f>
        <v>1666000</v>
      </c>
      <c r="H31" s="20" t="n">
        <f aca="false">D31/E31</f>
        <v>1.13333333333333</v>
      </c>
      <c r="I31" s="21" t="str">
        <f aca="false">IF(H31&gt;=$N$2,"Tercapai",IF(H31&gt;=$N$3,"Hampir","Belum"))</f>
        <v>Tercapai</v>
      </c>
      <c r="J31" s="22" t="n">
        <f aca="false">MAX(0,E31-D31)</f>
        <v>0</v>
      </c>
      <c r="K31" s="20" t="n">
        <f aca="false">G31/SUMIF($B$2:$B$33,B31,$G$2:$G$33)</f>
        <v>0.0942014644765486</v>
      </c>
    </row>
    <row r="32" customFormat="false" ht="15" hidden="false" customHeight="false" outlineLevel="0" collapsed="false">
      <c r="A32" s="17" t="s">
        <v>108</v>
      </c>
      <c r="B32" s="17" t="s">
        <v>109</v>
      </c>
      <c r="C32" s="17" t="s">
        <v>107</v>
      </c>
      <c r="D32" s="18" t="n">
        <v>88</v>
      </c>
      <c r="E32" s="18" t="n">
        <v>100</v>
      </c>
      <c r="F32" s="19" t="n">
        <f aca="false">VLOOKUP(C32,Acuan!$A$2:$B$5,2,FALSE())</f>
        <v>24500</v>
      </c>
      <c r="G32" s="19" t="n">
        <f aca="false">D32*F32</f>
        <v>2156000</v>
      </c>
      <c r="H32" s="20" t="n">
        <f aca="false">D32/E32</f>
        <v>0.88</v>
      </c>
      <c r="I32" s="21" t="str">
        <f aca="false">IF(H32&gt;=$N$2,"Tercapai",IF(H32&gt;=$N$3,"Hampir","Belum"))</f>
        <v>Hampir</v>
      </c>
      <c r="J32" s="22" t="n">
        <f aca="false">MAX(0,E32-D32)</f>
        <v>12</v>
      </c>
      <c r="K32" s="20" t="n">
        <f aca="false">G32/SUMIF($B$2:$B$33,B32,$G$2:$G$33)</f>
        <v>0.080970443534758</v>
      </c>
    </row>
    <row r="33" customFormat="false" ht="15" hidden="false" customHeight="false" outlineLevel="0" collapsed="false">
      <c r="A33" s="17" t="s">
        <v>103</v>
      </c>
      <c r="B33" s="17" t="s">
        <v>104</v>
      </c>
      <c r="C33" s="17" t="s">
        <v>107</v>
      </c>
      <c r="D33" s="18" t="n">
        <v>87</v>
      </c>
      <c r="E33" s="18" t="n">
        <v>60</v>
      </c>
      <c r="F33" s="19" t="n">
        <f aca="false">VLOOKUP(C33,Acuan!$A$2:$B$5,2,FALSE())</f>
        <v>24500</v>
      </c>
      <c r="G33" s="19" t="n">
        <f aca="false">D33*F33</f>
        <v>2131500</v>
      </c>
      <c r="H33" s="20" t="n">
        <f aca="false">D33/E33</f>
        <v>1.45</v>
      </c>
      <c r="I33" s="21" t="str">
        <f aca="false">IF(H33&gt;=$N$2,"Tercapai",IF(H33&gt;=$N$3,"Hampir","Belum"))</f>
        <v>Tercapai</v>
      </c>
      <c r="J33" s="22" t="n">
        <f aca="false">MAX(0,E33-D33)</f>
        <v>0</v>
      </c>
      <c r="K33" s="20" t="n">
        <f aca="false">G33/SUMIF($B$2:$B$33,B33,$G$2:$G$33)</f>
        <v>0.0822560104966619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12"/>
    <col collapsed="false" customWidth="true" hidden="false" outlineLevel="0" max="4" min="4" style="0" width="15"/>
  </cols>
  <sheetData>
    <row r="1" customFormat="false" ht="33.75" hidden="false" customHeight="true" outlineLevel="0" collapsed="false">
      <c r="A1" s="11" t="s">
        <v>81</v>
      </c>
      <c r="B1" s="11" t="s">
        <v>84</v>
      </c>
      <c r="C1" s="15" t="s">
        <v>113</v>
      </c>
      <c r="D1" s="15" t="s">
        <v>114</v>
      </c>
    </row>
    <row r="2" customFormat="false" ht="15" hidden="false" customHeight="false" outlineLevel="0" collapsed="false">
      <c r="A2" s="17" t="s">
        <v>98</v>
      </c>
      <c r="B2" s="25" t="n">
        <v>18500</v>
      </c>
      <c r="C2" s="22" t="n">
        <f aca="false">SUMIF(Data!$C$2:$C$33,A2,Data!$D$2:$D$33)</f>
        <v>623</v>
      </c>
      <c r="D2" s="19" t="n">
        <f aca="false">SUMIF(Data!$C$2:$C$33,A2,Data!$G$2:$G$33)</f>
        <v>11525500</v>
      </c>
    </row>
    <row r="3" customFormat="false" ht="15" hidden="false" customHeight="false" outlineLevel="0" collapsed="false">
      <c r="A3" s="17" t="s">
        <v>95</v>
      </c>
      <c r="B3" s="25" t="n">
        <v>32000</v>
      </c>
      <c r="C3" s="22" t="n">
        <f aca="false">SUMIF(Data!$C$2:$C$33,A3,Data!$D$2:$D$33)</f>
        <v>969</v>
      </c>
      <c r="D3" s="19" t="n">
        <f aca="false">SUMIF(Data!$C$2:$C$33,A3,Data!$G$2:$G$33)</f>
        <v>31008000</v>
      </c>
    </row>
    <row r="4" customFormat="false" ht="15" hidden="false" customHeight="false" outlineLevel="0" collapsed="false">
      <c r="A4" s="17" t="s">
        <v>107</v>
      </c>
      <c r="B4" s="25" t="n">
        <v>24500</v>
      </c>
      <c r="C4" s="22" t="n">
        <f aca="false">SUMIF(Data!$C$2:$C$33,A4,Data!$D$2:$D$33)</f>
        <v>724</v>
      </c>
      <c r="D4" s="19" t="n">
        <f aca="false">SUMIF(Data!$C$2:$C$33,A4,Data!$G$2:$G$33)</f>
        <v>17738000</v>
      </c>
    </row>
    <row r="5" customFormat="false" ht="15" hidden="false" customHeight="false" outlineLevel="0" collapsed="false">
      <c r="A5" s="17" t="s">
        <v>105</v>
      </c>
      <c r="B5" s="25" t="n">
        <v>27500</v>
      </c>
      <c r="C5" s="22" t="n">
        <f aca="false">SUMIF(Data!$C$2:$C$33,A5,Data!$D$2:$D$33)</f>
        <v>1072</v>
      </c>
      <c r="D5" s="19" t="n">
        <f aca="false">SUMIF(Data!$C$2:$C$33,A5,Data!$G$2:$G$33)</f>
        <v>29480000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115</v>
      </c>
      <c r="B1" s="26"/>
      <c r="C1" s="26"/>
      <c r="D1" s="26"/>
    </row>
    <row r="2" customFormat="false" ht="15" hidden="false" customHeight="false" outlineLevel="0" collapsed="false">
      <c r="A2" s="27" t="s">
        <v>116</v>
      </c>
      <c r="B2" s="27"/>
      <c r="C2" s="27"/>
      <c r="D2" s="27"/>
    </row>
    <row r="3" customFormat="false" ht="15" hidden="false" customHeight="false" outlineLevel="0" collapsed="false">
      <c r="A3" s="11" t="s">
        <v>19</v>
      </c>
      <c r="B3" s="11" t="s">
        <v>117</v>
      </c>
      <c r="C3" s="11" t="s">
        <v>118</v>
      </c>
      <c r="D3" s="11" t="s">
        <v>119</v>
      </c>
    </row>
    <row r="4" customFormat="false" ht="15" hidden="false" customHeight="false" outlineLevel="0" collapsed="false">
      <c r="A4" s="28" t="s">
        <v>120</v>
      </c>
      <c r="B4" s="29" t="s">
        <v>121</v>
      </c>
      <c r="C4" s="22" t="n">
        <f aca="false">SUM(Data!$D$2:$D$33)</f>
        <v>3388</v>
      </c>
      <c r="D4" s="30" t="s">
        <v>122</v>
      </c>
    </row>
    <row r="5" customFormat="false" ht="15" hidden="false" customHeight="false" outlineLevel="0" collapsed="false">
      <c r="A5" s="28" t="s">
        <v>123</v>
      </c>
      <c r="B5" s="29" t="s">
        <v>124</v>
      </c>
      <c r="C5" s="19" t="n">
        <f aca="false">SUM(Data!$G$2:$G$33)</f>
        <v>89751500</v>
      </c>
      <c r="D5" s="30" t="s">
        <v>125</v>
      </c>
    </row>
    <row r="6" customFormat="false" ht="15" hidden="false" customHeight="false" outlineLevel="0" collapsed="false">
      <c r="A6" s="28" t="s">
        <v>126</v>
      </c>
      <c r="B6" s="29" t="s">
        <v>127</v>
      </c>
      <c r="C6" s="19" t="n">
        <f aca="false">SUMIFS(Data!$G$2:$G$33,Data!$C$2:$C$33,"Detergen",Data!$B$2:$B$33,"Timur")</f>
        <v>4480000</v>
      </c>
      <c r="D6" s="30" t="s">
        <v>128</v>
      </c>
    </row>
    <row r="7" customFormat="false" ht="15" hidden="false" customHeight="false" outlineLevel="0" collapsed="false">
      <c r="A7" s="28" t="s">
        <v>129</v>
      </c>
      <c r="B7" s="29" t="s">
        <v>130</v>
      </c>
      <c r="C7" s="22" t="n">
        <f aca="false">SUMIFS(Data!$D$2:$D$33,Data!$C$2:$C$33,"Sabun Cair",Data!$B$2:$B$33,"Barat")</f>
        <v>193</v>
      </c>
      <c r="D7" s="30" t="s">
        <v>131</v>
      </c>
    </row>
    <row r="8" customFormat="false" ht="15" hidden="false" customHeight="false" outlineLevel="0" collapsed="false">
      <c r="A8" s="28" t="s">
        <v>132</v>
      </c>
      <c r="B8" s="29" t="s">
        <v>133</v>
      </c>
      <c r="C8" s="22" t="n">
        <f aca="false">COUNTIF(Data!$I$2:$I$33,"Tercapai")</f>
        <v>12</v>
      </c>
      <c r="D8" s="30" t="s">
        <v>134</v>
      </c>
    </row>
    <row r="9" customFormat="false" ht="15" hidden="false" customHeight="false" outlineLevel="0" collapsed="false">
      <c r="A9" s="28" t="s">
        <v>135</v>
      </c>
      <c r="B9" s="29" t="s">
        <v>136</v>
      </c>
      <c r="C9" s="22" t="n">
        <f aca="false">COUNTIF(Data!$I$2:$I$33,"Belum")</f>
        <v>8</v>
      </c>
      <c r="D9" s="30" t="s">
        <v>137</v>
      </c>
    </row>
    <row r="10" customFormat="false" ht="15" hidden="false" customHeight="false" outlineLevel="0" collapsed="false">
      <c r="A10" s="28" t="s">
        <v>138</v>
      </c>
      <c r="B10" s="29" t="s">
        <v>139</v>
      </c>
      <c r="C10" s="21" t="str">
        <f aca="false">INDEX(Data!$A$2:$A$33,MATCH(MAX(Data!$G$2:$G$33),Data!$G$2:$G$33,0))</f>
        <v>Wawan Fauzi</v>
      </c>
      <c r="D10" s="30" t="s">
        <v>140</v>
      </c>
    </row>
    <row r="11" customFormat="false" ht="15" hidden="false" customHeight="false" outlineLevel="0" collapsed="false">
      <c r="A11" s="28" t="s">
        <v>141</v>
      </c>
      <c r="B11" s="29" t="s">
        <v>142</v>
      </c>
      <c r="C11" s="21" t="str">
        <f aca="false">INDEX(Acuan!$A$2:$A$5,MATCH(MAX(Acuan!$D$2:$D$5),Acuan!$D$2:$D$5,0))</f>
        <v>Detergen</v>
      </c>
      <c r="D11" s="30" t="s">
        <v>143</v>
      </c>
    </row>
    <row r="12" customFormat="false" ht="15" hidden="false" customHeight="false" outlineLevel="0" collapsed="false">
      <c r="A12" s="28" t="s">
        <v>144</v>
      </c>
      <c r="B12" s="29" t="s">
        <v>145</v>
      </c>
      <c r="C12" s="20" t="n">
        <f aca="false">AVERAGE(Data!$H$2:$H$33)</f>
        <v>0.956380208333333</v>
      </c>
      <c r="D12" s="30" t="s">
        <v>146</v>
      </c>
    </row>
    <row r="13" customFormat="false" ht="15" hidden="false" customHeight="false" outlineLevel="0" collapsed="false">
      <c r="A13" s="28" t="s">
        <v>147</v>
      </c>
      <c r="B13" s="29" t="s">
        <v>148</v>
      </c>
      <c r="C13" s="20" t="n">
        <f aca="false">AVERAGEIF(Data!$B$2:$B$33,"Selatan",Data!$H$2:$H$33)</f>
        <v>0.949583333333333</v>
      </c>
      <c r="D13" s="30" t="s">
        <v>149</v>
      </c>
    </row>
    <row r="14" customFormat="false" ht="15" hidden="false" customHeight="false" outlineLevel="0" collapsed="false">
      <c r="A14" s="28" t="s">
        <v>150</v>
      </c>
      <c r="B14" s="29" t="s">
        <v>151</v>
      </c>
      <c r="C14" s="22" t="n">
        <f aca="false">SUM(Data!$J$2:$J$33)</f>
        <v>360</v>
      </c>
      <c r="D14" s="30" t="s">
        <v>152</v>
      </c>
    </row>
    <row r="15" customFormat="false" ht="15" hidden="false" customHeight="false" outlineLevel="0" collapsed="false">
      <c r="A15" s="28" t="s">
        <v>153</v>
      </c>
      <c r="B15" s="29" t="s">
        <v>154</v>
      </c>
      <c r="C15" s="22" t="n">
        <f aca="false">MAX(Data!$J$2:$J$33)</f>
        <v>59</v>
      </c>
      <c r="D15" s="30" t="s">
        <v>155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2026-10-16T10:35:44Z</dcterms:created>
  <dc:creator>PushExcel</dc:creator>
  <dc:description/>
  <dc:language>en-US</dc:language>
  <cp:lastModifiedBy/>
  <dcterms:modified xsi:type="dcterms:W3CDTF">2026-10-16T10:35:44Z</dcterms:modified>
  <cp:revision>0</cp:revision>
  <dc:subject/>
  <dc:title>Rekap Penjualan Sales per Wilayah dan Produk - Kunci</dc:title>
</cp:coreProperties>
</file>

<file path=docProps/custom.xml><?xml version="1.0" encoding="utf-8"?>
<Properties xmlns="http://schemas.openxmlformats.org/officeDocument/2006/custom-properties" xmlns:vt="http://schemas.openxmlformats.org/officeDocument/2006/docPropsVTypes"/>
</file>