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<sst xmlns="http://schemas.openxmlformats.org/spreadsheetml/2006/main" count="268" uniqueCount="184">
  <si>
    <t xml:space="preserve">Kunci Jawaban: Mutasi Barang Antar Cabang dan Selisih Terima</t>
  </si>
  <si>
    <t xml:space="preserve">Latihan 75 dari 40  |  Tingkat: Menengah  |  Perkiraan waktu: 50 menit  |  pushexcel.github.io/Pushexcel</t>
  </si>
  <si>
    <t xml:space="preserve">Skenario</t>
  </si>
  <si>
    <t xml:space="preserve">Kamu staf logistik PT Sentra Elektrik Jaya yang punya empat cabang. Selama September sampai Oktober 2026 ada 30 mutasi barang antar cabang. Tiap mutasi mencatat jumlah dikirim cabang asal, jumlah diterima cabang tujuan, dan harga satuan barang. Selisih adalah jumlah kirim dikurangi jumlah terima. Status Sesuai bila selisih 0, Selisih Kecil bila persen selisih tidak lebih dari 5 persen, dan Perlu Cek bila lebih dari itu. Pengiriman Terlambat bila lama kirim lebih dari 3 hari (batas ada di blok Parameter). Rekap per cabang ada di sheet Acuan.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</si>
  <si>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</si>
  <si>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</si>
  <si>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</si>
  <si>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</si>
  <si>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</si>
  <si>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</si>
  <si>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</si>
  <si>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</si>
  <si>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</si>
  <si>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</si>
  <si>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</si>
  <si>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</si>
  <si>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</si>
  <si>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</si>
  <si>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</si>
  <si>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</si>
  <si>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</si>
  <si>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</si>
  <si>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</si>
  <si>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</si>
  <si>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lama kirim dalam hari: tanggal terima dikurangi tanggal kirim.</t>
  </si>
  <si>
    <t xml:space="preserve">Sheet Data, kolom J (Lama Kirim), baris 2 sampai 31</t>
  </si>
  <si>
    <t xml:space="preserve">=F2-E2</t>
  </si>
  <si>
    <t xml:space="preserve">2</t>
  </si>
  <si>
    <t xml:space="preserve">Beri status Terlambat bila lama kirim lebih dari batas lama kirim. Selain itu Tepat.</t>
  </si>
  <si>
    <t xml:space="preserve">Sheet Data, kolom K (Status Waktu), baris 2 sampai 31</t>
  </si>
  <si>
    <t xml:space="preserve">=IF(J2&gt;$R$2;"Terlambat";"Tepat")</t>
  </si>
  <si>
    <t xml:space="preserve">3</t>
  </si>
  <si>
    <t xml:space="preserve">Hitung selisih jumlah: jumlah kirim dikurangi jumlah terima.</t>
  </si>
  <si>
    <t xml:space="preserve">Sheet Data, kolom L (Selisih Jumlah), baris 2 sampai 31</t>
  </si>
  <si>
    <t xml:space="preserve">=G2-H2</t>
  </si>
  <si>
    <t xml:space="preserve">4</t>
  </si>
  <si>
    <t xml:space="preserve">Hitung persen selisih terhadap jumlah kirim.</t>
  </si>
  <si>
    <t xml:space="preserve">Sheet Data, kolom M (Persen Selisih), baris 2 sampai 31</t>
  </si>
  <si>
    <t xml:space="preserve">=L2/G2</t>
  </si>
  <si>
    <t xml:space="preserve">5</t>
  </si>
  <si>
    <t xml:space="preserve">Beri status Sesuai bila selisih 0, Selisih Kecil bila persen selisih tidak lebih dari toleransi, selain itu Perlu Cek.</t>
  </si>
  <si>
    <t xml:space="preserve">Sheet Data, kolom N (Status Selisih), baris 2 sampai 31</t>
  </si>
  <si>
    <t xml:space="preserve">=IF(L2=0;"Sesuai";IF(M2&lt;=$R$3;"Selisih Kecil";"Perlu Cek"))</t>
  </si>
  <si>
    <t xml:space="preserve">6</t>
  </si>
  <si>
    <t xml:space="preserve">Hitung nilai selisih dalam rupiah: selisih jumlah dikali harga satuan.</t>
  </si>
  <si>
    <t xml:space="preserve">Sheet Data, kolom O (Nilai Selisih), baris 2 sampai 31</t>
  </si>
  <si>
    <t xml:space="preserve">=L2*I2</t>
  </si>
  <si>
    <t xml:space="preserve">7</t>
  </si>
  <si>
    <t xml:space="preserve">Pada sheet Acuan, hitung total jumlah barang yang dikirim keluar dari tiap cabang (sebagai cabang asal).</t>
  </si>
  <si>
    <t xml:space="preserve">Sheet Acuan, kolom B (Total Kirim Keluar), baris 2 sampai 5</t>
  </si>
  <si>
    <t xml:space="preserve">=SUMIF(Data!$C$2:$C$31;A2;Data!$G$2:$G$31)</t>
  </si>
  <si>
    <t xml:space="preserve">8</t>
  </si>
  <si>
    <t xml:space="preserve">Pada sheet Acuan, hitung total jumlah barang yang diterima tiap cabang (sebagai cabang tujuan).</t>
  </si>
  <si>
    <t xml:space="preserve">Sheet Acuan, kolom C (Total Terima Masuk), baris 2 sampai 5</t>
  </si>
  <si>
    <t xml:space="preserve">=SUMIF(Data!$D$2:$D$31;A2;Data!$H$2:$H$31)</t>
  </si>
  <si>
    <t xml:space="preserve">9</t>
  </si>
  <si>
    <t xml:space="preserve">Pada sheet Acuan, hitung total selisih jumlah untuk barang yang menuju tiap cabang.</t>
  </si>
  <si>
    <t xml:space="preserve">Sheet Acuan, kolom D (Selisih Masuk), baris 2 sampai 5</t>
  </si>
  <si>
    <t xml:space="preserve">=SUMIF(Data!$D$2:$D$31;A2;Data!$L$2:$L$31)</t>
  </si>
  <si>
    <t xml:space="preserve">10</t>
  </si>
  <si>
    <t xml:space="preserve">Berapa mutasi yang berstatus Sesuai, Selisih Kecil, dan Perlu Cek?</t>
  </si>
  <si>
    <t xml:space="preserve">Sheet Ringkasan, sel C4 sampai C6</t>
  </si>
  <si>
    <t xml:space="preserve">=COUNTIF(Data!$N$2:$N$31;"Sesuai")
=COUNTIF(Data!$N$2:$N$31;"Selisih Kecil")
=COUNTIF(Data!$N$2:$N$31;"Perlu Cek")</t>
  </si>
  <si>
    <t xml:space="preserve">11</t>
  </si>
  <si>
    <t xml:space="preserve">Berapa total nilai selisih seluruh mutasi, dan berapa total barang yang dikirim dari Cabang Solo ke Cabang Semarang?</t>
  </si>
  <si>
    <t xml:space="preserve">Sheet Ringkasan, sel C7 sampai C8</t>
  </si>
  <si>
    <t xml:space="preserve">=SUM(Data!$O$2:$O$31)
=SUMIFS(Data!$G$2:$G$31;Data!$C$2:$C$31;"Cabang Solo";Data!$D$2:$D$31;"Cabang Semarang")</t>
  </si>
  <si>
    <t xml:space="preserve">12</t>
  </si>
  <si>
    <t xml:space="preserve">Barang apa pada mutasi dengan nilai selisih terbesar, dan cabang mana yang selisih masuknya terbesar?</t>
  </si>
  <si>
    <t xml:space="preserve">Sheet Ringkasan, sel C9 sampai C10</t>
  </si>
  <si>
    <t xml:space="preserve">=INDEX(Data!$B$2:$B$31;MATCH(MAX(Data!$O$2:$O$31);Data!$O$2:$O$31;0))
=INDEX(Acuan!$A$2:$A$5;MATCH(MAX(Acuan!$D$2:$D$5);Acuan!$D$2:$D$5;0))</t>
  </si>
  <si>
    <t xml:space="preserve">13</t>
  </si>
  <si>
    <t xml:space="preserve">Berapa rata-rata lama kirim seluruh mutasi, dan berapa lama kirim terlama?</t>
  </si>
  <si>
    <t xml:space="preserve">Sheet Ringkasan, sel C11 sampai C12</t>
  </si>
  <si>
    <t xml:space="preserve">=AVERAGE(Data!$J$2:$J$31)
=MAX(Data!$J$2:$J$31)</t>
  </si>
  <si>
    <t xml:space="preserve">14</t>
  </si>
  <si>
    <t xml:space="preserve">Berapa mutasi yang Terlambat dan juga berstatus Perlu Cek, dan berapa rata-rata persen selisih mutasi yang Terlambat?</t>
  </si>
  <si>
    <t xml:space="preserve">Sheet Ringkasan, sel C13 sampai C14</t>
  </si>
  <si>
    <t xml:space="preserve">=COUNTIFS(Data!$K$2:$K$31;"Terlambat";Data!$N$2:$N$31;"Perlu Cek")
=AVERAGEIF(Data!$K$2:$K$31;"Terlambat";Data!$M$2:$M$31)</t>
  </si>
  <si>
    <t xml:space="preserve">No Mutasi</t>
  </si>
  <si>
    <t xml:space="preserve">Barang</t>
  </si>
  <si>
    <t xml:space="preserve">Cabang Asal</t>
  </si>
  <si>
    <t xml:space="preserve">Cabang Tujuan</t>
  </si>
  <si>
    <t xml:space="preserve">Tanggal Kirim</t>
  </si>
  <si>
    <t xml:space="preserve">Tanggal Terima</t>
  </si>
  <si>
    <t xml:space="preserve">Jumlah Kirim</t>
  </si>
  <si>
    <t xml:space="preserve">Jumlah Terima</t>
  </si>
  <si>
    <t xml:space="preserve">Harga Satuan</t>
  </si>
  <si>
    <t xml:space="preserve">Lama Kirim</t>
  </si>
  <si>
    <t xml:space="preserve">Status Waktu</t>
  </si>
  <si>
    <t xml:space="preserve">Selisih Jumlah</t>
  </si>
  <si>
    <t xml:space="preserve">Persen Selisih</t>
  </si>
  <si>
    <t xml:space="preserve">Status Selisih</t>
  </si>
  <si>
    <t xml:space="preserve">Nilai Selisih</t>
  </si>
  <si>
    <t xml:space="preserve">Parameter</t>
  </si>
  <si>
    <t xml:space="preserve">Nilai</t>
  </si>
  <si>
    <t xml:space="preserve">Keterangan</t>
  </si>
  <si>
    <t xml:space="preserve">MT-001</t>
  </si>
  <si>
    <t xml:space="preserve">Pemanas Air</t>
  </si>
  <si>
    <t xml:space="preserve">Cabang Solo</t>
  </si>
  <si>
    <t xml:space="preserve">Cabang Semarang</t>
  </si>
  <si>
    <t xml:space="preserve">Batas lama kirim (hari)</t>
  </si>
  <si>
    <t xml:space="preserve">Lama kirim lebih dari batas ini = Terlambat</t>
  </si>
  <si>
    <t xml:space="preserve">MT-002</t>
  </si>
  <si>
    <t xml:space="preserve">Blender</t>
  </si>
  <si>
    <t xml:space="preserve">Cabang Purwokerto</t>
  </si>
  <si>
    <t xml:space="preserve">Cabang Yogyakarta</t>
  </si>
  <si>
    <t xml:space="preserve">Toleransi selisih</t>
  </si>
  <si>
    <t xml:space="preserve">Persen selisih sampai batas ini = Selisih Kecil</t>
  </si>
  <si>
    <t xml:space="preserve">MT-003</t>
  </si>
  <si>
    <t xml:space="preserve">Kipas Angin</t>
  </si>
  <si>
    <t xml:space="preserve">MT-004</t>
  </si>
  <si>
    <t xml:space="preserve">Dispenser</t>
  </si>
  <si>
    <t xml:space="preserve">MT-005</t>
  </si>
  <si>
    <t xml:space="preserve">MT-006</t>
  </si>
  <si>
    <t xml:space="preserve">Setrika</t>
  </si>
  <si>
    <t xml:space="preserve">MT-007</t>
  </si>
  <si>
    <t xml:space="preserve">MT-008</t>
  </si>
  <si>
    <t xml:space="preserve">Rice Cooker</t>
  </si>
  <si>
    <t xml:space="preserve">MT-009</t>
  </si>
  <si>
    <t xml:space="preserve">MT-010</t>
  </si>
  <si>
    <t xml:space="preserve">MT-011</t>
  </si>
  <si>
    <t xml:space="preserve">MT-012</t>
  </si>
  <si>
    <t xml:space="preserve">MT-013</t>
  </si>
  <si>
    <t xml:space="preserve">MT-014</t>
  </si>
  <si>
    <t xml:space="preserve">MT-015</t>
  </si>
  <si>
    <t xml:space="preserve">MT-016</t>
  </si>
  <si>
    <t xml:space="preserve">MT-017</t>
  </si>
  <si>
    <t xml:space="preserve">MT-018</t>
  </si>
  <si>
    <t xml:space="preserve">MT-019</t>
  </si>
  <si>
    <t xml:space="preserve">Lampu LED Paket</t>
  </si>
  <si>
    <t xml:space="preserve">MT-020</t>
  </si>
  <si>
    <t xml:space="preserve">MT-021</t>
  </si>
  <si>
    <t xml:space="preserve">MT-022</t>
  </si>
  <si>
    <t xml:space="preserve">MT-023</t>
  </si>
  <si>
    <t xml:space="preserve">MT-024</t>
  </si>
  <si>
    <t xml:space="preserve">MT-025</t>
  </si>
  <si>
    <t xml:space="preserve">MT-026</t>
  </si>
  <si>
    <t xml:space="preserve">MT-027</t>
  </si>
  <si>
    <t xml:space="preserve">MT-028</t>
  </si>
  <si>
    <t xml:space="preserve">MT-029</t>
  </si>
  <si>
    <t xml:space="preserve">MT-030</t>
  </si>
  <si>
    <t xml:space="preserve">Cabang</t>
  </si>
  <si>
    <t xml:space="preserve">Total Kirim Keluar</t>
  </si>
  <si>
    <t xml:space="preserve">Total Terima Masuk</t>
  </si>
  <si>
    <t xml:space="preserve">Selisih Masuk</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</si>
  <si>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</si>
  <si>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</si>
  <si>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</si>
  <si>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</si>
  <si>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</si>
  <si>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</si>
  <si>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Mutasi Sesuai</t>
  </si>
  <si>
    <t xml:space="preserve">Angka bulat, mis. 9</t>
  </si>
  <si>
    <t xml:space="preserve">10b</t>
  </si>
  <si>
    <t xml:space="preserve">Mutasi Selisih Kecil</t>
  </si>
  <si>
    <t xml:space="preserve">Angka bulat, mis. 8</t>
  </si>
  <si>
    <t xml:space="preserve">10c</t>
  </si>
  <si>
    <t xml:space="preserve">Mutasi Perlu Cek</t>
  </si>
  <si>
    <t xml:space="preserve">Angka bulat, mis. 7</t>
  </si>
  <si>
    <t xml:space="preserve">11a</t>
  </si>
  <si>
    <t xml:space="preserve">Total nilai selisih</t>
  </si>
  <si>
    <t xml:space="preserve">Rupiah, mis. Rp 9.000.000</t>
  </si>
  <si>
    <t xml:space="preserve">11b</t>
  </si>
  <si>
    <t xml:space="preserve">Kirim dari Solo ke Semarang</t>
  </si>
  <si>
    <t xml:space="preserve">Angka bulat, mis. 65</t>
  </si>
  <si>
    <t xml:space="preserve">12a</t>
  </si>
  <si>
    <t xml:space="preserve">Barang dengan nilai selisih terbesar</t>
  </si>
  <si>
    <t xml:space="preserve">Teks: nama barang</t>
  </si>
  <si>
    <t xml:space="preserve">12b</t>
  </si>
  <si>
    <t xml:space="preserve">Cabang dengan selisih masuk terbesar</t>
  </si>
  <si>
    <t xml:space="preserve">Teks: nama cabang</t>
  </si>
  <si>
    <t xml:space="preserve">13a</t>
  </si>
  <si>
    <t xml:space="preserve">Rata-rata lama kirim</t>
  </si>
  <si>
    <t xml:space="preserve">Angka desimal, mis. 2,50</t>
  </si>
  <si>
    <t xml:space="preserve">13b</t>
  </si>
  <si>
    <t xml:space="preserve">Lama kirim terlama</t>
  </si>
  <si>
    <t xml:space="preserve">Angka bulat, mis. 5</t>
  </si>
  <si>
    <t xml:space="preserve">14a</t>
  </si>
  <si>
    <t xml:space="preserve">Mutasi Terlambat dan Perlu Cek</t>
  </si>
  <si>
    <t xml:space="preserve">Angka bulat, mis. 2</t>
  </si>
  <si>
    <t xml:space="preserve">14b</t>
  </si>
  <si>
    <t xml:space="preserve">Rata-rata persen selisih mutasi Terlambat</t>
  </si>
  <si>
    <t xml:space="preserve">Persen, mis. 4,2%</t>
  </si>
</sst>
</file>

<file path=xl/styles.xml><?xml version="1.0" encoding="utf-8"?>
<styleSheet xmlns="http://schemas.openxmlformats.org/spreadsheetml/2006/main">
  <numFmts count="7">
    <numFmt numFmtId="164" formatCode="General"/>
    <numFmt numFmtId="165" formatCode="dd/mm/yyyy"/>
    <numFmt numFmtId="166" formatCode="0"/>
    <numFmt numFmtId="167" formatCode="&quot;Rp &quot;#,##0"/>
    <numFmt numFmtId="168" formatCode="0.0%"/>
    <numFmt numFmtId="169" formatCode="0%"/>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4" min="2" style="0" width="17"/>
    <col collapsed="false" customWidth="true" hidden="false" outlineLevel="0" max="6" min="5" style="0" width="14"/>
    <col collapsed="false" customWidth="true" hidden="false" outlineLevel="0" max="7" min="7" style="0" width="12"/>
    <col collapsed="false" customWidth="true" hidden="false" outlineLevel="0" max="9" min="8" style="0" width="13"/>
    <col collapsed="false" customWidth="true" hidden="false" outlineLevel="0" max="10" min="10" style="0" width="11"/>
    <col collapsed="false" customWidth="true" hidden="false" outlineLevel="0" max="13" min="11" style="0" width="13"/>
    <col collapsed="false" customWidth="true" hidden="false" outlineLevel="0" max="14" min="14" style="0" width="14"/>
    <col collapsed="false" customWidth="true" hidden="false" outlineLevel="0" max="15" min="15" style="0" width="13"/>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1" t="s">
        <v>79</v>
      </c>
      <c r="B1" s="11" t="s">
        <v>80</v>
      </c>
      <c r="C1" s="11" t="s">
        <v>81</v>
      </c>
      <c r="D1" s="11" t="s">
        <v>82</v>
      </c>
      <c r="E1" s="11" t="s">
        <v>83</v>
      </c>
      <c r="F1" s="11" t="s">
        <v>84</v>
      </c>
      <c r="G1" s="11" t="s">
        <v>85</v>
      </c>
      <c r="H1" s="11" t="s">
        <v>86</v>
      </c>
      <c r="I1" s="11" t="s">
        <v>87</v>
      </c>
      <c r="J1" s="15" t="s">
        <v>88</v>
      </c>
      <c r="K1" s="15" t="s">
        <v>89</v>
      </c>
      <c r="L1" s="15" t="s">
        <v>90</v>
      </c>
      <c r="M1" s="15" t="s">
        <v>91</v>
      </c>
      <c r="N1" s="15" t="s">
        <v>92</v>
      </c>
      <c r="O1" s="15" t="s">
        <v>93</v>
      </c>
      <c r="Q1" s="16" t="s">
        <v>94</v>
      </c>
      <c r="R1" s="16" t="s">
        <v>95</v>
      </c>
      <c r="S1" s="16" t="s">
        <v>96</v>
      </c>
    </row>
    <row r="2" customFormat="false" ht="15" hidden="false" customHeight="false" outlineLevel="0" collapsed="false">
      <c r="A2" s="17" t="s">
        <v>97</v>
      </c>
      <c r="B2" s="17" t="s">
        <v>98</v>
      </c>
      <c r="C2" s="17" t="s">
        <v>99</v>
      </c>
      <c r="D2" s="17" t="s">
        <v>100</v>
      </c>
      <c r="E2" s="18" t="n">
        <v>46285</v>
      </c>
      <c r="F2" s="18" t="n">
        <v>46288</v>
      </c>
      <c r="G2" s="19" t="n">
        <v>50</v>
      </c>
      <c r="H2" s="19" t="n">
        <v>46</v>
      </c>
      <c r="I2" s="20" t="n">
        <v>695000</v>
      </c>
      <c r="J2" s="21" t="n">
        <f aca="false">F2-E2</f>
        <v>3</v>
      </c>
      <c r="K2" s="22" t="str">
        <f aca="false">IF(J2&gt;$R$2,"Terlambat","Tepat")</f>
        <v>Tepat</v>
      </c>
      <c r="L2" s="21" t="n">
        <f aca="false">G2-H2</f>
        <v>4</v>
      </c>
      <c r="M2" s="23" t="n">
        <f aca="false">L2/G2</f>
        <v>0.08</v>
      </c>
      <c r="N2" s="22" t="str">
        <f aca="false">IF(L2=0,"Sesuai",IF(M2&lt;=$R$3,"Selisih Kecil","Perlu Cek"))</f>
        <v>Perlu Cek</v>
      </c>
      <c r="O2" s="24" t="n">
        <f aca="false">L2*I2</f>
        <v>2780000</v>
      </c>
      <c r="Q2" s="25" t="s">
        <v>101</v>
      </c>
      <c r="R2" s="26" t="n">
        <v>3</v>
      </c>
      <c r="S2" s="25" t="s">
        <v>102</v>
      </c>
    </row>
    <row r="3" customFormat="false" ht="15" hidden="false" customHeight="false" outlineLevel="0" collapsed="false">
      <c r="A3" s="17" t="s">
        <v>103</v>
      </c>
      <c r="B3" s="17" t="s">
        <v>104</v>
      </c>
      <c r="C3" s="17" t="s">
        <v>105</v>
      </c>
      <c r="D3" s="17" t="s">
        <v>106</v>
      </c>
      <c r="E3" s="18" t="n">
        <v>46287</v>
      </c>
      <c r="F3" s="18" t="n">
        <v>46291</v>
      </c>
      <c r="G3" s="19" t="n">
        <v>30</v>
      </c>
      <c r="H3" s="19" t="n">
        <v>26</v>
      </c>
      <c r="I3" s="20" t="n">
        <v>410000</v>
      </c>
      <c r="J3" s="21" t="n">
        <f aca="false">F3-E3</f>
        <v>4</v>
      </c>
      <c r="K3" s="22" t="str">
        <f aca="false">IF(J3&gt;$R$2,"Terlambat","Tepat")</f>
        <v>Terlambat</v>
      </c>
      <c r="L3" s="21" t="n">
        <f aca="false">G3-H3</f>
        <v>4</v>
      </c>
      <c r="M3" s="23" t="n">
        <f aca="false">L3/G3</f>
        <v>0.133333333333333</v>
      </c>
      <c r="N3" s="22" t="str">
        <f aca="false">IF(L3=0,"Sesuai",IF(M3&lt;=$R$3,"Selisih Kecil","Perlu Cek"))</f>
        <v>Perlu Cek</v>
      </c>
      <c r="O3" s="24" t="n">
        <f aca="false">L3*I3</f>
        <v>1640000</v>
      </c>
      <c r="Q3" s="25" t="s">
        <v>107</v>
      </c>
      <c r="R3" s="27" t="n">
        <v>0.05</v>
      </c>
      <c r="S3" s="25" t="s">
        <v>108</v>
      </c>
    </row>
    <row r="4" customFormat="false" ht="15" hidden="false" customHeight="false" outlineLevel="0" collapsed="false">
      <c r="A4" s="17" t="s">
        <v>109</v>
      </c>
      <c r="B4" s="17" t="s">
        <v>110</v>
      </c>
      <c r="C4" s="17" t="s">
        <v>106</v>
      </c>
      <c r="D4" s="17" t="s">
        <v>99</v>
      </c>
      <c r="E4" s="18" t="n">
        <v>46290</v>
      </c>
      <c r="F4" s="18" t="n">
        <v>46292</v>
      </c>
      <c r="G4" s="19" t="n">
        <v>40</v>
      </c>
      <c r="H4" s="19" t="n">
        <v>40</v>
      </c>
      <c r="I4" s="20" t="n">
        <v>285000</v>
      </c>
      <c r="J4" s="21" t="n">
        <f aca="false">F4-E4</f>
        <v>2</v>
      </c>
      <c r="K4" s="22" t="str">
        <f aca="false">IF(J4&gt;$R$2,"Terlambat","Tepat")</f>
        <v>Tepat</v>
      </c>
      <c r="L4" s="21" t="n">
        <f aca="false">G4-H4</f>
        <v>0</v>
      </c>
      <c r="M4" s="23" t="n">
        <f aca="false">L4/G4</f>
        <v>0</v>
      </c>
      <c r="N4" s="22" t="str">
        <f aca="false">IF(L4=0,"Sesuai",IF(M4&lt;=$R$3,"Selisih Kecil","Perlu Cek"))</f>
        <v>Sesuai</v>
      </c>
      <c r="O4" s="24" t="n">
        <f aca="false">L4*I4</f>
        <v>0</v>
      </c>
    </row>
    <row r="5" customFormat="false" ht="15" hidden="false" customHeight="false" outlineLevel="0" collapsed="false">
      <c r="A5" s="17" t="s">
        <v>111</v>
      </c>
      <c r="B5" s="17" t="s">
        <v>112</v>
      </c>
      <c r="C5" s="17" t="s">
        <v>100</v>
      </c>
      <c r="D5" s="17" t="s">
        <v>99</v>
      </c>
      <c r="E5" s="18" t="n">
        <v>46284</v>
      </c>
      <c r="F5" s="18" t="n">
        <v>46286</v>
      </c>
      <c r="G5" s="19" t="n">
        <v>15</v>
      </c>
      <c r="H5" s="19" t="n">
        <v>13</v>
      </c>
      <c r="I5" s="20" t="n">
        <v>520000</v>
      </c>
      <c r="J5" s="21" t="n">
        <f aca="false">F5-E5</f>
        <v>2</v>
      </c>
      <c r="K5" s="22" t="str">
        <f aca="false">IF(J5&gt;$R$2,"Terlambat","Tepat")</f>
        <v>Tepat</v>
      </c>
      <c r="L5" s="21" t="n">
        <f aca="false">G5-H5</f>
        <v>2</v>
      </c>
      <c r="M5" s="23" t="n">
        <f aca="false">L5/G5</f>
        <v>0.133333333333333</v>
      </c>
      <c r="N5" s="22" t="str">
        <f aca="false">IF(L5=0,"Sesuai",IF(M5&lt;=$R$3,"Selisih Kecil","Perlu Cek"))</f>
        <v>Perlu Cek</v>
      </c>
      <c r="O5" s="24" t="n">
        <f aca="false">L5*I5</f>
        <v>1040000</v>
      </c>
    </row>
    <row r="6" customFormat="false" ht="15" hidden="false" customHeight="false" outlineLevel="0" collapsed="false">
      <c r="A6" s="17" t="s">
        <v>113</v>
      </c>
      <c r="B6" s="17" t="s">
        <v>104</v>
      </c>
      <c r="C6" s="17" t="s">
        <v>105</v>
      </c>
      <c r="D6" s="17" t="s">
        <v>106</v>
      </c>
      <c r="E6" s="18" t="n">
        <v>46274</v>
      </c>
      <c r="F6" s="18" t="n">
        <v>46276</v>
      </c>
      <c r="G6" s="19" t="n">
        <v>15</v>
      </c>
      <c r="H6" s="19" t="n">
        <v>15</v>
      </c>
      <c r="I6" s="20" t="n">
        <v>410000</v>
      </c>
      <c r="J6" s="21" t="n">
        <f aca="false">F6-E6</f>
        <v>2</v>
      </c>
      <c r="K6" s="22" t="str">
        <f aca="false">IF(J6&gt;$R$2,"Terlambat","Tepat")</f>
        <v>Tepat</v>
      </c>
      <c r="L6" s="21" t="n">
        <f aca="false">G6-H6</f>
        <v>0</v>
      </c>
      <c r="M6" s="23" t="n">
        <f aca="false">L6/G6</f>
        <v>0</v>
      </c>
      <c r="N6" s="22" t="str">
        <f aca="false">IF(L6=0,"Sesuai",IF(M6&lt;=$R$3,"Selisih Kecil","Perlu Cek"))</f>
        <v>Sesuai</v>
      </c>
      <c r="O6" s="24" t="n">
        <f aca="false">L6*I6</f>
        <v>0</v>
      </c>
    </row>
    <row r="7" customFormat="false" ht="15" hidden="false" customHeight="false" outlineLevel="0" collapsed="false">
      <c r="A7" s="17" t="s">
        <v>114</v>
      </c>
      <c r="B7" s="17" t="s">
        <v>115</v>
      </c>
      <c r="C7" s="17" t="s">
        <v>100</v>
      </c>
      <c r="D7" s="17" t="s">
        <v>105</v>
      </c>
      <c r="E7" s="18" t="n">
        <v>46298</v>
      </c>
      <c r="F7" s="18" t="n">
        <v>46302</v>
      </c>
      <c r="G7" s="19" t="n">
        <v>24</v>
      </c>
      <c r="H7" s="19" t="n">
        <v>23</v>
      </c>
      <c r="I7" s="20" t="n">
        <v>165000</v>
      </c>
      <c r="J7" s="21" t="n">
        <f aca="false">F7-E7</f>
        <v>4</v>
      </c>
      <c r="K7" s="22" t="str">
        <f aca="false">IF(J7&gt;$R$2,"Terlambat","Tepat")</f>
        <v>Terlambat</v>
      </c>
      <c r="L7" s="21" t="n">
        <f aca="false">G7-H7</f>
        <v>1</v>
      </c>
      <c r="M7" s="23" t="n">
        <f aca="false">L7/G7</f>
        <v>0.0416666666666667</v>
      </c>
      <c r="N7" s="22" t="str">
        <f aca="false">IF(L7=0,"Sesuai",IF(M7&lt;=$R$3,"Selisih Kecil","Perlu Cek"))</f>
        <v>Selisih Kecil</v>
      </c>
      <c r="O7" s="24" t="n">
        <f aca="false">L7*I7</f>
        <v>165000</v>
      </c>
    </row>
    <row r="8" customFormat="false" ht="15" hidden="false" customHeight="false" outlineLevel="0" collapsed="false">
      <c r="A8" s="17" t="s">
        <v>116</v>
      </c>
      <c r="B8" s="17" t="s">
        <v>115</v>
      </c>
      <c r="C8" s="17" t="s">
        <v>100</v>
      </c>
      <c r="D8" s="17" t="s">
        <v>106</v>
      </c>
      <c r="E8" s="18" t="n">
        <v>46286</v>
      </c>
      <c r="F8" s="18" t="n">
        <v>46292</v>
      </c>
      <c r="G8" s="19" t="n">
        <v>36</v>
      </c>
      <c r="H8" s="19" t="n">
        <v>36</v>
      </c>
      <c r="I8" s="20" t="n">
        <v>165000</v>
      </c>
      <c r="J8" s="21" t="n">
        <f aca="false">F8-E8</f>
        <v>6</v>
      </c>
      <c r="K8" s="22" t="str">
        <f aca="false">IF(J8&gt;$R$2,"Terlambat","Tepat")</f>
        <v>Terlambat</v>
      </c>
      <c r="L8" s="21" t="n">
        <f aca="false">G8-H8</f>
        <v>0</v>
      </c>
      <c r="M8" s="23" t="n">
        <f aca="false">L8/G8</f>
        <v>0</v>
      </c>
      <c r="N8" s="22" t="str">
        <f aca="false">IF(L8=0,"Sesuai",IF(M8&lt;=$R$3,"Selisih Kecil","Perlu Cek"))</f>
        <v>Sesuai</v>
      </c>
      <c r="O8" s="24" t="n">
        <f aca="false">L8*I8</f>
        <v>0</v>
      </c>
    </row>
    <row r="9" customFormat="false" ht="15" hidden="false" customHeight="false" outlineLevel="0" collapsed="false">
      <c r="A9" s="17" t="s">
        <v>117</v>
      </c>
      <c r="B9" s="17" t="s">
        <v>118</v>
      </c>
      <c r="C9" s="17" t="s">
        <v>99</v>
      </c>
      <c r="D9" s="17" t="s">
        <v>106</v>
      </c>
      <c r="E9" s="18" t="n">
        <v>46288</v>
      </c>
      <c r="F9" s="18" t="n">
        <v>46289</v>
      </c>
      <c r="G9" s="19" t="n">
        <v>10</v>
      </c>
      <c r="H9" s="19" t="n">
        <v>6</v>
      </c>
      <c r="I9" s="20" t="n">
        <v>340000</v>
      </c>
      <c r="J9" s="21" t="n">
        <f aca="false">F9-E9</f>
        <v>1</v>
      </c>
      <c r="K9" s="22" t="str">
        <f aca="false">IF(J9&gt;$R$2,"Terlambat","Tepat")</f>
        <v>Tepat</v>
      </c>
      <c r="L9" s="21" t="n">
        <f aca="false">G9-H9</f>
        <v>4</v>
      </c>
      <c r="M9" s="23" t="n">
        <f aca="false">L9/G9</f>
        <v>0.4</v>
      </c>
      <c r="N9" s="22" t="str">
        <f aca="false">IF(L9=0,"Sesuai",IF(M9&lt;=$R$3,"Selisih Kecil","Perlu Cek"))</f>
        <v>Perlu Cek</v>
      </c>
      <c r="O9" s="24" t="n">
        <f aca="false">L9*I9</f>
        <v>1360000</v>
      </c>
    </row>
    <row r="10" customFormat="false" ht="15" hidden="false" customHeight="false" outlineLevel="0" collapsed="false">
      <c r="A10" s="17" t="s">
        <v>119</v>
      </c>
      <c r="B10" s="17" t="s">
        <v>118</v>
      </c>
      <c r="C10" s="17" t="s">
        <v>106</v>
      </c>
      <c r="D10" s="17" t="s">
        <v>105</v>
      </c>
      <c r="E10" s="18" t="n">
        <v>46268</v>
      </c>
      <c r="F10" s="18" t="n">
        <v>46270</v>
      </c>
      <c r="G10" s="19" t="n">
        <v>50</v>
      </c>
      <c r="H10" s="19" t="n">
        <v>49</v>
      </c>
      <c r="I10" s="20" t="n">
        <v>340000</v>
      </c>
      <c r="J10" s="21" t="n">
        <f aca="false">F10-E10</f>
        <v>2</v>
      </c>
      <c r="K10" s="22" t="str">
        <f aca="false">IF(J10&gt;$R$2,"Terlambat","Tepat")</f>
        <v>Tepat</v>
      </c>
      <c r="L10" s="21" t="n">
        <f aca="false">G10-H10</f>
        <v>1</v>
      </c>
      <c r="M10" s="23" t="n">
        <f aca="false">L10/G10</f>
        <v>0.02</v>
      </c>
      <c r="N10" s="22" t="str">
        <f aca="false">IF(L10=0,"Sesuai",IF(M10&lt;=$R$3,"Selisih Kecil","Perlu Cek"))</f>
        <v>Selisih Kecil</v>
      </c>
      <c r="O10" s="24" t="n">
        <f aca="false">L10*I10</f>
        <v>340000</v>
      </c>
    </row>
    <row r="11" customFormat="false" ht="15" hidden="false" customHeight="false" outlineLevel="0" collapsed="false">
      <c r="A11" s="17" t="s">
        <v>120</v>
      </c>
      <c r="B11" s="17" t="s">
        <v>98</v>
      </c>
      <c r="C11" s="17" t="s">
        <v>106</v>
      </c>
      <c r="D11" s="17" t="s">
        <v>100</v>
      </c>
      <c r="E11" s="18" t="n">
        <v>46299</v>
      </c>
      <c r="F11" s="18" t="n">
        <v>46302</v>
      </c>
      <c r="G11" s="19" t="n">
        <v>50</v>
      </c>
      <c r="H11" s="19" t="n">
        <v>44</v>
      </c>
      <c r="I11" s="20" t="n">
        <v>695000</v>
      </c>
      <c r="J11" s="21" t="n">
        <f aca="false">F11-E11</f>
        <v>3</v>
      </c>
      <c r="K11" s="22" t="str">
        <f aca="false">IF(J11&gt;$R$2,"Terlambat","Tepat")</f>
        <v>Tepat</v>
      </c>
      <c r="L11" s="21" t="n">
        <f aca="false">G11-H11</f>
        <v>6</v>
      </c>
      <c r="M11" s="23" t="n">
        <f aca="false">L11/G11</f>
        <v>0.12</v>
      </c>
      <c r="N11" s="22" t="str">
        <f aca="false">IF(L11=0,"Sesuai",IF(M11&lt;=$R$3,"Selisih Kecil","Perlu Cek"))</f>
        <v>Perlu Cek</v>
      </c>
      <c r="O11" s="24" t="n">
        <f aca="false">L11*I11</f>
        <v>4170000</v>
      </c>
    </row>
    <row r="12" customFormat="false" ht="15" hidden="false" customHeight="false" outlineLevel="0" collapsed="false">
      <c r="A12" s="17" t="s">
        <v>121</v>
      </c>
      <c r="B12" s="17" t="s">
        <v>112</v>
      </c>
      <c r="C12" s="17" t="s">
        <v>100</v>
      </c>
      <c r="D12" s="17" t="s">
        <v>99</v>
      </c>
      <c r="E12" s="18" t="n">
        <v>46270</v>
      </c>
      <c r="F12" s="18" t="n">
        <v>46271</v>
      </c>
      <c r="G12" s="19" t="n">
        <v>15</v>
      </c>
      <c r="H12" s="19" t="n">
        <v>14</v>
      </c>
      <c r="I12" s="20" t="n">
        <v>520000</v>
      </c>
      <c r="J12" s="21" t="n">
        <f aca="false">F12-E12</f>
        <v>1</v>
      </c>
      <c r="K12" s="22" t="str">
        <f aca="false">IF(J12&gt;$R$2,"Terlambat","Tepat")</f>
        <v>Tepat</v>
      </c>
      <c r="L12" s="21" t="n">
        <f aca="false">G12-H12</f>
        <v>1</v>
      </c>
      <c r="M12" s="23" t="n">
        <f aca="false">L12/G12</f>
        <v>0.0666666666666667</v>
      </c>
      <c r="N12" s="22" t="str">
        <f aca="false">IF(L12=0,"Sesuai",IF(M12&lt;=$R$3,"Selisih Kecil","Perlu Cek"))</f>
        <v>Perlu Cek</v>
      </c>
      <c r="O12" s="24" t="n">
        <f aca="false">L12*I12</f>
        <v>520000</v>
      </c>
    </row>
    <row r="13" customFormat="false" ht="15" hidden="false" customHeight="false" outlineLevel="0" collapsed="false">
      <c r="A13" s="17" t="s">
        <v>122</v>
      </c>
      <c r="B13" s="17" t="s">
        <v>104</v>
      </c>
      <c r="C13" s="17" t="s">
        <v>99</v>
      </c>
      <c r="D13" s="17" t="s">
        <v>105</v>
      </c>
      <c r="E13" s="18" t="n">
        <v>46294</v>
      </c>
      <c r="F13" s="18" t="n">
        <v>46295</v>
      </c>
      <c r="G13" s="19" t="n">
        <v>24</v>
      </c>
      <c r="H13" s="19" t="n">
        <v>24</v>
      </c>
      <c r="I13" s="20" t="n">
        <v>410000</v>
      </c>
      <c r="J13" s="21" t="n">
        <f aca="false">F13-E13</f>
        <v>1</v>
      </c>
      <c r="K13" s="22" t="str">
        <f aca="false">IF(J13&gt;$R$2,"Terlambat","Tepat")</f>
        <v>Tepat</v>
      </c>
      <c r="L13" s="21" t="n">
        <f aca="false">G13-H13</f>
        <v>0</v>
      </c>
      <c r="M13" s="23" t="n">
        <f aca="false">L13/G13</f>
        <v>0</v>
      </c>
      <c r="N13" s="22" t="str">
        <f aca="false">IF(L13=0,"Sesuai",IF(M13&lt;=$R$3,"Selisih Kecil","Perlu Cek"))</f>
        <v>Sesuai</v>
      </c>
      <c r="O13" s="24" t="n">
        <f aca="false">L13*I13</f>
        <v>0</v>
      </c>
    </row>
    <row r="14" customFormat="false" ht="15" hidden="false" customHeight="false" outlineLevel="0" collapsed="false">
      <c r="A14" s="17" t="s">
        <v>123</v>
      </c>
      <c r="B14" s="17" t="s">
        <v>112</v>
      </c>
      <c r="C14" s="17" t="s">
        <v>106</v>
      </c>
      <c r="D14" s="17" t="s">
        <v>99</v>
      </c>
      <c r="E14" s="18" t="n">
        <v>46295</v>
      </c>
      <c r="F14" s="18" t="n">
        <v>46296</v>
      </c>
      <c r="G14" s="19" t="n">
        <v>10</v>
      </c>
      <c r="H14" s="19" t="n">
        <v>7</v>
      </c>
      <c r="I14" s="20" t="n">
        <v>520000</v>
      </c>
      <c r="J14" s="21" t="n">
        <f aca="false">F14-E14</f>
        <v>1</v>
      </c>
      <c r="K14" s="22" t="str">
        <f aca="false">IF(J14&gt;$R$2,"Terlambat","Tepat")</f>
        <v>Tepat</v>
      </c>
      <c r="L14" s="21" t="n">
        <f aca="false">G14-H14</f>
        <v>3</v>
      </c>
      <c r="M14" s="23" t="n">
        <f aca="false">L14/G14</f>
        <v>0.3</v>
      </c>
      <c r="N14" s="22" t="str">
        <f aca="false">IF(L14=0,"Sesuai",IF(M14&lt;=$R$3,"Selisih Kecil","Perlu Cek"))</f>
        <v>Perlu Cek</v>
      </c>
      <c r="O14" s="24" t="n">
        <f aca="false">L14*I14</f>
        <v>1560000</v>
      </c>
    </row>
    <row r="15" customFormat="false" ht="15" hidden="false" customHeight="false" outlineLevel="0" collapsed="false">
      <c r="A15" s="17" t="s">
        <v>124</v>
      </c>
      <c r="B15" s="17" t="s">
        <v>98</v>
      </c>
      <c r="C15" s="17" t="s">
        <v>100</v>
      </c>
      <c r="D15" s="17" t="s">
        <v>99</v>
      </c>
      <c r="E15" s="18" t="n">
        <v>46303</v>
      </c>
      <c r="F15" s="18" t="n">
        <v>46305</v>
      </c>
      <c r="G15" s="19" t="n">
        <v>40</v>
      </c>
      <c r="H15" s="19" t="n">
        <v>40</v>
      </c>
      <c r="I15" s="20" t="n">
        <v>695000</v>
      </c>
      <c r="J15" s="21" t="n">
        <f aca="false">F15-E15</f>
        <v>2</v>
      </c>
      <c r="K15" s="22" t="str">
        <f aca="false">IF(J15&gt;$R$2,"Terlambat","Tepat")</f>
        <v>Tepat</v>
      </c>
      <c r="L15" s="21" t="n">
        <f aca="false">G15-H15</f>
        <v>0</v>
      </c>
      <c r="M15" s="23" t="n">
        <f aca="false">L15/G15</f>
        <v>0</v>
      </c>
      <c r="N15" s="22" t="str">
        <f aca="false">IF(L15=0,"Sesuai",IF(M15&lt;=$R$3,"Selisih Kecil","Perlu Cek"))</f>
        <v>Sesuai</v>
      </c>
      <c r="O15" s="24" t="n">
        <f aca="false">L15*I15</f>
        <v>0</v>
      </c>
    </row>
    <row r="16" customFormat="false" ht="15" hidden="false" customHeight="false" outlineLevel="0" collapsed="false">
      <c r="A16" s="17" t="s">
        <v>125</v>
      </c>
      <c r="B16" s="17" t="s">
        <v>98</v>
      </c>
      <c r="C16" s="17" t="s">
        <v>105</v>
      </c>
      <c r="D16" s="17" t="s">
        <v>106</v>
      </c>
      <c r="E16" s="18" t="n">
        <v>46297</v>
      </c>
      <c r="F16" s="18" t="n">
        <v>46302</v>
      </c>
      <c r="G16" s="19" t="n">
        <v>10</v>
      </c>
      <c r="H16" s="19" t="n">
        <v>6</v>
      </c>
      <c r="I16" s="20" t="n">
        <v>695000</v>
      </c>
      <c r="J16" s="21" t="n">
        <f aca="false">F16-E16</f>
        <v>5</v>
      </c>
      <c r="K16" s="22" t="str">
        <f aca="false">IF(J16&gt;$R$2,"Terlambat","Tepat")</f>
        <v>Terlambat</v>
      </c>
      <c r="L16" s="21" t="n">
        <f aca="false">G16-H16</f>
        <v>4</v>
      </c>
      <c r="M16" s="23" t="n">
        <f aca="false">L16/G16</f>
        <v>0.4</v>
      </c>
      <c r="N16" s="22" t="str">
        <f aca="false">IF(L16=0,"Sesuai",IF(M16&lt;=$R$3,"Selisih Kecil","Perlu Cek"))</f>
        <v>Perlu Cek</v>
      </c>
      <c r="O16" s="24" t="n">
        <f aca="false">L16*I16</f>
        <v>2780000</v>
      </c>
    </row>
    <row r="17" customFormat="false" ht="15" hidden="false" customHeight="false" outlineLevel="0" collapsed="false">
      <c r="A17" s="17" t="s">
        <v>126</v>
      </c>
      <c r="B17" s="17" t="s">
        <v>118</v>
      </c>
      <c r="C17" s="17" t="s">
        <v>106</v>
      </c>
      <c r="D17" s="17" t="s">
        <v>100</v>
      </c>
      <c r="E17" s="18" t="n">
        <v>46276</v>
      </c>
      <c r="F17" s="18" t="n">
        <v>46281</v>
      </c>
      <c r="G17" s="19" t="n">
        <v>24</v>
      </c>
      <c r="H17" s="19" t="n">
        <v>24</v>
      </c>
      <c r="I17" s="20" t="n">
        <v>340000</v>
      </c>
      <c r="J17" s="21" t="n">
        <f aca="false">F17-E17</f>
        <v>5</v>
      </c>
      <c r="K17" s="22" t="str">
        <f aca="false">IF(J17&gt;$R$2,"Terlambat","Tepat")</f>
        <v>Terlambat</v>
      </c>
      <c r="L17" s="21" t="n">
        <f aca="false">G17-H17</f>
        <v>0</v>
      </c>
      <c r="M17" s="23" t="n">
        <f aca="false">L17/G17</f>
        <v>0</v>
      </c>
      <c r="N17" s="22" t="str">
        <f aca="false">IF(L17=0,"Sesuai",IF(M17&lt;=$R$3,"Selisih Kecil","Perlu Cek"))</f>
        <v>Sesuai</v>
      </c>
      <c r="O17" s="24" t="n">
        <f aca="false">L17*I17</f>
        <v>0</v>
      </c>
    </row>
    <row r="18" customFormat="false" ht="15" hidden="false" customHeight="false" outlineLevel="0" collapsed="false">
      <c r="A18" s="17" t="s">
        <v>127</v>
      </c>
      <c r="B18" s="17" t="s">
        <v>104</v>
      </c>
      <c r="C18" s="17" t="s">
        <v>99</v>
      </c>
      <c r="D18" s="17" t="s">
        <v>106</v>
      </c>
      <c r="E18" s="18" t="n">
        <v>46286</v>
      </c>
      <c r="F18" s="18" t="n">
        <v>46290</v>
      </c>
      <c r="G18" s="19" t="n">
        <v>50</v>
      </c>
      <c r="H18" s="19" t="n">
        <v>50</v>
      </c>
      <c r="I18" s="20" t="n">
        <v>410000</v>
      </c>
      <c r="J18" s="21" t="n">
        <f aca="false">F18-E18</f>
        <v>4</v>
      </c>
      <c r="K18" s="22" t="str">
        <f aca="false">IF(J18&gt;$R$2,"Terlambat","Tepat")</f>
        <v>Terlambat</v>
      </c>
      <c r="L18" s="21" t="n">
        <f aca="false">G18-H18</f>
        <v>0</v>
      </c>
      <c r="M18" s="23" t="n">
        <f aca="false">L18/G18</f>
        <v>0</v>
      </c>
      <c r="N18" s="22" t="str">
        <f aca="false">IF(L18=0,"Sesuai",IF(M18&lt;=$R$3,"Selisih Kecil","Perlu Cek"))</f>
        <v>Sesuai</v>
      </c>
      <c r="O18" s="24" t="n">
        <f aca="false">L18*I18</f>
        <v>0</v>
      </c>
    </row>
    <row r="19" customFormat="false" ht="15" hidden="false" customHeight="false" outlineLevel="0" collapsed="false">
      <c r="A19" s="17" t="s">
        <v>128</v>
      </c>
      <c r="B19" s="17" t="s">
        <v>118</v>
      </c>
      <c r="C19" s="17" t="s">
        <v>106</v>
      </c>
      <c r="D19" s="17" t="s">
        <v>100</v>
      </c>
      <c r="E19" s="18" t="n">
        <v>46269</v>
      </c>
      <c r="F19" s="18" t="n">
        <v>46272</v>
      </c>
      <c r="G19" s="19" t="n">
        <v>40</v>
      </c>
      <c r="H19" s="19" t="n">
        <v>39</v>
      </c>
      <c r="I19" s="20" t="n">
        <v>340000</v>
      </c>
      <c r="J19" s="21" t="n">
        <f aca="false">F19-E19</f>
        <v>3</v>
      </c>
      <c r="K19" s="22" t="str">
        <f aca="false">IF(J19&gt;$R$2,"Terlambat","Tepat")</f>
        <v>Tepat</v>
      </c>
      <c r="L19" s="21" t="n">
        <f aca="false">G19-H19</f>
        <v>1</v>
      </c>
      <c r="M19" s="23" t="n">
        <f aca="false">L19/G19</f>
        <v>0.025</v>
      </c>
      <c r="N19" s="22" t="str">
        <f aca="false">IF(L19=0,"Sesuai",IF(M19&lt;=$R$3,"Selisih Kecil","Perlu Cek"))</f>
        <v>Selisih Kecil</v>
      </c>
      <c r="O19" s="24" t="n">
        <f aca="false">L19*I19</f>
        <v>340000</v>
      </c>
    </row>
    <row r="20" customFormat="false" ht="15" hidden="false" customHeight="false" outlineLevel="0" collapsed="false">
      <c r="A20" s="17" t="s">
        <v>129</v>
      </c>
      <c r="B20" s="17" t="s">
        <v>130</v>
      </c>
      <c r="C20" s="17" t="s">
        <v>100</v>
      </c>
      <c r="D20" s="17" t="s">
        <v>105</v>
      </c>
      <c r="E20" s="18" t="n">
        <v>46276</v>
      </c>
      <c r="F20" s="18" t="n">
        <v>46278</v>
      </c>
      <c r="G20" s="19" t="n">
        <v>30</v>
      </c>
      <c r="H20" s="19" t="n">
        <v>27</v>
      </c>
      <c r="I20" s="20" t="n">
        <v>95000</v>
      </c>
      <c r="J20" s="21" t="n">
        <f aca="false">F20-E20</f>
        <v>2</v>
      </c>
      <c r="K20" s="22" t="str">
        <f aca="false">IF(J20&gt;$R$2,"Terlambat","Tepat")</f>
        <v>Tepat</v>
      </c>
      <c r="L20" s="21" t="n">
        <f aca="false">G20-H20</f>
        <v>3</v>
      </c>
      <c r="M20" s="23" t="n">
        <f aca="false">L20/G20</f>
        <v>0.1</v>
      </c>
      <c r="N20" s="22" t="str">
        <f aca="false">IF(L20=0,"Sesuai",IF(M20&lt;=$R$3,"Selisih Kecil","Perlu Cek"))</f>
        <v>Perlu Cek</v>
      </c>
      <c r="O20" s="24" t="n">
        <f aca="false">L20*I20</f>
        <v>285000</v>
      </c>
    </row>
    <row r="21" customFormat="false" ht="15" hidden="false" customHeight="false" outlineLevel="0" collapsed="false">
      <c r="A21" s="17" t="s">
        <v>131</v>
      </c>
      <c r="B21" s="17" t="s">
        <v>130</v>
      </c>
      <c r="C21" s="17" t="s">
        <v>106</v>
      </c>
      <c r="D21" s="17" t="s">
        <v>105</v>
      </c>
      <c r="E21" s="18" t="n">
        <v>46301</v>
      </c>
      <c r="F21" s="18" t="n">
        <v>46305</v>
      </c>
      <c r="G21" s="19" t="n">
        <v>10</v>
      </c>
      <c r="H21" s="19" t="n">
        <v>10</v>
      </c>
      <c r="I21" s="20" t="n">
        <v>95000</v>
      </c>
      <c r="J21" s="21" t="n">
        <f aca="false">F21-E21</f>
        <v>4</v>
      </c>
      <c r="K21" s="22" t="str">
        <f aca="false">IF(J21&gt;$R$2,"Terlambat","Tepat")</f>
        <v>Terlambat</v>
      </c>
      <c r="L21" s="21" t="n">
        <f aca="false">G21-H21</f>
        <v>0</v>
      </c>
      <c r="M21" s="23" t="n">
        <f aca="false">L21/G21</f>
        <v>0</v>
      </c>
      <c r="N21" s="22" t="str">
        <f aca="false">IF(L21=0,"Sesuai",IF(M21&lt;=$R$3,"Selisih Kecil","Perlu Cek"))</f>
        <v>Sesuai</v>
      </c>
      <c r="O21" s="24" t="n">
        <f aca="false">L21*I21</f>
        <v>0</v>
      </c>
    </row>
    <row r="22" customFormat="false" ht="15" hidden="false" customHeight="false" outlineLevel="0" collapsed="false">
      <c r="A22" s="17" t="s">
        <v>132</v>
      </c>
      <c r="B22" s="17" t="s">
        <v>110</v>
      </c>
      <c r="C22" s="17" t="s">
        <v>99</v>
      </c>
      <c r="D22" s="17" t="s">
        <v>100</v>
      </c>
      <c r="E22" s="18" t="n">
        <v>46270</v>
      </c>
      <c r="F22" s="18" t="n">
        <v>46271</v>
      </c>
      <c r="G22" s="19" t="n">
        <v>12</v>
      </c>
      <c r="H22" s="19" t="n">
        <v>6</v>
      </c>
      <c r="I22" s="20" t="n">
        <v>285000</v>
      </c>
      <c r="J22" s="21" t="n">
        <f aca="false">F22-E22</f>
        <v>1</v>
      </c>
      <c r="K22" s="22" t="str">
        <f aca="false">IF(J22&gt;$R$2,"Terlambat","Tepat")</f>
        <v>Tepat</v>
      </c>
      <c r="L22" s="21" t="n">
        <f aca="false">G22-H22</f>
        <v>6</v>
      </c>
      <c r="M22" s="23" t="n">
        <f aca="false">L22/G22</f>
        <v>0.5</v>
      </c>
      <c r="N22" s="22" t="str">
        <f aca="false">IF(L22=0,"Sesuai",IF(M22&lt;=$R$3,"Selisih Kecil","Perlu Cek"))</f>
        <v>Perlu Cek</v>
      </c>
      <c r="O22" s="24" t="n">
        <f aca="false">L22*I22</f>
        <v>1710000</v>
      </c>
    </row>
    <row r="23" customFormat="false" ht="15" hidden="false" customHeight="false" outlineLevel="0" collapsed="false">
      <c r="A23" s="17" t="s">
        <v>133</v>
      </c>
      <c r="B23" s="17" t="s">
        <v>110</v>
      </c>
      <c r="C23" s="17" t="s">
        <v>106</v>
      </c>
      <c r="D23" s="17" t="s">
        <v>99</v>
      </c>
      <c r="E23" s="18" t="n">
        <v>46271</v>
      </c>
      <c r="F23" s="18" t="n">
        <v>46275</v>
      </c>
      <c r="G23" s="19" t="n">
        <v>15</v>
      </c>
      <c r="H23" s="19" t="n">
        <v>11</v>
      </c>
      <c r="I23" s="20" t="n">
        <v>285000</v>
      </c>
      <c r="J23" s="21" t="n">
        <f aca="false">F23-E23</f>
        <v>4</v>
      </c>
      <c r="K23" s="22" t="str">
        <f aca="false">IF(J23&gt;$R$2,"Terlambat","Tepat")</f>
        <v>Terlambat</v>
      </c>
      <c r="L23" s="21" t="n">
        <f aca="false">G23-H23</f>
        <v>4</v>
      </c>
      <c r="M23" s="23" t="n">
        <f aca="false">L23/G23</f>
        <v>0.266666666666667</v>
      </c>
      <c r="N23" s="22" t="str">
        <f aca="false">IF(L23=0,"Sesuai",IF(M23&lt;=$R$3,"Selisih Kecil","Perlu Cek"))</f>
        <v>Perlu Cek</v>
      </c>
      <c r="O23" s="24" t="n">
        <f aca="false">L23*I23</f>
        <v>1140000</v>
      </c>
    </row>
    <row r="24" customFormat="false" ht="15" hidden="false" customHeight="false" outlineLevel="0" collapsed="false">
      <c r="A24" s="17" t="s">
        <v>134</v>
      </c>
      <c r="B24" s="17" t="s">
        <v>118</v>
      </c>
      <c r="C24" s="17" t="s">
        <v>106</v>
      </c>
      <c r="D24" s="17" t="s">
        <v>99</v>
      </c>
      <c r="E24" s="18" t="n">
        <v>46275</v>
      </c>
      <c r="F24" s="18" t="n">
        <v>46277</v>
      </c>
      <c r="G24" s="19" t="n">
        <v>15</v>
      </c>
      <c r="H24" s="19" t="n">
        <v>15</v>
      </c>
      <c r="I24" s="20" t="n">
        <v>340000</v>
      </c>
      <c r="J24" s="21" t="n">
        <f aca="false">F24-E24</f>
        <v>2</v>
      </c>
      <c r="K24" s="22" t="str">
        <f aca="false">IF(J24&gt;$R$2,"Terlambat","Tepat")</f>
        <v>Tepat</v>
      </c>
      <c r="L24" s="21" t="n">
        <f aca="false">G24-H24</f>
        <v>0</v>
      </c>
      <c r="M24" s="23" t="n">
        <f aca="false">L24/G24</f>
        <v>0</v>
      </c>
      <c r="N24" s="22" t="str">
        <f aca="false">IF(L24=0,"Sesuai",IF(M24&lt;=$R$3,"Selisih Kecil","Perlu Cek"))</f>
        <v>Sesuai</v>
      </c>
      <c r="O24" s="24" t="n">
        <f aca="false">L24*I24</f>
        <v>0</v>
      </c>
    </row>
    <row r="25" customFormat="false" ht="15" hidden="false" customHeight="false" outlineLevel="0" collapsed="false">
      <c r="A25" s="17" t="s">
        <v>135</v>
      </c>
      <c r="B25" s="17" t="s">
        <v>98</v>
      </c>
      <c r="C25" s="17" t="s">
        <v>105</v>
      </c>
      <c r="D25" s="17" t="s">
        <v>100</v>
      </c>
      <c r="E25" s="18" t="n">
        <v>46288</v>
      </c>
      <c r="F25" s="18" t="n">
        <v>46292</v>
      </c>
      <c r="G25" s="19" t="n">
        <v>30</v>
      </c>
      <c r="H25" s="19" t="n">
        <v>30</v>
      </c>
      <c r="I25" s="20" t="n">
        <v>695000</v>
      </c>
      <c r="J25" s="21" t="n">
        <f aca="false">F25-E25</f>
        <v>4</v>
      </c>
      <c r="K25" s="22" t="str">
        <f aca="false">IF(J25&gt;$R$2,"Terlambat","Tepat")</f>
        <v>Terlambat</v>
      </c>
      <c r="L25" s="21" t="n">
        <f aca="false">G25-H25</f>
        <v>0</v>
      </c>
      <c r="M25" s="23" t="n">
        <f aca="false">L25/G25</f>
        <v>0</v>
      </c>
      <c r="N25" s="22" t="str">
        <f aca="false">IF(L25=0,"Sesuai",IF(M25&lt;=$R$3,"Selisih Kecil","Perlu Cek"))</f>
        <v>Sesuai</v>
      </c>
      <c r="O25" s="24" t="n">
        <f aca="false">L25*I25</f>
        <v>0</v>
      </c>
    </row>
    <row r="26" customFormat="false" ht="15" hidden="false" customHeight="false" outlineLevel="0" collapsed="false">
      <c r="A26" s="17" t="s">
        <v>136</v>
      </c>
      <c r="B26" s="17" t="s">
        <v>112</v>
      </c>
      <c r="C26" s="17" t="s">
        <v>105</v>
      </c>
      <c r="D26" s="17" t="s">
        <v>100</v>
      </c>
      <c r="E26" s="18" t="n">
        <v>46305</v>
      </c>
      <c r="F26" s="18" t="n">
        <v>46307</v>
      </c>
      <c r="G26" s="19" t="n">
        <v>60</v>
      </c>
      <c r="H26" s="19" t="n">
        <v>56</v>
      </c>
      <c r="I26" s="20" t="n">
        <v>520000</v>
      </c>
      <c r="J26" s="21" t="n">
        <f aca="false">F26-E26</f>
        <v>2</v>
      </c>
      <c r="K26" s="22" t="str">
        <f aca="false">IF(J26&gt;$R$2,"Terlambat","Tepat")</f>
        <v>Tepat</v>
      </c>
      <c r="L26" s="21" t="n">
        <f aca="false">G26-H26</f>
        <v>4</v>
      </c>
      <c r="M26" s="23" t="n">
        <f aca="false">L26/G26</f>
        <v>0.0666666666666667</v>
      </c>
      <c r="N26" s="22" t="str">
        <f aca="false">IF(L26=0,"Sesuai",IF(M26&lt;=$R$3,"Selisih Kecil","Perlu Cek"))</f>
        <v>Perlu Cek</v>
      </c>
      <c r="O26" s="24" t="n">
        <f aca="false">L26*I26</f>
        <v>2080000</v>
      </c>
    </row>
    <row r="27" customFormat="false" ht="15" hidden="false" customHeight="false" outlineLevel="0" collapsed="false">
      <c r="A27" s="17" t="s">
        <v>137</v>
      </c>
      <c r="B27" s="17" t="s">
        <v>115</v>
      </c>
      <c r="C27" s="17" t="s">
        <v>100</v>
      </c>
      <c r="D27" s="17" t="s">
        <v>106</v>
      </c>
      <c r="E27" s="18" t="n">
        <v>46285</v>
      </c>
      <c r="F27" s="18" t="n">
        <v>46290</v>
      </c>
      <c r="G27" s="19" t="n">
        <v>24</v>
      </c>
      <c r="H27" s="19" t="n">
        <v>23</v>
      </c>
      <c r="I27" s="20" t="n">
        <v>165000</v>
      </c>
      <c r="J27" s="21" t="n">
        <f aca="false">F27-E27</f>
        <v>5</v>
      </c>
      <c r="K27" s="22" t="str">
        <f aca="false">IF(J27&gt;$R$2,"Terlambat","Tepat")</f>
        <v>Terlambat</v>
      </c>
      <c r="L27" s="21" t="n">
        <f aca="false">G27-H27</f>
        <v>1</v>
      </c>
      <c r="M27" s="23" t="n">
        <f aca="false">L27/G27</f>
        <v>0.0416666666666667</v>
      </c>
      <c r="N27" s="22" t="str">
        <f aca="false">IF(L27=0,"Sesuai",IF(M27&lt;=$R$3,"Selisih Kecil","Perlu Cek"))</f>
        <v>Selisih Kecil</v>
      </c>
      <c r="O27" s="24" t="n">
        <f aca="false">L27*I27</f>
        <v>165000</v>
      </c>
    </row>
    <row r="28" customFormat="false" ht="15" hidden="false" customHeight="false" outlineLevel="0" collapsed="false">
      <c r="A28" s="17" t="s">
        <v>138</v>
      </c>
      <c r="B28" s="17" t="s">
        <v>118</v>
      </c>
      <c r="C28" s="17" t="s">
        <v>99</v>
      </c>
      <c r="D28" s="17" t="s">
        <v>106</v>
      </c>
      <c r="E28" s="18" t="n">
        <v>46279</v>
      </c>
      <c r="F28" s="18" t="n">
        <v>46282</v>
      </c>
      <c r="G28" s="19" t="n">
        <v>36</v>
      </c>
      <c r="H28" s="19" t="n">
        <v>35</v>
      </c>
      <c r="I28" s="20" t="n">
        <v>340000</v>
      </c>
      <c r="J28" s="21" t="n">
        <f aca="false">F28-E28</f>
        <v>3</v>
      </c>
      <c r="K28" s="22" t="str">
        <f aca="false">IF(J28&gt;$R$2,"Terlambat","Tepat")</f>
        <v>Tepat</v>
      </c>
      <c r="L28" s="21" t="n">
        <f aca="false">G28-H28</f>
        <v>1</v>
      </c>
      <c r="M28" s="23" t="n">
        <f aca="false">L28/G28</f>
        <v>0.0277777777777778</v>
      </c>
      <c r="N28" s="22" t="str">
        <f aca="false">IF(L28=0,"Sesuai",IF(M28&lt;=$R$3,"Selisih Kecil","Perlu Cek"))</f>
        <v>Selisih Kecil</v>
      </c>
      <c r="O28" s="24" t="n">
        <f aca="false">L28*I28</f>
        <v>340000</v>
      </c>
    </row>
    <row r="29" customFormat="false" ht="15" hidden="false" customHeight="false" outlineLevel="0" collapsed="false">
      <c r="A29" s="17" t="s">
        <v>139</v>
      </c>
      <c r="B29" s="17" t="s">
        <v>104</v>
      </c>
      <c r="C29" s="17" t="s">
        <v>106</v>
      </c>
      <c r="D29" s="17" t="s">
        <v>100</v>
      </c>
      <c r="E29" s="18" t="n">
        <v>46273</v>
      </c>
      <c r="F29" s="18" t="n">
        <v>46276</v>
      </c>
      <c r="G29" s="19" t="n">
        <v>36</v>
      </c>
      <c r="H29" s="19" t="n">
        <v>35</v>
      </c>
      <c r="I29" s="20" t="n">
        <v>410000</v>
      </c>
      <c r="J29" s="21" t="n">
        <f aca="false">F29-E29</f>
        <v>3</v>
      </c>
      <c r="K29" s="22" t="str">
        <f aca="false">IF(J29&gt;$R$2,"Terlambat","Tepat")</f>
        <v>Tepat</v>
      </c>
      <c r="L29" s="21" t="n">
        <f aca="false">G29-H29</f>
        <v>1</v>
      </c>
      <c r="M29" s="23" t="n">
        <f aca="false">L29/G29</f>
        <v>0.0277777777777778</v>
      </c>
      <c r="N29" s="22" t="str">
        <f aca="false">IF(L29=0,"Sesuai",IF(M29&lt;=$R$3,"Selisih Kecil","Perlu Cek"))</f>
        <v>Selisih Kecil</v>
      </c>
      <c r="O29" s="24" t="n">
        <f aca="false">L29*I29</f>
        <v>410000</v>
      </c>
    </row>
    <row r="30" customFormat="false" ht="15" hidden="false" customHeight="false" outlineLevel="0" collapsed="false">
      <c r="A30" s="17" t="s">
        <v>140</v>
      </c>
      <c r="B30" s="17" t="s">
        <v>110</v>
      </c>
      <c r="C30" s="17" t="s">
        <v>100</v>
      </c>
      <c r="D30" s="17" t="s">
        <v>106</v>
      </c>
      <c r="E30" s="18" t="n">
        <v>46269</v>
      </c>
      <c r="F30" s="18" t="n">
        <v>46271</v>
      </c>
      <c r="G30" s="19" t="n">
        <v>10</v>
      </c>
      <c r="H30" s="19" t="n">
        <v>8</v>
      </c>
      <c r="I30" s="20" t="n">
        <v>285000</v>
      </c>
      <c r="J30" s="21" t="n">
        <f aca="false">F30-E30</f>
        <v>2</v>
      </c>
      <c r="K30" s="22" t="str">
        <f aca="false">IF(J30&gt;$R$2,"Terlambat","Tepat")</f>
        <v>Tepat</v>
      </c>
      <c r="L30" s="21" t="n">
        <f aca="false">G30-H30</f>
        <v>2</v>
      </c>
      <c r="M30" s="23" t="n">
        <f aca="false">L30/G30</f>
        <v>0.2</v>
      </c>
      <c r="N30" s="22" t="str">
        <f aca="false">IF(L30=0,"Sesuai",IF(M30&lt;=$R$3,"Selisih Kecil","Perlu Cek"))</f>
        <v>Perlu Cek</v>
      </c>
      <c r="O30" s="24" t="n">
        <f aca="false">L30*I30</f>
        <v>570000</v>
      </c>
    </row>
    <row r="31" customFormat="false" ht="15" hidden="false" customHeight="false" outlineLevel="0" collapsed="false">
      <c r="A31" s="17" t="s">
        <v>141</v>
      </c>
      <c r="B31" s="17" t="s">
        <v>112</v>
      </c>
      <c r="C31" s="17" t="s">
        <v>105</v>
      </c>
      <c r="D31" s="17" t="s">
        <v>99</v>
      </c>
      <c r="E31" s="18" t="n">
        <v>46273</v>
      </c>
      <c r="F31" s="18" t="n">
        <v>46278</v>
      </c>
      <c r="G31" s="19" t="n">
        <v>50</v>
      </c>
      <c r="H31" s="19" t="n">
        <v>50</v>
      </c>
      <c r="I31" s="20" t="n">
        <v>520000</v>
      </c>
      <c r="J31" s="21" t="n">
        <f aca="false">F31-E31</f>
        <v>5</v>
      </c>
      <c r="K31" s="22" t="str">
        <f aca="false">IF(J31&gt;$R$2,"Terlambat","Tepat")</f>
        <v>Terlambat</v>
      </c>
      <c r="L31" s="21" t="n">
        <f aca="false">G31-H31</f>
        <v>0</v>
      </c>
      <c r="M31" s="23" t="n">
        <f aca="false">L31/G31</f>
        <v>0</v>
      </c>
      <c r="N31" s="22" t="str">
        <f aca="false">IF(L31=0,"Sesuai",IF(M31&lt;=$R$3,"Selisih Kecil","Perlu Cek"))</f>
        <v>Sesuai</v>
      </c>
      <c r="O31" s="24" t="n">
        <f aca="false">L31*I31</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7"/>
    <col collapsed="false" customWidth="true" hidden="false" outlineLevel="0" max="4" min="4" style="0" width="14"/>
  </cols>
  <sheetData>
    <row r="1" customFormat="false" ht="33.75" hidden="false" customHeight="true" outlineLevel="0" collapsed="false">
      <c r="A1" s="11" t="s">
        <v>142</v>
      </c>
      <c r="B1" s="15" t="s">
        <v>143</v>
      </c>
      <c r="C1" s="15" t="s">
        <v>144</v>
      </c>
      <c r="D1" s="15" t="s">
        <v>145</v>
      </c>
    </row>
    <row r="2" customFormat="false" ht="15" hidden="false" customHeight="false" outlineLevel="0" collapsed="false">
      <c r="A2" s="17" t="s">
        <v>100</v>
      </c>
      <c r="B2" s="21" t="n">
        <f aca="false">SUMIF(Data!$C$2:$C$31,A2,Data!$G$2:$G$31)</f>
        <v>194</v>
      </c>
      <c r="C2" s="21" t="n">
        <f aca="false">SUMIF(Data!$D$2:$D$31,A2,Data!$H$2:$H$31)</f>
        <v>280</v>
      </c>
      <c r="D2" s="21" t="n">
        <f aca="false">SUMIF(Data!$D$2:$D$31,A2,Data!$L$2:$L$31)</f>
        <v>22</v>
      </c>
    </row>
    <row r="3" customFormat="false" ht="15" hidden="false" customHeight="false" outlineLevel="0" collapsed="false">
      <c r="A3" s="17" t="s">
        <v>99</v>
      </c>
      <c r="B3" s="21" t="n">
        <f aca="false">SUMIF(Data!$C$2:$C$31,A3,Data!$G$2:$G$31)</f>
        <v>182</v>
      </c>
      <c r="C3" s="21" t="n">
        <f aca="false">SUMIF(Data!$D$2:$D$31,A3,Data!$H$2:$H$31)</f>
        <v>190</v>
      </c>
      <c r="D3" s="21" t="n">
        <f aca="false">SUMIF(Data!$D$2:$D$31,A3,Data!$L$2:$L$31)</f>
        <v>10</v>
      </c>
    </row>
    <row r="4" customFormat="false" ht="15" hidden="false" customHeight="false" outlineLevel="0" collapsed="false">
      <c r="A4" s="17" t="s">
        <v>106</v>
      </c>
      <c r="B4" s="21" t="n">
        <f aca="false">SUMIF(Data!$C$2:$C$31,A4,Data!$G$2:$G$31)</f>
        <v>290</v>
      </c>
      <c r="C4" s="21" t="n">
        <f aca="false">SUMIF(Data!$D$2:$D$31,A4,Data!$H$2:$H$31)</f>
        <v>205</v>
      </c>
      <c r="D4" s="21" t="n">
        <f aca="false">SUMIF(Data!$D$2:$D$31,A4,Data!$L$2:$L$31)</f>
        <v>16</v>
      </c>
    </row>
    <row r="5" customFormat="false" ht="15" hidden="false" customHeight="false" outlineLevel="0" collapsed="false">
      <c r="A5" s="17" t="s">
        <v>105</v>
      </c>
      <c r="B5" s="21" t="n">
        <f aca="false">SUMIF(Data!$C$2:$C$31,A5,Data!$G$2:$G$31)</f>
        <v>195</v>
      </c>
      <c r="C5" s="21" t="n">
        <f aca="false">SUMIF(Data!$D$2:$D$31,A5,Data!$H$2:$H$31)</f>
        <v>133</v>
      </c>
      <c r="D5" s="21" t="n">
        <f aca="false">SUMIF(Data!$D$2:$D$31,A5,Data!$L$2:$L$31)</f>
        <v>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146</v>
      </c>
      <c r="B1" s="28"/>
      <c r="C1" s="28"/>
      <c r="D1" s="28"/>
    </row>
    <row r="2" customFormat="false" ht="15" hidden="false" customHeight="false" outlineLevel="0" collapsed="false">
      <c r="A2" s="29" t="s">
        <v>147</v>
      </c>
      <c r="B2" s="29"/>
      <c r="C2" s="29"/>
      <c r="D2" s="29"/>
    </row>
    <row r="3" customFormat="false" ht="15" hidden="false" customHeight="false" outlineLevel="0" collapsed="false">
      <c r="A3" s="11" t="s">
        <v>19</v>
      </c>
      <c r="B3" s="11" t="s">
        <v>148</v>
      </c>
      <c r="C3" s="11" t="s">
        <v>149</v>
      </c>
      <c r="D3" s="11" t="s">
        <v>150</v>
      </c>
    </row>
    <row r="4" customFormat="false" ht="15" hidden="false" customHeight="false" outlineLevel="0" collapsed="false">
      <c r="A4" s="30" t="s">
        <v>151</v>
      </c>
      <c r="B4" s="31" t="s">
        <v>152</v>
      </c>
      <c r="C4" s="21" t="n">
        <f aca="false">COUNTIF(Data!$N$2:$N$31,"Sesuai")</f>
        <v>11</v>
      </c>
      <c r="D4" s="32" t="s">
        <v>153</v>
      </c>
    </row>
    <row r="5" customFormat="false" ht="15" hidden="false" customHeight="false" outlineLevel="0" collapsed="false">
      <c r="A5" s="30" t="s">
        <v>154</v>
      </c>
      <c r="B5" s="31" t="s">
        <v>155</v>
      </c>
      <c r="C5" s="21" t="n">
        <f aca="false">COUNTIF(Data!$N$2:$N$31,"Selisih Kecil")</f>
        <v>6</v>
      </c>
      <c r="D5" s="32" t="s">
        <v>156</v>
      </c>
    </row>
    <row r="6" customFormat="false" ht="15" hidden="false" customHeight="false" outlineLevel="0" collapsed="false">
      <c r="A6" s="30" t="s">
        <v>157</v>
      </c>
      <c r="B6" s="31" t="s">
        <v>158</v>
      </c>
      <c r="C6" s="21" t="n">
        <f aca="false">COUNTIF(Data!$N$2:$N$31,"Perlu Cek")</f>
        <v>13</v>
      </c>
      <c r="D6" s="32" t="s">
        <v>159</v>
      </c>
    </row>
    <row r="7" customFormat="false" ht="15" hidden="false" customHeight="false" outlineLevel="0" collapsed="false">
      <c r="A7" s="30" t="s">
        <v>160</v>
      </c>
      <c r="B7" s="31" t="s">
        <v>161</v>
      </c>
      <c r="C7" s="24" t="n">
        <f aca="false">SUM(Data!$O$2:$O$31)</f>
        <v>23395000</v>
      </c>
      <c r="D7" s="32" t="s">
        <v>162</v>
      </c>
    </row>
    <row r="8" customFormat="false" ht="15" hidden="false" customHeight="false" outlineLevel="0" collapsed="false">
      <c r="A8" s="30" t="s">
        <v>163</v>
      </c>
      <c r="B8" s="31" t="s">
        <v>164</v>
      </c>
      <c r="C8" s="21" t="n">
        <f aca="false">SUMIFS(Data!$G$2:$G$31,Data!$C$2:$C$31,"Cabang Solo",Data!$D$2:$D$31,"Cabang Semarang")</f>
        <v>62</v>
      </c>
      <c r="D8" s="32" t="s">
        <v>165</v>
      </c>
    </row>
    <row r="9" customFormat="false" ht="15" hidden="false" customHeight="false" outlineLevel="0" collapsed="false">
      <c r="A9" s="30" t="s">
        <v>166</v>
      </c>
      <c r="B9" s="31" t="s">
        <v>167</v>
      </c>
      <c r="C9" s="22" t="str">
        <f aca="false">INDEX(Data!$B$2:$B$31,MATCH(MAX(Data!$O$2:$O$31),Data!$O$2:$O$31,0))</f>
        <v>Pemanas Air</v>
      </c>
      <c r="D9" s="32" t="s">
        <v>168</v>
      </c>
    </row>
    <row r="10" customFormat="false" ht="15" hidden="false" customHeight="false" outlineLevel="0" collapsed="false">
      <c r="A10" s="30" t="s">
        <v>169</v>
      </c>
      <c r="B10" s="31" t="s">
        <v>170</v>
      </c>
      <c r="C10" s="22" t="str">
        <f aca="false">INDEX(Acuan!$A$2:$A$5,MATCH(MAX(Acuan!$D$2:$D$5),Acuan!$D$2:$D$5,0))</f>
        <v>Cabang Semarang</v>
      </c>
      <c r="D10" s="32" t="s">
        <v>171</v>
      </c>
    </row>
    <row r="11" customFormat="false" ht="15" hidden="false" customHeight="false" outlineLevel="0" collapsed="false">
      <c r="A11" s="30" t="s">
        <v>172</v>
      </c>
      <c r="B11" s="31" t="s">
        <v>173</v>
      </c>
      <c r="C11" s="33" t="n">
        <f aca="false">AVERAGE(Data!$J$2:$J$31)</f>
        <v>2.93333333333333</v>
      </c>
      <c r="D11" s="32" t="s">
        <v>174</v>
      </c>
    </row>
    <row r="12" customFormat="false" ht="15" hidden="false" customHeight="false" outlineLevel="0" collapsed="false">
      <c r="A12" s="30" t="s">
        <v>175</v>
      </c>
      <c r="B12" s="31" t="s">
        <v>176</v>
      </c>
      <c r="C12" s="21" t="n">
        <f aca="false">MAX(Data!$J$2:$J$31)</f>
        <v>6</v>
      </c>
      <c r="D12" s="32" t="s">
        <v>177</v>
      </c>
    </row>
    <row r="13" customFormat="false" ht="15" hidden="false" customHeight="false" outlineLevel="0" collapsed="false">
      <c r="A13" s="30" t="s">
        <v>178</v>
      </c>
      <c r="B13" s="31" t="s">
        <v>179</v>
      </c>
      <c r="C13" s="21" t="n">
        <f aca="false">COUNTIFS(Data!$K$2:$K$31,"Terlambat",Data!$N$2:$N$31,"Perlu Cek")</f>
        <v>3</v>
      </c>
      <c r="D13" s="32" t="s">
        <v>180</v>
      </c>
    </row>
    <row r="14" customFormat="false" ht="15" hidden="false" customHeight="false" outlineLevel="0" collapsed="false">
      <c r="A14" s="30" t="s">
        <v>181</v>
      </c>
      <c r="B14" s="31" t="s">
        <v>182</v>
      </c>
      <c r="C14" s="23" t="n">
        <f aca="false">AVERAGEIF(Data!$K$2:$K$31,"Terlambat",Data!$M$2:$M$31)</f>
        <v>0.0803030303030303</v>
      </c>
      <c r="D14" s="32" t="s">
        <v>183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2026-10-16T10:35:46Z</dcterms:created>
  <dc:creator>PushExcel</dc:creator>
  <dc:description/>
  <dc:language>en-US</dc:language>
  <cp:lastModifiedBy/>
  <dcterms:modified xsi:type="dcterms:W3CDTF">2026-10-16T10:35:46Z</dcterms:modified>
  <cp:revision>0</cp:revision>
  <dc:subject/>
  <dc:title>Mutasi Barang Antar Cabang dan Selisih Terima - Kunci</dc:title>
</cp:coreProperties>
</file>

<file path=docProps/custom.xml><?xml version="1.0" encoding="utf-8"?>
<Properties xmlns="http://schemas.openxmlformats.org/officeDocument/2006/custom-properties" xmlns:vt="http://schemas.openxmlformats.org/officeDocument/2006/docPropsVTypes"/>
</file>