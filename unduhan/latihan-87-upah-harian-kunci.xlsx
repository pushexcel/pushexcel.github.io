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etunjuk" sheetId="1" state="visible" r:id="rId3"/>
    <sheet name="Data" sheetId="2" state="visible" r:id="rId4"/>
    <sheet name="Acuan" sheetId="3" state="visible" r:id="rId5"/>
    <sheet name="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<sst xmlns="http://schemas.openxmlformats.org/spreadsheetml/2006/main" count="223" uniqueCount="191">
  <si>
    <t xml:space="preserve">Kunci Jawaban: Upah Buruh Harian: Hari Kerja, Tarif, dan Bonus Rajin</t>
  </si>
  <si>
    <t xml:space="preserve">Latihan 87 dari 40  |  Tingkat: Menengah  |  Perkiraan waktu: 50 menit  |  pushexcel.github.io/Pushexcel</t>
  </si>
  <si>
    <t xml:space="preserve">Skenario</t>
  </si>
  <si>
    <t xml:space="preserve">Kamu juru bayar CV Cipta Griya yang menghitung upah empat minggu untuk 28 buruh harian proyek perumahan. Tiap buruh punya jumlah hari kerja pada minggu 1 sampai 4. Tarif harian ditentukan oleh jabatan memakai tabel di sheet Acuan. Upah pokok adalah total hari kerja dikali tarif. Minggu penuh adalah minggu dengan hari kerja 6 atau lebih, dan setiap minggu penuh mendapat bonus rajin Rp 60.000 (angka ada di blok Parameter). Total upah adalah upah pokok ditambah bonus.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</si>
  <si>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</si>
  <si>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</si>
  <si>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</si>
  <si>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</si>
  <si>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</si>
  <si>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</si>
  <si>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</si>
  <si>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</si>
  <si>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</si>
  <si>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</si>
  <si>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</si>
  <si>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</si>
  <si>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</si>
  <si>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</si>
  <si>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</si>
  <si>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</si>
  <si>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</si>
  <si>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</si>
  <si>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</si>
  <si>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</si>
  <si>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Hitung total hari kerja dalam empat minggu.</t>
  </si>
  <si>
    <t xml:space="preserve">Sheet Data, kolom H (Total Hari), baris 2 sampai 29</t>
  </si>
  <si>
    <t xml:space="preserve">=SUM(D2;E2;F2;G2)</t>
  </si>
  <si>
    <t xml:space="preserve">2</t>
  </si>
  <si>
    <t xml:space="preserve">Ambil tarif harian tiap buruh dari tabel di sheet Acuan berdasarkan jabatan (pencocokan persis).</t>
  </si>
  <si>
    <t xml:space="preserve">Sheet Data, kolom I (Tarif Harian), baris 2 sampai 29</t>
  </si>
  <si>
    <t xml:space="preserve">=VLOOKUP(C2;Acuan!$A$2:$B$5;2;FALSE)</t>
  </si>
  <si>
    <t xml:space="preserve">3</t>
  </si>
  <si>
    <t xml:space="preserve">Hitung upah pokok: total hari dikali tarif harian.</t>
  </si>
  <si>
    <t xml:space="preserve">Sheet Data, kolom J (Upah Pokok), baris 2 sampai 29</t>
  </si>
  <si>
    <t xml:space="preserve">=H2*I2</t>
  </si>
  <si>
    <t xml:space="preserve">4</t>
  </si>
  <si>
    <t xml:space="preserve">Hitung berapa minggu (dari empat minggu) yang hari kerjanya sama dengan atau lebih dari batas minggu penuh.</t>
  </si>
  <si>
    <t xml:space="preserve">Sheet Data, kolom K (Minggu Penuh), baris 2 sampai 29</t>
  </si>
  <si>
    <t xml:space="preserve">=(D2&gt;=$Q$2)+(E2&gt;=$Q$2)+(F2&gt;=$Q$2)+(G2&gt;=$Q$2)</t>
  </si>
  <si>
    <t xml:space="preserve">5</t>
  </si>
  <si>
    <t xml:space="preserve">Hitung bonus rajin: jumlah minggu penuh dikali bonus per minggu penuh.</t>
  </si>
  <si>
    <t xml:space="preserve">Sheet Data, kolom L (Bonus Rajin), baris 2 sampai 29</t>
  </si>
  <si>
    <t xml:space="preserve">=K2*$Q$3</t>
  </si>
  <si>
    <t xml:space="preserve">6</t>
  </si>
  <si>
    <t xml:space="preserve">Hitung total upah: upah pokok ditambah bonus rajin.</t>
  </si>
  <si>
    <t xml:space="preserve">Sheet Data, kolom M (Total Upah), baris 2 sampai 29</t>
  </si>
  <si>
    <t xml:space="preserve">=J2+L2</t>
  </si>
  <si>
    <t xml:space="preserve">7</t>
  </si>
  <si>
    <t xml:space="preserve">Beri keterangan: Sangat Rajin bila keempat minggu penuh, Rajin bila minimal dua minggu penuh, selain itu Biasa.</t>
  </si>
  <si>
    <t xml:space="preserve">Sheet Data, kolom N (Keterangan), baris 2 sampai 29</t>
  </si>
  <si>
    <t xml:space="preserve">=IF(K2=4;"Sangat Rajin";IF(K2&gt;=2;"Rajin";"Biasa"))</t>
  </si>
  <si>
    <t xml:space="preserve">8</t>
  </si>
  <si>
    <t xml:space="preserve">Pada sheet Acuan, hitung jumlah buruh tiap jabatan.</t>
  </si>
  <si>
    <t xml:space="preserve">Sheet Acuan, kolom C (Jumlah Buruh), baris 2 sampai 5</t>
  </si>
  <si>
    <t xml:space="preserve">=COUNTIF(Data!$C$2:$C$29;A2)</t>
  </si>
  <si>
    <t xml:space="preserve">9</t>
  </si>
  <si>
    <t xml:space="preserve">Pada sheet Acuan, hitung total upah yang dibayarkan untuk tiap jabatan.</t>
  </si>
  <si>
    <t xml:space="preserve">Sheet Acuan, kolom D (Total Upah Jabatan), baris 2 sampai 5</t>
  </si>
  <si>
    <t xml:space="preserve">=SUMIF(Data!$C$2:$C$29;A2;Data!$M$2:$M$29)</t>
  </si>
  <si>
    <t xml:space="preserve">10</t>
  </si>
  <si>
    <t xml:space="preserve">Berapa total upah pokok, total bonus rajin, dan total upah yang harus disiapkan?</t>
  </si>
  <si>
    <t xml:space="preserve">Sheet Ringkasan, sel C4 sampai C6</t>
  </si>
  <si>
    <t xml:space="preserve">=SUM(Data!$J$2:$J$29)
=SUM(Data!$L$2:$L$29)
=SUM(Data!$M$2:$M$29)</t>
  </si>
  <si>
    <t xml:space="preserve">11</t>
  </si>
  <si>
    <t xml:space="preserve">Berapa buruh yang Sangat Rajin, yang Rajin, dan yang Biasa?</t>
  </si>
  <si>
    <t xml:space="preserve">Sheet Ringkasan, sel C7 sampai C9</t>
  </si>
  <si>
    <t xml:space="preserve">=COUNTIF(Data!$N$2:$N$29;"Sangat Rajin")
=COUNTIF(Data!$N$2:$N$29;"Rajin")
=COUNTIF(Data!$N$2:$N$29;"Biasa")</t>
  </si>
  <si>
    <t xml:space="preserve">12</t>
  </si>
  <si>
    <t xml:space="preserve">Siapa buruh dengan total upah terbesar, dan jabatan apa yang total upahnya terbesar?</t>
  </si>
  <si>
    <t xml:space="preserve">Sheet Ringkasan, sel C10 sampai C11</t>
  </si>
  <si>
    <t xml:space="preserve">=INDEX(Data!$B$2:$B$29;MATCH(MAX(Data!$M$2:$M$29);Data!$M$2:$M$29;0))
=INDEX(Acuan!$A$2:$A$5;MATCH(MAX(Acuan!$D$2:$D$5);Acuan!$D$2:$D$5;0))</t>
  </si>
  <si>
    <t xml:space="preserve">13</t>
  </si>
  <si>
    <t xml:space="preserve">Berapa rata-rata total hari kerja jabatan Kenek, dan berapa total bonus rajin buruh jabatan Tukang Batu?</t>
  </si>
  <si>
    <t xml:space="preserve">Sheet Ringkasan, sel C12 sampai C13</t>
  </si>
  <si>
    <t xml:space="preserve">=AVERAGEIF(Data!$C$2:$C$29;"Kenek";Data!$H$2:$H$29)
=SUMIF(Data!$C$2:$C$29;"Tukang Batu";Data!$L$2:$L$29)</t>
  </si>
  <si>
    <t xml:space="preserve">ID Buruh</t>
  </si>
  <si>
    <t xml:space="preserve">Nama Buruh</t>
  </si>
  <si>
    <t xml:space="preserve">Jabatan</t>
  </si>
  <si>
    <t xml:space="preserve">Minggu 1</t>
  </si>
  <si>
    <t xml:space="preserve">Minggu 2</t>
  </si>
  <si>
    <t xml:space="preserve">Minggu 3</t>
  </si>
  <si>
    <t xml:space="preserve">Minggu 4</t>
  </si>
  <si>
    <t xml:space="preserve">Total Hari</t>
  </si>
  <si>
    <t xml:space="preserve">Tarif Harian</t>
  </si>
  <si>
    <t xml:space="preserve">Upah Pokok</t>
  </si>
  <si>
    <t xml:space="preserve">Minggu Penuh</t>
  </si>
  <si>
    <t xml:space="preserve">Bonus Rajin</t>
  </si>
  <si>
    <t xml:space="preserve">Total Upah</t>
  </si>
  <si>
    <t xml:space="preserve">Keterangan</t>
  </si>
  <si>
    <t xml:space="preserve">Parameter</t>
  </si>
  <si>
    <t xml:space="preserve">Nilai</t>
  </si>
  <si>
    <t xml:space="preserve">B-001</t>
  </si>
  <si>
    <t xml:space="preserve">Ahmad Hidayat</t>
  </si>
  <si>
    <t xml:space="preserve">Mandor</t>
  </si>
  <si>
    <t xml:space="preserve">Hari minggu penuh</t>
  </si>
  <si>
    <t xml:space="preserve">Hari kerja minimal dalam satu minggu penuh</t>
  </si>
  <si>
    <t xml:space="preserve">B-002</t>
  </si>
  <si>
    <t xml:space="preserve">Galih Firmansyah</t>
  </si>
  <si>
    <t xml:space="preserve">Tukang Batu</t>
  </si>
  <si>
    <t xml:space="preserve">Bonus per minggu penuh</t>
  </si>
  <si>
    <t xml:space="preserve">B-003</t>
  </si>
  <si>
    <t xml:space="preserve">Bayu Putra</t>
  </si>
  <si>
    <t xml:space="preserve">B-004</t>
  </si>
  <si>
    <t xml:space="preserve">Vina Kusuma</t>
  </si>
  <si>
    <t xml:space="preserve">Operator Alat</t>
  </si>
  <si>
    <t xml:space="preserve">B-005</t>
  </si>
  <si>
    <t xml:space="preserve">Dimas Putra</t>
  </si>
  <si>
    <t xml:space="preserve">Kenek</t>
  </si>
  <si>
    <t xml:space="preserve">B-006</t>
  </si>
  <si>
    <t xml:space="preserve">Budi Handayani</t>
  </si>
  <si>
    <t xml:space="preserve">B-007</t>
  </si>
  <si>
    <t xml:space="preserve">Bambang Hartono</t>
  </si>
  <si>
    <t xml:space="preserve">B-008</t>
  </si>
  <si>
    <t xml:space="preserve">Irfan Amalia</t>
  </si>
  <si>
    <t xml:space="preserve">B-009</t>
  </si>
  <si>
    <t xml:space="preserve">Mulyadi Amalia</t>
  </si>
  <si>
    <t xml:space="preserve">B-010</t>
  </si>
  <si>
    <t xml:space="preserve">Ahmad Firmansyah</t>
  </si>
  <si>
    <t xml:space="preserve">B-011</t>
  </si>
  <si>
    <t xml:space="preserve">Gita Nugroho</t>
  </si>
  <si>
    <t xml:space="preserve">B-012</t>
  </si>
  <si>
    <t xml:space="preserve">Rahmat Putra</t>
  </si>
  <si>
    <t xml:space="preserve">B-013</t>
  </si>
  <si>
    <t xml:space="preserve">Vivi Susanto</t>
  </si>
  <si>
    <t xml:space="preserve">B-014</t>
  </si>
  <si>
    <t xml:space="preserve">Rina Susanto</t>
  </si>
  <si>
    <t xml:space="preserve">B-015</t>
  </si>
  <si>
    <t xml:space="preserve">Agus Hidayat</t>
  </si>
  <si>
    <t xml:space="preserve">B-016</t>
  </si>
  <si>
    <t xml:space="preserve">Utami Yulianto</t>
  </si>
  <si>
    <t xml:space="preserve">B-017</t>
  </si>
  <si>
    <t xml:space="preserve">Fajar Nugroho</t>
  </si>
  <si>
    <t xml:space="preserve">B-018</t>
  </si>
  <si>
    <t xml:space="preserve">Dimas Pratama</t>
  </si>
  <si>
    <t xml:space="preserve">B-019</t>
  </si>
  <si>
    <t xml:space="preserve">Zainal Permana</t>
  </si>
  <si>
    <t xml:space="preserve">B-020</t>
  </si>
  <si>
    <t xml:space="preserve">Oki Susanto</t>
  </si>
  <si>
    <t xml:space="preserve">B-021</t>
  </si>
  <si>
    <t xml:space="preserve">Yoga Amalia</t>
  </si>
  <si>
    <t xml:space="preserve">B-022</t>
  </si>
  <si>
    <t xml:space="preserve">Galih Maharani</t>
  </si>
  <si>
    <t xml:space="preserve">B-023</t>
  </si>
  <si>
    <t xml:space="preserve">Wahyu Lestari</t>
  </si>
  <si>
    <t xml:space="preserve">B-024</t>
  </si>
  <si>
    <t xml:space="preserve">Dian Wibowo</t>
  </si>
  <si>
    <t xml:space="preserve">B-025</t>
  </si>
  <si>
    <t xml:space="preserve">Dewi Nugroho</t>
  </si>
  <si>
    <t xml:space="preserve">B-026</t>
  </si>
  <si>
    <t xml:space="preserve">Lina Anggraini</t>
  </si>
  <si>
    <t xml:space="preserve">B-027</t>
  </si>
  <si>
    <t xml:space="preserve">Edi Nugroho</t>
  </si>
  <si>
    <t xml:space="preserve">B-028</t>
  </si>
  <si>
    <t xml:space="preserve">Khoirul Firmansyah</t>
  </si>
  <si>
    <t xml:space="preserve">Jumlah Buruh</t>
  </si>
  <si>
    <t xml:space="preserve">Total Upah Jabatan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</si>
  <si>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</si>
  <si>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</si>
  <si>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</si>
  <si>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</si>
  <si>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</si>
  <si>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10a</t>
  </si>
  <si>
    <t xml:space="preserve">Total upah pokok</t>
  </si>
  <si>
    <t xml:space="preserve">Rupiah, mis. Rp 80.000.000</t>
  </si>
  <si>
    <t xml:space="preserve">10b</t>
  </si>
  <si>
    <t xml:space="preserve">Total bonus rajin</t>
  </si>
  <si>
    <t xml:space="preserve">Rupiah, mis. Rp 4.000.000</t>
  </si>
  <si>
    <t xml:space="preserve">10c</t>
  </si>
  <si>
    <t xml:space="preserve">Total upah seluruhnya</t>
  </si>
  <si>
    <t xml:space="preserve">Rupiah, mis. Rp 84.000.000</t>
  </si>
  <si>
    <t xml:space="preserve">11a</t>
  </si>
  <si>
    <t xml:space="preserve">Buruh Sangat Rajin</t>
  </si>
  <si>
    <t xml:space="preserve">Angka bulat, mis. 7</t>
  </si>
  <si>
    <t xml:space="preserve">11b</t>
  </si>
  <si>
    <t xml:space="preserve">Buruh Rajin</t>
  </si>
  <si>
    <t xml:space="preserve">Angka bulat, mis. 12</t>
  </si>
  <si>
    <t xml:space="preserve">11c</t>
  </si>
  <si>
    <t xml:space="preserve">Buruh Biasa</t>
  </si>
  <si>
    <t xml:space="preserve">Angka bulat, mis. 9</t>
  </si>
  <si>
    <t xml:space="preserve">12a</t>
  </si>
  <si>
    <t xml:space="preserve">Buruh dengan total upah terbesar</t>
  </si>
  <si>
    <t xml:space="preserve">Teks: nama buruh</t>
  </si>
  <si>
    <t xml:space="preserve">12b</t>
  </si>
  <si>
    <t xml:space="preserve">Jabatan dengan total upah terbesar</t>
  </si>
  <si>
    <t xml:space="preserve">Teks: nama jabatan</t>
  </si>
  <si>
    <t xml:space="preserve">13a</t>
  </si>
  <si>
    <t xml:space="preserve">Rata-rata total hari jabatan Kenek</t>
  </si>
  <si>
    <t xml:space="preserve">Angka desimal, mis. 18,5</t>
  </si>
  <si>
    <t xml:space="preserve">13b</t>
  </si>
  <si>
    <t xml:space="preserve">Total bonus rajin Tukang Batu</t>
  </si>
  <si>
    <t xml:space="preserve">Rupiah, mis. Rp 600.000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</si>
</sst>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&quot;Rp &quot;#,##0"/>
    <numFmt numFmtId="167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1F4E3D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44546A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44546A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6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7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1" t="s">
        <v>19</v>
      </c>
      <c r="B20" s="11" t="s">
        <v>20</v>
      </c>
      <c r="C20" s="11" t="s">
        <v>21</v>
      </c>
      <c r="D20" s="11" t="s">
        <v>22</v>
      </c>
    </row>
    <row r="21" customFormat="false" ht="30" hidden="false" customHeight="true" outlineLevel="0" collapsed="false">
      <c r="A21" s="12" t="s">
        <v>23</v>
      </c>
      <c r="B21" s="13" t="s">
        <v>24</v>
      </c>
      <c r="C21" s="13" t="s">
        <v>25</v>
      </c>
      <c r="D21" s="14" t="s">
        <v>26</v>
      </c>
    </row>
    <row r="22" customFormat="false" ht="30" hidden="false" customHeight="true" outlineLevel="0" collapsed="false">
      <c r="A22" s="12" t="s">
        <v>27</v>
      </c>
      <c r="B22" s="13" t="s">
        <v>28</v>
      </c>
      <c r="C22" s="13" t="s">
        <v>29</v>
      </c>
      <c r="D22" s="14" t="s">
        <v>30</v>
      </c>
    </row>
    <row r="23" customFormat="false" ht="30" hidden="false" customHeight="true" outlineLevel="0" collapsed="false">
      <c r="A23" s="12" t="s">
        <v>31</v>
      </c>
      <c r="B23" s="13" t="s">
        <v>32</v>
      </c>
      <c r="C23" s="13" t="s">
        <v>33</v>
      </c>
      <c r="D23" s="14" t="s">
        <v>34</v>
      </c>
    </row>
    <row r="24" customFormat="false" ht="30" hidden="false" customHeight="true" outlineLevel="0" collapsed="false">
      <c r="A24" s="12" t="s">
        <v>35</v>
      </c>
      <c r="B24" s="13" t="s">
        <v>36</v>
      </c>
      <c r="C24" s="13" t="s">
        <v>37</v>
      </c>
      <c r="D24" s="14" t="s">
        <v>38</v>
      </c>
    </row>
    <row r="25" customFormat="false" ht="30" hidden="false" customHeight="true" outlineLevel="0" collapsed="false">
      <c r="A25" s="12" t="s">
        <v>39</v>
      </c>
      <c r="B25" s="13" t="s">
        <v>40</v>
      </c>
      <c r="C25" s="13" t="s">
        <v>41</v>
      </c>
      <c r="D25" s="14" t="s">
        <v>42</v>
      </c>
    </row>
    <row r="26" customFormat="false" ht="30" hidden="false" customHeight="true" outlineLevel="0" collapsed="false">
      <c r="A26" s="12" t="s">
        <v>43</v>
      </c>
      <c r="B26" s="13" t="s">
        <v>44</v>
      </c>
      <c r="C26" s="13" t="s">
        <v>45</v>
      </c>
      <c r="D26" s="14" t="s">
        <v>46</v>
      </c>
    </row>
    <row r="27" customFormat="false" ht="30" hidden="false" customHeight="true" outlineLevel="0" collapsed="false">
      <c r="A27" s="12" t="s">
        <v>47</v>
      </c>
      <c r="B27" s="13" t="s">
        <v>48</v>
      </c>
      <c r="C27" s="13" t="s">
        <v>49</v>
      </c>
      <c r="D27" s="14" t="s">
        <v>50</v>
      </c>
    </row>
    <row r="28" customFormat="false" ht="30" hidden="false" customHeight="true" outlineLevel="0" collapsed="false">
      <c r="A28" s="12" t="s">
        <v>51</v>
      </c>
      <c r="B28" s="13" t="s">
        <v>52</v>
      </c>
      <c r="C28" s="13" t="s">
        <v>53</v>
      </c>
      <c r="D28" s="14" t="s">
        <v>54</v>
      </c>
    </row>
    <row r="29" customFormat="false" ht="30" hidden="false" customHeight="true" outlineLevel="0" collapsed="false">
      <c r="A29" s="12" t="s">
        <v>55</v>
      </c>
      <c r="B29" s="13" t="s">
        <v>56</v>
      </c>
      <c r="C29" s="13" t="s">
        <v>57</v>
      </c>
      <c r="D29" s="14" t="s">
        <v>58</v>
      </c>
    </row>
    <row r="30" customFormat="false" ht="57.75" hidden="false" customHeight="true" outlineLevel="0" collapsed="false">
      <c r="A30" s="12" t="s">
        <v>59</v>
      </c>
      <c r="B30" s="13" t="s">
        <v>60</v>
      </c>
      <c r="C30" s="13" t="s">
        <v>61</v>
      </c>
      <c r="D30" s="14" t="s">
        <v>62</v>
      </c>
    </row>
    <row r="31" customFormat="false" ht="57.75" hidden="false" customHeight="true" outlineLevel="0" collapsed="false">
      <c r="A31" s="12" t="s">
        <v>63</v>
      </c>
      <c r="B31" s="13" t="s">
        <v>64</v>
      </c>
      <c r="C31" s="13" t="s">
        <v>65</v>
      </c>
      <c r="D31" s="14" t="s">
        <v>66</v>
      </c>
    </row>
    <row r="32" customFormat="false" ht="55.5" hidden="false" customHeight="true" outlineLevel="0" collapsed="false">
      <c r="A32" s="12" t="s">
        <v>67</v>
      </c>
      <c r="B32" s="13" t="s">
        <v>68</v>
      </c>
      <c r="C32" s="13" t="s">
        <v>69</v>
      </c>
      <c r="D32" s="14" t="s">
        <v>70</v>
      </c>
    </row>
    <row r="33" customFormat="false" ht="43.5" hidden="false" customHeight="true" outlineLevel="0" collapsed="false">
      <c r="A33" s="12" t="s">
        <v>71</v>
      </c>
      <c r="B33" s="13" t="s">
        <v>72</v>
      </c>
      <c r="C33" s="13" t="s">
        <v>73</v>
      </c>
      <c r="D33" s="14" t="s">
        <v>74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7" min="4" style="0" width="10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2" min="11" style="0" width="13"/>
    <col collapsed="false" customWidth="true" hidden="false" outlineLevel="0" max="14" min="13" style="0" width="14"/>
    <col collapsed="false" customWidth="true" hidden="false" outlineLevel="0" max="15" min="15" style="0" width="3"/>
    <col collapsed="false" customWidth="true" hidden="false" outlineLevel="0" max="16" min="16" style="0" width="30"/>
    <col collapsed="false" customWidth="true" hidden="false" outlineLevel="0" max="17" min="17" style="0" width="16"/>
    <col collapsed="false" customWidth="true" hidden="false" outlineLevel="0" max="18" min="18" style="0" width="42"/>
  </cols>
  <sheetData>
    <row r="1" customFormat="false" ht="33.75" hidden="false" customHeight="true" outlineLevel="0" collapsed="false">
      <c r="A1" s="11" t="s">
        <v>75</v>
      </c>
      <c r="B1" s="11" t="s">
        <v>76</v>
      </c>
      <c r="C1" s="11" t="s">
        <v>77</v>
      </c>
      <c r="D1" s="11" t="s">
        <v>78</v>
      </c>
      <c r="E1" s="11" t="s">
        <v>79</v>
      </c>
      <c r="F1" s="11" t="s">
        <v>80</v>
      </c>
      <c r="G1" s="11" t="s">
        <v>81</v>
      </c>
      <c r="H1" s="15" t="s">
        <v>82</v>
      </c>
      <c r="I1" s="15" t="s">
        <v>83</v>
      </c>
      <c r="J1" s="15" t="s">
        <v>84</v>
      </c>
      <c r="K1" s="15" t="s">
        <v>85</v>
      </c>
      <c r="L1" s="15" t="s">
        <v>86</v>
      </c>
      <c r="M1" s="15" t="s">
        <v>87</v>
      </c>
      <c r="N1" s="15" t="s">
        <v>88</v>
      </c>
      <c r="P1" s="16" t="s">
        <v>89</v>
      </c>
      <c r="Q1" s="16" t="s">
        <v>90</v>
      </c>
      <c r="R1" s="16" t="s">
        <v>88</v>
      </c>
    </row>
    <row r="2" customFormat="false" ht="15" hidden="false" customHeight="false" outlineLevel="0" collapsed="false">
      <c r="A2" s="17" t="s">
        <v>91</v>
      </c>
      <c r="B2" s="17" t="s">
        <v>92</v>
      </c>
      <c r="C2" s="17" t="s">
        <v>93</v>
      </c>
      <c r="D2" s="18" t="n">
        <v>5</v>
      </c>
      <c r="E2" s="18" t="n">
        <v>5</v>
      </c>
      <c r="F2" s="18" t="n">
        <v>6</v>
      </c>
      <c r="G2" s="18" t="n">
        <v>6</v>
      </c>
      <c r="H2" s="19" t="n">
        <f aca="false">SUM(D2,E2,F2,G2)</f>
        <v>22</v>
      </c>
      <c r="I2" s="20" t="n">
        <f aca="false">VLOOKUP(C2,Acuan!$A$2:$B$5,2,FALSE())</f>
        <v>185000</v>
      </c>
      <c r="J2" s="20" t="n">
        <f aca="false">H2*I2</f>
        <v>4070000</v>
      </c>
      <c r="K2" s="19" t="n">
        <f aca="false">(D2&gt;=$Q$2)+(E2&gt;=$Q$2)+(F2&gt;=$Q$2)+(G2&gt;=$Q$2)</f>
        <v>2</v>
      </c>
      <c r="L2" s="20" t="n">
        <f aca="false">K2*$Q$3</f>
        <v>120000</v>
      </c>
      <c r="M2" s="20" t="n">
        <f aca="false">J2+L2</f>
        <v>4190000</v>
      </c>
      <c r="N2" s="21" t="str">
        <f aca="false">IF(K2=4,"Sangat Rajin",IF(K2&gt;=2,"Rajin","Biasa"))</f>
        <v>Rajin</v>
      </c>
      <c r="P2" s="22" t="s">
        <v>94</v>
      </c>
      <c r="Q2" s="23" t="n">
        <v>6</v>
      </c>
      <c r="R2" s="22" t="s">
        <v>95</v>
      </c>
    </row>
    <row r="3" customFormat="false" ht="15" hidden="false" customHeight="false" outlineLevel="0" collapsed="false">
      <c r="A3" s="17" t="s">
        <v>96</v>
      </c>
      <c r="B3" s="17" t="s">
        <v>97</v>
      </c>
      <c r="C3" s="17" t="s">
        <v>98</v>
      </c>
      <c r="D3" s="18" t="n">
        <v>3</v>
      </c>
      <c r="E3" s="18" t="n">
        <v>6</v>
      </c>
      <c r="F3" s="18" t="n">
        <v>4</v>
      </c>
      <c r="G3" s="18" t="n">
        <v>5</v>
      </c>
      <c r="H3" s="19" t="n">
        <f aca="false">SUM(D3,E3,F3,G3)</f>
        <v>18</v>
      </c>
      <c r="I3" s="20" t="n">
        <f aca="false">VLOOKUP(C3,Acuan!$A$2:$B$5,2,FALSE())</f>
        <v>160000</v>
      </c>
      <c r="J3" s="20" t="n">
        <f aca="false">H3*I3</f>
        <v>2880000</v>
      </c>
      <c r="K3" s="19" t="n">
        <f aca="false">(D3&gt;=$Q$2)+(E3&gt;=$Q$2)+(F3&gt;=$Q$2)+(G3&gt;=$Q$2)</f>
        <v>1</v>
      </c>
      <c r="L3" s="20" t="n">
        <f aca="false">K3*$Q$3</f>
        <v>60000</v>
      </c>
      <c r="M3" s="20" t="n">
        <f aca="false">J3+L3</f>
        <v>2940000</v>
      </c>
      <c r="N3" s="21" t="str">
        <f aca="false">IF(K3=4,"Sangat Rajin",IF(K3&gt;=2,"Rajin","Biasa"))</f>
        <v>Biasa</v>
      </c>
      <c r="P3" s="22" t="s">
        <v>99</v>
      </c>
      <c r="Q3" s="24" t="n">
        <v>60000</v>
      </c>
      <c r="R3" s="22"/>
    </row>
    <row r="4" customFormat="false" ht="15" hidden="false" customHeight="false" outlineLevel="0" collapsed="false">
      <c r="A4" s="17" t="s">
        <v>100</v>
      </c>
      <c r="B4" s="17" t="s">
        <v>101</v>
      </c>
      <c r="C4" s="17" t="s">
        <v>98</v>
      </c>
      <c r="D4" s="18" t="n">
        <v>5</v>
      </c>
      <c r="E4" s="18" t="n">
        <v>6</v>
      </c>
      <c r="F4" s="18" t="n">
        <v>5</v>
      </c>
      <c r="G4" s="18" t="n">
        <v>4</v>
      </c>
      <c r="H4" s="19" t="n">
        <f aca="false">SUM(D4,E4,F4,G4)</f>
        <v>20</v>
      </c>
      <c r="I4" s="20" t="n">
        <f aca="false">VLOOKUP(C4,Acuan!$A$2:$B$5,2,FALSE())</f>
        <v>160000</v>
      </c>
      <c r="J4" s="20" t="n">
        <f aca="false">H4*I4</f>
        <v>3200000</v>
      </c>
      <c r="K4" s="19" t="n">
        <f aca="false">(D4&gt;=$Q$2)+(E4&gt;=$Q$2)+(F4&gt;=$Q$2)+(G4&gt;=$Q$2)</f>
        <v>1</v>
      </c>
      <c r="L4" s="20" t="n">
        <f aca="false">K4*$Q$3</f>
        <v>60000</v>
      </c>
      <c r="M4" s="20" t="n">
        <f aca="false">J4+L4</f>
        <v>3260000</v>
      </c>
      <c r="N4" s="21" t="str">
        <f aca="false">IF(K4=4,"Sangat Rajin",IF(K4&gt;=2,"Rajin","Biasa"))</f>
        <v>Biasa</v>
      </c>
    </row>
    <row r="5" customFormat="false" ht="15" hidden="false" customHeight="false" outlineLevel="0" collapsed="false">
      <c r="A5" s="17" t="s">
        <v>102</v>
      </c>
      <c r="B5" s="17" t="s">
        <v>103</v>
      </c>
      <c r="C5" s="17" t="s">
        <v>104</v>
      </c>
      <c r="D5" s="18" t="n">
        <v>5</v>
      </c>
      <c r="E5" s="18" t="n">
        <v>4</v>
      </c>
      <c r="F5" s="18" t="n">
        <v>3</v>
      </c>
      <c r="G5" s="18" t="n">
        <v>3</v>
      </c>
      <c r="H5" s="19" t="n">
        <f aca="false">SUM(D5,E5,F5,G5)</f>
        <v>15</v>
      </c>
      <c r="I5" s="20" t="n">
        <f aca="false">VLOOKUP(C5,Acuan!$A$2:$B$5,2,FALSE())</f>
        <v>165000</v>
      </c>
      <c r="J5" s="20" t="n">
        <f aca="false">H5*I5</f>
        <v>2475000</v>
      </c>
      <c r="K5" s="19" t="n">
        <f aca="false">(D5&gt;=$Q$2)+(E5&gt;=$Q$2)+(F5&gt;=$Q$2)+(G5&gt;=$Q$2)</f>
        <v>0</v>
      </c>
      <c r="L5" s="20" t="n">
        <f aca="false">K5*$Q$3</f>
        <v>0</v>
      </c>
      <c r="M5" s="20" t="n">
        <f aca="false">J5+L5</f>
        <v>2475000</v>
      </c>
      <c r="N5" s="21" t="str">
        <f aca="false">IF(K5=4,"Sangat Rajin",IF(K5&gt;=2,"Rajin","Biasa"))</f>
        <v>Biasa</v>
      </c>
    </row>
    <row r="6" customFormat="false" ht="15" hidden="false" customHeight="false" outlineLevel="0" collapsed="false">
      <c r="A6" s="17" t="s">
        <v>105</v>
      </c>
      <c r="B6" s="17" t="s">
        <v>106</v>
      </c>
      <c r="C6" s="17" t="s">
        <v>107</v>
      </c>
      <c r="D6" s="18" t="n">
        <v>3</v>
      </c>
      <c r="E6" s="18" t="n">
        <v>3</v>
      </c>
      <c r="F6" s="18" t="n">
        <v>3</v>
      </c>
      <c r="G6" s="18" t="n">
        <v>5</v>
      </c>
      <c r="H6" s="19" t="n">
        <f aca="false">SUM(D6,E6,F6,G6)</f>
        <v>14</v>
      </c>
      <c r="I6" s="20" t="n">
        <f aca="false">VLOOKUP(C6,Acuan!$A$2:$B$5,2,FALSE())</f>
        <v>115000</v>
      </c>
      <c r="J6" s="20" t="n">
        <f aca="false">H6*I6</f>
        <v>1610000</v>
      </c>
      <c r="K6" s="19" t="n">
        <f aca="false">(D6&gt;=$Q$2)+(E6&gt;=$Q$2)+(F6&gt;=$Q$2)+(G6&gt;=$Q$2)</f>
        <v>0</v>
      </c>
      <c r="L6" s="20" t="n">
        <f aca="false">K6*$Q$3</f>
        <v>0</v>
      </c>
      <c r="M6" s="20" t="n">
        <f aca="false">J6+L6</f>
        <v>1610000</v>
      </c>
      <c r="N6" s="21" t="str">
        <f aca="false">IF(K6=4,"Sangat Rajin",IF(K6&gt;=2,"Rajin","Biasa"))</f>
        <v>Biasa</v>
      </c>
    </row>
    <row r="7" customFormat="false" ht="15" hidden="false" customHeight="false" outlineLevel="0" collapsed="false">
      <c r="A7" s="17" t="s">
        <v>108</v>
      </c>
      <c r="B7" s="17" t="s">
        <v>109</v>
      </c>
      <c r="C7" s="17" t="s">
        <v>107</v>
      </c>
      <c r="D7" s="18" t="n">
        <v>6</v>
      </c>
      <c r="E7" s="18" t="n">
        <v>6</v>
      </c>
      <c r="F7" s="18" t="n">
        <v>6</v>
      </c>
      <c r="G7" s="18" t="n">
        <v>6</v>
      </c>
      <c r="H7" s="19" t="n">
        <f aca="false">SUM(D7,E7,F7,G7)</f>
        <v>24</v>
      </c>
      <c r="I7" s="20" t="n">
        <f aca="false">VLOOKUP(C7,Acuan!$A$2:$B$5,2,FALSE())</f>
        <v>115000</v>
      </c>
      <c r="J7" s="20" t="n">
        <f aca="false">H7*I7</f>
        <v>2760000</v>
      </c>
      <c r="K7" s="19" t="n">
        <f aca="false">(D7&gt;=$Q$2)+(E7&gt;=$Q$2)+(F7&gt;=$Q$2)+(G7&gt;=$Q$2)</f>
        <v>4</v>
      </c>
      <c r="L7" s="20" t="n">
        <f aca="false">K7*$Q$3</f>
        <v>240000</v>
      </c>
      <c r="M7" s="20" t="n">
        <f aca="false">J7+L7</f>
        <v>3000000</v>
      </c>
      <c r="N7" s="21" t="str">
        <f aca="false">IF(K7=4,"Sangat Rajin",IF(K7&gt;=2,"Rajin","Biasa"))</f>
        <v>Sangat Rajin</v>
      </c>
    </row>
    <row r="8" customFormat="false" ht="15" hidden="false" customHeight="false" outlineLevel="0" collapsed="false">
      <c r="A8" s="17" t="s">
        <v>110</v>
      </c>
      <c r="B8" s="17" t="s">
        <v>111</v>
      </c>
      <c r="C8" s="17" t="s">
        <v>93</v>
      </c>
      <c r="D8" s="18" t="n">
        <v>5</v>
      </c>
      <c r="E8" s="18" t="n">
        <v>6</v>
      </c>
      <c r="F8" s="18" t="n">
        <v>6</v>
      </c>
      <c r="G8" s="18" t="n">
        <v>3</v>
      </c>
      <c r="H8" s="19" t="n">
        <f aca="false">SUM(D8,E8,F8,G8)</f>
        <v>20</v>
      </c>
      <c r="I8" s="20" t="n">
        <f aca="false">VLOOKUP(C8,Acuan!$A$2:$B$5,2,FALSE())</f>
        <v>185000</v>
      </c>
      <c r="J8" s="20" t="n">
        <f aca="false">H8*I8</f>
        <v>3700000</v>
      </c>
      <c r="K8" s="19" t="n">
        <f aca="false">(D8&gt;=$Q$2)+(E8&gt;=$Q$2)+(F8&gt;=$Q$2)+(G8&gt;=$Q$2)</f>
        <v>2</v>
      </c>
      <c r="L8" s="20" t="n">
        <f aca="false">K8*$Q$3</f>
        <v>120000</v>
      </c>
      <c r="M8" s="20" t="n">
        <f aca="false">J8+L8</f>
        <v>3820000</v>
      </c>
      <c r="N8" s="21" t="str">
        <f aca="false">IF(K8=4,"Sangat Rajin",IF(K8&gt;=2,"Rajin","Biasa"))</f>
        <v>Rajin</v>
      </c>
    </row>
    <row r="9" customFormat="false" ht="15" hidden="false" customHeight="false" outlineLevel="0" collapsed="false">
      <c r="A9" s="17" t="s">
        <v>112</v>
      </c>
      <c r="B9" s="17" t="s">
        <v>113</v>
      </c>
      <c r="C9" s="17" t="s">
        <v>98</v>
      </c>
      <c r="D9" s="18" t="n">
        <v>3</v>
      </c>
      <c r="E9" s="18" t="n">
        <v>6</v>
      </c>
      <c r="F9" s="18" t="n">
        <v>6</v>
      </c>
      <c r="G9" s="18" t="n">
        <v>4</v>
      </c>
      <c r="H9" s="19" t="n">
        <f aca="false">SUM(D9,E9,F9,G9)</f>
        <v>19</v>
      </c>
      <c r="I9" s="20" t="n">
        <f aca="false">VLOOKUP(C9,Acuan!$A$2:$B$5,2,FALSE())</f>
        <v>160000</v>
      </c>
      <c r="J9" s="20" t="n">
        <f aca="false">H9*I9</f>
        <v>3040000</v>
      </c>
      <c r="K9" s="19" t="n">
        <f aca="false">(D9&gt;=$Q$2)+(E9&gt;=$Q$2)+(F9&gt;=$Q$2)+(G9&gt;=$Q$2)</f>
        <v>2</v>
      </c>
      <c r="L9" s="20" t="n">
        <f aca="false">K9*$Q$3</f>
        <v>120000</v>
      </c>
      <c r="M9" s="20" t="n">
        <f aca="false">J9+L9</f>
        <v>3160000</v>
      </c>
      <c r="N9" s="21" t="str">
        <f aca="false">IF(K9=4,"Sangat Rajin",IF(K9&gt;=2,"Rajin","Biasa"))</f>
        <v>Rajin</v>
      </c>
    </row>
    <row r="10" customFormat="false" ht="15" hidden="false" customHeight="false" outlineLevel="0" collapsed="false">
      <c r="A10" s="17" t="s">
        <v>114</v>
      </c>
      <c r="B10" s="17" t="s">
        <v>115</v>
      </c>
      <c r="C10" s="17" t="s">
        <v>98</v>
      </c>
      <c r="D10" s="18" t="n">
        <v>6</v>
      </c>
      <c r="E10" s="18" t="n">
        <v>4</v>
      </c>
      <c r="F10" s="18" t="n">
        <v>4</v>
      </c>
      <c r="G10" s="18" t="n">
        <v>5</v>
      </c>
      <c r="H10" s="19" t="n">
        <f aca="false">SUM(D10,E10,F10,G10)</f>
        <v>19</v>
      </c>
      <c r="I10" s="20" t="n">
        <f aca="false">VLOOKUP(C10,Acuan!$A$2:$B$5,2,FALSE())</f>
        <v>160000</v>
      </c>
      <c r="J10" s="20" t="n">
        <f aca="false">H10*I10</f>
        <v>3040000</v>
      </c>
      <c r="K10" s="19" t="n">
        <f aca="false">(D10&gt;=$Q$2)+(E10&gt;=$Q$2)+(F10&gt;=$Q$2)+(G10&gt;=$Q$2)</f>
        <v>1</v>
      </c>
      <c r="L10" s="20" t="n">
        <f aca="false">K10*$Q$3</f>
        <v>60000</v>
      </c>
      <c r="M10" s="20" t="n">
        <f aca="false">J10+L10</f>
        <v>3100000</v>
      </c>
      <c r="N10" s="21" t="str">
        <f aca="false">IF(K10=4,"Sangat Rajin",IF(K10&gt;=2,"Rajin","Biasa"))</f>
        <v>Biasa</v>
      </c>
    </row>
    <row r="11" customFormat="false" ht="15" hidden="false" customHeight="false" outlineLevel="0" collapsed="false">
      <c r="A11" s="17" t="s">
        <v>116</v>
      </c>
      <c r="B11" s="17" t="s">
        <v>117</v>
      </c>
      <c r="C11" s="17" t="s">
        <v>104</v>
      </c>
      <c r="D11" s="18" t="n">
        <v>3</v>
      </c>
      <c r="E11" s="18" t="n">
        <v>6</v>
      </c>
      <c r="F11" s="18" t="n">
        <v>3</v>
      </c>
      <c r="G11" s="18" t="n">
        <v>4</v>
      </c>
      <c r="H11" s="19" t="n">
        <f aca="false">SUM(D11,E11,F11,G11)</f>
        <v>16</v>
      </c>
      <c r="I11" s="20" t="n">
        <f aca="false">VLOOKUP(C11,Acuan!$A$2:$B$5,2,FALSE())</f>
        <v>165000</v>
      </c>
      <c r="J11" s="20" t="n">
        <f aca="false">H11*I11</f>
        <v>2640000</v>
      </c>
      <c r="K11" s="19" t="n">
        <f aca="false">(D11&gt;=$Q$2)+(E11&gt;=$Q$2)+(F11&gt;=$Q$2)+(G11&gt;=$Q$2)</f>
        <v>1</v>
      </c>
      <c r="L11" s="20" t="n">
        <f aca="false">K11*$Q$3</f>
        <v>60000</v>
      </c>
      <c r="M11" s="20" t="n">
        <f aca="false">J11+L11</f>
        <v>2700000</v>
      </c>
      <c r="N11" s="21" t="str">
        <f aca="false">IF(K11=4,"Sangat Rajin",IF(K11&gt;=2,"Rajin","Biasa"))</f>
        <v>Biasa</v>
      </c>
    </row>
    <row r="12" customFormat="false" ht="15" hidden="false" customHeight="false" outlineLevel="0" collapsed="false">
      <c r="A12" s="17" t="s">
        <v>118</v>
      </c>
      <c r="B12" s="17" t="s">
        <v>119</v>
      </c>
      <c r="C12" s="17" t="s">
        <v>107</v>
      </c>
      <c r="D12" s="18" t="n">
        <v>6</v>
      </c>
      <c r="E12" s="18" t="n">
        <v>4</v>
      </c>
      <c r="F12" s="18" t="n">
        <v>4</v>
      </c>
      <c r="G12" s="18" t="n">
        <v>4</v>
      </c>
      <c r="H12" s="19" t="n">
        <f aca="false">SUM(D12,E12,F12,G12)</f>
        <v>18</v>
      </c>
      <c r="I12" s="20" t="n">
        <f aca="false">VLOOKUP(C12,Acuan!$A$2:$B$5,2,FALSE())</f>
        <v>115000</v>
      </c>
      <c r="J12" s="20" t="n">
        <f aca="false">H12*I12</f>
        <v>2070000</v>
      </c>
      <c r="K12" s="19" t="n">
        <f aca="false">(D12&gt;=$Q$2)+(E12&gt;=$Q$2)+(F12&gt;=$Q$2)+(G12&gt;=$Q$2)</f>
        <v>1</v>
      </c>
      <c r="L12" s="20" t="n">
        <f aca="false">K12*$Q$3</f>
        <v>60000</v>
      </c>
      <c r="M12" s="20" t="n">
        <f aca="false">J12+L12</f>
        <v>2130000</v>
      </c>
      <c r="N12" s="21" t="str">
        <f aca="false">IF(K12=4,"Sangat Rajin",IF(K12&gt;=2,"Rajin","Biasa"))</f>
        <v>Biasa</v>
      </c>
    </row>
    <row r="13" customFormat="false" ht="15" hidden="false" customHeight="false" outlineLevel="0" collapsed="false">
      <c r="A13" s="17" t="s">
        <v>120</v>
      </c>
      <c r="B13" s="17" t="s">
        <v>121</v>
      </c>
      <c r="C13" s="17" t="s">
        <v>107</v>
      </c>
      <c r="D13" s="18" t="n">
        <v>3</v>
      </c>
      <c r="E13" s="18" t="n">
        <v>6</v>
      </c>
      <c r="F13" s="18" t="n">
        <v>5</v>
      </c>
      <c r="G13" s="18" t="n">
        <v>6</v>
      </c>
      <c r="H13" s="19" t="n">
        <f aca="false">SUM(D13,E13,F13,G13)</f>
        <v>20</v>
      </c>
      <c r="I13" s="20" t="n">
        <f aca="false">VLOOKUP(C13,Acuan!$A$2:$B$5,2,FALSE())</f>
        <v>115000</v>
      </c>
      <c r="J13" s="20" t="n">
        <f aca="false">H13*I13</f>
        <v>2300000</v>
      </c>
      <c r="K13" s="19" t="n">
        <f aca="false">(D13&gt;=$Q$2)+(E13&gt;=$Q$2)+(F13&gt;=$Q$2)+(G13&gt;=$Q$2)</f>
        <v>2</v>
      </c>
      <c r="L13" s="20" t="n">
        <f aca="false">K13*$Q$3</f>
        <v>120000</v>
      </c>
      <c r="M13" s="20" t="n">
        <f aca="false">J13+L13</f>
        <v>2420000</v>
      </c>
      <c r="N13" s="21" t="str">
        <f aca="false">IF(K13=4,"Sangat Rajin",IF(K13&gt;=2,"Rajin","Biasa"))</f>
        <v>Rajin</v>
      </c>
    </row>
    <row r="14" customFormat="false" ht="15" hidden="false" customHeight="false" outlineLevel="0" collapsed="false">
      <c r="A14" s="17" t="s">
        <v>122</v>
      </c>
      <c r="B14" s="17" t="s">
        <v>123</v>
      </c>
      <c r="C14" s="17" t="s">
        <v>93</v>
      </c>
      <c r="D14" s="18" t="n">
        <v>4</v>
      </c>
      <c r="E14" s="18" t="n">
        <v>6</v>
      </c>
      <c r="F14" s="18" t="n">
        <v>6</v>
      </c>
      <c r="G14" s="18" t="n">
        <v>6</v>
      </c>
      <c r="H14" s="19" t="n">
        <f aca="false">SUM(D14,E14,F14,G14)</f>
        <v>22</v>
      </c>
      <c r="I14" s="20" t="n">
        <f aca="false">VLOOKUP(C14,Acuan!$A$2:$B$5,2,FALSE())</f>
        <v>185000</v>
      </c>
      <c r="J14" s="20" t="n">
        <f aca="false">H14*I14</f>
        <v>4070000</v>
      </c>
      <c r="K14" s="19" t="n">
        <f aca="false">(D14&gt;=$Q$2)+(E14&gt;=$Q$2)+(F14&gt;=$Q$2)+(G14&gt;=$Q$2)</f>
        <v>3</v>
      </c>
      <c r="L14" s="20" t="n">
        <f aca="false">K14*$Q$3</f>
        <v>180000</v>
      </c>
      <c r="M14" s="20" t="n">
        <f aca="false">J14+L14</f>
        <v>4250000</v>
      </c>
      <c r="N14" s="21" t="str">
        <f aca="false">IF(K14=4,"Sangat Rajin",IF(K14&gt;=2,"Rajin","Biasa"))</f>
        <v>Rajin</v>
      </c>
    </row>
    <row r="15" customFormat="false" ht="15" hidden="false" customHeight="false" outlineLevel="0" collapsed="false">
      <c r="A15" s="17" t="s">
        <v>124</v>
      </c>
      <c r="B15" s="17" t="s">
        <v>125</v>
      </c>
      <c r="C15" s="17" t="s">
        <v>98</v>
      </c>
      <c r="D15" s="18" t="n">
        <v>3</v>
      </c>
      <c r="E15" s="18" t="n">
        <v>6</v>
      </c>
      <c r="F15" s="18" t="n">
        <v>5</v>
      </c>
      <c r="G15" s="18" t="n">
        <v>4</v>
      </c>
      <c r="H15" s="19" t="n">
        <f aca="false">SUM(D15,E15,F15,G15)</f>
        <v>18</v>
      </c>
      <c r="I15" s="20" t="n">
        <f aca="false">VLOOKUP(C15,Acuan!$A$2:$B$5,2,FALSE())</f>
        <v>160000</v>
      </c>
      <c r="J15" s="20" t="n">
        <f aca="false">H15*I15</f>
        <v>2880000</v>
      </c>
      <c r="K15" s="19" t="n">
        <f aca="false">(D15&gt;=$Q$2)+(E15&gt;=$Q$2)+(F15&gt;=$Q$2)+(G15&gt;=$Q$2)</f>
        <v>1</v>
      </c>
      <c r="L15" s="20" t="n">
        <f aca="false">K15*$Q$3</f>
        <v>60000</v>
      </c>
      <c r="M15" s="20" t="n">
        <f aca="false">J15+L15</f>
        <v>2940000</v>
      </c>
      <c r="N15" s="21" t="str">
        <f aca="false">IF(K15=4,"Sangat Rajin",IF(K15&gt;=2,"Rajin","Biasa"))</f>
        <v>Biasa</v>
      </c>
    </row>
    <row r="16" customFormat="false" ht="15" hidden="false" customHeight="false" outlineLevel="0" collapsed="false">
      <c r="A16" s="17" t="s">
        <v>126</v>
      </c>
      <c r="B16" s="17" t="s">
        <v>127</v>
      </c>
      <c r="C16" s="17" t="s">
        <v>98</v>
      </c>
      <c r="D16" s="18" t="n">
        <v>6</v>
      </c>
      <c r="E16" s="18" t="n">
        <v>6</v>
      </c>
      <c r="F16" s="18" t="n">
        <v>6</v>
      </c>
      <c r="G16" s="18" t="n">
        <v>6</v>
      </c>
      <c r="H16" s="19" t="n">
        <f aca="false">SUM(D16,E16,F16,G16)</f>
        <v>24</v>
      </c>
      <c r="I16" s="20" t="n">
        <f aca="false">VLOOKUP(C16,Acuan!$A$2:$B$5,2,FALSE())</f>
        <v>160000</v>
      </c>
      <c r="J16" s="20" t="n">
        <f aca="false">H16*I16</f>
        <v>3840000</v>
      </c>
      <c r="K16" s="19" t="n">
        <f aca="false">(D16&gt;=$Q$2)+(E16&gt;=$Q$2)+(F16&gt;=$Q$2)+(G16&gt;=$Q$2)</f>
        <v>4</v>
      </c>
      <c r="L16" s="20" t="n">
        <f aca="false">K16*$Q$3</f>
        <v>240000</v>
      </c>
      <c r="M16" s="20" t="n">
        <f aca="false">J16+L16</f>
        <v>4080000</v>
      </c>
      <c r="N16" s="21" t="str">
        <f aca="false">IF(K16=4,"Sangat Rajin",IF(K16&gt;=2,"Rajin","Biasa"))</f>
        <v>Sangat Rajin</v>
      </c>
    </row>
    <row r="17" customFormat="false" ht="15" hidden="false" customHeight="false" outlineLevel="0" collapsed="false">
      <c r="A17" s="17" t="s">
        <v>128</v>
      </c>
      <c r="B17" s="17" t="s">
        <v>129</v>
      </c>
      <c r="C17" s="17" t="s">
        <v>104</v>
      </c>
      <c r="D17" s="18" t="n">
        <v>3</v>
      </c>
      <c r="E17" s="18" t="n">
        <v>5</v>
      </c>
      <c r="F17" s="18" t="n">
        <v>5</v>
      </c>
      <c r="G17" s="18" t="n">
        <v>4</v>
      </c>
      <c r="H17" s="19" t="n">
        <f aca="false">SUM(D17,E17,F17,G17)</f>
        <v>17</v>
      </c>
      <c r="I17" s="20" t="n">
        <f aca="false">VLOOKUP(C17,Acuan!$A$2:$B$5,2,FALSE())</f>
        <v>165000</v>
      </c>
      <c r="J17" s="20" t="n">
        <f aca="false">H17*I17</f>
        <v>2805000</v>
      </c>
      <c r="K17" s="19" t="n">
        <f aca="false">(D17&gt;=$Q$2)+(E17&gt;=$Q$2)+(F17&gt;=$Q$2)+(G17&gt;=$Q$2)</f>
        <v>0</v>
      </c>
      <c r="L17" s="20" t="n">
        <f aca="false">K17*$Q$3</f>
        <v>0</v>
      </c>
      <c r="M17" s="20" t="n">
        <f aca="false">J17+L17</f>
        <v>2805000</v>
      </c>
      <c r="N17" s="21" t="str">
        <f aca="false">IF(K17=4,"Sangat Rajin",IF(K17&gt;=2,"Rajin","Biasa"))</f>
        <v>Biasa</v>
      </c>
    </row>
    <row r="18" customFormat="false" ht="15" hidden="false" customHeight="false" outlineLevel="0" collapsed="false">
      <c r="A18" s="17" t="s">
        <v>130</v>
      </c>
      <c r="B18" s="17" t="s">
        <v>131</v>
      </c>
      <c r="C18" s="17" t="s">
        <v>107</v>
      </c>
      <c r="D18" s="18" t="n">
        <v>3</v>
      </c>
      <c r="E18" s="18" t="n">
        <v>3</v>
      </c>
      <c r="F18" s="18" t="n">
        <v>5</v>
      </c>
      <c r="G18" s="18" t="n">
        <v>4</v>
      </c>
      <c r="H18" s="19" t="n">
        <f aca="false">SUM(D18,E18,F18,G18)</f>
        <v>15</v>
      </c>
      <c r="I18" s="20" t="n">
        <f aca="false">VLOOKUP(C18,Acuan!$A$2:$B$5,2,FALSE())</f>
        <v>115000</v>
      </c>
      <c r="J18" s="20" t="n">
        <f aca="false">H18*I18</f>
        <v>1725000</v>
      </c>
      <c r="K18" s="19" t="n">
        <f aca="false">(D18&gt;=$Q$2)+(E18&gt;=$Q$2)+(F18&gt;=$Q$2)+(G18&gt;=$Q$2)</f>
        <v>0</v>
      </c>
      <c r="L18" s="20" t="n">
        <f aca="false">K18*$Q$3</f>
        <v>0</v>
      </c>
      <c r="M18" s="20" t="n">
        <f aca="false">J18+L18</f>
        <v>1725000</v>
      </c>
      <c r="N18" s="21" t="str">
        <f aca="false">IF(K18=4,"Sangat Rajin",IF(K18&gt;=2,"Rajin","Biasa"))</f>
        <v>Biasa</v>
      </c>
    </row>
    <row r="19" customFormat="false" ht="15" hidden="false" customHeight="false" outlineLevel="0" collapsed="false">
      <c r="A19" s="17" t="s">
        <v>132</v>
      </c>
      <c r="B19" s="17" t="s">
        <v>133</v>
      </c>
      <c r="C19" s="17" t="s">
        <v>107</v>
      </c>
      <c r="D19" s="18" t="n">
        <v>6</v>
      </c>
      <c r="E19" s="18" t="n">
        <v>6</v>
      </c>
      <c r="F19" s="18" t="n">
        <v>6</v>
      </c>
      <c r="G19" s="18" t="n">
        <v>6</v>
      </c>
      <c r="H19" s="19" t="n">
        <f aca="false">SUM(D19,E19,F19,G19)</f>
        <v>24</v>
      </c>
      <c r="I19" s="20" t="n">
        <f aca="false">VLOOKUP(C19,Acuan!$A$2:$B$5,2,FALSE())</f>
        <v>115000</v>
      </c>
      <c r="J19" s="20" t="n">
        <f aca="false">H19*I19</f>
        <v>2760000</v>
      </c>
      <c r="K19" s="19" t="n">
        <f aca="false">(D19&gt;=$Q$2)+(E19&gt;=$Q$2)+(F19&gt;=$Q$2)+(G19&gt;=$Q$2)</f>
        <v>4</v>
      </c>
      <c r="L19" s="20" t="n">
        <f aca="false">K19*$Q$3</f>
        <v>240000</v>
      </c>
      <c r="M19" s="20" t="n">
        <f aca="false">J19+L19</f>
        <v>3000000</v>
      </c>
      <c r="N19" s="21" t="str">
        <f aca="false">IF(K19=4,"Sangat Rajin",IF(K19&gt;=2,"Rajin","Biasa"))</f>
        <v>Sangat Rajin</v>
      </c>
    </row>
    <row r="20" customFormat="false" ht="15" hidden="false" customHeight="false" outlineLevel="0" collapsed="false">
      <c r="A20" s="17" t="s">
        <v>134</v>
      </c>
      <c r="B20" s="17" t="s">
        <v>135</v>
      </c>
      <c r="C20" s="17" t="s">
        <v>93</v>
      </c>
      <c r="D20" s="18" t="n">
        <v>6</v>
      </c>
      <c r="E20" s="18" t="n">
        <v>5</v>
      </c>
      <c r="F20" s="18" t="n">
        <v>6</v>
      </c>
      <c r="G20" s="18" t="n">
        <v>6</v>
      </c>
      <c r="H20" s="19" t="n">
        <f aca="false">SUM(D20,E20,F20,G20)</f>
        <v>23</v>
      </c>
      <c r="I20" s="20" t="n">
        <f aca="false">VLOOKUP(C20,Acuan!$A$2:$B$5,2,FALSE())</f>
        <v>185000</v>
      </c>
      <c r="J20" s="20" t="n">
        <f aca="false">H20*I20</f>
        <v>4255000</v>
      </c>
      <c r="K20" s="19" t="n">
        <f aca="false">(D20&gt;=$Q$2)+(E20&gt;=$Q$2)+(F20&gt;=$Q$2)+(G20&gt;=$Q$2)</f>
        <v>3</v>
      </c>
      <c r="L20" s="20" t="n">
        <f aca="false">K20*$Q$3</f>
        <v>180000</v>
      </c>
      <c r="M20" s="20" t="n">
        <f aca="false">J20+L20</f>
        <v>4435000</v>
      </c>
      <c r="N20" s="21" t="str">
        <f aca="false">IF(K20=4,"Sangat Rajin",IF(K20&gt;=2,"Rajin","Biasa"))</f>
        <v>Rajin</v>
      </c>
    </row>
    <row r="21" customFormat="false" ht="15" hidden="false" customHeight="false" outlineLevel="0" collapsed="false">
      <c r="A21" s="17" t="s">
        <v>136</v>
      </c>
      <c r="B21" s="17" t="s">
        <v>137</v>
      </c>
      <c r="C21" s="17" t="s">
        <v>98</v>
      </c>
      <c r="D21" s="18" t="n">
        <v>4</v>
      </c>
      <c r="E21" s="18" t="n">
        <v>6</v>
      </c>
      <c r="F21" s="18" t="n">
        <v>5</v>
      </c>
      <c r="G21" s="18" t="n">
        <v>6</v>
      </c>
      <c r="H21" s="19" t="n">
        <f aca="false">SUM(D21,E21,F21,G21)</f>
        <v>21</v>
      </c>
      <c r="I21" s="20" t="n">
        <f aca="false">VLOOKUP(C21,Acuan!$A$2:$B$5,2,FALSE())</f>
        <v>160000</v>
      </c>
      <c r="J21" s="20" t="n">
        <f aca="false">H21*I21</f>
        <v>3360000</v>
      </c>
      <c r="K21" s="19" t="n">
        <f aca="false">(D21&gt;=$Q$2)+(E21&gt;=$Q$2)+(F21&gt;=$Q$2)+(G21&gt;=$Q$2)</f>
        <v>2</v>
      </c>
      <c r="L21" s="20" t="n">
        <f aca="false">K21*$Q$3</f>
        <v>120000</v>
      </c>
      <c r="M21" s="20" t="n">
        <f aca="false">J21+L21</f>
        <v>3480000</v>
      </c>
      <c r="N21" s="21" t="str">
        <f aca="false">IF(K21=4,"Sangat Rajin",IF(K21&gt;=2,"Rajin","Biasa"))</f>
        <v>Rajin</v>
      </c>
    </row>
    <row r="22" customFormat="false" ht="15" hidden="false" customHeight="false" outlineLevel="0" collapsed="false">
      <c r="A22" s="17" t="s">
        <v>138</v>
      </c>
      <c r="B22" s="17" t="s">
        <v>139</v>
      </c>
      <c r="C22" s="17" t="s">
        <v>98</v>
      </c>
      <c r="D22" s="18" t="n">
        <v>3</v>
      </c>
      <c r="E22" s="18" t="n">
        <v>3</v>
      </c>
      <c r="F22" s="18" t="n">
        <v>3</v>
      </c>
      <c r="G22" s="18" t="n">
        <v>5</v>
      </c>
      <c r="H22" s="19" t="n">
        <f aca="false">SUM(D22,E22,F22,G22)</f>
        <v>14</v>
      </c>
      <c r="I22" s="20" t="n">
        <f aca="false">VLOOKUP(C22,Acuan!$A$2:$B$5,2,FALSE())</f>
        <v>160000</v>
      </c>
      <c r="J22" s="20" t="n">
        <f aca="false">H22*I22</f>
        <v>2240000</v>
      </c>
      <c r="K22" s="19" t="n">
        <f aca="false">(D22&gt;=$Q$2)+(E22&gt;=$Q$2)+(F22&gt;=$Q$2)+(G22&gt;=$Q$2)</f>
        <v>0</v>
      </c>
      <c r="L22" s="20" t="n">
        <f aca="false">K22*$Q$3</f>
        <v>0</v>
      </c>
      <c r="M22" s="20" t="n">
        <f aca="false">J22+L22</f>
        <v>2240000</v>
      </c>
      <c r="N22" s="21" t="str">
        <f aca="false">IF(K22=4,"Sangat Rajin",IF(K22&gt;=2,"Rajin","Biasa"))</f>
        <v>Biasa</v>
      </c>
    </row>
    <row r="23" customFormat="false" ht="15" hidden="false" customHeight="false" outlineLevel="0" collapsed="false">
      <c r="A23" s="17" t="s">
        <v>140</v>
      </c>
      <c r="B23" s="17" t="s">
        <v>141</v>
      </c>
      <c r="C23" s="17" t="s">
        <v>104</v>
      </c>
      <c r="D23" s="18" t="n">
        <v>5</v>
      </c>
      <c r="E23" s="18" t="n">
        <v>5</v>
      </c>
      <c r="F23" s="18" t="n">
        <v>4</v>
      </c>
      <c r="G23" s="18" t="n">
        <v>5</v>
      </c>
      <c r="H23" s="19" t="n">
        <f aca="false">SUM(D23,E23,F23,G23)</f>
        <v>19</v>
      </c>
      <c r="I23" s="20" t="n">
        <f aca="false">VLOOKUP(C23,Acuan!$A$2:$B$5,2,FALSE())</f>
        <v>165000</v>
      </c>
      <c r="J23" s="20" t="n">
        <f aca="false">H23*I23</f>
        <v>3135000</v>
      </c>
      <c r="K23" s="19" t="n">
        <f aca="false">(D23&gt;=$Q$2)+(E23&gt;=$Q$2)+(F23&gt;=$Q$2)+(G23&gt;=$Q$2)</f>
        <v>0</v>
      </c>
      <c r="L23" s="20" t="n">
        <f aca="false">K23*$Q$3</f>
        <v>0</v>
      </c>
      <c r="M23" s="20" t="n">
        <f aca="false">J23+L23</f>
        <v>3135000</v>
      </c>
      <c r="N23" s="21" t="str">
        <f aca="false">IF(K23=4,"Sangat Rajin",IF(K23&gt;=2,"Rajin","Biasa"))</f>
        <v>Biasa</v>
      </c>
    </row>
    <row r="24" customFormat="false" ht="15" hidden="false" customHeight="false" outlineLevel="0" collapsed="false">
      <c r="A24" s="17" t="s">
        <v>142</v>
      </c>
      <c r="B24" s="17" t="s">
        <v>143</v>
      </c>
      <c r="C24" s="17" t="s">
        <v>107</v>
      </c>
      <c r="D24" s="18" t="n">
        <v>6</v>
      </c>
      <c r="E24" s="18" t="n">
        <v>6</v>
      </c>
      <c r="F24" s="18" t="n">
        <v>6</v>
      </c>
      <c r="G24" s="18" t="n">
        <v>6</v>
      </c>
      <c r="H24" s="19" t="n">
        <f aca="false">SUM(D24,E24,F24,G24)</f>
        <v>24</v>
      </c>
      <c r="I24" s="20" t="n">
        <f aca="false">VLOOKUP(C24,Acuan!$A$2:$B$5,2,FALSE())</f>
        <v>115000</v>
      </c>
      <c r="J24" s="20" t="n">
        <f aca="false">H24*I24</f>
        <v>2760000</v>
      </c>
      <c r="K24" s="19" t="n">
        <f aca="false">(D24&gt;=$Q$2)+(E24&gt;=$Q$2)+(F24&gt;=$Q$2)+(G24&gt;=$Q$2)</f>
        <v>4</v>
      </c>
      <c r="L24" s="20" t="n">
        <f aca="false">K24*$Q$3</f>
        <v>240000</v>
      </c>
      <c r="M24" s="20" t="n">
        <f aca="false">J24+L24</f>
        <v>3000000</v>
      </c>
      <c r="N24" s="21" t="str">
        <f aca="false">IF(K24=4,"Sangat Rajin",IF(K24&gt;=2,"Rajin","Biasa"))</f>
        <v>Sangat Rajin</v>
      </c>
    </row>
    <row r="25" customFormat="false" ht="15" hidden="false" customHeight="false" outlineLevel="0" collapsed="false">
      <c r="A25" s="17" t="s">
        <v>144</v>
      </c>
      <c r="B25" s="17" t="s">
        <v>145</v>
      </c>
      <c r="C25" s="17" t="s">
        <v>107</v>
      </c>
      <c r="D25" s="18" t="n">
        <v>6</v>
      </c>
      <c r="E25" s="18" t="n">
        <v>6</v>
      </c>
      <c r="F25" s="18" t="n">
        <v>6</v>
      </c>
      <c r="G25" s="18" t="n">
        <v>6</v>
      </c>
      <c r="H25" s="19" t="n">
        <f aca="false">SUM(D25,E25,F25,G25)</f>
        <v>24</v>
      </c>
      <c r="I25" s="20" t="n">
        <f aca="false">VLOOKUP(C25,Acuan!$A$2:$B$5,2,FALSE())</f>
        <v>115000</v>
      </c>
      <c r="J25" s="20" t="n">
        <f aca="false">H25*I25</f>
        <v>2760000</v>
      </c>
      <c r="K25" s="19" t="n">
        <f aca="false">(D25&gt;=$Q$2)+(E25&gt;=$Q$2)+(F25&gt;=$Q$2)+(G25&gt;=$Q$2)</f>
        <v>4</v>
      </c>
      <c r="L25" s="20" t="n">
        <f aca="false">K25*$Q$3</f>
        <v>240000</v>
      </c>
      <c r="M25" s="20" t="n">
        <f aca="false">J25+L25</f>
        <v>3000000</v>
      </c>
      <c r="N25" s="21" t="str">
        <f aca="false">IF(K25=4,"Sangat Rajin",IF(K25&gt;=2,"Rajin","Biasa"))</f>
        <v>Sangat Rajin</v>
      </c>
    </row>
    <row r="26" customFormat="false" ht="15" hidden="false" customHeight="false" outlineLevel="0" collapsed="false">
      <c r="A26" s="17" t="s">
        <v>146</v>
      </c>
      <c r="B26" s="17" t="s">
        <v>147</v>
      </c>
      <c r="C26" s="17" t="s">
        <v>104</v>
      </c>
      <c r="D26" s="18" t="n">
        <v>6</v>
      </c>
      <c r="E26" s="18" t="n">
        <v>6</v>
      </c>
      <c r="F26" s="18" t="n">
        <v>6</v>
      </c>
      <c r="G26" s="18" t="n">
        <v>6</v>
      </c>
      <c r="H26" s="19" t="n">
        <f aca="false">SUM(D26,E26,F26,G26)</f>
        <v>24</v>
      </c>
      <c r="I26" s="20" t="n">
        <f aca="false">VLOOKUP(C26,Acuan!$A$2:$B$5,2,FALSE())</f>
        <v>165000</v>
      </c>
      <c r="J26" s="20" t="n">
        <f aca="false">H26*I26</f>
        <v>3960000</v>
      </c>
      <c r="K26" s="19" t="n">
        <f aca="false">(D26&gt;=$Q$2)+(E26&gt;=$Q$2)+(F26&gt;=$Q$2)+(G26&gt;=$Q$2)</f>
        <v>4</v>
      </c>
      <c r="L26" s="20" t="n">
        <f aca="false">K26*$Q$3</f>
        <v>240000</v>
      </c>
      <c r="M26" s="20" t="n">
        <f aca="false">J26+L26</f>
        <v>4200000</v>
      </c>
      <c r="N26" s="21" t="str">
        <f aca="false">IF(K26=4,"Sangat Rajin",IF(K26&gt;=2,"Rajin","Biasa"))</f>
        <v>Sangat Rajin</v>
      </c>
    </row>
    <row r="27" customFormat="false" ht="15" hidden="false" customHeight="false" outlineLevel="0" collapsed="false">
      <c r="A27" s="17" t="s">
        <v>148</v>
      </c>
      <c r="B27" s="17" t="s">
        <v>149</v>
      </c>
      <c r="C27" s="17" t="s">
        <v>98</v>
      </c>
      <c r="D27" s="18" t="n">
        <v>6</v>
      </c>
      <c r="E27" s="18" t="n">
        <v>6</v>
      </c>
      <c r="F27" s="18" t="n">
        <v>6</v>
      </c>
      <c r="G27" s="18" t="n">
        <v>6</v>
      </c>
      <c r="H27" s="19" t="n">
        <f aca="false">SUM(D27,E27,F27,G27)</f>
        <v>24</v>
      </c>
      <c r="I27" s="20" t="n">
        <f aca="false">VLOOKUP(C27,Acuan!$A$2:$B$5,2,FALSE())</f>
        <v>160000</v>
      </c>
      <c r="J27" s="20" t="n">
        <f aca="false">H27*I27</f>
        <v>3840000</v>
      </c>
      <c r="K27" s="19" t="n">
        <f aca="false">(D27&gt;=$Q$2)+(E27&gt;=$Q$2)+(F27&gt;=$Q$2)+(G27&gt;=$Q$2)</f>
        <v>4</v>
      </c>
      <c r="L27" s="20" t="n">
        <f aca="false">K27*$Q$3</f>
        <v>240000</v>
      </c>
      <c r="M27" s="20" t="n">
        <f aca="false">J27+L27</f>
        <v>4080000</v>
      </c>
      <c r="N27" s="21" t="str">
        <f aca="false">IF(K27=4,"Sangat Rajin",IF(K27&gt;=2,"Rajin","Biasa"))</f>
        <v>Sangat Rajin</v>
      </c>
    </row>
    <row r="28" customFormat="false" ht="15" hidden="false" customHeight="false" outlineLevel="0" collapsed="false">
      <c r="A28" s="17" t="s">
        <v>150</v>
      </c>
      <c r="B28" s="17" t="s">
        <v>151</v>
      </c>
      <c r="C28" s="17" t="s">
        <v>104</v>
      </c>
      <c r="D28" s="18" t="n">
        <v>5</v>
      </c>
      <c r="E28" s="18" t="n">
        <v>6</v>
      </c>
      <c r="F28" s="18" t="n">
        <v>5</v>
      </c>
      <c r="G28" s="18" t="n">
        <v>3</v>
      </c>
      <c r="H28" s="19" t="n">
        <f aca="false">SUM(D28,E28,F28,G28)</f>
        <v>19</v>
      </c>
      <c r="I28" s="20" t="n">
        <f aca="false">VLOOKUP(C28,Acuan!$A$2:$B$5,2,FALSE())</f>
        <v>165000</v>
      </c>
      <c r="J28" s="20" t="n">
        <f aca="false">H28*I28</f>
        <v>3135000</v>
      </c>
      <c r="K28" s="19" t="n">
        <f aca="false">(D28&gt;=$Q$2)+(E28&gt;=$Q$2)+(F28&gt;=$Q$2)+(G28&gt;=$Q$2)</f>
        <v>1</v>
      </c>
      <c r="L28" s="20" t="n">
        <f aca="false">K28*$Q$3</f>
        <v>60000</v>
      </c>
      <c r="M28" s="20" t="n">
        <f aca="false">J28+L28</f>
        <v>3195000</v>
      </c>
      <c r="N28" s="21" t="str">
        <f aca="false">IF(K28=4,"Sangat Rajin",IF(K28&gt;=2,"Rajin","Biasa"))</f>
        <v>Biasa</v>
      </c>
    </row>
    <row r="29" customFormat="false" ht="15" hidden="false" customHeight="false" outlineLevel="0" collapsed="false">
      <c r="A29" s="17" t="s">
        <v>152</v>
      </c>
      <c r="B29" s="17" t="s">
        <v>153</v>
      </c>
      <c r="C29" s="17" t="s">
        <v>93</v>
      </c>
      <c r="D29" s="18" t="n">
        <v>6</v>
      </c>
      <c r="E29" s="18" t="n">
        <v>6</v>
      </c>
      <c r="F29" s="18" t="n">
        <v>6</v>
      </c>
      <c r="G29" s="18" t="n">
        <v>6</v>
      </c>
      <c r="H29" s="19" t="n">
        <f aca="false">SUM(D29,E29,F29,G29)</f>
        <v>24</v>
      </c>
      <c r="I29" s="20" t="n">
        <f aca="false">VLOOKUP(C29,Acuan!$A$2:$B$5,2,FALSE())</f>
        <v>185000</v>
      </c>
      <c r="J29" s="20" t="n">
        <f aca="false">H29*I29</f>
        <v>4440000</v>
      </c>
      <c r="K29" s="19" t="n">
        <f aca="false">(D29&gt;=$Q$2)+(E29&gt;=$Q$2)+(F29&gt;=$Q$2)+(G29&gt;=$Q$2)</f>
        <v>4</v>
      </c>
      <c r="L29" s="20" t="n">
        <f aca="false">K29*$Q$3</f>
        <v>240000</v>
      </c>
      <c r="M29" s="20" t="n">
        <f aca="false">J29+L29</f>
        <v>4680000</v>
      </c>
      <c r="N29" s="21" t="str">
        <f aca="false">IF(K29=4,"Sangat Rajin",IF(K29&gt;=2,"Rajin","Biasa"))</f>
        <v>Sangat Rajin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3"/>
    <col collapsed="false" customWidth="true" hidden="false" outlineLevel="0" max="4" min="4" style="0" width="19"/>
  </cols>
  <sheetData>
    <row r="1" customFormat="false" ht="33.75" hidden="false" customHeight="true" outlineLevel="0" collapsed="false">
      <c r="A1" s="11" t="s">
        <v>77</v>
      </c>
      <c r="B1" s="11" t="s">
        <v>83</v>
      </c>
      <c r="C1" s="15" t="s">
        <v>154</v>
      </c>
      <c r="D1" s="15" t="s">
        <v>155</v>
      </c>
    </row>
    <row r="2" customFormat="false" ht="15" hidden="false" customHeight="false" outlineLevel="0" collapsed="false">
      <c r="A2" s="17" t="s">
        <v>93</v>
      </c>
      <c r="B2" s="25" t="n">
        <v>185000</v>
      </c>
      <c r="C2" s="19" t="n">
        <f aca="false">COUNTIF(Data!$C$2:$C$29,A2)</f>
        <v>5</v>
      </c>
      <c r="D2" s="20" t="n">
        <f aca="false">SUMIF(Data!$C$2:$C$29,A2,Data!$M$2:$M$29)</f>
        <v>21375000</v>
      </c>
    </row>
    <row r="3" customFormat="false" ht="15" hidden="false" customHeight="false" outlineLevel="0" collapsed="false">
      <c r="A3" s="17" t="s">
        <v>98</v>
      </c>
      <c r="B3" s="25" t="n">
        <v>160000</v>
      </c>
      <c r="C3" s="19" t="n">
        <f aca="false">COUNTIF(Data!$C$2:$C$29,A3)</f>
        <v>9</v>
      </c>
      <c r="D3" s="20" t="n">
        <f aca="false">SUMIF(Data!$C$2:$C$29,A3,Data!$M$2:$M$29)</f>
        <v>29280000</v>
      </c>
    </row>
    <row r="4" customFormat="false" ht="15" hidden="false" customHeight="false" outlineLevel="0" collapsed="false">
      <c r="A4" s="17" t="s">
        <v>104</v>
      </c>
      <c r="B4" s="25" t="n">
        <v>165000</v>
      </c>
      <c r="C4" s="19" t="n">
        <f aca="false">COUNTIF(Data!$C$2:$C$29,A4)</f>
        <v>6</v>
      </c>
      <c r="D4" s="20" t="n">
        <f aca="false">SUMIF(Data!$C$2:$C$29,A4,Data!$M$2:$M$29)</f>
        <v>18510000</v>
      </c>
    </row>
    <row r="5" customFormat="false" ht="15" hidden="false" customHeight="false" outlineLevel="0" collapsed="false">
      <c r="A5" s="17" t="s">
        <v>107</v>
      </c>
      <c r="B5" s="25" t="n">
        <v>115000</v>
      </c>
      <c r="C5" s="19" t="n">
        <f aca="false">COUNTIF(Data!$C$2:$C$29,A5)</f>
        <v>8</v>
      </c>
      <c r="D5" s="20" t="n">
        <f aca="false">SUMIF(Data!$C$2:$C$29,A5,Data!$M$2:$M$29)</f>
        <v>19885000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26" t="s">
        <v>156</v>
      </c>
      <c r="B1" s="26"/>
      <c r="C1" s="26"/>
      <c r="D1" s="26"/>
    </row>
    <row r="2" customFormat="false" ht="15" hidden="false" customHeight="false" outlineLevel="0" collapsed="false">
      <c r="A2" s="27" t="s">
        <v>157</v>
      </c>
      <c r="B2" s="27"/>
      <c r="C2" s="27"/>
      <c r="D2" s="27"/>
    </row>
    <row r="3" customFormat="false" ht="15" hidden="false" customHeight="false" outlineLevel="0" collapsed="false">
      <c r="A3" s="11" t="s">
        <v>19</v>
      </c>
      <c r="B3" s="11" t="s">
        <v>158</v>
      </c>
      <c r="C3" s="11" t="s">
        <v>159</v>
      </c>
      <c r="D3" s="11" t="s">
        <v>160</v>
      </c>
    </row>
    <row r="4" customFormat="false" ht="15" hidden="false" customHeight="false" outlineLevel="0" collapsed="false">
      <c r="A4" s="28" t="s">
        <v>161</v>
      </c>
      <c r="B4" s="29" t="s">
        <v>162</v>
      </c>
      <c r="C4" s="20" t="n">
        <f aca="false">SUM(Data!$J$2:$J$29)</f>
        <v>85750000</v>
      </c>
      <c r="D4" s="30" t="s">
        <v>163</v>
      </c>
    </row>
    <row r="5" customFormat="false" ht="15" hidden="false" customHeight="false" outlineLevel="0" collapsed="false">
      <c r="A5" s="28" t="s">
        <v>164</v>
      </c>
      <c r="B5" s="29" t="s">
        <v>165</v>
      </c>
      <c r="C5" s="20" t="n">
        <f aca="false">SUM(Data!$L$2:$L$29)</f>
        <v>3300000</v>
      </c>
      <c r="D5" s="30" t="s">
        <v>166</v>
      </c>
    </row>
    <row r="6" customFormat="false" ht="15" hidden="false" customHeight="false" outlineLevel="0" collapsed="false">
      <c r="A6" s="28" t="s">
        <v>167</v>
      </c>
      <c r="B6" s="29" t="s">
        <v>168</v>
      </c>
      <c r="C6" s="20" t="n">
        <f aca="false">SUM(Data!$M$2:$M$29)</f>
        <v>89050000</v>
      </c>
      <c r="D6" s="30" t="s">
        <v>169</v>
      </c>
    </row>
    <row r="7" customFormat="false" ht="15" hidden="false" customHeight="false" outlineLevel="0" collapsed="false">
      <c r="A7" s="28" t="s">
        <v>170</v>
      </c>
      <c r="B7" s="29" t="s">
        <v>171</v>
      </c>
      <c r="C7" s="19" t="n">
        <f aca="false">COUNTIF(Data!$N$2:$N$29,"Sangat Rajin")</f>
        <v>8</v>
      </c>
      <c r="D7" s="30" t="s">
        <v>172</v>
      </c>
    </row>
    <row r="8" customFormat="false" ht="15" hidden="false" customHeight="false" outlineLevel="0" collapsed="false">
      <c r="A8" s="28" t="s">
        <v>173</v>
      </c>
      <c r="B8" s="29" t="s">
        <v>174</v>
      </c>
      <c r="C8" s="19" t="n">
        <f aca="false">COUNTIF(Data!$N$2:$N$29,"Rajin")</f>
        <v>7</v>
      </c>
      <c r="D8" s="30" t="s">
        <v>175</v>
      </c>
    </row>
    <row r="9" customFormat="false" ht="15" hidden="false" customHeight="false" outlineLevel="0" collapsed="false">
      <c r="A9" s="28" t="s">
        <v>176</v>
      </c>
      <c r="B9" s="29" t="s">
        <v>177</v>
      </c>
      <c r="C9" s="19" t="n">
        <f aca="false">COUNTIF(Data!$N$2:$N$29,"Biasa")</f>
        <v>13</v>
      </c>
      <c r="D9" s="30" t="s">
        <v>178</v>
      </c>
    </row>
    <row r="10" customFormat="false" ht="15" hidden="false" customHeight="false" outlineLevel="0" collapsed="false">
      <c r="A10" s="28" t="s">
        <v>179</v>
      </c>
      <c r="B10" s="29" t="s">
        <v>180</v>
      </c>
      <c r="C10" s="21" t="str">
        <f aca="false">INDEX(Data!$B$2:$B$29,MATCH(MAX(Data!$M$2:$M$29),Data!$M$2:$M$29,0))</f>
        <v>Khoirul Firmansyah</v>
      </c>
      <c r="D10" s="30" t="s">
        <v>181</v>
      </c>
    </row>
    <row r="11" customFormat="false" ht="15" hidden="false" customHeight="false" outlineLevel="0" collapsed="false">
      <c r="A11" s="28" t="s">
        <v>182</v>
      </c>
      <c r="B11" s="29" t="s">
        <v>183</v>
      </c>
      <c r="C11" s="21" t="str">
        <f aca="false">INDEX(Acuan!$A$2:$A$5,MATCH(MAX(Acuan!$D$2:$D$5),Acuan!$D$2:$D$5,0))</f>
        <v>Tukang Batu</v>
      </c>
      <c r="D11" s="30" t="s">
        <v>184</v>
      </c>
    </row>
    <row r="12" customFormat="false" ht="15" hidden="false" customHeight="false" outlineLevel="0" collapsed="false">
      <c r="A12" s="28" t="s">
        <v>185</v>
      </c>
      <c r="B12" s="29" t="s">
        <v>186</v>
      </c>
      <c r="C12" s="31" t="n">
        <f aca="false">AVERAGEIF(Data!$C$2:$C$29,"Kenek",Data!$H$2:$H$29)</f>
        <v>20.375</v>
      </c>
      <c r="D12" s="30" t="s">
        <v>187</v>
      </c>
    </row>
    <row r="13" customFormat="false" ht="15" hidden="false" customHeight="false" outlineLevel="0" collapsed="false">
      <c r="A13" s="28" t="s">
        <v>188</v>
      </c>
      <c r="B13" s="29" t="s">
        <v>189</v>
      </c>
      <c r="C13" s="20" t="n">
        <f aca="false">SUMIF(Data!$C$2:$C$29,"Tukang Batu",Data!$L$2:$L$29)</f>
        <v>960000</v>
      </c>
      <c r="D13" s="30" t="s">
        <v>190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2026-10-16T23:46:36Z</dcterms:created>
  <dc:creator>PushExcel</dc:creator>
  <dc:description/>
  <dc:language>en-US</dc:language>
  <cp:lastModifiedBy/>
  <dcterms:modified xsi:type="dcterms:W3CDTF">2026-10-16T23:46:36Z</dcterms:modified>
  <cp:revision>0</cp:revision>
  <dc:subject/>
  <dc:title>Upah Buruh Harian: Hari Kerja, Tarif, dan Bonus Rajin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