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<sst xmlns="http://schemas.openxmlformats.org/spreadsheetml/2006/main" count="236" uniqueCount="131">
  <si>
    <t xml:space="preserve">Kunci Jawaban: Rekap Jadwal Piket Kebersihan dan Denda</t>
  </si>
  <si>
    <t xml:space="preserve">Latihan 58 dari 40  |  Tingkat: Pemula  |  Perkiraan waktu: 35 menit  |  pushexcel.github.io/Pushexcel</t>
  </si>
  <si>
    <t xml:space="preserve">Skenario</t>
  </si>
  <si>
    <t xml:space="preserve">Kamu ketua kost Wisma Melati yang mencatat 36 jadwal piket kebersihan selama Oktober 2026 untuk 9 penghuni. Setiap jadwal punya area (Dapur, Kamar Mandi, Halaman, atau Ruang Tamu) dan status Hadir, Izin, atau Tidak Hadir. Penghuni yang Tidak Hadir didenda Rp 10.000, sedangkan yang Izin tidak didenda. Poin piket: Hadir 2 poin, Izin 1 poin, Tidak Hadir 0 poin. Pekan ke-1 dihitung dari tanggal 1 sampai 7, pekan ke-2 tanggal 8 sampai 14, dan seterusnya. Semua angka tetap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</si>
  <si>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</si>
  <si>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</si>
  <si>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</si>
  <si>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</si>
  <si>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</si>
  <si>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</si>
  <si>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</si>
  <si>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</si>
  <si>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</si>
  <si>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</si>
  <si>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</si>
  <si>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</si>
  <si>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</si>
  <si>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</si>
  <si>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</si>
  <si>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</si>
  <si>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</si>
  <si>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</si>
  <si>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</si>
  <si>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</si>
  <si>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Tentukan pekan ke berapa tiap jadwal piket jatuh: tanggal 1 sampai 7 pekan 1, tanggal 8 sampai 14 pekan 2, dan seterusnya.</t>
  </si>
  <si>
    <t xml:space="preserve">Sheet Data, kolom F (Pekan Ke), baris 2 sampai 37</t>
  </si>
  <si>
    <t xml:space="preserve">=INT((DAY(B2)-1)/7)+1</t>
  </si>
  <si>
    <t xml:space="preserve">2</t>
  </si>
  <si>
    <t xml:space="preserve">Beri poin: Hadir sebesar poin Hadir, Izin sebesar poin Izin, selain itu 0.</t>
  </si>
  <si>
    <t xml:space="preserve">Sheet Data, kolom G (Poin Piket), baris 2 sampai 37</t>
  </si>
  <si>
    <t xml:space="preserve">=IF(E2="Hadir";$K$3;IF(E2="Izin";$K$4;0))</t>
  </si>
  <si>
    <t xml:space="preserve">3</t>
  </si>
  <si>
    <t xml:space="preserve">Hitung denda: penghuni yang Tidak Hadir kena denda tidak piket, selain itu 0.</t>
  </si>
  <si>
    <t xml:space="preserve">Sheet Data, kolom H (Denda), baris 2 sampai 37</t>
  </si>
  <si>
    <t xml:space="preserve">=IF(E2="Tidak Hadir";$K$2;0)</t>
  </si>
  <si>
    <t xml:space="preserve">4</t>
  </si>
  <si>
    <t xml:space="preserve">Pada sheet Acuan, hitung berapa kali tiap penghuni terjadwal piket.</t>
  </si>
  <si>
    <t xml:space="preserve">Sheet Acuan, kolom B (Jumlah Piket), baris 2 sampai 10</t>
  </si>
  <si>
    <t xml:space="preserve">=COUNTIF(Data!$C$2:$C$37;A2)</t>
  </si>
  <si>
    <t xml:space="preserve">5</t>
  </si>
  <si>
    <t xml:space="preserve">Pada sheet Acuan, hitung berapa kali tiap penghuni berstatus Hadir.</t>
  </si>
  <si>
    <t xml:space="preserve">Sheet Acuan, kolom C (Piket Hadir), baris 2 sampai 10</t>
  </si>
  <si>
    <t xml:space="preserve">=COUNTIFS(Data!$C$2:$C$37;A2;Data!$E$2:$E$37;"Hadir")</t>
  </si>
  <si>
    <t xml:space="preserve">6</t>
  </si>
  <si>
    <t xml:space="preserve">Pada sheet Acuan, hitung total denda tiap penghuni.</t>
  </si>
  <si>
    <t xml:space="preserve">Sheet Acuan, kolom D (Total Denda), baris 2 sampai 10</t>
  </si>
  <si>
    <t xml:space="preserve">=SUMIF(Data!$C$2:$C$37;A2;Data!$H$2:$H$37)</t>
  </si>
  <si>
    <t xml:space="preserve">7</t>
  </si>
  <si>
    <t xml:space="preserve">Pada sheet Acuan, hitung persentase kehadiran tiap penghuni: piket hadir dibagi jumlah piket.</t>
  </si>
  <si>
    <t xml:space="preserve">Sheet Acuan, kolom E (Persen Hadir), baris 2 sampai 10</t>
  </si>
  <si>
    <t xml:space="preserve">=C2/B2</t>
  </si>
  <si>
    <t xml:space="preserve">8</t>
  </si>
  <si>
    <t xml:space="preserve">Berapa jadwal piket yang Hadir, Izin, dan Tidak Hadir?</t>
  </si>
  <si>
    <t xml:space="preserve">Sheet Ringkasan, sel C4 sampai C6</t>
  </si>
  <si>
    <t xml:space="preserve">=COUNTIF(Data!$E$2:$E$37;"Hadir")
=COUNTIF(Data!$E$2:$E$37;"Izin")
=COUNTIF(Data!$E$2:$E$37;"Tidak Hadir")</t>
  </si>
  <si>
    <t xml:space="preserve">9</t>
  </si>
  <si>
    <t xml:space="preserve">Berapa total denda yang terkumpul selama Oktober, dan berapa total poin piket seluruh penghuni?</t>
  </si>
  <si>
    <t xml:space="preserve">Sheet Ringkasan, sel C7 sampai C8</t>
  </si>
  <si>
    <t xml:space="preserve">=SUM(Data!$H$2:$H$37)
=SUM(Data!$G$2:$G$37)</t>
  </si>
  <si>
    <t xml:space="preserve">10</t>
  </si>
  <si>
    <t xml:space="preserve">Siapa penghuni dengan total denda terbesar, dan siapa yang persentase hadirnya paling tinggi?</t>
  </si>
  <si>
    <t xml:space="preserve">Sheet Ringkasan, sel C9 sampai C10</t>
  </si>
  <si>
    <t xml:space="preserve">=INDEX(Acuan!$A$2:$A$10;MATCH(MAX(Acuan!$D$2:$D$10);Acuan!$D$2:$D$10;0))
=INDEX(Acuan!$A$2:$A$10;MATCH(MAX(Acuan!$E$2:$E$10);Acuan!$E$2:$E$10;0))</t>
  </si>
  <si>
    <t xml:space="preserve">11</t>
  </si>
  <si>
    <t xml:space="preserve">Berapa jadwal Tidak Hadir di area Kamar Mandi, dan berapa total denda yang dikenakan pada pekan ke-2?</t>
  </si>
  <si>
    <t xml:space="preserve">Sheet Ringkasan, sel C11 sampai C12</t>
  </si>
  <si>
    <t xml:space="preserve">=COUNTIFS(Data!$D$2:$D$37;"Kamar Mandi";Data!$E$2:$E$37;"Tidak Hadir")
=SUMIF(Data!$F$2:$F$37;2;Data!$H$2:$H$37)</t>
  </si>
  <si>
    <t xml:space="preserve">Tanggal</t>
  </si>
  <si>
    <t xml:space="preserve">Nama Penghuni</t>
  </si>
  <si>
    <t xml:space="preserve">Area</t>
  </si>
  <si>
    <t xml:space="preserve">Status</t>
  </si>
  <si>
    <t xml:space="preserve">Pekan Ke</t>
  </si>
  <si>
    <t xml:space="preserve">Poin Piket</t>
  </si>
  <si>
    <t xml:space="preserve">Denda</t>
  </si>
  <si>
    <t xml:space="preserve">Parameter</t>
  </si>
  <si>
    <t xml:space="preserve">Nilai</t>
  </si>
  <si>
    <t xml:space="preserve">Keterangan</t>
  </si>
  <si>
    <t xml:space="preserve">Fajar Amalia</t>
  </si>
  <si>
    <t xml:space="preserve">Dapur</t>
  </si>
  <si>
    <t xml:space="preserve">Hadir</t>
  </si>
  <si>
    <t xml:space="preserve">Denda tidak piket</t>
  </si>
  <si>
    <t xml:space="preserve">Rina Pratama</t>
  </si>
  <si>
    <t xml:space="preserve">Kamar Mandi</t>
  </si>
  <si>
    <t xml:space="preserve">Tidak Hadir</t>
  </si>
  <si>
    <t xml:space="preserve">Poin Hadir</t>
  </si>
  <si>
    <t xml:space="preserve">Wahyu Rahayu</t>
  </si>
  <si>
    <t xml:space="preserve">Halaman</t>
  </si>
  <si>
    <t xml:space="preserve">Izin</t>
  </si>
  <si>
    <t xml:space="preserve">Poin Izin</t>
  </si>
  <si>
    <t xml:space="preserve">Novi Lestari</t>
  </si>
  <si>
    <t xml:space="preserve">Ruang Tamu</t>
  </si>
  <si>
    <t xml:space="preserve">Budi Utomo</t>
  </si>
  <si>
    <t xml:space="preserve">Khoirul Setiawan</t>
  </si>
  <si>
    <t xml:space="preserve">Maman Yulianto</t>
  </si>
  <si>
    <t xml:space="preserve">Ahmad Susanto</t>
  </si>
  <si>
    <t xml:space="preserve">Rina Sari</t>
  </si>
  <si>
    <t xml:space="preserve">Jumlah Piket</t>
  </si>
  <si>
    <t xml:space="preserve">Piket Hadir</t>
  </si>
  <si>
    <t xml:space="preserve">Total Denda</t>
  </si>
  <si>
    <t xml:space="preserve">Persen Hadir</t>
  </si>
  <si>
    <t xml:space="preserve">Ringkasan: lembar jawaban soal berjenis ringkasan</t>
  </si>
  <si>
    <t xml:space="preserve">Sel hijau berisi rumus kunci.</t>
  </si>
  <si>
    <t xml:space="preserve">Pertanyaan</t>
  </si>
  <si>
    <t xml:space="preserve">Jawaban</t>
  </si>
  <si>
    <t xml:space="preserve">Contoh format hasil</t>
  </si>
  <si>
    <t xml:space="preserve">8a</t>
  </si>
  <si>
    <t xml:space="preserve">Jadwal Hadir</t>
  </si>
  <si>
    <t xml:space="preserve">Angka bulat, mis. 20</t>
  </si>
  <si>
    <t xml:space="preserve">8b</t>
  </si>
  <si>
    <t xml:space="preserve">Jadwal Izin</t>
  </si>
  <si>
    <t xml:space="preserve">Angka bulat, mis. 6</t>
  </si>
  <si>
    <t xml:space="preserve">8c</t>
  </si>
  <si>
    <t xml:space="preserve">Jadwal Tidak Hadir</t>
  </si>
  <si>
    <t xml:space="preserve">Angka bulat, mis. 8</t>
  </si>
  <si>
    <t xml:space="preserve">9a</t>
  </si>
  <si>
    <t xml:space="preserve">Total denda terkumpul</t>
  </si>
  <si>
    <t xml:space="preserve">Rupiah, mis. Rp 250.000</t>
  </si>
  <si>
    <t xml:space="preserve">9b</t>
  </si>
  <si>
    <t xml:space="preserve">Total poin piket</t>
  </si>
  <si>
    <t xml:space="preserve">Angka bulat, mis. 55</t>
  </si>
  <si>
    <t xml:space="preserve">10a</t>
  </si>
  <si>
    <t xml:space="preserve">Penghuni dengan denda terbesar</t>
  </si>
  <si>
    <t xml:space="preserve">Teks: nama penghuni</t>
  </si>
  <si>
    <t xml:space="preserve">10b</t>
  </si>
  <si>
    <t xml:space="preserve">Penghuni dengan persen hadir tertinggi</t>
  </si>
  <si>
    <t xml:space="preserve">11a</t>
  </si>
  <si>
    <t xml:space="preserve">Tidak Hadir di Kamar Mandi</t>
  </si>
  <si>
    <t xml:space="preserve">Angka bulat, mis. 2</t>
  </si>
  <si>
    <t xml:space="preserve">11b</t>
  </si>
  <si>
    <t xml:space="preserve">Total denda pekan ke-2</t>
  </si>
  <si>
    <t xml:space="preserve">Rupiah, mis. Rp 60.000</t>
  </si>
</sst>
</file>

<file path=xl/styles.xml><?xml version="1.0" encoding="utf-8"?>
<styleSheet xmlns="http://schemas.openxmlformats.org/spreadsheetml/2006/main">
  <numFmts count="5">
    <numFmt numFmtId="164" formatCode="General"/>
    <numFmt numFmtId="165" formatCode="0"/>
    <numFmt numFmtId="166" formatCode="dd/mm/yyyy"/>
    <numFmt numFmtId="167" formatCode="&quot;Rp &quot;#,##0"/>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42"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57.75"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22"/>
    <col collapsed="false" customWidth="true" hidden="false" outlineLevel="0" max="4" min="4" style="0" width="14"/>
    <col collapsed="false" customWidth="true" hidden="false" outlineLevel="0" max="5" min="5" style="0" width="13"/>
    <col collapsed="false" customWidth="true" hidden="false" outlineLevel="0" max="6" min="6" style="0" width="10"/>
    <col collapsed="false" customWidth="true" hidden="false" outlineLevel="0" max="7" min="7" style="0" width="11"/>
    <col collapsed="false" customWidth="true" hidden="false" outlineLevel="0" max="8" min="8" style="0" width="12"/>
    <col collapsed="false" customWidth="true" hidden="false" outlineLevel="0" max="9" min="9" style="0" width="3"/>
    <col collapsed="false" customWidth="true" hidden="false" outlineLevel="0" max="10" min="10" style="0" width="30"/>
    <col collapsed="false" customWidth="true" hidden="false" outlineLevel="0" max="11" min="11" style="0" width="16"/>
    <col collapsed="false" customWidth="true" hidden="false" outlineLevel="0" max="12" min="12" style="0" width="42"/>
  </cols>
  <sheetData>
    <row r="1" customFormat="false" ht="33.75" hidden="false" customHeight="true" outlineLevel="0" collapsed="false">
      <c r="A1" s="11" t="s">
        <v>19</v>
      </c>
      <c r="B1" s="11" t="s">
        <v>67</v>
      </c>
      <c r="C1" s="11" t="s">
        <v>68</v>
      </c>
      <c r="D1" s="11" t="s">
        <v>69</v>
      </c>
      <c r="E1" s="11" t="s">
        <v>70</v>
      </c>
      <c r="F1" s="15" t="s">
        <v>71</v>
      </c>
      <c r="G1" s="15" t="s">
        <v>72</v>
      </c>
      <c r="H1" s="15" t="s">
        <v>73</v>
      </c>
      <c r="J1" s="16" t="s">
        <v>74</v>
      </c>
      <c r="K1" s="16" t="s">
        <v>75</v>
      </c>
      <c r="L1" s="16" t="s">
        <v>76</v>
      </c>
    </row>
    <row r="2" customFormat="false" ht="15" hidden="false" customHeight="false" outlineLevel="0" collapsed="false">
      <c r="A2" s="17" t="n">
        <v>1</v>
      </c>
      <c r="B2" s="18" t="n">
        <v>46296</v>
      </c>
      <c r="C2" s="19" t="s">
        <v>77</v>
      </c>
      <c r="D2" s="19" t="s">
        <v>78</v>
      </c>
      <c r="E2" s="19" t="s">
        <v>79</v>
      </c>
      <c r="F2" s="20" t="n">
        <f aca="false">INT((DAY(B2)-1)/7)+1</f>
        <v>1</v>
      </c>
      <c r="G2" s="20" t="n">
        <f aca="false">IF(E2="Hadir",$K$3,IF(E2="Izin",$K$4,0))</f>
        <v>2</v>
      </c>
      <c r="H2" s="21" t="n">
        <f aca="false">IF(E2="Tidak Hadir",$K$2,0)</f>
        <v>0</v>
      </c>
      <c r="J2" s="22" t="s">
        <v>80</v>
      </c>
      <c r="K2" s="23" t="n">
        <v>10000</v>
      </c>
      <c r="L2" s="22"/>
    </row>
    <row r="3" customFormat="false" ht="15" hidden="false" customHeight="false" outlineLevel="0" collapsed="false">
      <c r="A3" s="17" t="n">
        <v>2</v>
      </c>
      <c r="B3" s="18" t="n">
        <v>46296</v>
      </c>
      <c r="C3" s="19" t="s">
        <v>81</v>
      </c>
      <c r="D3" s="19" t="s">
        <v>82</v>
      </c>
      <c r="E3" s="19" t="s">
        <v>83</v>
      </c>
      <c r="F3" s="20" t="n">
        <f aca="false">INT((DAY(B3)-1)/7)+1</f>
        <v>1</v>
      </c>
      <c r="G3" s="20" t="n">
        <f aca="false">IF(E3="Hadir",$K$3,IF(E3="Izin",$K$4,0))</f>
        <v>0</v>
      </c>
      <c r="H3" s="21" t="n">
        <f aca="false">IF(E3="Tidak Hadir",$K$2,0)</f>
        <v>10000</v>
      </c>
      <c r="J3" s="22" t="s">
        <v>84</v>
      </c>
      <c r="K3" s="24" t="n">
        <v>2</v>
      </c>
      <c r="L3" s="22"/>
    </row>
    <row r="4" customFormat="false" ht="15" hidden="false" customHeight="false" outlineLevel="0" collapsed="false">
      <c r="A4" s="17" t="n">
        <v>3</v>
      </c>
      <c r="B4" s="18" t="n">
        <v>46297</v>
      </c>
      <c r="C4" s="19" t="s">
        <v>85</v>
      </c>
      <c r="D4" s="19" t="s">
        <v>86</v>
      </c>
      <c r="E4" s="19" t="s">
        <v>87</v>
      </c>
      <c r="F4" s="20" t="n">
        <f aca="false">INT((DAY(B4)-1)/7)+1</f>
        <v>1</v>
      </c>
      <c r="G4" s="20" t="n">
        <f aca="false">IF(E4="Hadir",$K$3,IF(E4="Izin",$K$4,0))</f>
        <v>1</v>
      </c>
      <c r="H4" s="21" t="n">
        <f aca="false">IF(E4="Tidak Hadir",$K$2,0)</f>
        <v>0</v>
      </c>
      <c r="J4" s="22" t="s">
        <v>88</v>
      </c>
      <c r="K4" s="24" t="n">
        <v>1</v>
      </c>
      <c r="L4" s="22"/>
    </row>
    <row r="5" customFormat="false" ht="15" hidden="false" customHeight="false" outlineLevel="0" collapsed="false">
      <c r="A5" s="17" t="n">
        <v>4</v>
      </c>
      <c r="B5" s="18" t="n">
        <v>46298</v>
      </c>
      <c r="C5" s="19" t="s">
        <v>89</v>
      </c>
      <c r="D5" s="19" t="s">
        <v>90</v>
      </c>
      <c r="E5" s="19" t="s">
        <v>79</v>
      </c>
      <c r="F5" s="20" t="n">
        <f aca="false">INT((DAY(B5)-1)/7)+1</f>
        <v>1</v>
      </c>
      <c r="G5" s="20" t="n">
        <f aca="false">IF(E5="Hadir",$K$3,IF(E5="Izin",$K$4,0))</f>
        <v>2</v>
      </c>
      <c r="H5" s="21" t="n">
        <f aca="false">IF(E5="Tidak Hadir",$K$2,0)</f>
        <v>0</v>
      </c>
    </row>
    <row r="6" customFormat="false" ht="15" hidden="false" customHeight="false" outlineLevel="0" collapsed="false">
      <c r="A6" s="17" t="n">
        <v>5</v>
      </c>
      <c r="B6" s="18" t="n">
        <v>46299</v>
      </c>
      <c r="C6" s="19" t="s">
        <v>91</v>
      </c>
      <c r="D6" s="19" t="s">
        <v>78</v>
      </c>
      <c r="E6" s="19" t="s">
        <v>79</v>
      </c>
      <c r="F6" s="20" t="n">
        <f aca="false">INT((DAY(B6)-1)/7)+1</f>
        <v>1</v>
      </c>
      <c r="G6" s="20" t="n">
        <f aca="false">IF(E6="Hadir",$K$3,IF(E6="Izin",$K$4,0))</f>
        <v>2</v>
      </c>
      <c r="H6" s="21" t="n">
        <f aca="false">IF(E6="Tidak Hadir",$K$2,0)</f>
        <v>0</v>
      </c>
    </row>
    <row r="7" customFormat="false" ht="15" hidden="false" customHeight="false" outlineLevel="0" collapsed="false">
      <c r="A7" s="17" t="n">
        <v>6</v>
      </c>
      <c r="B7" s="18" t="n">
        <v>46299</v>
      </c>
      <c r="C7" s="19" t="s">
        <v>91</v>
      </c>
      <c r="D7" s="19" t="s">
        <v>82</v>
      </c>
      <c r="E7" s="19" t="s">
        <v>79</v>
      </c>
      <c r="F7" s="20" t="n">
        <f aca="false">INT((DAY(B7)-1)/7)+1</f>
        <v>1</v>
      </c>
      <c r="G7" s="20" t="n">
        <f aca="false">IF(E7="Hadir",$K$3,IF(E7="Izin",$K$4,0))</f>
        <v>2</v>
      </c>
      <c r="H7" s="21" t="n">
        <f aca="false">IF(E7="Tidak Hadir",$K$2,0)</f>
        <v>0</v>
      </c>
    </row>
    <row r="8" customFormat="false" ht="15" hidden="false" customHeight="false" outlineLevel="0" collapsed="false">
      <c r="A8" s="17" t="n">
        <v>7</v>
      </c>
      <c r="B8" s="18" t="n">
        <v>46300</v>
      </c>
      <c r="C8" s="19" t="s">
        <v>81</v>
      </c>
      <c r="D8" s="19" t="s">
        <v>86</v>
      </c>
      <c r="E8" s="19" t="s">
        <v>79</v>
      </c>
      <c r="F8" s="20" t="n">
        <f aca="false">INT((DAY(B8)-1)/7)+1</f>
        <v>1</v>
      </c>
      <c r="G8" s="20" t="n">
        <f aca="false">IF(E8="Hadir",$K$3,IF(E8="Izin",$K$4,0))</f>
        <v>2</v>
      </c>
      <c r="H8" s="21" t="n">
        <f aca="false">IF(E8="Tidak Hadir",$K$2,0)</f>
        <v>0</v>
      </c>
    </row>
    <row r="9" customFormat="false" ht="15" hidden="false" customHeight="false" outlineLevel="0" collapsed="false">
      <c r="A9" s="17" t="n">
        <v>8</v>
      </c>
      <c r="B9" s="18" t="n">
        <v>46301</v>
      </c>
      <c r="C9" s="19" t="s">
        <v>91</v>
      </c>
      <c r="D9" s="19" t="s">
        <v>90</v>
      </c>
      <c r="E9" s="19" t="s">
        <v>79</v>
      </c>
      <c r="F9" s="20" t="n">
        <f aca="false">INT((DAY(B9)-1)/7)+1</f>
        <v>1</v>
      </c>
      <c r="G9" s="20" t="n">
        <f aca="false">IF(E9="Hadir",$K$3,IF(E9="Izin",$K$4,0))</f>
        <v>2</v>
      </c>
      <c r="H9" s="21" t="n">
        <f aca="false">IF(E9="Tidak Hadir",$K$2,0)</f>
        <v>0</v>
      </c>
    </row>
    <row r="10" customFormat="false" ht="15" hidden="false" customHeight="false" outlineLevel="0" collapsed="false">
      <c r="A10" s="17" t="n">
        <v>9</v>
      </c>
      <c r="B10" s="18" t="n">
        <v>46302</v>
      </c>
      <c r="C10" s="19" t="s">
        <v>92</v>
      </c>
      <c r="D10" s="19" t="s">
        <v>78</v>
      </c>
      <c r="E10" s="19" t="s">
        <v>79</v>
      </c>
      <c r="F10" s="20" t="n">
        <f aca="false">INT((DAY(B10)-1)/7)+1</f>
        <v>1</v>
      </c>
      <c r="G10" s="20" t="n">
        <f aca="false">IF(E10="Hadir",$K$3,IF(E10="Izin",$K$4,0))</f>
        <v>2</v>
      </c>
      <c r="H10" s="21" t="n">
        <f aca="false">IF(E10="Tidak Hadir",$K$2,0)</f>
        <v>0</v>
      </c>
    </row>
    <row r="11" customFormat="false" ht="15" hidden="false" customHeight="false" outlineLevel="0" collapsed="false">
      <c r="A11" s="17" t="n">
        <v>10</v>
      </c>
      <c r="B11" s="18" t="n">
        <v>46303</v>
      </c>
      <c r="C11" s="19" t="s">
        <v>93</v>
      </c>
      <c r="D11" s="19" t="s">
        <v>82</v>
      </c>
      <c r="E11" s="19" t="s">
        <v>79</v>
      </c>
      <c r="F11" s="20" t="n">
        <f aca="false">INT((DAY(B11)-1)/7)+1</f>
        <v>2</v>
      </c>
      <c r="G11" s="20" t="n">
        <f aca="false">IF(E11="Hadir",$K$3,IF(E11="Izin",$K$4,0))</f>
        <v>2</v>
      </c>
      <c r="H11" s="21" t="n">
        <f aca="false">IF(E11="Tidak Hadir",$K$2,0)</f>
        <v>0</v>
      </c>
    </row>
    <row r="12" customFormat="false" ht="15" hidden="false" customHeight="false" outlineLevel="0" collapsed="false">
      <c r="A12" s="17" t="n">
        <v>11</v>
      </c>
      <c r="B12" s="18" t="n">
        <v>46303</v>
      </c>
      <c r="C12" s="19" t="s">
        <v>92</v>
      </c>
      <c r="D12" s="19" t="s">
        <v>86</v>
      </c>
      <c r="E12" s="19" t="s">
        <v>83</v>
      </c>
      <c r="F12" s="20" t="n">
        <f aca="false">INT((DAY(B12)-1)/7)+1</f>
        <v>2</v>
      </c>
      <c r="G12" s="20" t="n">
        <f aca="false">IF(E12="Hadir",$K$3,IF(E12="Izin",$K$4,0))</f>
        <v>0</v>
      </c>
      <c r="H12" s="21" t="n">
        <f aca="false">IF(E12="Tidak Hadir",$K$2,0)</f>
        <v>10000</v>
      </c>
    </row>
    <row r="13" customFormat="false" ht="15" hidden="false" customHeight="false" outlineLevel="0" collapsed="false">
      <c r="A13" s="17" t="n">
        <v>12</v>
      </c>
      <c r="B13" s="18" t="n">
        <v>46304</v>
      </c>
      <c r="C13" s="19" t="s">
        <v>91</v>
      </c>
      <c r="D13" s="19" t="s">
        <v>90</v>
      </c>
      <c r="E13" s="19" t="s">
        <v>87</v>
      </c>
      <c r="F13" s="20" t="n">
        <f aca="false">INT((DAY(B13)-1)/7)+1</f>
        <v>2</v>
      </c>
      <c r="G13" s="20" t="n">
        <f aca="false">IF(E13="Hadir",$K$3,IF(E13="Izin",$K$4,0))</f>
        <v>1</v>
      </c>
      <c r="H13" s="21" t="n">
        <f aca="false">IF(E13="Tidak Hadir",$K$2,0)</f>
        <v>0</v>
      </c>
    </row>
    <row r="14" customFormat="false" ht="15" hidden="false" customHeight="false" outlineLevel="0" collapsed="false">
      <c r="A14" s="17" t="n">
        <v>13</v>
      </c>
      <c r="B14" s="18" t="n">
        <v>46305</v>
      </c>
      <c r="C14" s="19" t="s">
        <v>85</v>
      </c>
      <c r="D14" s="19" t="s">
        <v>78</v>
      </c>
      <c r="E14" s="19" t="s">
        <v>83</v>
      </c>
      <c r="F14" s="20" t="n">
        <f aca="false">INT((DAY(B14)-1)/7)+1</f>
        <v>2</v>
      </c>
      <c r="G14" s="20" t="n">
        <f aca="false">IF(E14="Hadir",$K$3,IF(E14="Izin",$K$4,0))</f>
        <v>0</v>
      </c>
      <c r="H14" s="21" t="n">
        <f aca="false">IF(E14="Tidak Hadir",$K$2,0)</f>
        <v>10000</v>
      </c>
    </row>
    <row r="15" customFormat="false" ht="15" hidden="false" customHeight="false" outlineLevel="0" collapsed="false">
      <c r="A15" s="17" t="n">
        <v>14</v>
      </c>
      <c r="B15" s="18" t="n">
        <v>46306</v>
      </c>
      <c r="C15" s="19" t="s">
        <v>93</v>
      </c>
      <c r="D15" s="19" t="s">
        <v>82</v>
      </c>
      <c r="E15" s="19" t="s">
        <v>83</v>
      </c>
      <c r="F15" s="20" t="n">
        <f aca="false">INT((DAY(B15)-1)/7)+1</f>
        <v>2</v>
      </c>
      <c r="G15" s="20" t="n">
        <f aca="false">IF(E15="Hadir",$K$3,IF(E15="Izin",$K$4,0))</f>
        <v>0</v>
      </c>
      <c r="H15" s="21" t="n">
        <f aca="false">IF(E15="Tidak Hadir",$K$2,0)</f>
        <v>10000</v>
      </c>
    </row>
    <row r="16" customFormat="false" ht="15" hidden="false" customHeight="false" outlineLevel="0" collapsed="false">
      <c r="A16" s="17" t="n">
        <v>15</v>
      </c>
      <c r="B16" s="18" t="n">
        <v>46306</v>
      </c>
      <c r="C16" s="19" t="s">
        <v>94</v>
      </c>
      <c r="D16" s="19" t="s">
        <v>86</v>
      </c>
      <c r="E16" s="19" t="s">
        <v>83</v>
      </c>
      <c r="F16" s="20" t="n">
        <f aca="false">INT((DAY(B16)-1)/7)+1</f>
        <v>2</v>
      </c>
      <c r="G16" s="20" t="n">
        <f aca="false">IF(E16="Hadir",$K$3,IF(E16="Izin",$K$4,0))</f>
        <v>0</v>
      </c>
      <c r="H16" s="21" t="n">
        <f aca="false">IF(E16="Tidak Hadir",$K$2,0)</f>
        <v>10000</v>
      </c>
    </row>
    <row r="17" customFormat="false" ht="15" hidden="false" customHeight="false" outlineLevel="0" collapsed="false">
      <c r="A17" s="17" t="n">
        <v>16</v>
      </c>
      <c r="B17" s="18" t="n">
        <v>46307</v>
      </c>
      <c r="C17" s="19" t="s">
        <v>93</v>
      </c>
      <c r="D17" s="19" t="s">
        <v>90</v>
      </c>
      <c r="E17" s="19" t="s">
        <v>79</v>
      </c>
      <c r="F17" s="20" t="n">
        <f aca="false">INT((DAY(B17)-1)/7)+1</f>
        <v>2</v>
      </c>
      <c r="G17" s="20" t="n">
        <f aca="false">IF(E17="Hadir",$K$3,IF(E17="Izin",$K$4,0))</f>
        <v>2</v>
      </c>
      <c r="H17" s="21" t="n">
        <f aca="false">IF(E17="Tidak Hadir",$K$2,0)</f>
        <v>0</v>
      </c>
    </row>
    <row r="18" customFormat="false" ht="15" hidden="false" customHeight="false" outlineLevel="0" collapsed="false">
      <c r="A18" s="17" t="n">
        <v>17</v>
      </c>
      <c r="B18" s="18" t="n">
        <v>46308</v>
      </c>
      <c r="C18" s="19" t="s">
        <v>85</v>
      </c>
      <c r="D18" s="19" t="s">
        <v>78</v>
      </c>
      <c r="E18" s="19" t="s">
        <v>87</v>
      </c>
      <c r="F18" s="20" t="n">
        <f aca="false">INT((DAY(B18)-1)/7)+1</f>
        <v>2</v>
      </c>
      <c r="G18" s="20" t="n">
        <f aca="false">IF(E18="Hadir",$K$3,IF(E18="Izin",$K$4,0))</f>
        <v>1</v>
      </c>
      <c r="H18" s="21" t="n">
        <f aca="false">IF(E18="Tidak Hadir",$K$2,0)</f>
        <v>0</v>
      </c>
    </row>
    <row r="19" customFormat="false" ht="15" hidden="false" customHeight="false" outlineLevel="0" collapsed="false">
      <c r="A19" s="17" t="n">
        <v>18</v>
      </c>
      <c r="B19" s="18" t="n">
        <v>46309</v>
      </c>
      <c r="C19" s="19" t="s">
        <v>92</v>
      </c>
      <c r="D19" s="19" t="s">
        <v>82</v>
      </c>
      <c r="E19" s="19" t="s">
        <v>83</v>
      </c>
      <c r="F19" s="20" t="n">
        <f aca="false">INT((DAY(B19)-1)/7)+1</f>
        <v>2</v>
      </c>
      <c r="G19" s="20" t="n">
        <f aca="false">IF(E19="Hadir",$K$3,IF(E19="Izin",$K$4,0))</f>
        <v>0</v>
      </c>
      <c r="H19" s="21" t="n">
        <f aca="false">IF(E19="Tidak Hadir",$K$2,0)</f>
        <v>10000</v>
      </c>
    </row>
    <row r="20" customFormat="false" ht="15" hidden="false" customHeight="false" outlineLevel="0" collapsed="false">
      <c r="A20" s="17" t="n">
        <v>19</v>
      </c>
      <c r="B20" s="18" t="n">
        <v>46310</v>
      </c>
      <c r="C20" s="19" t="s">
        <v>81</v>
      </c>
      <c r="D20" s="19" t="s">
        <v>86</v>
      </c>
      <c r="E20" s="19" t="s">
        <v>79</v>
      </c>
      <c r="F20" s="20" t="n">
        <f aca="false">INT((DAY(B20)-1)/7)+1</f>
        <v>3</v>
      </c>
      <c r="G20" s="20" t="n">
        <f aca="false">IF(E20="Hadir",$K$3,IF(E20="Izin",$K$4,0))</f>
        <v>2</v>
      </c>
      <c r="H20" s="21" t="n">
        <f aca="false">IF(E20="Tidak Hadir",$K$2,0)</f>
        <v>0</v>
      </c>
    </row>
    <row r="21" customFormat="false" ht="15" hidden="false" customHeight="false" outlineLevel="0" collapsed="false">
      <c r="A21" s="17" t="n">
        <v>20</v>
      </c>
      <c r="B21" s="18" t="n">
        <v>46310</v>
      </c>
      <c r="C21" s="19" t="s">
        <v>94</v>
      </c>
      <c r="D21" s="19" t="s">
        <v>90</v>
      </c>
      <c r="E21" s="19" t="s">
        <v>83</v>
      </c>
      <c r="F21" s="20" t="n">
        <f aca="false">INT((DAY(B21)-1)/7)+1</f>
        <v>3</v>
      </c>
      <c r="G21" s="20" t="n">
        <f aca="false">IF(E21="Hadir",$K$3,IF(E21="Izin",$K$4,0))</f>
        <v>0</v>
      </c>
      <c r="H21" s="21" t="n">
        <f aca="false">IF(E21="Tidak Hadir",$K$2,0)</f>
        <v>10000</v>
      </c>
    </row>
    <row r="22" customFormat="false" ht="15" hidden="false" customHeight="false" outlineLevel="0" collapsed="false">
      <c r="A22" s="17" t="n">
        <v>21</v>
      </c>
      <c r="B22" s="18" t="n">
        <v>46311</v>
      </c>
      <c r="C22" s="19" t="s">
        <v>91</v>
      </c>
      <c r="D22" s="19" t="s">
        <v>78</v>
      </c>
      <c r="E22" s="19" t="s">
        <v>79</v>
      </c>
      <c r="F22" s="20" t="n">
        <f aca="false">INT((DAY(B22)-1)/7)+1</f>
        <v>3</v>
      </c>
      <c r="G22" s="20" t="n">
        <f aca="false">IF(E22="Hadir",$K$3,IF(E22="Izin",$K$4,0))</f>
        <v>2</v>
      </c>
      <c r="H22" s="21" t="n">
        <f aca="false">IF(E22="Tidak Hadir",$K$2,0)</f>
        <v>0</v>
      </c>
    </row>
    <row r="23" customFormat="false" ht="15" hidden="false" customHeight="false" outlineLevel="0" collapsed="false">
      <c r="A23" s="17" t="n">
        <v>22</v>
      </c>
      <c r="B23" s="18" t="n">
        <v>46312</v>
      </c>
      <c r="C23" s="19" t="s">
        <v>95</v>
      </c>
      <c r="D23" s="19" t="s">
        <v>82</v>
      </c>
      <c r="E23" s="19" t="s">
        <v>87</v>
      </c>
      <c r="F23" s="20" t="n">
        <f aca="false">INT((DAY(B23)-1)/7)+1</f>
        <v>3</v>
      </c>
      <c r="G23" s="20" t="n">
        <f aca="false">IF(E23="Hadir",$K$3,IF(E23="Izin",$K$4,0))</f>
        <v>1</v>
      </c>
      <c r="H23" s="21" t="n">
        <f aca="false">IF(E23="Tidak Hadir",$K$2,0)</f>
        <v>0</v>
      </c>
    </row>
    <row r="24" customFormat="false" ht="15" hidden="false" customHeight="false" outlineLevel="0" collapsed="false">
      <c r="A24" s="17" t="n">
        <v>23</v>
      </c>
      <c r="B24" s="18" t="n">
        <v>46313</v>
      </c>
      <c r="C24" s="19" t="s">
        <v>92</v>
      </c>
      <c r="D24" s="19" t="s">
        <v>86</v>
      </c>
      <c r="E24" s="19" t="s">
        <v>83</v>
      </c>
      <c r="F24" s="20" t="n">
        <f aca="false">INT((DAY(B24)-1)/7)+1</f>
        <v>3</v>
      </c>
      <c r="G24" s="20" t="n">
        <f aca="false">IF(E24="Hadir",$K$3,IF(E24="Izin",$K$4,0))</f>
        <v>0</v>
      </c>
      <c r="H24" s="21" t="n">
        <f aca="false">IF(E24="Tidak Hadir",$K$2,0)</f>
        <v>10000</v>
      </c>
    </row>
    <row r="25" customFormat="false" ht="15" hidden="false" customHeight="false" outlineLevel="0" collapsed="false">
      <c r="A25" s="17" t="n">
        <v>24</v>
      </c>
      <c r="B25" s="18" t="n">
        <v>46313</v>
      </c>
      <c r="C25" s="19" t="s">
        <v>95</v>
      </c>
      <c r="D25" s="19" t="s">
        <v>90</v>
      </c>
      <c r="E25" s="19" t="s">
        <v>83</v>
      </c>
      <c r="F25" s="20" t="n">
        <f aca="false">INT((DAY(B25)-1)/7)+1</f>
        <v>3</v>
      </c>
      <c r="G25" s="20" t="n">
        <f aca="false">IF(E25="Hadir",$K$3,IF(E25="Izin",$K$4,0))</f>
        <v>0</v>
      </c>
      <c r="H25" s="21" t="n">
        <f aca="false">IF(E25="Tidak Hadir",$K$2,0)</f>
        <v>10000</v>
      </c>
    </row>
    <row r="26" customFormat="false" ht="15" hidden="false" customHeight="false" outlineLevel="0" collapsed="false">
      <c r="A26" s="17" t="n">
        <v>25</v>
      </c>
      <c r="B26" s="18" t="n">
        <v>46314</v>
      </c>
      <c r="C26" s="19" t="s">
        <v>93</v>
      </c>
      <c r="D26" s="19" t="s">
        <v>78</v>
      </c>
      <c r="E26" s="19" t="s">
        <v>79</v>
      </c>
      <c r="F26" s="20" t="n">
        <f aca="false">INT((DAY(B26)-1)/7)+1</f>
        <v>3</v>
      </c>
      <c r="G26" s="20" t="n">
        <f aca="false">IF(E26="Hadir",$K$3,IF(E26="Izin",$K$4,0))</f>
        <v>2</v>
      </c>
      <c r="H26" s="21" t="n">
        <f aca="false">IF(E26="Tidak Hadir",$K$2,0)</f>
        <v>0</v>
      </c>
    </row>
    <row r="27" customFormat="false" ht="15" hidden="false" customHeight="false" outlineLevel="0" collapsed="false">
      <c r="A27" s="17" t="n">
        <v>26</v>
      </c>
      <c r="B27" s="18" t="n">
        <v>46315</v>
      </c>
      <c r="C27" s="19" t="s">
        <v>89</v>
      </c>
      <c r="D27" s="19" t="s">
        <v>82</v>
      </c>
      <c r="E27" s="19" t="s">
        <v>79</v>
      </c>
      <c r="F27" s="20" t="n">
        <f aca="false">INT((DAY(B27)-1)/7)+1</f>
        <v>3</v>
      </c>
      <c r="G27" s="20" t="n">
        <f aca="false">IF(E27="Hadir",$K$3,IF(E27="Izin",$K$4,0))</f>
        <v>2</v>
      </c>
      <c r="H27" s="21" t="n">
        <f aca="false">IF(E27="Tidak Hadir",$K$2,0)</f>
        <v>0</v>
      </c>
    </row>
    <row r="28" customFormat="false" ht="15" hidden="false" customHeight="false" outlineLevel="0" collapsed="false">
      <c r="A28" s="17" t="n">
        <v>27</v>
      </c>
      <c r="B28" s="18" t="n">
        <v>46316</v>
      </c>
      <c r="C28" s="19" t="s">
        <v>93</v>
      </c>
      <c r="D28" s="19" t="s">
        <v>86</v>
      </c>
      <c r="E28" s="19" t="s">
        <v>79</v>
      </c>
      <c r="F28" s="20" t="n">
        <f aca="false">INT((DAY(B28)-1)/7)+1</f>
        <v>3</v>
      </c>
      <c r="G28" s="20" t="n">
        <f aca="false">IF(E28="Hadir",$K$3,IF(E28="Izin",$K$4,0))</f>
        <v>2</v>
      </c>
      <c r="H28" s="21" t="n">
        <f aca="false">IF(E28="Tidak Hadir",$K$2,0)</f>
        <v>0</v>
      </c>
    </row>
    <row r="29" customFormat="false" ht="15" hidden="false" customHeight="false" outlineLevel="0" collapsed="false">
      <c r="A29" s="17" t="n">
        <v>28</v>
      </c>
      <c r="B29" s="18" t="n">
        <v>46317</v>
      </c>
      <c r="C29" s="19" t="s">
        <v>89</v>
      </c>
      <c r="D29" s="19" t="s">
        <v>90</v>
      </c>
      <c r="E29" s="19" t="s">
        <v>79</v>
      </c>
      <c r="F29" s="20" t="n">
        <f aca="false">INT((DAY(B29)-1)/7)+1</f>
        <v>4</v>
      </c>
      <c r="G29" s="20" t="n">
        <f aca="false">IF(E29="Hadir",$K$3,IF(E29="Izin",$K$4,0))</f>
        <v>2</v>
      </c>
      <c r="H29" s="21" t="n">
        <f aca="false">IF(E29="Tidak Hadir",$K$2,0)</f>
        <v>0</v>
      </c>
    </row>
    <row r="30" customFormat="false" ht="15" hidden="false" customHeight="false" outlineLevel="0" collapsed="false">
      <c r="A30" s="17" t="n">
        <v>29</v>
      </c>
      <c r="B30" s="18" t="n">
        <v>46317</v>
      </c>
      <c r="C30" s="19" t="s">
        <v>95</v>
      </c>
      <c r="D30" s="19" t="s">
        <v>78</v>
      </c>
      <c r="E30" s="19" t="s">
        <v>79</v>
      </c>
      <c r="F30" s="20" t="n">
        <f aca="false">INT((DAY(B30)-1)/7)+1</f>
        <v>4</v>
      </c>
      <c r="G30" s="20" t="n">
        <f aca="false">IF(E30="Hadir",$K$3,IF(E30="Izin",$K$4,0))</f>
        <v>2</v>
      </c>
      <c r="H30" s="21" t="n">
        <f aca="false">IF(E30="Tidak Hadir",$K$2,0)</f>
        <v>0</v>
      </c>
    </row>
    <row r="31" customFormat="false" ht="15" hidden="false" customHeight="false" outlineLevel="0" collapsed="false">
      <c r="A31" s="17" t="n">
        <v>30</v>
      </c>
      <c r="B31" s="18" t="n">
        <v>46318</v>
      </c>
      <c r="C31" s="19" t="s">
        <v>85</v>
      </c>
      <c r="D31" s="19" t="s">
        <v>82</v>
      </c>
      <c r="E31" s="19" t="s">
        <v>79</v>
      </c>
      <c r="F31" s="20" t="n">
        <f aca="false">INT((DAY(B31)-1)/7)+1</f>
        <v>4</v>
      </c>
      <c r="G31" s="20" t="n">
        <f aca="false">IF(E31="Hadir",$K$3,IF(E31="Izin",$K$4,0))</f>
        <v>2</v>
      </c>
      <c r="H31" s="21" t="n">
        <f aca="false">IF(E31="Tidak Hadir",$K$2,0)</f>
        <v>0</v>
      </c>
    </row>
    <row r="32" customFormat="false" ht="15" hidden="false" customHeight="false" outlineLevel="0" collapsed="false">
      <c r="A32" s="17" t="n">
        <v>31</v>
      </c>
      <c r="B32" s="18" t="n">
        <v>46319</v>
      </c>
      <c r="C32" s="19" t="s">
        <v>85</v>
      </c>
      <c r="D32" s="19" t="s">
        <v>86</v>
      </c>
      <c r="E32" s="19" t="s">
        <v>79</v>
      </c>
      <c r="F32" s="20" t="n">
        <f aca="false">INT((DAY(B32)-1)/7)+1</f>
        <v>4</v>
      </c>
      <c r="G32" s="20" t="n">
        <f aca="false">IF(E32="Hadir",$K$3,IF(E32="Izin",$K$4,0))</f>
        <v>2</v>
      </c>
      <c r="H32" s="21" t="n">
        <f aca="false">IF(E32="Tidak Hadir",$K$2,0)</f>
        <v>0</v>
      </c>
    </row>
    <row r="33" customFormat="false" ht="15" hidden="false" customHeight="false" outlineLevel="0" collapsed="false">
      <c r="A33" s="17" t="n">
        <v>32</v>
      </c>
      <c r="B33" s="18" t="n">
        <v>46320</v>
      </c>
      <c r="C33" s="19" t="s">
        <v>77</v>
      </c>
      <c r="D33" s="19" t="s">
        <v>90</v>
      </c>
      <c r="E33" s="19" t="s">
        <v>79</v>
      </c>
      <c r="F33" s="20" t="n">
        <f aca="false">INT((DAY(B33)-1)/7)+1</f>
        <v>4</v>
      </c>
      <c r="G33" s="20" t="n">
        <f aca="false">IF(E33="Hadir",$K$3,IF(E33="Izin",$K$4,0))</f>
        <v>2</v>
      </c>
      <c r="H33" s="21" t="n">
        <f aca="false">IF(E33="Tidak Hadir",$K$2,0)</f>
        <v>0</v>
      </c>
    </row>
    <row r="34" customFormat="false" ht="15" hidden="false" customHeight="false" outlineLevel="0" collapsed="false">
      <c r="A34" s="17" t="n">
        <v>33</v>
      </c>
      <c r="B34" s="18" t="n">
        <v>46320</v>
      </c>
      <c r="C34" s="19" t="s">
        <v>93</v>
      </c>
      <c r="D34" s="19" t="s">
        <v>78</v>
      </c>
      <c r="E34" s="19" t="s">
        <v>79</v>
      </c>
      <c r="F34" s="20" t="n">
        <f aca="false">INT((DAY(B34)-1)/7)+1</f>
        <v>4</v>
      </c>
      <c r="G34" s="20" t="n">
        <f aca="false">IF(E34="Hadir",$K$3,IF(E34="Izin",$K$4,0))</f>
        <v>2</v>
      </c>
      <c r="H34" s="21" t="n">
        <f aca="false">IF(E34="Tidak Hadir",$K$2,0)</f>
        <v>0</v>
      </c>
    </row>
    <row r="35" customFormat="false" ht="15" hidden="false" customHeight="false" outlineLevel="0" collapsed="false">
      <c r="A35" s="17" t="n">
        <v>34</v>
      </c>
      <c r="B35" s="18" t="n">
        <v>46321</v>
      </c>
      <c r="C35" s="19" t="s">
        <v>95</v>
      </c>
      <c r="D35" s="19" t="s">
        <v>82</v>
      </c>
      <c r="E35" s="19" t="s">
        <v>79</v>
      </c>
      <c r="F35" s="20" t="n">
        <f aca="false">INT((DAY(B35)-1)/7)+1</f>
        <v>4</v>
      </c>
      <c r="G35" s="20" t="n">
        <f aca="false">IF(E35="Hadir",$K$3,IF(E35="Izin",$K$4,0))</f>
        <v>2</v>
      </c>
      <c r="H35" s="21" t="n">
        <f aca="false">IF(E35="Tidak Hadir",$K$2,0)</f>
        <v>0</v>
      </c>
    </row>
    <row r="36" customFormat="false" ht="15" hidden="false" customHeight="false" outlineLevel="0" collapsed="false">
      <c r="A36" s="17" t="n">
        <v>35</v>
      </c>
      <c r="B36" s="18" t="n">
        <v>46322</v>
      </c>
      <c r="C36" s="19" t="s">
        <v>77</v>
      </c>
      <c r="D36" s="19" t="s">
        <v>86</v>
      </c>
      <c r="E36" s="19" t="s">
        <v>87</v>
      </c>
      <c r="F36" s="20" t="n">
        <f aca="false">INT((DAY(B36)-1)/7)+1</f>
        <v>4</v>
      </c>
      <c r="G36" s="20" t="n">
        <f aca="false">IF(E36="Hadir",$K$3,IF(E36="Izin",$K$4,0))</f>
        <v>1</v>
      </c>
      <c r="H36" s="21" t="n">
        <f aca="false">IF(E36="Tidak Hadir",$K$2,0)</f>
        <v>0</v>
      </c>
    </row>
    <row r="37" customFormat="false" ht="15" hidden="false" customHeight="false" outlineLevel="0" collapsed="false">
      <c r="A37" s="17" t="n">
        <v>36</v>
      </c>
      <c r="B37" s="18" t="n">
        <v>46323</v>
      </c>
      <c r="C37" s="19" t="s">
        <v>93</v>
      </c>
      <c r="D37" s="19" t="s">
        <v>90</v>
      </c>
      <c r="E37" s="19" t="s">
        <v>83</v>
      </c>
      <c r="F37" s="20" t="n">
        <f aca="false">INT((DAY(B37)-1)/7)+1</f>
        <v>4</v>
      </c>
      <c r="G37" s="20" t="n">
        <f aca="false">IF(E37="Hadir",$K$3,IF(E37="Izin",$K$4,0))</f>
        <v>0</v>
      </c>
      <c r="H37" s="21" t="n">
        <f aca="false">IF(E37="Tidak Hadir",$K$2,0)</f>
        <v>10000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3"/>
    <col collapsed="false" customWidth="true" hidden="false" outlineLevel="0" max="3" min="3" style="0" width="12"/>
    <col collapsed="false" customWidth="true" hidden="false" outlineLevel="0" max="5" min="4" style="0" width="13"/>
  </cols>
  <sheetData>
    <row r="1" customFormat="false" ht="33.75" hidden="false" customHeight="true" outlineLevel="0" collapsed="false">
      <c r="A1" s="11" t="s">
        <v>68</v>
      </c>
      <c r="B1" s="15" t="s">
        <v>96</v>
      </c>
      <c r="C1" s="15" t="s">
        <v>97</v>
      </c>
      <c r="D1" s="15" t="s">
        <v>98</v>
      </c>
      <c r="E1" s="15" t="s">
        <v>99</v>
      </c>
    </row>
    <row r="2" customFormat="false" ht="15" hidden="false" customHeight="false" outlineLevel="0" collapsed="false">
      <c r="A2" s="19" t="s">
        <v>94</v>
      </c>
      <c r="B2" s="20" t="n">
        <f aca="false">COUNTIF(Data!$C$2:$C$37,A2)</f>
        <v>2</v>
      </c>
      <c r="C2" s="20" t="n">
        <f aca="false">COUNTIFS(Data!$C$2:$C$37,A2,Data!$E$2:$E$37,"Hadir")</f>
        <v>0</v>
      </c>
      <c r="D2" s="21" t="n">
        <f aca="false">SUMIF(Data!$C$2:$C$37,A2,Data!$H$2:$H$37)</f>
        <v>20000</v>
      </c>
      <c r="E2" s="25" t="n">
        <f aca="false">C2/B2</f>
        <v>0</v>
      </c>
    </row>
    <row r="3" customFormat="false" ht="15" hidden="false" customHeight="false" outlineLevel="0" collapsed="false">
      <c r="A3" s="19" t="s">
        <v>91</v>
      </c>
      <c r="B3" s="20" t="n">
        <f aca="false">COUNTIF(Data!$C$2:$C$37,A3)</f>
        <v>5</v>
      </c>
      <c r="C3" s="20" t="n">
        <f aca="false">COUNTIFS(Data!$C$2:$C$37,A3,Data!$E$2:$E$37,"Hadir")</f>
        <v>4</v>
      </c>
      <c r="D3" s="21" t="n">
        <f aca="false">SUMIF(Data!$C$2:$C$37,A3,Data!$H$2:$H$37)</f>
        <v>0</v>
      </c>
      <c r="E3" s="25" t="n">
        <f aca="false">C3/B3</f>
        <v>0.8</v>
      </c>
    </row>
    <row r="4" customFormat="false" ht="15" hidden="false" customHeight="false" outlineLevel="0" collapsed="false">
      <c r="A4" s="19" t="s">
        <v>77</v>
      </c>
      <c r="B4" s="20" t="n">
        <f aca="false">COUNTIF(Data!$C$2:$C$37,A4)</f>
        <v>3</v>
      </c>
      <c r="C4" s="20" t="n">
        <f aca="false">COUNTIFS(Data!$C$2:$C$37,A4,Data!$E$2:$E$37,"Hadir")</f>
        <v>2</v>
      </c>
      <c r="D4" s="21" t="n">
        <f aca="false">SUMIF(Data!$C$2:$C$37,A4,Data!$H$2:$H$37)</f>
        <v>0</v>
      </c>
      <c r="E4" s="25" t="n">
        <f aca="false">C4/B4</f>
        <v>0.666666666666667</v>
      </c>
    </row>
    <row r="5" customFormat="false" ht="15" hidden="false" customHeight="false" outlineLevel="0" collapsed="false">
      <c r="A5" s="19" t="s">
        <v>92</v>
      </c>
      <c r="B5" s="20" t="n">
        <f aca="false">COUNTIF(Data!$C$2:$C$37,A5)</f>
        <v>4</v>
      </c>
      <c r="C5" s="20" t="n">
        <f aca="false">COUNTIFS(Data!$C$2:$C$37,A5,Data!$E$2:$E$37,"Hadir")</f>
        <v>1</v>
      </c>
      <c r="D5" s="21" t="n">
        <f aca="false">SUMIF(Data!$C$2:$C$37,A5,Data!$H$2:$H$37)</f>
        <v>30000</v>
      </c>
      <c r="E5" s="25" t="n">
        <f aca="false">C5/B5</f>
        <v>0.25</v>
      </c>
    </row>
    <row r="6" customFormat="false" ht="15" hidden="false" customHeight="false" outlineLevel="0" collapsed="false">
      <c r="A6" s="19" t="s">
        <v>93</v>
      </c>
      <c r="B6" s="20" t="n">
        <f aca="false">COUNTIF(Data!$C$2:$C$37,A6)</f>
        <v>7</v>
      </c>
      <c r="C6" s="20" t="n">
        <f aca="false">COUNTIFS(Data!$C$2:$C$37,A6,Data!$E$2:$E$37,"Hadir")</f>
        <v>5</v>
      </c>
      <c r="D6" s="21" t="n">
        <f aca="false">SUMIF(Data!$C$2:$C$37,A6,Data!$H$2:$H$37)</f>
        <v>20000</v>
      </c>
      <c r="E6" s="25" t="n">
        <f aca="false">C6/B6</f>
        <v>0.714285714285714</v>
      </c>
    </row>
    <row r="7" customFormat="false" ht="15" hidden="false" customHeight="false" outlineLevel="0" collapsed="false">
      <c r="A7" s="19" t="s">
        <v>89</v>
      </c>
      <c r="B7" s="20" t="n">
        <f aca="false">COUNTIF(Data!$C$2:$C$37,A7)</f>
        <v>3</v>
      </c>
      <c r="C7" s="20" t="n">
        <f aca="false">COUNTIFS(Data!$C$2:$C$37,A7,Data!$E$2:$E$37,"Hadir")</f>
        <v>3</v>
      </c>
      <c r="D7" s="21" t="n">
        <f aca="false">SUMIF(Data!$C$2:$C$37,A7,Data!$H$2:$H$37)</f>
        <v>0</v>
      </c>
      <c r="E7" s="25" t="n">
        <f aca="false">C7/B7</f>
        <v>1</v>
      </c>
    </row>
    <row r="8" customFormat="false" ht="15" hidden="false" customHeight="false" outlineLevel="0" collapsed="false">
      <c r="A8" s="19" t="s">
        <v>81</v>
      </c>
      <c r="B8" s="20" t="n">
        <f aca="false">COUNTIF(Data!$C$2:$C$37,A8)</f>
        <v>3</v>
      </c>
      <c r="C8" s="20" t="n">
        <f aca="false">COUNTIFS(Data!$C$2:$C$37,A8,Data!$E$2:$E$37,"Hadir")</f>
        <v>2</v>
      </c>
      <c r="D8" s="21" t="n">
        <f aca="false">SUMIF(Data!$C$2:$C$37,A8,Data!$H$2:$H$37)</f>
        <v>10000</v>
      </c>
      <c r="E8" s="25" t="n">
        <f aca="false">C8/B8</f>
        <v>0.666666666666667</v>
      </c>
    </row>
    <row r="9" customFormat="false" ht="15" hidden="false" customHeight="false" outlineLevel="0" collapsed="false">
      <c r="A9" s="19" t="s">
        <v>95</v>
      </c>
      <c r="B9" s="20" t="n">
        <f aca="false">COUNTIF(Data!$C$2:$C$37,A9)</f>
        <v>4</v>
      </c>
      <c r="C9" s="20" t="n">
        <f aca="false">COUNTIFS(Data!$C$2:$C$37,A9,Data!$E$2:$E$37,"Hadir")</f>
        <v>2</v>
      </c>
      <c r="D9" s="21" t="n">
        <f aca="false">SUMIF(Data!$C$2:$C$37,A9,Data!$H$2:$H$37)</f>
        <v>10000</v>
      </c>
      <c r="E9" s="25" t="n">
        <f aca="false">C9/B9</f>
        <v>0.5</v>
      </c>
    </row>
    <row r="10" customFormat="false" ht="15" hidden="false" customHeight="false" outlineLevel="0" collapsed="false">
      <c r="A10" s="19" t="s">
        <v>85</v>
      </c>
      <c r="B10" s="20" t="n">
        <f aca="false">COUNTIF(Data!$C$2:$C$37,A10)</f>
        <v>5</v>
      </c>
      <c r="C10" s="20" t="n">
        <f aca="false">COUNTIFS(Data!$C$2:$C$37,A10,Data!$E$2:$E$37,"Hadir")</f>
        <v>2</v>
      </c>
      <c r="D10" s="21" t="n">
        <f aca="false">SUMIF(Data!$C$2:$C$37,A10,Data!$H$2:$H$37)</f>
        <v>10000</v>
      </c>
      <c r="E10" s="25" t="n">
        <f aca="false">C10/B10</f>
        <v>0.4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100</v>
      </c>
      <c r="B1" s="26"/>
      <c r="C1" s="26"/>
      <c r="D1" s="26"/>
    </row>
    <row r="2" customFormat="false" ht="15" hidden="false" customHeight="false" outlineLevel="0" collapsed="false">
      <c r="A2" s="27" t="s">
        <v>101</v>
      </c>
      <c r="B2" s="27"/>
      <c r="C2" s="27"/>
      <c r="D2" s="27"/>
    </row>
    <row r="3" customFormat="false" ht="15" hidden="false" customHeight="false" outlineLevel="0" collapsed="false">
      <c r="A3" s="11" t="s">
        <v>19</v>
      </c>
      <c r="B3" s="11" t="s">
        <v>102</v>
      </c>
      <c r="C3" s="11" t="s">
        <v>103</v>
      </c>
      <c r="D3" s="11" t="s">
        <v>104</v>
      </c>
    </row>
    <row r="4" customFormat="false" ht="15" hidden="false" customHeight="false" outlineLevel="0" collapsed="false">
      <c r="A4" s="28" t="s">
        <v>105</v>
      </c>
      <c r="B4" s="29" t="s">
        <v>106</v>
      </c>
      <c r="C4" s="20" t="n">
        <f aca="false">COUNTIF(Data!$E$2:$E$37,"Hadir")</f>
        <v>21</v>
      </c>
      <c r="D4" s="30" t="s">
        <v>107</v>
      </c>
    </row>
    <row r="5" customFormat="false" ht="15" hidden="false" customHeight="false" outlineLevel="0" collapsed="false">
      <c r="A5" s="28" t="s">
        <v>108</v>
      </c>
      <c r="B5" s="29" t="s">
        <v>109</v>
      </c>
      <c r="C5" s="20" t="n">
        <f aca="false">COUNTIF(Data!$E$2:$E$37,"Izin")</f>
        <v>5</v>
      </c>
      <c r="D5" s="30" t="s">
        <v>110</v>
      </c>
    </row>
    <row r="6" customFormat="false" ht="15" hidden="false" customHeight="false" outlineLevel="0" collapsed="false">
      <c r="A6" s="28" t="s">
        <v>111</v>
      </c>
      <c r="B6" s="29" t="s">
        <v>112</v>
      </c>
      <c r="C6" s="20" t="n">
        <f aca="false">COUNTIF(Data!$E$2:$E$37,"Tidak Hadir")</f>
        <v>10</v>
      </c>
      <c r="D6" s="30" t="s">
        <v>113</v>
      </c>
    </row>
    <row r="7" customFormat="false" ht="15" hidden="false" customHeight="false" outlineLevel="0" collapsed="false">
      <c r="A7" s="28" t="s">
        <v>114</v>
      </c>
      <c r="B7" s="29" t="s">
        <v>115</v>
      </c>
      <c r="C7" s="21" t="n">
        <f aca="false">SUM(Data!$H$2:$H$37)</f>
        <v>100000</v>
      </c>
      <c r="D7" s="30" t="s">
        <v>116</v>
      </c>
    </row>
    <row r="8" customFormat="false" ht="15" hidden="false" customHeight="false" outlineLevel="0" collapsed="false">
      <c r="A8" s="28" t="s">
        <v>117</v>
      </c>
      <c r="B8" s="29" t="s">
        <v>118</v>
      </c>
      <c r="C8" s="20" t="n">
        <f aca="false">SUM(Data!$G$2:$G$37)</f>
        <v>47</v>
      </c>
      <c r="D8" s="30" t="s">
        <v>119</v>
      </c>
    </row>
    <row r="9" customFormat="false" ht="15" hidden="false" customHeight="false" outlineLevel="0" collapsed="false">
      <c r="A9" s="28" t="s">
        <v>120</v>
      </c>
      <c r="B9" s="29" t="s">
        <v>121</v>
      </c>
      <c r="C9" s="31" t="str">
        <f aca="false">INDEX(Acuan!$A$2:$A$10,MATCH(MAX(Acuan!$D$2:$D$10),Acuan!$D$2:$D$10,0))</f>
        <v>Khoirul Setiawan</v>
      </c>
      <c r="D9" s="30" t="s">
        <v>122</v>
      </c>
    </row>
    <row r="10" customFormat="false" ht="15" hidden="false" customHeight="false" outlineLevel="0" collapsed="false">
      <c r="A10" s="28" t="s">
        <v>123</v>
      </c>
      <c r="B10" s="29" t="s">
        <v>124</v>
      </c>
      <c r="C10" s="31" t="str">
        <f aca="false">INDEX(Acuan!$A$2:$A$10,MATCH(MAX(Acuan!$E$2:$E$10),Acuan!$E$2:$E$10,0))</f>
        <v>Novi Lestari</v>
      </c>
      <c r="D10" s="30" t="s">
        <v>122</v>
      </c>
    </row>
    <row r="11" customFormat="false" ht="15" hidden="false" customHeight="false" outlineLevel="0" collapsed="false">
      <c r="A11" s="28" t="s">
        <v>125</v>
      </c>
      <c r="B11" s="29" t="s">
        <v>126</v>
      </c>
      <c r="C11" s="20" t="n">
        <f aca="false">COUNTIFS(Data!$D$2:$D$37,"Kamar Mandi",Data!$E$2:$E$37,"Tidak Hadir")</f>
        <v>3</v>
      </c>
      <c r="D11" s="30" t="s">
        <v>127</v>
      </c>
    </row>
    <row r="12" customFormat="false" ht="15" hidden="false" customHeight="false" outlineLevel="0" collapsed="false">
      <c r="A12" s="28" t="s">
        <v>128</v>
      </c>
      <c r="B12" s="29" t="s">
        <v>129</v>
      </c>
      <c r="C12" s="21" t="n">
        <f aca="false">SUMIF(Data!$F$2:$F$37,2,Data!$H$2:$H$37)</f>
        <v>50000</v>
      </c>
      <c r="D12" s="30" t="s">
        <v>130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2026-10-15T23:39:05Z</dcterms:created>
  <dc:creator>PushExcel</dc:creator>
  <dc:description/>
  <dc:language>en-US</dc:language>
  <cp:lastModifiedBy/>
  <dcterms:modified xsi:type="dcterms:W3CDTF">2026-10-15T23:39:05Z</dcterms:modified>
  <cp:revision>0</cp:revision>
  <dc:subject/>
  <dc:title>Rekap Jadwal Piket Kebersihan dan Denda - Kunci</dc:title>
</cp:coreProperties>
</file>

<file path=docProps/custom.xml><?xml version="1.0" encoding="utf-8"?>
<Properties xmlns="http://schemas.openxmlformats.org/officeDocument/2006/custom-properties" xmlns:vt="http://schemas.openxmlformats.org/officeDocument/2006/docPropsVTypes"/>
</file>