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<sst xmlns="http://schemas.openxmlformats.org/spreadsheetml/2006/main" count="303" uniqueCount="210">
  <si>
    <t xml:space="preserve">Kunci Jawaban: Laporan Penjualan Toko dengan Banyak Kriteria</t>
  </si>
  <si>
    <t xml:space="preserve">Latihan 103 dari 40  |  Tingkat: Lanjutan  |  Perkiraan waktu: 65 menit  |  pushexcel.github.io/Pushexcel</t>
  </si>
  <si>
    <t xml:space="preserve">Skenario</t>
  </si>
  <si>
    <t xml:space="preserve">Kamu admin Toko Serba Ada Makmur Jaya yang menyusun laporan penjualan periode 2 November sampai 2 Desember 2026 dari 36 nota dengan empat kasir dan empat kategori barang. Total adalah jumlah dikali harga satuan. Nota dengan total minimal Rp 150.000 mendapat diskon 5 persen dari total, dan nota yang lebih kecil tidak mendapat diskon. Bayar adalah total dikurangi diskon. Hari dihitung dari tanggal nota dengan WEEKDAY (Senin = 1 sampai Minggu = 7). Sabtu dan Minggu disebut Akhir Pekan, hari lain Hari Kerja. Tiap kategori punya target penjualan bersih (jumlah Bayar) di sheet Acuan, dan statusnya Tercapai bila capaian minimal 100 persen (batas dan persen diskon ada di blok Parameter).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</si>
  <si>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</si>
  <si>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</si>
  <si>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</si>
  <si>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</si>
  <si>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</si>
  <si>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</si>
  <si>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</si>
  <si>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</si>
  <si>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</si>
  <si>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</si>
  <si>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</si>
  <si>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</si>
  <si>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</si>
  <si>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</si>
  <si>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</si>
  <si>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</si>
  <si>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</si>
  <si>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</si>
  <si>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</si>
  <si>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</si>
  <si>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total tiap nota: jumlah dikali harga satuan.</t>
  </si>
  <si>
    <t xml:space="preserve">Sheet Data, kolom H (Total), baris 2 sampai 37</t>
  </si>
  <si>
    <t xml:space="preserve">=F2*G2</t>
  </si>
  <si>
    <t xml:space="preserve">2</t>
  </si>
  <si>
    <t xml:space="preserve">Hitung diskon: bila total minimal batas diskon, diskonnya total dikali persen diskon. Bila tidak, diskonnya 0.</t>
  </si>
  <si>
    <t xml:space="preserve">Sheet Data, kolom I (Diskon), baris 2 sampai 37</t>
  </si>
  <si>
    <t xml:space="preserve">=IF(H2&gt;=$P$2;H2*$P$3;0)</t>
  </si>
  <si>
    <t xml:space="preserve">3</t>
  </si>
  <si>
    <t xml:space="preserve">Hitung jumlah yang dibayar pembeli: total dikurangi diskon.</t>
  </si>
  <si>
    <t xml:space="preserve">Sheet Data, kolom J (Bayar), baris 2 sampai 37</t>
  </si>
  <si>
    <t xml:space="preserve">=H2-I2</t>
  </si>
  <si>
    <t xml:space="preserve">4</t>
  </si>
  <si>
    <t xml:space="preserve">Ambil nomor hari dari tanggal nota dengan Senin = 1 sampai Minggu = 7.</t>
  </si>
  <si>
    <t xml:space="preserve">Sheet Data, kolom K (Hari Ke), baris 2 sampai 37</t>
  </si>
  <si>
    <t xml:space="preserve">=WEEKDAY(B2;2)</t>
  </si>
  <si>
    <t xml:space="preserve">5</t>
  </si>
  <si>
    <t xml:space="preserve">Ubah nomor hari menjadi nama hari: Senin sampai Minggu.</t>
  </si>
  <si>
    <t xml:space="preserve">Sheet Data, kolom L (Hari), baris 2 sampai 37</t>
  </si>
  <si>
    <t xml:space="preserve">=CHOOSE(K2;"Senin";"Selasa";"Rabu";"Kamis";"Jumat";"Sabtu";"Minggu")</t>
  </si>
  <si>
    <t xml:space="preserve">6</t>
  </si>
  <si>
    <t xml:space="preserve">Beri jenis hari: Akhir Pekan bila nomor hari 6 atau 7 (Sabtu dan Minggu), selain itu Hari Kerja.</t>
  </si>
  <si>
    <t xml:space="preserve">Sheet Data, kolom M (Jenis Hari), baris 2 sampai 37</t>
  </si>
  <si>
    <t xml:space="preserve">=IF(K2&gt;=6;"Akhir Pekan";"Hari Kerja")</t>
  </si>
  <si>
    <t xml:space="preserve">7</t>
  </si>
  <si>
    <t xml:space="preserve">Pada sheet Acuan, hitung jumlah nota tiap kategori.</t>
  </si>
  <si>
    <t xml:space="preserve">Sheet Acuan, kolom C (Jumlah Nota), baris 2 sampai 5</t>
  </si>
  <si>
    <t xml:space="preserve">=COUNTIF(Data!$D$2:$D$37;A2)</t>
  </si>
  <si>
    <t xml:space="preserve">8</t>
  </si>
  <si>
    <t xml:space="preserve">Pada sheet Acuan, hitung penjualan bersih tiap kategori, yaitu jumlah kolom Bayar.</t>
  </si>
  <si>
    <t xml:space="preserve">Sheet Acuan, kolom D (Penjualan Bersih), baris 2 sampai 5</t>
  </si>
  <si>
    <t xml:space="preserve">=SUMIF(Data!$D$2:$D$37;A2;Data!$J$2:$J$37)</t>
  </si>
  <si>
    <t xml:space="preserve">9</t>
  </si>
  <si>
    <t xml:space="preserve">Pada sheet Acuan, hitung jumlah nota tiap kategori yang terjadi pada Akhir Pekan.</t>
  </si>
  <si>
    <t xml:space="preserve">Sheet Acuan, kolom E (Nota Akhir Pekan), baris 2 sampai 5</t>
  </si>
  <si>
    <t xml:space="preserve">=COUNTIFS(Data!$D$2:$D$37;A2;Data!$M$2:$M$37;"Akhir Pekan")</t>
  </si>
  <si>
    <t xml:space="preserve">10</t>
  </si>
  <si>
    <t xml:space="preserve">Pada sheet Acuan, hitung capaian target: penjualan bersih dibagi target penjualan.</t>
  </si>
  <si>
    <t xml:space="preserve">Sheet Acuan, kolom F (Capaian Target), baris 2 sampai 5</t>
  </si>
  <si>
    <t xml:space="preserve">=D2/B2</t>
  </si>
  <si>
    <t xml:space="preserve">11</t>
  </si>
  <si>
    <t xml:space="preserve">Pada sheet Acuan, beri status Tercapai bila capaian minimal 100 persen, selain itu Belum.</t>
  </si>
  <si>
    <t xml:space="preserve">Sheet Acuan, kolom G (Status Target), baris 2 sampai 5</t>
  </si>
  <si>
    <t xml:space="preserve">=IF(F2&gt;=1;"Tercapai";"Belum")</t>
  </si>
  <si>
    <t xml:space="preserve">12</t>
  </si>
  <si>
    <t xml:space="preserve">Berapa total penjualan bersih seluruh nota, total diskon yang diberikan, dan jumlah nota yang mendapat diskon?</t>
  </si>
  <si>
    <t xml:space="preserve">Sheet Ringkasan, sel C4 sampai C6</t>
  </si>
  <si>
    <t xml:space="preserve">=SUM(Data!$J$2:$J$37)
=SUM(Data!$I$2:$I$37)
=COUNTIF(Data!$I$2:$I$37;"&gt;0")</t>
  </si>
  <si>
    <t xml:space="preserve">13</t>
  </si>
  <si>
    <t xml:space="preserve">Berapa penjualan bersih Vina Utomo pada Akhir Pekan, dan berapa nota Mulyadi Maharani pada kategori Minuman?</t>
  </si>
  <si>
    <t xml:space="preserve">Sheet Ringkasan, sel C7 sampai C8</t>
  </si>
  <si>
    <t xml:space="preserve">=SUMPRODUCT((Data!$C$2:$C$37="Vina Utomo")*(Data!$M$2:$M$37="Akhir Pekan")*Data!$J$2:$J$37)
=COUNTIFS(Data!$C$2:$C$37;"Mulyadi Maharani";Data!$D$2:$D$37;"Minuman")</t>
  </si>
  <si>
    <t xml:space="preserve">14</t>
  </si>
  <si>
    <t xml:space="preserve">Berapa nota Hari Kerja dengan kategori Makanan yang jumlah barangnya minimal 5, dan berapa total jumlah barang yang terjual pada hari Sabtu?</t>
  </si>
  <si>
    <t xml:space="preserve">Sheet Ringkasan, sel C9 sampai C10</t>
  </si>
  <si>
    <t xml:space="preserve">=COUNTIFS(Data!$M$2:$M$37;"Hari Kerja";Data!$D$2:$D$37;"Makanan";Data!$F$2:$F$37;"&gt;=5")
=SUMIF(Data!$L$2:$L$37;"Sabtu";Data!$F$2:$F$37)</t>
  </si>
  <si>
    <t xml:space="preserve">15</t>
  </si>
  <si>
    <t xml:space="preserve">Berapa penjualan bersih kasir Galih Rahayu, berapa rata-rata Bayar per nota kategori Alat Tulis, dan kategori apa yang penjualan bersihnya terbesar?</t>
  </si>
  <si>
    <t xml:space="preserve">Sheet Ringkasan, sel C11 sampai C13</t>
  </si>
  <si>
    <t xml:space="preserve">=SUMIF(Data!$C$2:$C$37;"Galih Rahayu";Data!$J$2:$J$37)
=AVERAGEIF(Data!$D$2:$D$37;"Alat Tulis";Data!$J$2:$J$37)
=INDEX(Acuan!$A$2:$A$5;MATCH(MAX(Acuan!$D$2:$D$5);Acuan!$D$2:$D$5;0))</t>
  </si>
  <si>
    <t xml:space="preserve">16</t>
  </si>
  <si>
    <t xml:space="preserve">Berapa kategori yang targetnya Tercapai, dan berapa rata-rata capaian target keempat kategori?</t>
  </si>
  <si>
    <t xml:space="preserve">Sheet Ringkasan, sel C14 sampai C15</t>
  </si>
  <si>
    <t xml:space="preserve">=COUNTIF(Acuan!$G$2:$G$5;"Tercapai")
=AVERAGE(Acuan!$F$2:$F$5)</t>
  </si>
  <si>
    <t xml:space="preserve">No Nota</t>
  </si>
  <si>
    <t xml:space="preserve">Tanggal</t>
  </si>
  <si>
    <t xml:space="preserve">Kasir</t>
  </si>
  <si>
    <t xml:space="preserve">Kategori</t>
  </si>
  <si>
    <t xml:space="preserve">Produk</t>
  </si>
  <si>
    <t xml:space="preserve">Jumlah</t>
  </si>
  <si>
    <t xml:space="preserve">Harga Satuan</t>
  </si>
  <si>
    <t xml:space="preserve">Total</t>
  </si>
  <si>
    <t xml:space="preserve">Diskon</t>
  </si>
  <si>
    <t xml:space="preserve">Bayar</t>
  </si>
  <si>
    <t xml:space="preserve">Hari Ke</t>
  </si>
  <si>
    <t xml:space="preserve">Hari</t>
  </si>
  <si>
    <t xml:space="preserve">Jenis Hari</t>
  </si>
  <si>
    <t xml:space="preserve">Parameter</t>
  </si>
  <si>
    <t xml:space="preserve">Nilai</t>
  </si>
  <si>
    <t xml:space="preserve">Keterangan</t>
  </si>
  <si>
    <t xml:space="preserve">N-001</t>
  </si>
  <si>
    <t xml:space="preserve">Indah Amalia</t>
  </si>
  <si>
    <t xml:space="preserve">Makanan</t>
  </si>
  <si>
    <t xml:space="preserve">Minyak Goreng 2 L</t>
  </si>
  <si>
    <t xml:space="preserve">Batas diskon</t>
  </si>
  <si>
    <t xml:space="preserve">Total nota minimal untuk mendapat diskon</t>
  </si>
  <si>
    <t xml:space="preserve">N-002</t>
  </si>
  <si>
    <t xml:space="preserve">Galih Rahayu</t>
  </si>
  <si>
    <t xml:space="preserve">Biskuit Kaleng</t>
  </si>
  <si>
    <t xml:space="preserve">Persen diskon</t>
  </si>
  <si>
    <t xml:space="preserve">N-003</t>
  </si>
  <si>
    <t xml:space="preserve">Beras 5 kg</t>
  </si>
  <si>
    <t xml:space="preserve">N-004</t>
  </si>
  <si>
    <t xml:space="preserve">Vina Utomo</t>
  </si>
  <si>
    <t xml:space="preserve">Mi Instan Dus</t>
  </si>
  <si>
    <t xml:space="preserve">N-005</t>
  </si>
  <si>
    <t xml:space="preserve">Mulyadi Maharani</t>
  </si>
  <si>
    <t xml:space="preserve">Minuman</t>
  </si>
  <si>
    <t xml:space="preserve">Kopi Sachet Renteng</t>
  </si>
  <si>
    <t xml:space="preserve">N-006</t>
  </si>
  <si>
    <t xml:space="preserve">N-007</t>
  </si>
  <si>
    <t xml:space="preserve">N-008</t>
  </si>
  <si>
    <t xml:space="preserve">Kebersihan</t>
  </si>
  <si>
    <t xml:space="preserve">Deterjen 1 kg</t>
  </si>
  <si>
    <t xml:space="preserve">N-009</t>
  </si>
  <si>
    <t xml:space="preserve">Alat Tulis</t>
  </si>
  <si>
    <t xml:space="preserve">Map Folder Pak</t>
  </si>
  <si>
    <t xml:space="preserve">N-010</t>
  </si>
  <si>
    <t xml:space="preserve">N-011</t>
  </si>
  <si>
    <t xml:space="preserve">Pembersih Lantai</t>
  </si>
  <si>
    <t xml:space="preserve">N-012</t>
  </si>
  <si>
    <t xml:space="preserve">N-013</t>
  </si>
  <si>
    <t xml:space="preserve">Buku Tulis Pak</t>
  </si>
  <si>
    <t xml:space="preserve">N-014</t>
  </si>
  <si>
    <t xml:space="preserve">N-015</t>
  </si>
  <si>
    <t xml:space="preserve">N-016</t>
  </si>
  <si>
    <t xml:space="preserve">Air Mineral Dus</t>
  </si>
  <si>
    <t xml:space="preserve">N-017</t>
  </si>
  <si>
    <t xml:space="preserve">N-018</t>
  </si>
  <si>
    <t xml:space="preserve">Pulpen Kotak</t>
  </si>
  <si>
    <t xml:space="preserve">N-019</t>
  </si>
  <si>
    <t xml:space="preserve">N-020</t>
  </si>
  <si>
    <t xml:space="preserve">Susu UHT Dus</t>
  </si>
  <si>
    <t xml:space="preserve">N-021</t>
  </si>
  <si>
    <t xml:space="preserve">N-022</t>
  </si>
  <si>
    <t xml:space="preserve">N-023</t>
  </si>
  <si>
    <t xml:space="preserve">N-024</t>
  </si>
  <si>
    <t xml:space="preserve">Spidol Set</t>
  </si>
  <si>
    <t xml:space="preserve">N-025</t>
  </si>
  <si>
    <t xml:space="preserve">N-026</t>
  </si>
  <si>
    <t xml:space="preserve">N-027</t>
  </si>
  <si>
    <t xml:space="preserve">N-028</t>
  </si>
  <si>
    <t xml:space="preserve">Sampo Botol</t>
  </si>
  <si>
    <t xml:space="preserve">N-029</t>
  </si>
  <si>
    <t xml:space="preserve">N-030</t>
  </si>
  <si>
    <t xml:space="preserve">N-031</t>
  </si>
  <si>
    <t xml:space="preserve">N-032</t>
  </si>
  <si>
    <t xml:space="preserve">N-033</t>
  </si>
  <si>
    <t xml:space="preserve">N-034</t>
  </si>
  <si>
    <t xml:space="preserve">N-035</t>
  </si>
  <si>
    <t xml:space="preserve">N-036</t>
  </si>
  <si>
    <t xml:space="preserve">Target Penjualan</t>
  </si>
  <si>
    <t xml:space="preserve">Jumlah Nota</t>
  </si>
  <si>
    <t xml:space="preserve">Penjualan Bersih</t>
  </si>
  <si>
    <t xml:space="preserve">Nota Akhir Pekan</t>
  </si>
  <si>
    <t xml:space="preserve">Capaian Target</t>
  </si>
  <si>
    <t xml:space="preserve">Status Target</t>
  </si>
  <si>
    <t xml:space="preserve">Ringkasan: lembar jawaban soal berjenis ringkasan</t>
  </si>
  <si>
    <t xml:space="preserve">Sel hijau berisi rumus kunci.</t>
  </si>
  <si>
    <t xml:space="preserve">Pertanyaan</t>
  </si>
  <si>
    <t xml:space="preserve">Jawaban</t>
  </si>
  <si>
    <t xml:space="preserve">Contoh format hasil</t>
  </si>
  <si>
    <t xml:space="preserve">12a</t>
  </si>
  <si>
    <t xml:space="preserve">Total penjualan bersih</t>
  </si>
  <si>
    <t xml:space="preserve">Rupiah, mis. Rp 40.000.000</t>
  </si>
  <si>
    <t xml:space="preserve">12b</t>
  </si>
  <si>
    <t xml:space="preserve">Total diskon</t>
  </si>
  <si>
    <t xml:space="preserve">Rupiah, mis. Rp 1.500.000</t>
  </si>
  <si>
    <t xml:space="preserve">12c</t>
  </si>
  <si>
    <t xml:space="preserve">Nota yang mendapat diskon</t>
  </si>
  <si>
    <t xml:space="preserve">Angka bulat, mis. 15</t>
  </si>
  <si>
    <t xml:space="preserve">13a</t>
  </si>
  <si>
    <t xml:space="preserve">Penjualan bersih Vina Utomo pada Akhir Pekan</t>
  </si>
  <si>
    <t xml:space="preserve">Rupiah, mis. Rp 3.500.000</t>
  </si>
  <si>
    <t xml:space="preserve">13b</t>
  </si>
  <si>
    <t xml:space="preserve">Nota Mulyadi Maharani kategori Minuman</t>
  </si>
  <si>
    <t xml:space="preserve">Angka bulat, mis. 4</t>
  </si>
  <si>
    <t xml:space="preserve">14a</t>
  </si>
  <si>
    <t xml:space="preserve">Nota Hari Kerja kategori Makanan, jumlah minimal 5</t>
  </si>
  <si>
    <t xml:space="preserve">Angka bulat, mis. 3</t>
  </si>
  <si>
    <t xml:space="preserve">14b</t>
  </si>
  <si>
    <t xml:space="preserve">Total jumlah barang pada hari Sabtu</t>
  </si>
  <si>
    <t xml:space="preserve">Angka bulat, mis. 25</t>
  </si>
  <si>
    <t xml:space="preserve">15a</t>
  </si>
  <si>
    <t xml:space="preserve">Penjualan bersih Galih Rahayu</t>
  </si>
  <si>
    <t xml:space="preserve">Rupiah, mis. Rp 9.000.000</t>
  </si>
  <si>
    <t xml:space="preserve">15b</t>
  </si>
  <si>
    <t xml:space="preserve">Rata-rata Bayar per nota Alat Tulis</t>
  </si>
  <si>
    <t xml:space="preserve">Rupiah, mis. Rp 250.000</t>
  </si>
  <si>
    <t xml:space="preserve">15c</t>
  </si>
  <si>
    <t xml:space="preserve">Kategori dengan penjualan bersih terbesar</t>
  </si>
  <si>
    <t xml:space="preserve">Teks: nama kategori</t>
  </si>
  <si>
    <t xml:space="preserve">16a</t>
  </si>
  <si>
    <t xml:space="preserve">Kategori Tercapai</t>
  </si>
  <si>
    <t xml:space="preserve">16b</t>
  </si>
  <si>
    <t xml:space="preserve">Rata-rata capaian target</t>
  </si>
  <si>
    <t xml:space="preserve">Persen, mis. 98,5%</t>
  </si>
</sst>
</file>

<file path=xl/styles.xml><?xml version="1.0" encoding="utf-8"?>
<styleSheet xmlns="http://schemas.openxmlformats.org/spreadsheetml/2006/main">
  <numFmts count="6">
    <numFmt numFmtId="164" formatCode="General"/>
    <numFmt numFmtId="165" formatCode="dd/mm/yyyy"/>
    <numFmt numFmtId="166" formatCode="0"/>
    <numFmt numFmtId="167" formatCode="&quot;Rp &quot;#,##0"/>
    <numFmt numFmtId="168" formatCode="0%"/>
    <numFmt numFmtId="169"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81"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30"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30" hidden="false" customHeight="true" outlineLevel="0" collapsed="false">
      <c r="A28" s="12" t="s">
        <v>51</v>
      </c>
      <c r="B28" s="13" t="s">
        <v>52</v>
      </c>
      <c r="C28" s="13" t="s">
        <v>53</v>
      </c>
      <c r="D28" s="14" t="s">
        <v>54</v>
      </c>
    </row>
    <row r="29" customFormat="false" ht="30" hidden="false" customHeight="true" outlineLevel="0" collapsed="false">
      <c r="A29" s="12" t="s">
        <v>55</v>
      </c>
      <c r="B29" s="13" t="s">
        <v>56</v>
      </c>
      <c r="C29" s="13" t="s">
        <v>57</v>
      </c>
      <c r="D29" s="14" t="s">
        <v>58</v>
      </c>
    </row>
    <row r="30" customFormat="false" ht="30" hidden="false" customHeight="true" outlineLevel="0" collapsed="false">
      <c r="A30" s="12" t="s">
        <v>59</v>
      </c>
      <c r="B30" s="13" t="s">
        <v>60</v>
      </c>
      <c r="C30" s="13" t="s">
        <v>61</v>
      </c>
      <c r="D30" s="14" t="s">
        <v>62</v>
      </c>
    </row>
    <row r="31" customFormat="false" ht="30" hidden="false" customHeight="true" outlineLevel="0" collapsed="false">
      <c r="A31" s="12" t="s">
        <v>63</v>
      </c>
      <c r="B31" s="13" t="s">
        <v>64</v>
      </c>
      <c r="C31" s="13" t="s">
        <v>65</v>
      </c>
      <c r="D31" s="14" t="s">
        <v>66</v>
      </c>
    </row>
    <row r="32" customFormat="false" ht="57.75" hidden="false" customHeight="true" outlineLevel="0" collapsed="false">
      <c r="A32" s="12" t="s">
        <v>67</v>
      </c>
      <c r="B32" s="13" t="s">
        <v>68</v>
      </c>
      <c r="C32" s="13" t="s">
        <v>69</v>
      </c>
      <c r="D32" s="14" t="s">
        <v>70</v>
      </c>
    </row>
    <row r="33" customFormat="false" ht="55.5" hidden="false" customHeight="true" outlineLevel="0" collapsed="false">
      <c r="A33" s="12" t="s">
        <v>71</v>
      </c>
      <c r="B33" s="13" t="s">
        <v>72</v>
      </c>
      <c r="C33" s="13" t="s">
        <v>73</v>
      </c>
      <c r="D33" s="14" t="s">
        <v>74</v>
      </c>
    </row>
    <row r="34" customFormat="false" ht="55.5" hidden="false" customHeight="true" outlineLevel="0" collapsed="false">
      <c r="A34" s="12" t="s">
        <v>75</v>
      </c>
      <c r="B34" s="13" t="s">
        <v>76</v>
      </c>
      <c r="C34" s="13" t="s">
        <v>77</v>
      </c>
      <c r="D34" s="14" t="s">
        <v>78</v>
      </c>
    </row>
    <row r="35" customFormat="false" ht="69.75" hidden="false" customHeight="true" outlineLevel="0" collapsed="false">
      <c r="A35" s="12" t="s">
        <v>79</v>
      </c>
      <c r="B35" s="13" t="s">
        <v>80</v>
      </c>
      <c r="C35" s="13" t="s">
        <v>81</v>
      </c>
      <c r="D35" s="14" t="s">
        <v>82</v>
      </c>
    </row>
    <row r="36" customFormat="false" ht="43.5" hidden="false" customHeight="true" outlineLevel="0" collapsed="false">
      <c r="A36" s="12" t="s">
        <v>83</v>
      </c>
      <c r="B36" s="13" t="s">
        <v>84</v>
      </c>
      <c r="C36" s="13" t="s">
        <v>85</v>
      </c>
      <c r="D36" s="14" t="s">
        <v>86</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8"/>
    <col collapsed="false" customWidth="true" hidden="false" outlineLevel="0" max="4" min="4" style="0" width="13"/>
    <col collapsed="false" customWidth="true" hidden="false" outlineLevel="0" max="5" min="5" style="0" width="22"/>
    <col collapsed="false" customWidth="true" hidden="false" outlineLevel="0" max="6" min="6" style="0" width="9"/>
    <col collapsed="false" customWidth="true" hidden="false" outlineLevel="0" max="8" min="7" style="0" width="14"/>
    <col collapsed="false" customWidth="true" hidden="false" outlineLevel="0" max="9" min="9" style="0" width="12"/>
    <col collapsed="false" customWidth="true" hidden="false" outlineLevel="0" max="10" min="10" style="0" width="14"/>
    <col collapsed="false" customWidth="true" hidden="false" outlineLevel="0" max="11" min="11" style="0" width="9"/>
    <col collapsed="false" customWidth="true" hidden="false" outlineLevel="0" max="12" min="12" style="0" width="10"/>
    <col collapsed="false" customWidth="true" hidden="false" outlineLevel="0" max="13" min="13" style="0" width="12"/>
    <col collapsed="false" customWidth="true" hidden="false" outlineLevel="0" max="14" min="14" style="0" width="3"/>
    <col collapsed="false" customWidth="true" hidden="false" outlineLevel="0" max="15" min="15" style="0" width="30"/>
    <col collapsed="false" customWidth="true" hidden="false" outlineLevel="0" max="16" min="16" style="0" width="16"/>
    <col collapsed="false" customWidth="true" hidden="false" outlineLevel="0" max="17" min="17" style="0" width="42"/>
  </cols>
  <sheetData>
    <row r="1" customFormat="false" ht="33.75" hidden="false" customHeight="true" outlineLevel="0" collapsed="false">
      <c r="A1" s="11" t="s">
        <v>87</v>
      </c>
      <c r="B1" s="11" t="s">
        <v>88</v>
      </c>
      <c r="C1" s="11" t="s">
        <v>89</v>
      </c>
      <c r="D1" s="11" t="s">
        <v>90</v>
      </c>
      <c r="E1" s="11" t="s">
        <v>91</v>
      </c>
      <c r="F1" s="11" t="s">
        <v>92</v>
      </c>
      <c r="G1" s="11" t="s">
        <v>93</v>
      </c>
      <c r="H1" s="15" t="s">
        <v>94</v>
      </c>
      <c r="I1" s="15" t="s">
        <v>95</v>
      </c>
      <c r="J1" s="15" t="s">
        <v>96</v>
      </c>
      <c r="K1" s="15" t="s">
        <v>97</v>
      </c>
      <c r="L1" s="15" t="s">
        <v>98</v>
      </c>
      <c r="M1" s="15" t="s">
        <v>99</v>
      </c>
      <c r="O1" s="16" t="s">
        <v>100</v>
      </c>
      <c r="P1" s="16" t="s">
        <v>101</v>
      </c>
      <c r="Q1" s="16" t="s">
        <v>102</v>
      </c>
    </row>
    <row r="2" customFormat="false" ht="15" hidden="false" customHeight="false" outlineLevel="0" collapsed="false">
      <c r="A2" s="17" t="s">
        <v>103</v>
      </c>
      <c r="B2" s="18" t="n">
        <v>46328</v>
      </c>
      <c r="C2" s="17" t="s">
        <v>104</v>
      </c>
      <c r="D2" s="17" t="s">
        <v>105</v>
      </c>
      <c r="E2" s="17" t="s">
        <v>106</v>
      </c>
      <c r="F2" s="19" t="n">
        <v>5</v>
      </c>
      <c r="G2" s="20" t="n">
        <v>38000</v>
      </c>
      <c r="H2" s="21" t="n">
        <f aca="false">F2*G2</f>
        <v>190000</v>
      </c>
      <c r="I2" s="21" t="n">
        <f aca="false">IF(H2&gt;=$P$2,H2*$P$3,0)</f>
        <v>9500</v>
      </c>
      <c r="J2" s="21" t="n">
        <f aca="false">H2-I2</f>
        <v>180500</v>
      </c>
      <c r="K2" s="22" t="n">
        <f aca="false">WEEKDAY(B2,2)</f>
        <v>1</v>
      </c>
      <c r="L2" s="23" t="str">
        <f aca="false">CHOOSE(K2,"Senin","Selasa","Rabu","Kamis","Jumat","Sabtu","Minggu")</f>
        <v>Senin</v>
      </c>
      <c r="M2" s="23" t="str">
        <f aca="false">IF(K2&gt;=6,"Akhir Pekan","Hari Kerja")</f>
        <v>Hari Kerja</v>
      </c>
      <c r="O2" s="24" t="s">
        <v>107</v>
      </c>
      <c r="P2" s="25" t="n">
        <v>150000</v>
      </c>
      <c r="Q2" s="24" t="s">
        <v>108</v>
      </c>
    </row>
    <row r="3" customFormat="false" ht="15" hidden="false" customHeight="false" outlineLevel="0" collapsed="false">
      <c r="A3" s="17" t="s">
        <v>109</v>
      </c>
      <c r="B3" s="18" t="n">
        <v>46329</v>
      </c>
      <c r="C3" s="17" t="s">
        <v>110</v>
      </c>
      <c r="D3" s="17" t="s">
        <v>105</v>
      </c>
      <c r="E3" s="17" t="s">
        <v>111</v>
      </c>
      <c r="F3" s="19" t="n">
        <v>1</v>
      </c>
      <c r="G3" s="20" t="n">
        <v>56000</v>
      </c>
      <c r="H3" s="21" t="n">
        <f aca="false">F3*G3</f>
        <v>56000</v>
      </c>
      <c r="I3" s="21" t="n">
        <f aca="false">IF(H3&gt;=$P$2,H3*$P$3,0)</f>
        <v>0</v>
      </c>
      <c r="J3" s="21" t="n">
        <f aca="false">H3-I3</f>
        <v>56000</v>
      </c>
      <c r="K3" s="22" t="n">
        <f aca="false">WEEKDAY(B3,2)</f>
        <v>2</v>
      </c>
      <c r="L3" s="23" t="str">
        <f aca="false">CHOOSE(K3,"Senin","Selasa","Rabu","Kamis","Jumat","Sabtu","Minggu")</f>
        <v>Selasa</v>
      </c>
      <c r="M3" s="23" t="str">
        <f aca="false">IF(K3&gt;=6,"Akhir Pekan","Hari Kerja")</f>
        <v>Hari Kerja</v>
      </c>
      <c r="O3" s="24" t="s">
        <v>112</v>
      </c>
      <c r="P3" s="26" t="n">
        <v>0.05</v>
      </c>
      <c r="Q3" s="24"/>
    </row>
    <row r="4" customFormat="false" ht="15" hidden="false" customHeight="false" outlineLevel="0" collapsed="false">
      <c r="A4" s="17" t="s">
        <v>113</v>
      </c>
      <c r="B4" s="18" t="n">
        <v>46329</v>
      </c>
      <c r="C4" s="17" t="s">
        <v>110</v>
      </c>
      <c r="D4" s="17" t="s">
        <v>105</v>
      </c>
      <c r="E4" s="17" t="s">
        <v>114</v>
      </c>
      <c r="F4" s="19" t="n">
        <v>8</v>
      </c>
      <c r="G4" s="20" t="n">
        <v>72000</v>
      </c>
      <c r="H4" s="21" t="n">
        <f aca="false">F4*G4</f>
        <v>576000</v>
      </c>
      <c r="I4" s="21" t="n">
        <f aca="false">IF(H4&gt;=$P$2,H4*$P$3,0)</f>
        <v>28800</v>
      </c>
      <c r="J4" s="21" t="n">
        <f aca="false">H4-I4</f>
        <v>547200</v>
      </c>
      <c r="K4" s="22" t="n">
        <f aca="false">WEEKDAY(B4,2)</f>
        <v>2</v>
      </c>
      <c r="L4" s="23" t="str">
        <f aca="false">CHOOSE(K4,"Senin","Selasa","Rabu","Kamis","Jumat","Sabtu","Minggu")</f>
        <v>Selasa</v>
      </c>
      <c r="M4" s="23" t="str">
        <f aca="false">IF(K4&gt;=6,"Akhir Pekan","Hari Kerja")</f>
        <v>Hari Kerja</v>
      </c>
    </row>
    <row r="5" customFormat="false" ht="15" hidden="false" customHeight="false" outlineLevel="0" collapsed="false">
      <c r="A5" s="17" t="s">
        <v>115</v>
      </c>
      <c r="B5" s="18" t="n">
        <v>46330</v>
      </c>
      <c r="C5" s="17" t="s">
        <v>116</v>
      </c>
      <c r="D5" s="17" t="s">
        <v>105</v>
      </c>
      <c r="E5" s="17" t="s">
        <v>117</v>
      </c>
      <c r="F5" s="19" t="n">
        <v>1</v>
      </c>
      <c r="G5" s="20" t="n">
        <v>98000</v>
      </c>
      <c r="H5" s="21" t="n">
        <f aca="false">F5*G5</f>
        <v>98000</v>
      </c>
      <c r="I5" s="21" t="n">
        <f aca="false">IF(H5&gt;=$P$2,H5*$P$3,0)</f>
        <v>0</v>
      </c>
      <c r="J5" s="21" t="n">
        <f aca="false">H5-I5</f>
        <v>98000</v>
      </c>
      <c r="K5" s="22" t="n">
        <f aca="false">WEEKDAY(B5,2)</f>
        <v>3</v>
      </c>
      <c r="L5" s="23" t="str">
        <f aca="false">CHOOSE(K5,"Senin","Selasa","Rabu","Kamis","Jumat","Sabtu","Minggu")</f>
        <v>Rabu</v>
      </c>
      <c r="M5" s="23" t="str">
        <f aca="false">IF(K5&gt;=6,"Akhir Pekan","Hari Kerja")</f>
        <v>Hari Kerja</v>
      </c>
    </row>
    <row r="6" customFormat="false" ht="15" hidden="false" customHeight="false" outlineLevel="0" collapsed="false">
      <c r="A6" s="17" t="s">
        <v>118</v>
      </c>
      <c r="B6" s="18" t="n">
        <v>46330</v>
      </c>
      <c r="C6" s="17" t="s">
        <v>119</v>
      </c>
      <c r="D6" s="17" t="s">
        <v>120</v>
      </c>
      <c r="E6" s="17" t="s">
        <v>121</v>
      </c>
      <c r="F6" s="19" t="n">
        <v>10</v>
      </c>
      <c r="G6" s="20" t="n">
        <v>14000</v>
      </c>
      <c r="H6" s="21" t="n">
        <f aca="false">F6*G6</f>
        <v>140000</v>
      </c>
      <c r="I6" s="21" t="n">
        <f aca="false">IF(H6&gt;=$P$2,H6*$P$3,0)</f>
        <v>0</v>
      </c>
      <c r="J6" s="21" t="n">
        <f aca="false">H6-I6</f>
        <v>140000</v>
      </c>
      <c r="K6" s="22" t="n">
        <f aca="false">WEEKDAY(B6,2)</f>
        <v>3</v>
      </c>
      <c r="L6" s="23" t="str">
        <f aca="false">CHOOSE(K6,"Senin","Selasa","Rabu","Kamis","Jumat","Sabtu","Minggu")</f>
        <v>Rabu</v>
      </c>
      <c r="M6" s="23" t="str">
        <f aca="false">IF(K6&gt;=6,"Akhir Pekan","Hari Kerja")</f>
        <v>Hari Kerja</v>
      </c>
    </row>
    <row r="7" customFormat="false" ht="15" hidden="false" customHeight="false" outlineLevel="0" collapsed="false">
      <c r="A7" s="17" t="s">
        <v>122</v>
      </c>
      <c r="B7" s="18" t="n">
        <v>46331</v>
      </c>
      <c r="C7" s="17" t="s">
        <v>104</v>
      </c>
      <c r="D7" s="17" t="s">
        <v>120</v>
      </c>
      <c r="E7" s="17" t="s">
        <v>121</v>
      </c>
      <c r="F7" s="19" t="n">
        <v>8</v>
      </c>
      <c r="G7" s="20" t="n">
        <v>14000</v>
      </c>
      <c r="H7" s="21" t="n">
        <f aca="false">F7*G7</f>
        <v>112000</v>
      </c>
      <c r="I7" s="21" t="n">
        <f aca="false">IF(H7&gt;=$P$2,H7*$P$3,0)</f>
        <v>0</v>
      </c>
      <c r="J7" s="21" t="n">
        <f aca="false">H7-I7</f>
        <v>112000</v>
      </c>
      <c r="K7" s="22" t="n">
        <f aca="false">WEEKDAY(B7,2)</f>
        <v>4</v>
      </c>
      <c r="L7" s="23" t="str">
        <f aca="false">CHOOSE(K7,"Senin","Selasa","Rabu","Kamis","Jumat","Sabtu","Minggu")</f>
        <v>Kamis</v>
      </c>
      <c r="M7" s="23" t="str">
        <f aca="false">IF(K7&gt;=6,"Akhir Pekan","Hari Kerja")</f>
        <v>Hari Kerja</v>
      </c>
    </row>
    <row r="8" customFormat="false" ht="15" hidden="false" customHeight="false" outlineLevel="0" collapsed="false">
      <c r="A8" s="17" t="s">
        <v>123</v>
      </c>
      <c r="B8" s="18" t="n">
        <v>46332</v>
      </c>
      <c r="C8" s="17" t="s">
        <v>116</v>
      </c>
      <c r="D8" s="17" t="s">
        <v>105</v>
      </c>
      <c r="E8" s="17" t="s">
        <v>106</v>
      </c>
      <c r="F8" s="19" t="n">
        <v>3</v>
      </c>
      <c r="G8" s="20" t="n">
        <v>38000</v>
      </c>
      <c r="H8" s="21" t="n">
        <f aca="false">F8*G8</f>
        <v>114000</v>
      </c>
      <c r="I8" s="21" t="n">
        <f aca="false">IF(H8&gt;=$P$2,H8*$P$3,0)</f>
        <v>0</v>
      </c>
      <c r="J8" s="21" t="n">
        <f aca="false">H8-I8</f>
        <v>114000</v>
      </c>
      <c r="K8" s="22" t="n">
        <f aca="false">WEEKDAY(B8,2)</f>
        <v>5</v>
      </c>
      <c r="L8" s="23" t="str">
        <f aca="false">CHOOSE(K8,"Senin","Selasa","Rabu","Kamis","Jumat","Sabtu","Minggu")</f>
        <v>Jumat</v>
      </c>
      <c r="M8" s="23" t="str">
        <f aca="false">IF(K8&gt;=6,"Akhir Pekan","Hari Kerja")</f>
        <v>Hari Kerja</v>
      </c>
    </row>
    <row r="9" customFormat="false" ht="15" hidden="false" customHeight="false" outlineLevel="0" collapsed="false">
      <c r="A9" s="17" t="s">
        <v>124</v>
      </c>
      <c r="B9" s="18" t="n">
        <v>46332</v>
      </c>
      <c r="C9" s="17" t="s">
        <v>119</v>
      </c>
      <c r="D9" s="17" t="s">
        <v>125</v>
      </c>
      <c r="E9" s="17" t="s">
        <v>126</v>
      </c>
      <c r="F9" s="19" t="n">
        <v>3</v>
      </c>
      <c r="G9" s="20" t="n">
        <v>29000</v>
      </c>
      <c r="H9" s="21" t="n">
        <f aca="false">F9*G9</f>
        <v>87000</v>
      </c>
      <c r="I9" s="21" t="n">
        <f aca="false">IF(H9&gt;=$P$2,H9*$P$3,0)</f>
        <v>0</v>
      </c>
      <c r="J9" s="21" t="n">
        <f aca="false">H9-I9</f>
        <v>87000</v>
      </c>
      <c r="K9" s="22" t="n">
        <f aca="false">WEEKDAY(B9,2)</f>
        <v>5</v>
      </c>
      <c r="L9" s="23" t="str">
        <f aca="false">CHOOSE(K9,"Senin","Selasa","Rabu","Kamis","Jumat","Sabtu","Minggu")</f>
        <v>Jumat</v>
      </c>
      <c r="M9" s="23" t="str">
        <f aca="false">IF(K9&gt;=6,"Akhir Pekan","Hari Kerja")</f>
        <v>Hari Kerja</v>
      </c>
    </row>
    <row r="10" customFormat="false" ht="15" hidden="false" customHeight="false" outlineLevel="0" collapsed="false">
      <c r="A10" s="17" t="s">
        <v>127</v>
      </c>
      <c r="B10" s="18" t="n">
        <v>46333</v>
      </c>
      <c r="C10" s="17" t="s">
        <v>116</v>
      </c>
      <c r="D10" s="17" t="s">
        <v>128</v>
      </c>
      <c r="E10" s="17" t="s">
        <v>129</v>
      </c>
      <c r="F10" s="19" t="n">
        <v>3</v>
      </c>
      <c r="G10" s="20" t="n">
        <v>27000</v>
      </c>
      <c r="H10" s="21" t="n">
        <f aca="false">F10*G10</f>
        <v>81000</v>
      </c>
      <c r="I10" s="21" t="n">
        <f aca="false">IF(H10&gt;=$P$2,H10*$P$3,0)</f>
        <v>0</v>
      </c>
      <c r="J10" s="21" t="n">
        <f aca="false">H10-I10</f>
        <v>81000</v>
      </c>
      <c r="K10" s="22" t="n">
        <f aca="false">WEEKDAY(B10,2)</f>
        <v>6</v>
      </c>
      <c r="L10" s="23" t="str">
        <f aca="false">CHOOSE(K10,"Senin","Selasa","Rabu","Kamis","Jumat","Sabtu","Minggu")</f>
        <v>Sabtu</v>
      </c>
      <c r="M10" s="23" t="str">
        <f aca="false">IF(K10&gt;=6,"Akhir Pekan","Hari Kerja")</f>
        <v>Akhir Pekan</v>
      </c>
    </row>
    <row r="11" customFormat="false" ht="15" hidden="false" customHeight="false" outlineLevel="0" collapsed="false">
      <c r="A11" s="17" t="s">
        <v>130</v>
      </c>
      <c r="B11" s="18" t="n">
        <v>46334</v>
      </c>
      <c r="C11" s="17" t="s">
        <v>119</v>
      </c>
      <c r="D11" s="17" t="s">
        <v>128</v>
      </c>
      <c r="E11" s="17" t="s">
        <v>129</v>
      </c>
      <c r="F11" s="19" t="n">
        <v>8</v>
      </c>
      <c r="G11" s="20" t="n">
        <v>27000</v>
      </c>
      <c r="H11" s="21" t="n">
        <f aca="false">F11*G11</f>
        <v>216000</v>
      </c>
      <c r="I11" s="21" t="n">
        <f aca="false">IF(H11&gt;=$P$2,H11*$P$3,0)</f>
        <v>10800</v>
      </c>
      <c r="J11" s="21" t="n">
        <f aca="false">H11-I11</f>
        <v>205200</v>
      </c>
      <c r="K11" s="22" t="n">
        <f aca="false">WEEKDAY(B11,2)</f>
        <v>7</v>
      </c>
      <c r="L11" s="23" t="str">
        <f aca="false">CHOOSE(K11,"Senin","Selasa","Rabu","Kamis","Jumat","Sabtu","Minggu")</f>
        <v>Minggu</v>
      </c>
      <c r="M11" s="23" t="str">
        <f aca="false">IF(K11&gt;=6,"Akhir Pekan","Hari Kerja")</f>
        <v>Akhir Pekan</v>
      </c>
    </row>
    <row r="12" customFormat="false" ht="15" hidden="false" customHeight="false" outlineLevel="0" collapsed="false">
      <c r="A12" s="17" t="s">
        <v>131</v>
      </c>
      <c r="B12" s="18" t="n">
        <v>46336</v>
      </c>
      <c r="C12" s="17" t="s">
        <v>116</v>
      </c>
      <c r="D12" s="17" t="s">
        <v>125</v>
      </c>
      <c r="E12" s="17" t="s">
        <v>132</v>
      </c>
      <c r="F12" s="19" t="n">
        <v>10</v>
      </c>
      <c r="G12" s="20" t="n">
        <v>26000</v>
      </c>
      <c r="H12" s="21" t="n">
        <f aca="false">F12*G12</f>
        <v>260000</v>
      </c>
      <c r="I12" s="21" t="n">
        <f aca="false">IF(H12&gt;=$P$2,H12*$P$3,0)</f>
        <v>13000</v>
      </c>
      <c r="J12" s="21" t="n">
        <f aca="false">H12-I12</f>
        <v>247000</v>
      </c>
      <c r="K12" s="22" t="n">
        <f aca="false">WEEKDAY(B12,2)</f>
        <v>2</v>
      </c>
      <c r="L12" s="23" t="str">
        <f aca="false">CHOOSE(K12,"Senin","Selasa","Rabu","Kamis","Jumat","Sabtu","Minggu")</f>
        <v>Selasa</v>
      </c>
      <c r="M12" s="23" t="str">
        <f aca="false">IF(K12&gt;=6,"Akhir Pekan","Hari Kerja")</f>
        <v>Hari Kerja</v>
      </c>
    </row>
    <row r="13" customFormat="false" ht="15" hidden="false" customHeight="false" outlineLevel="0" collapsed="false">
      <c r="A13" s="17" t="s">
        <v>133</v>
      </c>
      <c r="B13" s="18" t="n">
        <v>46337</v>
      </c>
      <c r="C13" s="17" t="s">
        <v>104</v>
      </c>
      <c r="D13" s="17" t="s">
        <v>105</v>
      </c>
      <c r="E13" s="17" t="s">
        <v>114</v>
      </c>
      <c r="F13" s="19" t="n">
        <v>8</v>
      </c>
      <c r="G13" s="20" t="n">
        <v>72000</v>
      </c>
      <c r="H13" s="21" t="n">
        <f aca="false">F13*G13</f>
        <v>576000</v>
      </c>
      <c r="I13" s="21" t="n">
        <f aca="false">IF(H13&gt;=$P$2,H13*$P$3,0)</f>
        <v>28800</v>
      </c>
      <c r="J13" s="21" t="n">
        <f aca="false">H13-I13</f>
        <v>547200</v>
      </c>
      <c r="K13" s="22" t="n">
        <f aca="false">WEEKDAY(B13,2)</f>
        <v>3</v>
      </c>
      <c r="L13" s="23" t="str">
        <f aca="false">CHOOSE(K13,"Senin","Selasa","Rabu","Kamis","Jumat","Sabtu","Minggu")</f>
        <v>Rabu</v>
      </c>
      <c r="M13" s="23" t="str">
        <f aca="false">IF(K13&gt;=6,"Akhir Pekan","Hari Kerja")</f>
        <v>Hari Kerja</v>
      </c>
    </row>
    <row r="14" customFormat="false" ht="15" hidden="false" customHeight="false" outlineLevel="0" collapsed="false">
      <c r="A14" s="17" t="s">
        <v>134</v>
      </c>
      <c r="B14" s="18" t="n">
        <v>46338</v>
      </c>
      <c r="C14" s="17" t="s">
        <v>110</v>
      </c>
      <c r="D14" s="17" t="s">
        <v>128</v>
      </c>
      <c r="E14" s="17" t="s">
        <v>135</v>
      </c>
      <c r="F14" s="19" t="n">
        <v>4</v>
      </c>
      <c r="G14" s="20" t="n">
        <v>45000</v>
      </c>
      <c r="H14" s="21" t="n">
        <f aca="false">F14*G14</f>
        <v>180000</v>
      </c>
      <c r="I14" s="21" t="n">
        <f aca="false">IF(H14&gt;=$P$2,H14*$P$3,0)</f>
        <v>9000</v>
      </c>
      <c r="J14" s="21" t="n">
        <f aca="false">H14-I14</f>
        <v>171000</v>
      </c>
      <c r="K14" s="22" t="n">
        <f aca="false">WEEKDAY(B14,2)</f>
        <v>4</v>
      </c>
      <c r="L14" s="23" t="str">
        <f aca="false">CHOOSE(K14,"Senin","Selasa","Rabu","Kamis","Jumat","Sabtu","Minggu")</f>
        <v>Kamis</v>
      </c>
      <c r="M14" s="23" t="str">
        <f aca="false">IF(K14&gt;=6,"Akhir Pekan","Hari Kerja")</f>
        <v>Hari Kerja</v>
      </c>
    </row>
    <row r="15" customFormat="false" ht="15" hidden="false" customHeight="false" outlineLevel="0" collapsed="false">
      <c r="A15" s="17" t="s">
        <v>136</v>
      </c>
      <c r="B15" s="18" t="n">
        <v>46338</v>
      </c>
      <c r="C15" s="17" t="s">
        <v>110</v>
      </c>
      <c r="D15" s="17" t="s">
        <v>125</v>
      </c>
      <c r="E15" s="17" t="s">
        <v>132</v>
      </c>
      <c r="F15" s="19" t="n">
        <v>10</v>
      </c>
      <c r="G15" s="20" t="n">
        <v>26000</v>
      </c>
      <c r="H15" s="21" t="n">
        <f aca="false">F15*G15</f>
        <v>260000</v>
      </c>
      <c r="I15" s="21" t="n">
        <f aca="false">IF(H15&gt;=$P$2,H15*$P$3,0)</f>
        <v>13000</v>
      </c>
      <c r="J15" s="21" t="n">
        <f aca="false">H15-I15</f>
        <v>247000</v>
      </c>
      <c r="K15" s="22" t="n">
        <f aca="false">WEEKDAY(B15,2)</f>
        <v>4</v>
      </c>
      <c r="L15" s="23" t="str">
        <f aca="false">CHOOSE(K15,"Senin","Selasa","Rabu","Kamis","Jumat","Sabtu","Minggu")</f>
        <v>Kamis</v>
      </c>
      <c r="M15" s="23" t="str">
        <f aca="false">IF(K15&gt;=6,"Akhir Pekan","Hari Kerja")</f>
        <v>Hari Kerja</v>
      </c>
    </row>
    <row r="16" customFormat="false" ht="15" hidden="false" customHeight="false" outlineLevel="0" collapsed="false">
      <c r="A16" s="17" t="s">
        <v>137</v>
      </c>
      <c r="B16" s="18" t="n">
        <v>46339</v>
      </c>
      <c r="C16" s="17" t="s">
        <v>110</v>
      </c>
      <c r="D16" s="17" t="s">
        <v>125</v>
      </c>
      <c r="E16" s="17" t="s">
        <v>132</v>
      </c>
      <c r="F16" s="19" t="n">
        <v>10</v>
      </c>
      <c r="G16" s="20" t="n">
        <v>26000</v>
      </c>
      <c r="H16" s="21" t="n">
        <f aca="false">F16*G16</f>
        <v>260000</v>
      </c>
      <c r="I16" s="21" t="n">
        <f aca="false">IF(H16&gt;=$P$2,H16*$P$3,0)</f>
        <v>13000</v>
      </c>
      <c r="J16" s="21" t="n">
        <f aca="false">H16-I16</f>
        <v>247000</v>
      </c>
      <c r="K16" s="22" t="n">
        <f aca="false">WEEKDAY(B16,2)</f>
        <v>5</v>
      </c>
      <c r="L16" s="23" t="str">
        <f aca="false">CHOOSE(K16,"Senin","Selasa","Rabu","Kamis","Jumat","Sabtu","Minggu")</f>
        <v>Jumat</v>
      </c>
      <c r="M16" s="23" t="str">
        <f aca="false">IF(K16&gt;=6,"Akhir Pekan","Hari Kerja")</f>
        <v>Hari Kerja</v>
      </c>
    </row>
    <row r="17" customFormat="false" ht="15" hidden="false" customHeight="false" outlineLevel="0" collapsed="false">
      <c r="A17" s="17" t="s">
        <v>138</v>
      </c>
      <c r="B17" s="18" t="n">
        <v>46340</v>
      </c>
      <c r="C17" s="17" t="s">
        <v>104</v>
      </c>
      <c r="D17" s="17" t="s">
        <v>120</v>
      </c>
      <c r="E17" s="17" t="s">
        <v>139</v>
      </c>
      <c r="F17" s="19" t="n">
        <v>6</v>
      </c>
      <c r="G17" s="20" t="n">
        <v>42000</v>
      </c>
      <c r="H17" s="21" t="n">
        <f aca="false">F17*G17</f>
        <v>252000</v>
      </c>
      <c r="I17" s="21" t="n">
        <f aca="false">IF(H17&gt;=$P$2,H17*$P$3,0)</f>
        <v>12600</v>
      </c>
      <c r="J17" s="21" t="n">
        <f aca="false">H17-I17</f>
        <v>239400</v>
      </c>
      <c r="K17" s="22" t="n">
        <f aca="false">WEEKDAY(B17,2)</f>
        <v>6</v>
      </c>
      <c r="L17" s="23" t="str">
        <f aca="false">CHOOSE(K17,"Senin","Selasa","Rabu","Kamis","Jumat","Sabtu","Minggu")</f>
        <v>Sabtu</v>
      </c>
      <c r="M17" s="23" t="str">
        <f aca="false">IF(K17&gt;=6,"Akhir Pekan","Hari Kerja")</f>
        <v>Akhir Pekan</v>
      </c>
    </row>
    <row r="18" customFormat="false" ht="15" hidden="false" customHeight="false" outlineLevel="0" collapsed="false">
      <c r="A18" s="17" t="s">
        <v>140</v>
      </c>
      <c r="B18" s="18" t="n">
        <v>46341</v>
      </c>
      <c r="C18" s="17" t="s">
        <v>104</v>
      </c>
      <c r="D18" s="17" t="s">
        <v>125</v>
      </c>
      <c r="E18" s="17" t="s">
        <v>126</v>
      </c>
      <c r="F18" s="19" t="n">
        <v>6</v>
      </c>
      <c r="G18" s="20" t="n">
        <v>29000</v>
      </c>
      <c r="H18" s="21" t="n">
        <f aca="false">F18*G18</f>
        <v>174000</v>
      </c>
      <c r="I18" s="21" t="n">
        <f aca="false">IF(H18&gt;=$P$2,H18*$P$3,0)</f>
        <v>8700</v>
      </c>
      <c r="J18" s="21" t="n">
        <f aca="false">H18-I18</f>
        <v>165300</v>
      </c>
      <c r="K18" s="22" t="n">
        <f aca="false">WEEKDAY(B18,2)</f>
        <v>7</v>
      </c>
      <c r="L18" s="23" t="str">
        <f aca="false">CHOOSE(K18,"Senin","Selasa","Rabu","Kamis","Jumat","Sabtu","Minggu")</f>
        <v>Minggu</v>
      </c>
      <c r="M18" s="23" t="str">
        <f aca="false">IF(K18&gt;=6,"Akhir Pekan","Hari Kerja")</f>
        <v>Akhir Pekan</v>
      </c>
    </row>
    <row r="19" customFormat="false" ht="15" hidden="false" customHeight="false" outlineLevel="0" collapsed="false">
      <c r="A19" s="17" t="s">
        <v>141</v>
      </c>
      <c r="B19" s="18" t="n">
        <v>46342</v>
      </c>
      <c r="C19" s="17" t="s">
        <v>119</v>
      </c>
      <c r="D19" s="17" t="s">
        <v>128</v>
      </c>
      <c r="E19" s="17" t="s">
        <v>142</v>
      </c>
      <c r="F19" s="19" t="n">
        <v>5</v>
      </c>
      <c r="G19" s="20" t="n">
        <v>33000</v>
      </c>
      <c r="H19" s="21" t="n">
        <f aca="false">F19*G19</f>
        <v>165000</v>
      </c>
      <c r="I19" s="21" t="n">
        <f aca="false">IF(H19&gt;=$P$2,H19*$P$3,0)</f>
        <v>8250</v>
      </c>
      <c r="J19" s="21" t="n">
        <f aca="false">H19-I19</f>
        <v>156750</v>
      </c>
      <c r="K19" s="22" t="n">
        <f aca="false">WEEKDAY(B19,2)</f>
        <v>1</v>
      </c>
      <c r="L19" s="23" t="str">
        <f aca="false">CHOOSE(K19,"Senin","Selasa","Rabu","Kamis","Jumat","Sabtu","Minggu")</f>
        <v>Senin</v>
      </c>
      <c r="M19" s="23" t="str">
        <f aca="false">IF(K19&gt;=6,"Akhir Pekan","Hari Kerja")</f>
        <v>Hari Kerja</v>
      </c>
    </row>
    <row r="20" customFormat="false" ht="15" hidden="false" customHeight="false" outlineLevel="0" collapsed="false">
      <c r="A20" s="17" t="s">
        <v>143</v>
      </c>
      <c r="B20" s="18" t="n">
        <v>46343</v>
      </c>
      <c r="C20" s="17" t="s">
        <v>110</v>
      </c>
      <c r="D20" s="17" t="s">
        <v>105</v>
      </c>
      <c r="E20" s="17" t="s">
        <v>111</v>
      </c>
      <c r="F20" s="19" t="n">
        <v>6</v>
      </c>
      <c r="G20" s="20" t="n">
        <v>56000</v>
      </c>
      <c r="H20" s="21" t="n">
        <f aca="false">F20*G20</f>
        <v>336000</v>
      </c>
      <c r="I20" s="21" t="n">
        <f aca="false">IF(H20&gt;=$P$2,H20*$P$3,0)</f>
        <v>16800</v>
      </c>
      <c r="J20" s="21" t="n">
        <f aca="false">H20-I20</f>
        <v>319200</v>
      </c>
      <c r="K20" s="22" t="n">
        <f aca="false">WEEKDAY(B20,2)</f>
        <v>2</v>
      </c>
      <c r="L20" s="23" t="str">
        <f aca="false">CHOOSE(K20,"Senin","Selasa","Rabu","Kamis","Jumat","Sabtu","Minggu")</f>
        <v>Selasa</v>
      </c>
      <c r="M20" s="23" t="str">
        <f aca="false">IF(K20&gt;=6,"Akhir Pekan","Hari Kerja")</f>
        <v>Hari Kerja</v>
      </c>
    </row>
    <row r="21" customFormat="false" ht="15" hidden="false" customHeight="false" outlineLevel="0" collapsed="false">
      <c r="A21" s="17" t="s">
        <v>144</v>
      </c>
      <c r="B21" s="18" t="n">
        <v>46343</v>
      </c>
      <c r="C21" s="17" t="s">
        <v>110</v>
      </c>
      <c r="D21" s="17" t="s">
        <v>120</v>
      </c>
      <c r="E21" s="17" t="s">
        <v>145</v>
      </c>
      <c r="F21" s="19" t="n">
        <v>10</v>
      </c>
      <c r="G21" s="20" t="n">
        <v>135000</v>
      </c>
      <c r="H21" s="21" t="n">
        <f aca="false">F21*G21</f>
        <v>1350000</v>
      </c>
      <c r="I21" s="21" t="n">
        <f aca="false">IF(H21&gt;=$P$2,H21*$P$3,0)</f>
        <v>67500</v>
      </c>
      <c r="J21" s="21" t="n">
        <f aca="false">H21-I21</f>
        <v>1282500</v>
      </c>
      <c r="K21" s="22" t="n">
        <f aca="false">WEEKDAY(B21,2)</f>
        <v>2</v>
      </c>
      <c r="L21" s="23" t="str">
        <f aca="false">CHOOSE(K21,"Senin","Selasa","Rabu","Kamis","Jumat","Sabtu","Minggu")</f>
        <v>Selasa</v>
      </c>
      <c r="M21" s="23" t="str">
        <f aca="false">IF(K21&gt;=6,"Akhir Pekan","Hari Kerja")</f>
        <v>Hari Kerja</v>
      </c>
    </row>
    <row r="22" customFormat="false" ht="15" hidden="false" customHeight="false" outlineLevel="0" collapsed="false">
      <c r="A22" s="17" t="s">
        <v>146</v>
      </c>
      <c r="B22" s="18" t="n">
        <v>46344</v>
      </c>
      <c r="C22" s="17" t="s">
        <v>104</v>
      </c>
      <c r="D22" s="17" t="s">
        <v>128</v>
      </c>
      <c r="E22" s="17" t="s">
        <v>142</v>
      </c>
      <c r="F22" s="19" t="n">
        <v>3</v>
      </c>
      <c r="G22" s="20" t="n">
        <v>33000</v>
      </c>
      <c r="H22" s="21" t="n">
        <f aca="false">F22*G22</f>
        <v>99000</v>
      </c>
      <c r="I22" s="21" t="n">
        <f aca="false">IF(H22&gt;=$P$2,H22*$P$3,0)</f>
        <v>0</v>
      </c>
      <c r="J22" s="21" t="n">
        <f aca="false">H22-I22</f>
        <v>99000</v>
      </c>
      <c r="K22" s="22" t="n">
        <f aca="false">WEEKDAY(B22,2)</f>
        <v>3</v>
      </c>
      <c r="L22" s="23" t="str">
        <f aca="false">CHOOSE(K22,"Senin","Selasa","Rabu","Kamis","Jumat","Sabtu","Minggu")</f>
        <v>Rabu</v>
      </c>
      <c r="M22" s="23" t="str">
        <f aca="false">IF(K22&gt;=6,"Akhir Pekan","Hari Kerja")</f>
        <v>Hari Kerja</v>
      </c>
    </row>
    <row r="23" customFormat="false" ht="15" hidden="false" customHeight="false" outlineLevel="0" collapsed="false">
      <c r="A23" s="17" t="s">
        <v>147</v>
      </c>
      <c r="B23" s="18" t="n">
        <v>46344</v>
      </c>
      <c r="C23" s="17" t="s">
        <v>116</v>
      </c>
      <c r="D23" s="17" t="s">
        <v>120</v>
      </c>
      <c r="E23" s="17" t="s">
        <v>145</v>
      </c>
      <c r="F23" s="19" t="n">
        <v>2</v>
      </c>
      <c r="G23" s="20" t="n">
        <v>135000</v>
      </c>
      <c r="H23" s="21" t="n">
        <f aca="false">F23*G23</f>
        <v>270000</v>
      </c>
      <c r="I23" s="21" t="n">
        <f aca="false">IF(H23&gt;=$P$2,H23*$P$3,0)</f>
        <v>13500</v>
      </c>
      <c r="J23" s="21" t="n">
        <f aca="false">H23-I23</f>
        <v>256500</v>
      </c>
      <c r="K23" s="22" t="n">
        <f aca="false">WEEKDAY(B23,2)</f>
        <v>3</v>
      </c>
      <c r="L23" s="23" t="str">
        <f aca="false">CHOOSE(K23,"Senin","Selasa","Rabu","Kamis","Jumat","Sabtu","Minggu")</f>
        <v>Rabu</v>
      </c>
      <c r="M23" s="23" t="str">
        <f aca="false">IF(K23&gt;=6,"Akhir Pekan","Hari Kerja")</f>
        <v>Hari Kerja</v>
      </c>
    </row>
    <row r="24" customFormat="false" ht="15" hidden="false" customHeight="false" outlineLevel="0" collapsed="false">
      <c r="A24" s="17" t="s">
        <v>148</v>
      </c>
      <c r="B24" s="18" t="n">
        <v>46344</v>
      </c>
      <c r="C24" s="17" t="s">
        <v>119</v>
      </c>
      <c r="D24" s="17" t="s">
        <v>125</v>
      </c>
      <c r="E24" s="17" t="s">
        <v>132</v>
      </c>
      <c r="F24" s="19" t="n">
        <v>2</v>
      </c>
      <c r="G24" s="20" t="n">
        <v>26000</v>
      </c>
      <c r="H24" s="21" t="n">
        <f aca="false">F24*G24</f>
        <v>52000</v>
      </c>
      <c r="I24" s="21" t="n">
        <f aca="false">IF(H24&gt;=$P$2,H24*$P$3,0)</f>
        <v>0</v>
      </c>
      <c r="J24" s="21" t="n">
        <f aca="false">H24-I24</f>
        <v>52000</v>
      </c>
      <c r="K24" s="22" t="n">
        <f aca="false">WEEKDAY(B24,2)</f>
        <v>3</v>
      </c>
      <c r="L24" s="23" t="str">
        <f aca="false">CHOOSE(K24,"Senin","Selasa","Rabu","Kamis","Jumat","Sabtu","Minggu")</f>
        <v>Rabu</v>
      </c>
      <c r="M24" s="23" t="str">
        <f aca="false">IF(K24&gt;=6,"Akhir Pekan","Hari Kerja")</f>
        <v>Hari Kerja</v>
      </c>
    </row>
    <row r="25" customFormat="false" ht="15" hidden="false" customHeight="false" outlineLevel="0" collapsed="false">
      <c r="A25" s="17" t="s">
        <v>149</v>
      </c>
      <c r="B25" s="18" t="n">
        <v>46346</v>
      </c>
      <c r="C25" s="17" t="s">
        <v>119</v>
      </c>
      <c r="D25" s="17" t="s">
        <v>128</v>
      </c>
      <c r="E25" s="17" t="s">
        <v>150</v>
      </c>
      <c r="F25" s="19" t="n">
        <v>6</v>
      </c>
      <c r="G25" s="20" t="n">
        <v>52000</v>
      </c>
      <c r="H25" s="21" t="n">
        <f aca="false">F25*G25</f>
        <v>312000</v>
      </c>
      <c r="I25" s="21" t="n">
        <f aca="false">IF(H25&gt;=$P$2,H25*$P$3,0)</f>
        <v>15600</v>
      </c>
      <c r="J25" s="21" t="n">
        <f aca="false">H25-I25</f>
        <v>296400</v>
      </c>
      <c r="K25" s="22" t="n">
        <f aca="false">WEEKDAY(B25,2)</f>
        <v>5</v>
      </c>
      <c r="L25" s="23" t="str">
        <f aca="false">CHOOSE(K25,"Senin","Selasa","Rabu","Kamis","Jumat","Sabtu","Minggu")</f>
        <v>Jumat</v>
      </c>
      <c r="M25" s="23" t="str">
        <f aca="false">IF(K25&gt;=6,"Akhir Pekan","Hari Kerja")</f>
        <v>Hari Kerja</v>
      </c>
    </row>
    <row r="26" customFormat="false" ht="15" hidden="false" customHeight="false" outlineLevel="0" collapsed="false">
      <c r="A26" s="17" t="s">
        <v>151</v>
      </c>
      <c r="B26" s="18" t="n">
        <v>46347</v>
      </c>
      <c r="C26" s="17" t="s">
        <v>119</v>
      </c>
      <c r="D26" s="17" t="s">
        <v>105</v>
      </c>
      <c r="E26" s="17" t="s">
        <v>111</v>
      </c>
      <c r="F26" s="19" t="n">
        <v>3</v>
      </c>
      <c r="G26" s="20" t="n">
        <v>56000</v>
      </c>
      <c r="H26" s="21" t="n">
        <f aca="false">F26*G26</f>
        <v>168000</v>
      </c>
      <c r="I26" s="21" t="n">
        <f aca="false">IF(H26&gt;=$P$2,H26*$P$3,0)</f>
        <v>8400</v>
      </c>
      <c r="J26" s="21" t="n">
        <f aca="false">H26-I26</f>
        <v>159600</v>
      </c>
      <c r="K26" s="22" t="n">
        <f aca="false">WEEKDAY(B26,2)</f>
        <v>6</v>
      </c>
      <c r="L26" s="23" t="str">
        <f aca="false">CHOOSE(K26,"Senin","Selasa","Rabu","Kamis","Jumat","Sabtu","Minggu")</f>
        <v>Sabtu</v>
      </c>
      <c r="M26" s="23" t="str">
        <f aca="false">IF(K26&gt;=6,"Akhir Pekan","Hari Kerja")</f>
        <v>Akhir Pekan</v>
      </c>
    </row>
    <row r="27" customFormat="false" ht="15" hidden="false" customHeight="false" outlineLevel="0" collapsed="false">
      <c r="A27" s="17" t="s">
        <v>152</v>
      </c>
      <c r="B27" s="18" t="n">
        <v>46348</v>
      </c>
      <c r="C27" s="17" t="s">
        <v>116</v>
      </c>
      <c r="D27" s="17" t="s">
        <v>105</v>
      </c>
      <c r="E27" s="17" t="s">
        <v>106</v>
      </c>
      <c r="F27" s="19" t="n">
        <v>2</v>
      </c>
      <c r="G27" s="20" t="n">
        <v>38000</v>
      </c>
      <c r="H27" s="21" t="n">
        <f aca="false">F27*G27</f>
        <v>76000</v>
      </c>
      <c r="I27" s="21" t="n">
        <f aca="false">IF(H27&gt;=$P$2,H27*$P$3,0)</f>
        <v>0</v>
      </c>
      <c r="J27" s="21" t="n">
        <f aca="false">H27-I27</f>
        <v>76000</v>
      </c>
      <c r="K27" s="22" t="n">
        <f aca="false">WEEKDAY(B27,2)</f>
        <v>7</v>
      </c>
      <c r="L27" s="23" t="str">
        <f aca="false">CHOOSE(K27,"Senin","Selasa","Rabu","Kamis","Jumat","Sabtu","Minggu")</f>
        <v>Minggu</v>
      </c>
      <c r="M27" s="23" t="str">
        <f aca="false">IF(K27&gt;=6,"Akhir Pekan","Hari Kerja")</f>
        <v>Akhir Pekan</v>
      </c>
    </row>
    <row r="28" customFormat="false" ht="15" hidden="false" customHeight="false" outlineLevel="0" collapsed="false">
      <c r="A28" s="17" t="s">
        <v>153</v>
      </c>
      <c r="B28" s="18" t="n">
        <v>46349</v>
      </c>
      <c r="C28" s="17" t="s">
        <v>119</v>
      </c>
      <c r="D28" s="17" t="s">
        <v>128</v>
      </c>
      <c r="E28" s="17" t="s">
        <v>142</v>
      </c>
      <c r="F28" s="19" t="n">
        <v>6</v>
      </c>
      <c r="G28" s="20" t="n">
        <v>33000</v>
      </c>
      <c r="H28" s="21" t="n">
        <f aca="false">F28*G28</f>
        <v>198000</v>
      </c>
      <c r="I28" s="21" t="n">
        <f aca="false">IF(H28&gt;=$P$2,H28*$P$3,0)</f>
        <v>9900</v>
      </c>
      <c r="J28" s="21" t="n">
        <f aca="false">H28-I28</f>
        <v>188100</v>
      </c>
      <c r="K28" s="22" t="n">
        <f aca="false">WEEKDAY(B28,2)</f>
        <v>1</v>
      </c>
      <c r="L28" s="23" t="str">
        <f aca="false">CHOOSE(K28,"Senin","Selasa","Rabu","Kamis","Jumat","Sabtu","Minggu")</f>
        <v>Senin</v>
      </c>
      <c r="M28" s="23" t="str">
        <f aca="false">IF(K28&gt;=6,"Akhir Pekan","Hari Kerja")</f>
        <v>Hari Kerja</v>
      </c>
    </row>
    <row r="29" customFormat="false" ht="15" hidden="false" customHeight="false" outlineLevel="0" collapsed="false">
      <c r="A29" s="17" t="s">
        <v>154</v>
      </c>
      <c r="B29" s="18" t="n">
        <v>46351</v>
      </c>
      <c r="C29" s="17" t="s">
        <v>110</v>
      </c>
      <c r="D29" s="17" t="s">
        <v>125</v>
      </c>
      <c r="E29" s="17" t="s">
        <v>155</v>
      </c>
      <c r="F29" s="19" t="n">
        <v>3</v>
      </c>
      <c r="G29" s="20" t="n">
        <v>31000</v>
      </c>
      <c r="H29" s="21" t="n">
        <f aca="false">F29*G29</f>
        <v>93000</v>
      </c>
      <c r="I29" s="21" t="n">
        <f aca="false">IF(H29&gt;=$P$2,H29*$P$3,0)</f>
        <v>0</v>
      </c>
      <c r="J29" s="21" t="n">
        <f aca="false">H29-I29</f>
        <v>93000</v>
      </c>
      <c r="K29" s="22" t="n">
        <f aca="false">WEEKDAY(B29,2)</f>
        <v>3</v>
      </c>
      <c r="L29" s="23" t="str">
        <f aca="false">CHOOSE(K29,"Senin","Selasa","Rabu","Kamis","Jumat","Sabtu","Minggu")</f>
        <v>Rabu</v>
      </c>
      <c r="M29" s="23" t="str">
        <f aca="false">IF(K29&gt;=6,"Akhir Pekan","Hari Kerja")</f>
        <v>Hari Kerja</v>
      </c>
    </row>
    <row r="30" customFormat="false" ht="15" hidden="false" customHeight="false" outlineLevel="0" collapsed="false">
      <c r="A30" s="17" t="s">
        <v>156</v>
      </c>
      <c r="B30" s="18" t="n">
        <v>46351</v>
      </c>
      <c r="C30" s="17" t="s">
        <v>110</v>
      </c>
      <c r="D30" s="17" t="s">
        <v>105</v>
      </c>
      <c r="E30" s="17" t="s">
        <v>106</v>
      </c>
      <c r="F30" s="19" t="n">
        <v>10</v>
      </c>
      <c r="G30" s="20" t="n">
        <v>38000</v>
      </c>
      <c r="H30" s="21" t="n">
        <f aca="false">F30*G30</f>
        <v>380000</v>
      </c>
      <c r="I30" s="21" t="n">
        <f aca="false">IF(H30&gt;=$P$2,H30*$P$3,0)</f>
        <v>19000</v>
      </c>
      <c r="J30" s="21" t="n">
        <f aca="false">H30-I30</f>
        <v>361000</v>
      </c>
      <c r="K30" s="22" t="n">
        <f aca="false">WEEKDAY(B30,2)</f>
        <v>3</v>
      </c>
      <c r="L30" s="23" t="str">
        <f aca="false">CHOOSE(K30,"Senin","Selasa","Rabu","Kamis","Jumat","Sabtu","Minggu")</f>
        <v>Rabu</v>
      </c>
      <c r="M30" s="23" t="str">
        <f aca="false">IF(K30&gt;=6,"Akhir Pekan","Hari Kerja")</f>
        <v>Hari Kerja</v>
      </c>
    </row>
    <row r="31" customFormat="false" ht="15" hidden="false" customHeight="false" outlineLevel="0" collapsed="false">
      <c r="A31" s="17" t="s">
        <v>157</v>
      </c>
      <c r="B31" s="18" t="n">
        <v>46352</v>
      </c>
      <c r="C31" s="17" t="s">
        <v>104</v>
      </c>
      <c r="D31" s="17" t="s">
        <v>128</v>
      </c>
      <c r="E31" s="17" t="s">
        <v>129</v>
      </c>
      <c r="F31" s="19" t="n">
        <v>10</v>
      </c>
      <c r="G31" s="20" t="n">
        <v>27000</v>
      </c>
      <c r="H31" s="21" t="n">
        <f aca="false">F31*G31</f>
        <v>270000</v>
      </c>
      <c r="I31" s="21" t="n">
        <f aca="false">IF(H31&gt;=$P$2,H31*$P$3,0)</f>
        <v>13500</v>
      </c>
      <c r="J31" s="21" t="n">
        <f aca="false">H31-I31</f>
        <v>256500</v>
      </c>
      <c r="K31" s="22" t="n">
        <f aca="false">WEEKDAY(B31,2)</f>
        <v>4</v>
      </c>
      <c r="L31" s="23" t="str">
        <f aca="false">CHOOSE(K31,"Senin","Selasa","Rabu","Kamis","Jumat","Sabtu","Minggu")</f>
        <v>Kamis</v>
      </c>
      <c r="M31" s="23" t="str">
        <f aca="false">IF(K31&gt;=6,"Akhir Pekan","Hari Kerja")</f>
        <v>Hari Kerja</v>
      </c>
    </row>
    <row r="32" customFormat="false" ht="15" hidden="false" customHeight="false" outlineLevel="0" collapsed="false">
      <c r="A32" s="17" t="s">
        <v>158</v>
      </c>
      <c r="B32" s="18" t="n">
        <v>46353</v>
      </c>
      <c r="C32" s="17" t="s">
        <v>119</v>
      </c>
      <c r="D32" s="17" t="s">
        <v>125</v>
      </c>
      <c r="E32" s="17" t="s">
        <v>132</v>
      </c>
      <c r="F32" s="19" t="n">
        <v>6</v>
      </c>
      <c r="G32" s="20" t="n">
        <v>26000</v>
      </c>
      <c r="H32" s="21" t="n">
        <f aca="false">F32*G32</f>
        <v>156000</v>
      </c>
      <c r="I32" s="21" t="n">
        <f aca="false">IF(H32&gt;=$P$2,H32*$P$3,0)</f>
        <v>7800</v>
      </c>
      <c r="J32" s="21" t="n">
        <f aca="false">H32-I32</f>
        <v>148200</v>
      </c>
      <c r="K32" s="22" t="n">
        <f aca="false">WEEKDAY(B32,2)</f>
        <v>5</v>
      </c>
      <c r="L32" s="23" t="str">
        <f aca="false">CHOOSE(K32,"Senin","Selasa","Rabu","Kamis","Jumat","Sabtu","Minggu")</f>
        <v>Jumat</v>
      </c>
      <c r="M32" s="23" t="str">
        <f aca="false">IF(K32&gt;=6,"Akhir Pekan","Hari Kerja")</f>
        <v>Hari Kerja</v>
      </c>
    </row>
    <row r="33" customFormat="false" ht="15" hidden="false" customHeight="false" outlineLevel="0" collapsed="false">
      <c r="A33" s="17" t="s">
        <v>159</v>
      </c>
      <c r="B33" s="18" t="n">
        <v>46354</v>
      </c>
      <c r="C33" s="17" t="s">
        <v>110</v>
      </c>
      <c r="D33" s="17" t="s">
        <v>128</v>
      </c>
      <c r="E33" s="17" t="s">
        <v>142</v>
      </c>
      <c r="F33" s="19" t="n">
        <v>2</v>
      </c>
      <c r="G33" s="20" t="n">
        <v>33000</v>
      </c>
      <c r="H33" s="21" t="n">
        <f aca="false">F33*G33</f>
        <v>66000</v>
      </c>
      <c r="I33" s="21" t="n">
        <f aca="false">IF(H33&gt;=$P$2,H33*$P$3,0)</f>
        <v>0</v>
      </c>
      <c r="J33" s="21" t="n">
        <f aca="false">H33-I33</f>
        <v>66000</v>
      </c>
      <c r="K33" s="22" t="n">
        <f aca="false">WEEKDAY(B33,2)</f>
        <v>6</v>
      </c>
      <c r="L33" s="23" t="str">
        <f aca="false">CHOOSE(K33,"Senin","Selasa","Rabu","Kamis","Jumat","Sabtu","Minggu")</f>
        <v>Sabtu</v>
      </c>
      <c r="M33" s="23" t="str">
        <f aca="false">IF(K33&gt;=6,"Akhir Pekan","Hari Kerja")</f>
        <v>Akhir Pekan</v>
      </c>
    </row>
    <row r="34" customFormat="false" ht="15" hidden="false" customHeight="false" outlineLevel="0" collapsed="false">
      <c r="A34" s="17" t="s">
        <v>160</v>
      </c>
      <c r="B34" s="18" t="n">
        <v>46355</v>
      </c>
      <c r="C34" s="17" t="s">
        <v>119</v>
      </c>
      <c r="D34" s="17" t="s">
        <v>120</v>
      </c>
      <c r="E34" s="17" t="s">
        <v>121</v>
      </c>
      <c r="F34" s="19" t="n">
        <v>2</v>
      </c>
      <c r="G34" s="20" t="n">
        <v>14000</v>
      </c>
      <c r="H34" s="21" t="n">
        <f aca="false">F34*G34</f>
        <v>28000</v>
      </c>
      <c r="I34" s="21" t="n">
        <f aca="false">IF(H34&gt;=$P$2,H34*$P$3,0)</f>
        <v>0</v>
      </c>
      <c r="J34" s="21" t="n">
        <f aca="false">H34-I34</f>
        <v>28000</v>
      </c>
      <c r="K34" s="22" t="n">
        <f aca="false">WEEKDAY(B34,2)</f>
        <v>7</v>
      </c>
      <c r="L34" s="23" t="str">
        <f aca="false">CHOOSE(K34,"Senin","Selasa","Rabu","Kamis","Jumat","Sabtu","Minggu")</f>
        <v>Minggu</v>
      </c>
      <c r="M34" s="23" t="str">
        <f aca="false">IF(K34&gt;=6,"Akhir Pekan","Hari Kerja")</f>
        <v>Akhir Pekan</v>
      </c>
    </row>
    <row r="35" customFormat="false" ht="15" hidden="false" customHeight="false" outlineLevel="0" collapsed="false">
      <c r="A35" s="17" t="s">
        <v>161</v>
      </c>
      <c r="B35" s="18" t="n">
        <v>46356</v>
      </c>
      <c r="C35" s="17" t="s">
        <v>116</v>
      </c>
      <c r="D35" s="17" t="s">
        <v>125</v>
      </c>
      <c r="E35" s="17" t="s">
        <v>132</v>
      </c>
      <c r="F35" s="19" t="n">
        <v>3</v>
      </c>
      <c r="G35" s="20" t="n">
        <v>26000</v>
      </c>
      <c r="H35" s="21" t="n">
        <f aca="false">F35*G35</f>
        <v>78000</v>
      </c>
      <c r="I35" s="21" t="n">
        <f aca="false">IF(H35&gt;=$P$2,H35*$P$3,0)</f>
        <v>0</v>
      </c>
      <c r="J35" s="21" t="n">
        <f aca="false">H35-I35</f>
        <v>78000</v>
      </c>
      <c r="K35" s="22" t="n">
        <f aca="false">WEEKDAY(B35,2)</f>
        <v>1</v>
      </c>
      <c r="L35" s="23" t="str">
        <f aca="false">CHOOSE(K35,"Senin","Selasa","Rabu","Kamis","Jumat","Sabtu","Minggu")</f>
        <v>Senin</v>
      </c>
      <c r="M35" s="23" t="str">
        <f aca="false">IF(K35&gt;=6,"Akhir Pekan","Hari Kerja")</f>
        <v>Hari Kerja</v>
      </c>
    </row>
    <row r="36" customFormat="false" ht="15" hidden="false" customHeight="false" outlineLevel="0" collapsed="false">
      <c r="A36" s="17" t="s">
        <v>162</v>
      </c>
      <c r="B36" s="18" t="n">
        <v>46357</v>
      </c>
      <c r="C36" s="17" t="s">
        <v>116</v>
      </c>
      <c r="D36" s="17" t="s">
        <v>105</v>
      </c>
      <c r="E36" s="17" t="s">
        <v>114</v>
      </c>
      <c r="F36" s="19" t="n">
        <v>1</v>
      </c>
      <c r="G36" s="20" t="n">
        <v>72000</v>
      </c>
      <c r="H36" s="21" t="n">
        <f aca="false">F36*G36</f>
        <v>72000</v>
      </c>
      <c r="I36" s="21" t="n">
        <f aca="false">IF(H36&gt;=$P$2,H36*$P$3,0)</f>
        <v>0</v>
      </c>
      <c r="J36" s="21" t="n">
        <f aca="false">H36-I36</f>
        <v>72000</v>
      </c>
      <c r="K36" s="22" t="n">
        <f aca="false">WEEKDAY(B36,2)</f>
        <v>2</v>
      </c>
      <c r="L36" s="23" t="str">
        <f aca="false">CHOOSE(K36,"Senin","Selasa","Rabu","Kamis","Jumat","Sabtu","Minggu")</f>
        <v>Selasa</v>
      </c>
      <c r="M36" s="23" t="str">
        <f aca="false">IF(K36&gt;=6,"Akhir Pekan","Hari Kerja")</f>
        <v>Hari Kerja</v>
      </c>
    </row>
    <row r="37" customFormat="false" ht="15" hidden="false" customHeight="false" outlineLevel="0" collapsed="false">
      <c r="A37" s="17" t="s">
        <v>163</v>
      </c>
      <c r="B37" s="18" t="n">
        <v>46358</v>
      </c>
      <c r="C37" s="17" t="s">
        <v>110</v>
      </c>
      <c r="D37" s="17" t="s">
        <v>128</v>
      </c>
      <c r="E37" s="17" t="s">
        <v>150</v>
      </c>
      <c r="F37" s="19" t="n">
        <v>10</v>
      </c>
      <c r="G37" s="20" t="n">
        <v>52000</v>
      </c>
      <c r="H37" s="21" t="n">
        <f aca="false">F37*G37</f>
        <v>520000</v>
      </c>
      <c r="I37" s="21" t="n">
        <f aca="false">IF(H37&gt;=$P$2,H37*$P$3,0)</f>
        <v>26000</v>
      </c>
      <c r="J37" s="21" t="n">
        <f aca="false">H37-I37</f>
        <v>494000</v>
      </c>
      <c r="K37" s="22" t="n">
        <f aca="false">WEEKDAY(B37,2)</f>
        <v>3</v>
      </c>
      <c r="L37" s="23" t="str">
        <f aca="false">CHOOSE(K37,"Senin","Selasa","Rabu","Kamis","Jumat","Sabtu","Minggu")</f>
        <v>Rabu</v>
      </c>
      <c r="M37" s="23" t="str">
        <f aca="false">IF(K37&gt;=6,"Akhir Pekan","Hari Kerja")</f>
        <v>Hari Kerja</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6"/>
    <col collapsed="false" customWidth="true" hidden="false" outlineLevel="0" max="3" min="3" style="0" width="12"/>
    <col collapsed="false" customWidth="true" hidden="false" outlineLevel="0" max="4" min="4" style="0" width="16"/>
    <col collapsed="false" customWidth="true" hidden="false" outlineLevel="0" max="6" min="5" style="0" width="14"/>
    <col collapsed="false" customWidth="true" hidden="false" outlineLevel="0" max="7" min="7" style="0" width="13"/>
  </cols>
  <sheetData>
    <row r="1" customFormat="false" ht="33.75" hidden="false" customHeight="true" outlineLevel="0" collapsed="false">
      <c r="A1" s="11" t="s">
        <v>90</v>
      </c>
      <c r="B1" s="11" t="s">
        <v>164</v>
      </c>
      <c r="C1" s="15" t="s">
        <v>165</v>
      </c>
      <c r="D1" s="15" t="s">
        <v>166</v>
      </c>
      <c r="E1" s="15" t="s">
        <v>167</v>
      </c>
      <c r="F1" s="15" t="s">
        <v>168</v>
      </c>
      <c r="G1" s="15" t="s">
        <v>169</v>
      </c>
    </row>
    <row r="2" customFormat="false" ht="15" hidden="false" customHeight="false" outlineLevel="0" collapsed="false">
      <c r="A2" s="17" t="s">
        <v>105</v>
      </c>
      <c r="B2" s="20" t="n">
        <v>2100000</v>
      </c>
      <c r="C2" s="22" t="n">
        <f aca="false">COUNTIF(Data!$D$2:$D$37,A2)</f>
        <v>11</v>
      </c>
      <c r="D2" s="21" t="n">
        <f aca="false">SUMIF(Data!$D$2:$D$37,A2,Data!$J$2:$J$37)</f>
        <v>2530700</v>
      </c>
      <c r="E2" s="22" t="n">
        <f aca="false">COUNTIFS(Data!$D$2:$D$37,A2,Data!$M$2:$M$37,"Akhir Pekan")</f>
        <v>2</v>
      </c>
      <c r="F2" s="27" t="n">
        <f aca="false">D2/B2</f>
        <v>1.20509523809524</v>
      </c>
      <c r="G2" s="23" t="str">
        <f aca="false">IF(F2&gt;=1,"Tercapai","Belum")</f>
        <v>Tercapai</v>
      </c>
    </row>
    <row r="3" customFormat="false" ht="15" hidden="false" customHeight="false" outlineLevel="0" collapsed="false">
      <c r="A3" s="17" t="s">
        <v>120</v>
      </c>
      <c r="B3" s="20" t="n">
        <v>2300000</v>
      </c>
      <c r="C3" s="22" t="n">
        <f aca="false">COUNTIF(Data!$D$2:$D$37,A3)</f>
        <v>6</v>
      </c>
      <c r="D3" s="21" t="n">
        <f aca="false">SUMIF(Data!$D$2:$D$37,A3,Data!$J$2:$J$37)</f>
        <v>2058400</v>
      </c>
      <c r="E3" s="22" t="n">
        <f aca="false">COUNTIFS(Data!$D$2:$D$37,A3,Data!$M$2:$M$37,"Akhir Pekan")</f>
        <v>2</v>
      </c>
      <c r="F3" s="27" t="n">
        <f aca="false">D3/B3</f>
        <v>0.89495652173913</v>
      </c>
      <c r="G3" s="23" t="str">
        <f aca="false">IF(F3&gt;=1,"Tercapai","Belum")</f>
        <v>Belum</v>
      </c>
    </row>
    <row r="4" customFormat="false" ht="15" hidden="false" customHeight="false" outlineLevel="0" collapsed="false">
      <c r="A4" s="17" t="s">
        <v>125</v>
      </c>
      <c r="B4" s="20" t="n">
        <v>1200000</v>
      </c>
      <c r="C4" s="22" t="n">
        <f aca="false">COUNTIF(Data!$D$2:$D$37,A4)</f>
        <v>9</v>
      </c>
      <c r="D4" s="21" t="n">
        <f aca="false">SUMIF(Data!$D$2:$D$37,A4,Data!$J$2:$J$37)</f>
        <v>1364500</v>
      </c>
      <c r="E4" s="22" t="n">
        <f aca="false">COUNTIFS(Data!$D$2:$D$37,A4,Data!$M$2:$M$37,"Akhir Pekan")</f>
        <v>1</v>
      </c>
      <c r="F4" s="27" t="n">
        <f aca="false">D4/B4</f>
        <v>1.13708333333333</v>
      </c>
      <c r="G4" s="23" t="str">
        <f aca="false">IF(F4&gt;=1,"Tercapai","Belum")</f>
        <v>Tercapai</v>
      </c>
    </row>
    <row r="5" customFormat="false" ht="15" hidden="false" customHeight="false" outlineLevel="0" collapsed="false">
      <c r="A5" s="17" t="s">
        <v>128</v>
      </c>
      <c r="B5" s="20" t="n">
        <v>2400000</v>
      </c>
      <c r="C5" s="22" t="n">
        <f aca="false">COUNTIF(Data!$D$2:$D$37,A5)</f>
        <v>10</v>
      </c>
      <c r="D5" s="21" t="n">
        <f aca="false">SUMIF(Data!$D$2:$D$37,A5,Data!$J$2:$J$37)</f>
        <v>2013950</v>
      </c>
      <c r="E5" s="22" t="n">
        <f aca="false">COUNTIFS(Data!$D$2:$D$37,A5,Data!$M$2:$M$37,"Akhir Pekan")</f>
        <v>3</v>
      </c>
      <c r="F5" s="27" t="n">
        <f aca="false">D5/B5</f>
        <v>0.839145833333333</v>
      </c>
      <c r="G5" s="23" t="str">
        <f aca="false">IF(F5&gt;=1,"Tercapai","Belum")</f>
        <v>Belum</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8" t="s">
        <v>170</v>
      </c>
      <c r="B1" s="28"/>
      <c r="C1" s="28"/>
      <c r="D1" s="28"/>
    </row>
    <row r="2" customFormat="false" ht="15" hidden="false" customHeight="false" outlineLevel="0" collapsed="false">
      <c r="A2" s="29" t="s">
        <v>171</v>
      </c>
      <c r="B2" s="29"/>
      <c r="C2" s="29"/>
      <c r="D2" s="29"/>
    </row>
    <row r="3" customFormat="false" ht="15" hidden="false" customHeight="false" outlineLevel="0" collapsed="false">
      <c r="A3" s="11" t="s">
        <v>19</v>
      </c>
      <c r="B3" s="11" t="s">
        <v>172</v>
      </c>
      <c r="C3" s="11" t="s">
        <v>173</v>
      </c>
      <c r="D3" s="11" t="s">
        <v>174</v>
      </c>
    </row>
    <row r="4" customFormat="false" ht="15" hidden="false" customHeight="false" outlineLevel="0" collapsed="false">
      <c r="A4" s="30" t="s">
        <v>175</v>
      </c>
      <c r="B4" s="31" t="s">
        <v>176</v>
      </c>
      <c r="C4" s="21" t="n">
        <f aca="false">SUM(Data!$J$2:$J$37)</f>
        <v>7967550</v>
      </c>
      <c r="D4" s="32" t="s">
        <v>177</v>
      </c>
    </row>
    <row r="5" customFormat="false" ht="15" hidden="false" customHeight="false" outlineLevel="0" collapsed="false">
      <c r="A5" s="30" t="s">
        <v>178</v>
      </c>
      <c r="B5" s="31" t="s">
        <v>179</v>
      </c>
      <c r="C5" s="21" t="n">
        <f aca="false">SUM(Data!$I$2:$I$37)</f>
        <v>353450</v>
      </c>
      <c r="D5" s="32" t="s">
        <v>180</v>
      </c>
    </row>
    <row r="6" customFormat="false" ht="15" hidden="false" customHeight="false" outlineLevel="0" collapsed="false">
      <c r="A6" s="30" t="s">
        <v>181</v>
      </c>
      <c r="B6" s="31" t="s">
        <v>182</v>
      </c>
      <c r="C6" s="22" t="n">
        <f aca="false">COUNTIF(Data!$I$2:$I$37,"&gt;0")</f>
        <v>21</v>
      </c>
      <c r="D6" s="32" t="s">
        <v>183</v>
      </c>
    </row>
    <row r="7" customFormat="false" ht="15" hidden="false" customHeight="false" outlineLevel="0" collapsed="false">
      <c r="A7" s="30" t="s">
        <v>184</v>
      </c>
      <c r="B7" s="31" t="s">
        <v>185</v>
      </c>
      <c r="C7" s="21" t="n">
        <f aca="false">SUMPRODUCT((Data!$C$2:$C$37="Vina Utomo")*(Data!$M$2:$M$37="Akhir Pekan")*Data!$J$2:$J$37)</f>
        <v>157000</v>
      </c>
      <c r="D7" s="32" t="s">
        <v>186</v>
      </c>
    </row>
    <row r="8" customFormat="false" ht="15" hidden="false" customHeight="false" outlineLevel="0" collapsed="false">
      <c r="A8" s="30" t="s">
        <v>187</v>
      </c>
      <c r="B8" s="31" t="s">
        <v>188</v>
      </c>
      <c r="C8" s="22" t="n">
        <f aca="false">COUNTIFS(Data!$C$2:$C$37,"Mulyadi Maharani",Data!$D$2:$D$37,"Minuman")</f>
        <v>2</v>
      </c>
      <c r="D8" s="32" t="s">
        <v>189</v>
      </c>
    </row>
    <row r="9" customFormat="false" ht="15" hidden="false" customHeight="false" outlineLevel="0" collapsed="false">
      <c r="A9" s="30" t="s">
        <v>190</v>
      </c>
      <c r="B9" s="31" t="s">
        <v>191</v>
      </c>
      <c r="C9" s="22" t="n">
        <f aca="false">COUNTIFS(Data!$M$2:$M$37,"Hari Kerja",Data!$D$2:$D$37,"Makanan",Data!$F$2:$F$37,"&gt;=5")</f>
        <v>5</v>
      </c>
      <c r="D9" s="32" t="s">
        <v>192</v>
      </c>
    </row>
    <row r="10" customFormat="false" ht="15" hidden="false" customHeight="false" outlineLevel="0" collapsed="false">
      <c r="A10" s="30" t="s">
        <v>193</v>
      </c>
      <c r="B10" s="31" t="s">
        <v>194</v>
      </c>
      <c r="C10" s="22" t="n">
        <f aca="false">SUMIF(Data!$L$2:$L$37,"Sabtu",Data!$F$2:$F$37)</f>
        <v>14</v>
      </c>
      <c r="D10" s="32" t="s">
        <v>195</v>
      </c>
    </row>
    <row r="11" customFormat="false" ht="15" hidden="false" customHeight="false" outlineLevel="0" collapsed="false">
      <c r="A11" s="30" t="s">
        <v>196</v>
      </c>
      <c r="B11" s="31" t="s">
        <v>197</v>
      </c>
      <c r="C11" s="21" t="n">
        <f aca="false">SUMIF(Data!$C$2:$C$37,"Galih Rahayu",Data!$J$2:$J$37)</f>
        <v>3883900</v>
      </c>
      <c r="D11" s="32" t="s">
        <v>198</v>
      </c>
    </row>
    <row r="12" customFormat="false" ht="15" hidden="false" customHeight="false" outlineLevel="0" collapsed="false">
      <c r="A12" s="30" t="s">
        <v>199</v>
      </c>
      <c r="B12" s="31" t="s">
        <v>200</v>
      </c>
      <c r="C12" s="21" t="n">
        <f aca="false">AVERAGEIF(Data!$D$2:$D$37,"Alat Tulis",Data!$J$2:$J$37)</f>
        <v>201395</v>
      </c>
      <c r="D12" s="32" t="s">
        <v>201</v>
      </c>
    </row>
    <row r="13" customFormat="false" ht="15" hidden="false" customHeight="false" outlineLevel="0" collapsed="false">
      <c r="A13" s="30" t="s">
        <v>202</v>
      </c>
      <c r="B13" s="31" t="s">
        <v>203</v>
      </c>
      <c r="C13" s="23" t="str">
        <f aca="false">INDEX(Acuan!$A$2:$A$5,MATCH(MAX(Acuan!$D$2:$D$5),Acuan!$D$2:$D$5,0))</f>
        <v>Makanan</v>
      </c>
      <c r="D13" s="32" t="s">
        <v>204</v>
      </c>
    </row>
    <row r="14" customFormat="false" ht="15" hidden="false" customHeight="false" outlineLevel="0" collapsed="false">
      <c r="A14" s="30" t="s">
        <v>205</v>
      </c>
      <c r="B14" s="31" t="s">
        <v>206</v>
      </c>
      <c r="C14" s="22" t="n">
        <f aca="false">COUNTIF(Acuan!$G$2:$G$5,"Tercapai")</f>
        <v>2</v>
      </c>
      <c r="D14" s="32" t="s">
        <v>192</v>
      </c>
    </row>
    <row r="15" customFormat="false" ht="15" hidden="false" customHeight="false" outlineLevel="0" collapsed="false">
      <c r="A15" s="30" t="s">
        <v>207</v>
      </c>
      <c r="B15" s="31" t="s">
        <v>208</v>
      </c>
      <c r="C15" s="27" t="n">
        <f aca="false">AVERAGE(Acuan!$F$2:$F$5)</f>
        <v>1.01907023162526</v>
      </c>
      <c r="D15" s="32" t="s">
        <v>209</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2026-10-18T00:01:27Z</dcterms:created>
  <dc:creator>PushExcel</dc:creator>
  <dc:description/>
  <dc:language>en-US</dc:language>
  <cp:lastModifiedBy/>
  <dcterms:modified xsi:type="dcterms:W3CDTF">2026-10-18T00:01:27Z</dcterms:modified>
  <cp:revision>0</cp:revision>
  <dc:subject/>
  <dc:title>Laporan Penjualan Toko dengan Banyak Kriteria - Kunci</dc:title>
</cp:coreProperties>
</file>

<file path=docProps/custom.xml><?xml version="1.0" encoding="utf-8"?>
<Properties xmlns="http://schemas.openxmlformats.org/officeDocument/2006/custom-properties" xmlns:vt="http://schemas.openxmlformats.org/officeDocument/2006/docPropsVTypes"/>
</file>