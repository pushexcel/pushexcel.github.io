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<sst xmlns="http://schemas.openxmlformats.org/spreadsheetml/2006/main" count="241" uniqueCount="203">
  <si>
    <t xml:space="preserve">Kunci Jawaban: Registrasi Peserta Kursus dan Pendapatan Program</t>
  </si>
  <si>
    <t xml:space="preserve">Latihan 30 dari 56  |  Tingkat: Menengah  |  Perkiraan waktu: 50 menit  |  pushexcel.github.io/Pushexcel</t>
  </si>
  <si>
    <t xml:space="preserve">Skenario</t>
  </si>
  <si>
    <t xml:space="preserve">Kamu admin Lembaga Kursus Cerdas Mandiri. Ada 35 peserta yang mendaftar pada Agustus sampai Oktober 2026. Kode registrasi memakai pola KRS-PROGRAM-TAHUNBULAN-NOMOR, misalnya KRS-EXC-2610-007 berarti program EXC, tahun 26 bulan 10, nomor urut 007. Biaya tiap program ada di sheet Acuan. Peserta yang membayar Lunas mendapat diskon 10 persen dari biaya program.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</si>
  <si>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</si>
  <si>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</si>
  <si>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</si>
  <si>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</si>
  <si>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</si>
  <si>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</si>
  <si>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</si>
  <si>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</si>
  <si>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</si>
  <si>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</si>
  <si>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</si>
  <si>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</si>
  <si>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</si>
  <si>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</si>
  <si>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</si>
  <si>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</si>
  <si>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</si>
  <si>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</si>
  <si>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</si>
  <si>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</si>
  <si>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kode program dari Kode Registrasi, yaitu teks di antara tanda hubung pertama dan kedua.</t>
  </si>
  <si>
    <t xml:space="preserve">Sheet Data, kolom D (Kode Program), baris 2 sampai 36</t>
  </si>
  <si>
    <t xml:space="preserve">=MID(A2;5;FIND("-";A2;5)-5)</t>
  </si>
  <si>
    <t xml:space="preserve">2</t>
  </si>
  <si>
    <t xml:space="preserve">Ambil nomor bulan pendaftaran dari Kode Registrasi (dua digit setelah tahun) sebagai angka.</t>
  </si>
  <si>
    <t xml:space="preserve">Sheet Data, kolom E (Bulan Daftar), baris 2 sampai 36</t>
  </si>
  <si>
    <t xml:space="preserve">=VALUE(MID(A2;11;2))</t>
  </si>
  <si>
    <t xml:space="preserve">3</t>
  </si>
  <si>
    <t xml:space="preserve">Ambil nomor urut registrasi, tiga karakter terakhir kode, sebagai angka.</t>
  </si>
  <si>
    <t xml:space="preserve">Sheet Data, kolom F (Nomor Urut), baris 2 sampai 36</t>
  </si>
  <si>
    <t xml:space="preserve">=VALUE(RIGHT(A2;3))</t>
  </si>
  <si>
    <t xml:space="preserve">4</t>
  </si>
  <si>
    <t xml:space="preserve">Ambil nama program dari sheet Acuan berdasarkan Kode Program.</t>
  </si>
  <si>
    <t xml:space="preserve">Sheet Data, kolom G (Nama Program), baris 2 sampai 36</t>
  </si>
  <si>
    <t xml:space="preserve">=VLOOKUP(D2;Acuan!$A$2:$C$5;2;FALSE)</t>
  </si>
  <si>
    <t xml:space="preserve">5</t>
  </si>
  <si>
    <t xml:space="preserve">Ambil biaya program dari sheet Acuan berdasarkan Kode Program.</t>
  </si>
  <si>
    <t xml:space="preserve">Sheet Data, kolom H (Biaya Program), baris 2 sampai 36</t>
  </si>
  <si>
    <t xml:space="preserve">=VLOOKUP(D2;Acuan!$A$2:$C$5;3;FALSE)</t>
  </si>
  <si>
    <t xml:space="preserve">6</t>
  </si>
  <si>
    <t xml:space="preserve">Hitung diskon: peserta yang Metode Bayar-nya Lunas mendapat diskon dari biaya program, dibulatkan ke rupiah. Selain itu 0.</t>
  </si>
  <si>
    <t xml:space="preserve">Sheet Data, kolom I (Diskon), baris 2 sampai 36</t>
  </si>
  <si>
    <t xml:space="preserve">=IF(C2="Lunas";ROUND(H2*$M$2;0);0)</t>
  </si>
  <si>
    <t xml:space="preserve">7</t>
  </si>
  <si>
    <t xml:space="preserve">Hitung total bayar: biaya program dikurangi diskon.</t>
  </si>
  <si>
    <t xml:space="preserve">Sheet Data, kolom J (Total Bayar), baris 2 sampai 36</t>
  </si>
  <si>
    <t xml:space="preserve">=H2-I2</t>
  </si>
  <si>
    <t xml:space="preserve">8</t>
  </si>
  <si>
    <t xml:space="preserve">Pada sheet Acuan, hitung jumlah peserta tiap program.</t>
  </si>
  <si>
    <t xml:space="preserve">Sheet Acuan, kolom D (Jumlah Peserta), baris 2 sampai 5</t>
  </si>
  <si>
    <t xml:space="preserve">=COUNTIF(Data!$D$2:$D$36;A2)</t>
  </si>
  <si>
    <t xml:space="preserve">9</t>
  </si>
  <si>
    <t xml:space="preserve">Pada sheet Acuan, hitung total pendapatan (Total Bayar) tiap program.</t>
  </si>
  <si>
    <t xml:space="preserve">Sheet Acuan, kolom E (Total Pendapatan), baris 2 sampai 5</t>
  </si>
  <si>
    <t xml:space="preserve">=SUMIF(Data!$D$2:$D$36;A2;Data!$J$2:$J$36)</t>
  </si>
  <si>
    <t xml:space="preserve">10</t>
  </si>
  <si>
    <t xml:space="preserve">Berapa jumlah peserta, total pendapatan, dan total diskon yang diberikan?</t>
  </si>
  <si>
    <t xml:space="preserve">Sheet Ringkasan, sel C4 sampai C6</t>
  </si>
  <si>
    <t xml:space="preserve">=COUNTA(Data!$B$2:$B$36)
=SUM(Data!$J$2:$J$36)
=SUM(Data!$I$2:$I$36)</t>
  </si>
  <si>
    <t xml:space="preserve">11</t>
  </si>
  <si>
    <t xml:space="preserve">Berapa peserta yang membayar Lunas, dan berapa peserta Excel (kode EXC) yang mendaftar pada bulan 10?</t>
  </si>
  <si>
    <t xml:space="preserve">Sheet Ringkasan, sel C7 sampai C8</t>
  </si>
  <si>
    <t xml:space="preserve">=COUNTIF(Data!$C$2:$C$36;"Lunas")
=COUNTIFS(Data!$D$2:$D$36;"EXC";Data!$E$2:$E$36;10)</t>
  </si>
  <si>
    <t xml:space="preserve">12</t>
  </si>
  <si>
    <t xml:space="preserve">Program apa yang paling diminati (peserta terbanyak), dan program apa yang pendapatannya terbesar?</t>
  </si>
  <si>
    <t xml:space="preserve">Sheet Ringkasan, sel C9 sampai C10</t>
  </si>
  <si>
    <t xml:space="preserve">=INDEX(Acuan!$B$2:$B$5;MATCH(MAX(Acuan!$D$2:$D$5);Acuan!$D$2:$D$5;0))
=INDEX(Acuan!$B$2:$B$5;MATCH(MAX(Acuan!$E$2:$E$5);Acuan!$E$2:$E$5;0))</t>
  </si>
  <si>
    <t xml:space="preserve">13</t>
  </si>
  <si>
    <t xml:space="preserve">Berapa rata-rata total bayar semua peserta, dan berapa rata-rata total bayar peserta yang Cicilan?</t>
  </si>
  <si>
    <t xml:space="preserve">Sheet Ringkasan, sel C11 sampai C12</t>
  </si>
  <si>
    <t xml:space="preserve">=AVERAGE(Data!$J$2:$J$36)
=AVERAGEIF(Data!$C$2:$C$36;"Cicilan";Data!$J$2:$J$36)</t>
  </si>
  <si>
    <t xml:space="preserve">Kode Registrasi</t>
  </si>
  <si>
    <t xml:space="preserve">Nama Peserta</t>
  </si>
  <si>
    <t xml:space="preserve">Metode Bayar</t>
  </si>
  <si>
    <t xml:space="preserve">Kode Program</t>
  </si>
  <si>
    <t xml:space="preserve">Bulan Daftar</t>
  </si>
  <si>
    <t xml:space="preserve">Nomor Urut</t>
  </si>
  <si>
    <t xml:space="preserve">Nama Program</t>
  </si>
  <si>
    <t xml:space="preserve">Biaya Program</t>
  </si>
  <si>
    <t xml:space="preserve">Diskon</t>
  </si>
  <si>
    <t xml:space="preserve">Total Bayar</t>
  </si>
  <si>
    <t xml:space="preserve">Parameter</t>
  </si>
  <si>
    <t xml:space="preserve">Nilai</t>
  </si>
  <si>
    <t xml:space="preserve">Keterangan</t>
  </si>
  <si>
    <t xml:space="preserve">KRS-WRD-2608-001</t>
  </si>
  <si>
    <t xml:space="preserve">Umar Suryani</t>
  </si>
  <si>
    <t xml:space="preserve">Lunas</t>
  </si>
  <si>
    <t xml:space="preserve">Diskon bayar lunas</t>
  </si>
  <si>
    <t xml:space="preserve">Dihitung dari biaya program</t>
  </si>
  <si>
    <t xml:space="preserve">KRS-WRD-2608-002</t>
  </si>
  <si>
    <t xml:space="preserve">Galih Hidayat</t>
  </si>
  <si>
    <t xml:space="preserve">KRS-WRD-2608-003</t>
  </si>
  <si>
    <t xml:space="preserve">Zainal Amalia</t>
  </si>
  <si>
    <t xml:space="preserve">Cicilan</t>
  </si>
  <si>
    <t xml:space="preserve">KRS-ACC-2608-004</t>
  </si>
  <si>
    <t xml:space="preserve">Rahmat Rahayu</t>
  </si>
  <si>
    <t xml:space="preserve">KRS-DSN-2608-005</t>
  </si>
  <si>
    <t xml:space="preserve">Zainal Utomo</t>
  </si>
  <si>
    <t xml:space="preserve">KRS-EXC-2608-006</t>
  </si>
  <si>
    <t xml:space="preserve">Yuni Anggraini</t>
  </si>
  <si>
    <t xml:space="preserve">KRS-EXC-2608-007</t>
  </si>
  <si>
    <t xml:space="preserve">Umar Handayani</t>
  </si>
  <si>
    <t xml:space="preserve">KRS-WRD-2608-008</t>
  </si>
  <si>
    <t xml:space="preserve">Bayu Purnomo</t>
  </si>
  <si>
    <t xml:space="preserve">KRS-ACC-2608-009</t>
  </si>
  <si>
    <t xml:space="preserve">Tika Wibowo</t>
  </si>
  <si>
    <t xml:space="preserve">KRS-EXC-2609-010</t>
  </si>
  <si>
    <t xml:space="preserve">Nurul Putra</t>
  </si>
  <si>
    <t xml:space="preserve">KRS-DSN-2609-011</t>
  </si>
  <si>
    <t xml:space="preserve">Fitri Purnomo</t>
  </si>
  <si>
    <t xml:space="preserve">KRS-EXC-2609-012</t>
  </si>
  <si>
    <t xml:space="preserve">Utami Pratama</t>
  </si>
  <si>
    <t xml:space="preserve">KRS-ACC-2609-013</t>
  </si>
  <si>
    <t xml:space="preserve">Andi Utomo</t>
  </si>
  <si>
    <t xml:space="preserve">KRS-WRD-2609-014</t>
  </si>
  <si>
    <t xml:space="preserve">Khoirul Pratama</t>
  </si>
  <si>
    <t xml:space="preserve">KRS-EXC-2609-015</t>
  </si>
  <si>
    <t xml:space="preserve">Galih Firmansyah</t>
  </si>
  <si>
    <t xml:space="preserve">KRS-EXC-2609-016</t>
  </si>
  <si>
    <t xml:space="preserve">Rizki Saputra</t>
  </si>
  <si>
    <t xml:space="preserve">KRS-WRD-2609-017</t>
  </si>
  <si>
    <t xml:space="preserve">Siti Ramadhan</t>
  </si>
  <si>
    <t xml:space="preserve">KRS-EXC-2609-018</t>
  </si>
  <si>
    <t xml:space="preserve">Andi Firmansyah</t>
  </si>
  <si>
    <t xml:space="preserve">KRS-EXC-2609-019</t>
  </si>
  <si>
    <t xml:space="preserve">Farida Pratama</t>
  </si>
  <si>
    <t xml:space="preserve">KRS-EXC-2609-020</t>
  </si>
  <si>
    <t xml:space="preserve">Yuni Sari</t>
  </si>
  <si>
    <t xml:space="preserve">KRS-EXC-2609-021</t>
  </si>
  <si>
    <t xml:space="preserve">Jihan Nugroho</t>
  </si>
  <si>
    <t xml:space="preserve">KRS-ACC-2609-022</t>
  </si>
  <si>
    <t xml:space="preserve">Yuni Putra</t>
  </si>
  <si>
    <t xml:space="preserve">KRS-ACC-2609-023</t>
  </si>
  <si>
    <t xml:space="preserve">Siti Pangestu</t>
  </si>
  <si>
    <t xml:space="preserve">KRS-EXC-2609-024</t>
  </si>
  <si>
    <t xml:space="preserve">Zainal Putra</t>
  </si>
  <si>
    <t xml:space="preserve">KRS-EXC-2610-025</t>
  </si>
  <si>
    <t xml:space="preserve">Dimas Saputra</t>
  </si>
  <si>
    <t xml:space="preserve">KRS-EXC-2610-026</t>
  </si>
  <si>
    <t xml:space="preserve">Agus Ramadhan</t>
  </si>
  <si>
    <t xml:space="preserve">KRS-EXC-2610-027</t>
  </si>
  <si>
    <t xml:space="preserve">Rina Lestari</t>
  </si>
  <si>
    <t xml:space="preserve">KRS-EXC-2610-028</t>
  </si>
  <si>
    <t xml:space="preserve">Yoga Santoso</t>
  </si>
  <si>
    <t xml:space="preserve">KRS-DSN-2610-029</t>
  </si>
  <si>
    <t xml:space="preserve">Oki Rahayu</t>
  </si>
  <si>
    <t xml:space="preserve">KRS-EXC-2610-030</t>
  </si>
  <si>
    <t xml:space="preserve">Edi Pangestu</t>
  </si>
  <si>
    <t xml:space="preserve">KRS-ACC-2610-031</t>
  </si>
  <si>
    <t xml:space="preserve">Agus Yulianto</t>
  </si>
  <si>
    <t xml:space="preserve">KRS-EXC-2610-032</t>
  </si>
  <si>
    <t xml:space="preserve">Rizki Hidayat</t>
  </si>
  <si>
    <t xml:space="preserve">KRS-EXC-2610-033</t>
  </si>
  <si>
    <t xml:space="preserve">Fajar Putra</t>
  </si>
  <si>
    <t xml:space="preserve">KRS-EXC-2610-034</t>
  </si>
  <si>
    <t xml:space="preserve">Dian Putra</t>
  </si>
  <si>
    <t xml:space="preserve">KRS-WRD-2610-035</t>
  </si>
  <si>
    <t xml:space="preserve">Sari Setiawan</t>
  </si>
  <si>
    <t xml:space="preserve">Jumlah Peserta</t>
  </si>
  <si>
    <t xml:space="preserve">Total Pendapatan</t>
  </si>
  <si>
    <t xml:space="preserve">EXC</t>
  </si>
  <si>
    <t xml:space="preserve">Excel untuk Administrasi</t>
  </si>
  <si>
    <t xml:space="preserve">WRD</t>
  </si>
  <si>
    <t xml:space="preserve">Microsoft Word Profesional</t>
  </si>
  <si>
    <t xml:space="preserve">ACC</t>
  </si>
  <si>
    <t xml:space="preserve">Dasar Akuntansi Praktis</t>
  </si>
  <si>
    <t xml:space="preserve">DSN</t>
  </si>
  <si>
    <t xml:space="preserve">Desain Grafis Pemula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</si>
  <si>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</si>
  <si>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</si>
  <si>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</si>
  <si>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</si>
  <si>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</si>
  <si>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10a</t>
  </si>
  <si>
    <t xml:space="preserve">Jumlah peserta</t>
  </si>
  <si>
    <t xml:space="preserve">Angka bulat, mis. 40</t>
  </si>
  <si>
    <t xml:space="preserve">10b</t>
  </si>
  <si>
    <t xml:space="preserve">Total pendapatan</t>
  </si>
  <si>
    <t xml:space="preserve">Rupiah, mis. Rp 20.000.000</t>
  </si>
  <si>
    <t xml:space="preserve">10c</t>
  </si>
  <si>
    <t xml:space="preserve">Total diskon</t>
  </si>
  <si>
    <t xml:space="preserve">Rupiah, mis. Rp 2.000.000</t>
  </si>
  <si>
    <t xml:space="preserve">11a</t>
  </si>
  <si>
    <t xml:space="preserve">Jumlah peserta Lunas</t>
  </si>
  <si>
    <t xml:space="preserve">Angka bulat, mis. 14</t>
  </si>
  <si>
    <t xml:space="preserve">11b</t>
  </si>
  <si>
    <t xml:space="preserve">Peserta EXC yang mendaftar pada bulan 10</t>
  </si>
  <si>
    <t xml:space="preserve">Angka bulat, mis. 6</t>
  </si>
  <si>
    <t xml:space="preserve">12a</t>
  </si>
  <si>
    <t xml:space="preserve">Program paling diminati</t>
  </si>
  <si>
    <t xml:space="preserve">Teks: nama program</t>
  </si>
  <si>
    <t xml:space="preserve">12b</t>
  </si>
  <si>
    <t xml:space="preserve">Program dengan pendapatan terbesar</t>
  </si>
  <si>
    <t xml:space="preserve">13a</t>
  </si>
  <si>
    <t xml:space="preserve">Rata-rata total bayar semua peserta</t>
  </si>
  <si>
    <t xml:space="preserve">Rupiah, mis. Rp 600.000</t>
  </si>
  <si>
    <t xml:space="preserve">13b</t>
  </si>
  <si>
    <t xml:space="preserve">Rata-rata total bayar peserta Cicilan</t>
  </si>
  <si>
    <t xml:space="preserve">Rupiah, mis. Rp 650.000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</si>
</sst>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p &quot;#,##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1F4E3D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7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1" t="s">
        <v>19</v>
      </c>
      <c r="B20" s="11" t="s">
        <v>20</v>
      </c>
      <c r="C20" s="11" t="s">
        <v>21</v>
      </c>
      <c r="D20" s="11" t="s">
        <v>22</v>
      </c>
    </row>
    <row r="21" customFormat="false" ht="30" hidden="false" customHeight="true" outlineLevel="0" collapsed="false">
      <c r="A21" s="12" t="s">
        <v>23</v>
      </c>
      <c r="B21" s="13" t="s">
        <v>24</v>
      </c>
      <c r="C21" s="13" t="s">
        <v>25</v>
      </c>
      <c r="D21" s="14" t="s">
        <v>26</v>
      </c>
    </row>
    <row r="22" customFormat="false" ht="30" hidden="false" customHeight="true" outlineLevel="0" collapsed="false">
      <c r="A22" s="12" t="s">
        <v>27</v>
      </c>
      <c r="B22" s="13" t="s">
        <v>28</v>
      </c>
      <c r="C22" s="13" t="s">
        <v>29</v>
      </c>
      <c r="D22" s="14" t="s">
        <v>30</v>
      </c>
    </row>
    <row r="23" customFormat="false" ht="30" hidden="false" customHeight="true" outlineLevel="0" collapsed="false">
      <c r="A23" s="12" t="s">
        <v>31</v>
      </c>
      <c r="B23" s="13" t="s">
        <v>32</v>
      </c>
      <c r="C23" s="13" t="s">
        <v>33</v>
      </c>
      <c r="D23" s="14" t="s">
        <v>34</v>
      </c>
    </row>
    <row r="24" customFormat="false" ht="30" hidden="false" customHeight="true" outlineLevel="0" collapsed="false">
      <c r="A24" s="12" t="s">
        <v>35</v>
      </c>
      <c r="B24" s="13" t="s">
        <v>36</v>
      </c>
      <c r="C24" s="13" t="s">
        <v>37</v>
      </c>
      <c r="D24" s="14" t="s">
        <v>38</v>
      </c>
    </row>
    <row r="25" customFormat="false" ht="30" hidden="false" customHeight="true" outlineLevel="0" collapsed="false">
      <c r="A25" s="12" t="s">
        <v>39</v>
      </c>
      <c r="B25" s="13" t="s">
        <v>40</v>
      </c>
      <c r="C25" s="13" t="s">
        <v>41</v>
      </c>
      <c r="D25" s="14" t="s">
        <v>42</v>
      </c>
    </row>
    <row r="26" customFormat="false" ht="42" hidden="false" customHeight="true" outlineLevel="0" collapsed="false">
      <c r="A26" s="12" t="s">
        <v>43</v>
      </c>
      <c r="B26" s="13" t="s">
        <v>44</v>
      </c>
      <c r="C26" s="13" t="s">
        <v>45</v>
      </c>
      <c r="D26" s="14" t="s">
        <v>46</v>
      </c>
    </row>
    <row r="27" customFormat="false" ht="30" hidden="false" customHeight="true" outlineLevel="0" collapsed="false">
      <c r="A27" s="12" t="s">
        <v>47</v>
      </c>
      <c r="B27" s="13" t="s">
        <v>48</v>
      </c>
      <c r="C27" s="13" t="s">
        <v>49</v>
      </c>
      <c r="D27" s="14" t="s">
        <v>50</v>
      </c>
    </row>
    <row r="28" customFormat="false" ht="30" hidden="false" customHeight="true" outlineLevel="0" collapsed="false">
      <c r="A28" s="12" t="s">
        <v>51</v>
      </c>
      <c r="B28" s="13" t="s">
        <v>52</v>
      </c>
      <c r="C28" s="13" t="s">
        <v>53</v>
      </c>
      <c r="D28" s="14" t="s">
        <v>54</v>
      </c>
    </row>
    <row r="29" customFormat="false" ht="30" hidden="false" customHeight="true" outlineLevel="0" collapsed="false">
      <c r="A29" s="12" t="s">
        <v>55</v>
      </c>
      <c r="B29" s="13" t="s">
        <v>56</v>
      </c>
      <c r="C29" s="13" t="s">
        <v>57</v>
      </c>
      <c r="D29" s="14" t="s">
        <v>58</v>
      </c>
    </row>
    <row r="30" customFormat="false" ht="57.75" hidden="false" customHeight="true" outlineLevel="0" collapsed="false">
      <c r="A30" s="12" t="s">
        <v>59</v>
      </c>
      <c r="B30" s="13" t="s">
        <v>60</v>
      </c>
      <c r="C30" s="13" t="s">
        <v>61</v>
      </c>
      <c r="D30" s="14" t="s">
        <v>62</v>
      </c>
    </row>
    <row r="31" customFormat="false" ht="43.5" hidden="false" customHeight="true" outlineLevel="0" collapsed="false">
      <c r="A31" s="12" t="s">
        <v>63</v>
      </c>
      <c r="B31" s="13" t="s">
        <v>64</v>
      </c>
      <c r="C31" s="13" t="s">
        <v>65</v>
      </c>
      <c r="D31" s="14" t="s">
        <v>66</v>
      </c>
    </row>
    <row r="32" customFormat="false" ht="55.5" hidden="false" customHeight="true" outlineLevel="0" collapsed="false">
      <c r="A32" s="12" t="s">
        <v>67</v>
      </c>
      <c r="B32" s="13" t="s">
        <v>68</v>
      </c>
      <c r="C32" s="13" t="s">
        <v>69</v>
      </c>
      <c r="D32" s="14" t="s">
        <v>70</v>
      </c>
    </row>
    <row r="33" customFormat="false" ht="43.5" hidden="false" customHeight="true" outlineLevel="0" collapsed="false">
      <c r="A33" s="12" t="s">
        <v>71</v>
      </c>
      <c r="B33" s="13" t="s">
        <v>72</v>
      </c>
      <c r="C33" s="13" t="s">
        <v>73</v>
      </c>
      <c r="D33" s="14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6" min="5" style="0" width="11"/>
    <col collapsed="false" customWidth="true" hidden="false" outlineLevel="0" max="7" min="7" style="0" width="2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11" t="s">
        <v>75</v>
      </c>
      <c r="B1" s="11" t="s">
        <v>76</v>
      </c>
      <c r="C1" s="11" t="s">
        <v>77</v>
      </c>
      <c r="D1" s="15" t="s">
        <v>78</v>
      </c>
      <c r="E1" s="15" t="s">
        <v>79</v>
      </c>
      <c r="F1" s="15" t="s">
        <v>80</v>
      </c>
      <c r="G1" s="15" t="s">
        <v>81</v>
      </c>
      <c r="H1" s="15" t="s">
        <v>82</v>
      </c>
      <c r="I1" s="15" t="s">
        <v>83</v>
      </c>
      <c r="J1" s="15" t="s">
        <v>84</v>
      </c>
      <c r="L1" s="16" t="s">
        <v>85</v>
      </c>
      <c r="M1" s="16" t="s">
        <v>86</v>
      </c>
      <c r="N1" s="16" t="s">
        <v>87</v>
      </c>
    </row>
    <row r="2" customFormat="false" ht="15" hidden="false" customHeight="false" outlineLevel="0" collapsed="false">
      <c r="A2" s="17" t="s">
        <v>88</v>
      </c>
      <c r="B2" s="17" t="s">
        <v>89</v>
      </c>
      <c r="C2" s="17" t="s">
        <v>90</v>
      </c>
      <c r="D2" s="18" t="str">
        <f aca="false">MID(A2,5,FIND("-",A2,5)-5)</f>
        <v>WRD</v>
      </c>
      <c r="E2" s="19" t="n">
        <f aca="false">VALUE(MID(A2,11,2))</f>
        <v>8</v>
      </c>
      <c r="F2" s="19" t="n">
        <f aca="false">VALUE(RIGHT(A2,3))</f>
        <v>1</v>
      </c>
      <c r="G2" s="18" t="str">
        <f aca="false">VLOOKUP(D2,Acuan!$A$2:$C$5,2,FALSE())</f>
        <v>Microsoft Word Profesional</v>
      </c>
      <c r="H2" s="20" t="n">
        <f aca="false">VLOOKUP(D2,Acuan!$A$2:$C$5,3,FALSE())</f>
        <v>450000</v>
      </c>
      <c r="I2" s="20" t="n">
        <f aca="false">IF(C2="Lunas",ROUND(H2*$M$2,0),0)</f>
        <v>45000</v>
      </c>
      <c r="J2" s="20" t="n">
        <f aca="false">H2-I2</f>
        <v>405000</v>
      </c>
      <c r="L2" s="21" t="s">
        <v>91</v>
      </c>
      <c r="M2" s="22" t="n">
        <v>0.1</v>
      </c>
      <c r="N2" s="21" t="s">
        <v>92</v>
      </c>
    </row>
    <row r="3" customFormat="false" ht="15" hidden="false" customHeight="false" outlineLevel="0" collapsed="false">
      <c r="A3" s="17" t="s">
        <v>93</v>
      </c>
      <c r="B3" s="17" t="s">
        <v>94</v>
      </c>
      <c r="C3" s="17" t="s">
        <v>90</v>
      </c>
      <c r="D3" s="18" t="str">
        <f aca="false">MID(A3,5,FIND("-",A3,5)-5)</f>
        <v>WRD</v>
      </c>
      <c r="E3" s="19" t="n">
        <f aca="false">VALUE(MID(A3,11,2))</f>
        <v>8</v>
      </c>
      <c r="F3" s="19" t="n">
        <f aca="false">VALUE(RIGHT(A3,3))</f>
        <v>2</v>
      </c>
      <c r="G3" s="18" t="str">
        <f aca="false">VLOOKUP(D3,Acuan!$A$2:$C$5,2,FALSE())</f>
        <v>Microsoft Word Profesional</v>
      </c>
      <c r="H3" s="20" t="n">
        <f aca="false">VLOOKUP(D3,Acuan!$A$2:$C$5,3,FALSE())</f>
        <v>450000</v>
      </c>
      <c r="I3" s="20" t="n">
        <f aca="false">IF(C3="Lunas",ROUND(H3*$M$2,0),0)</f>
        <v>45000</v>
      </c>
      <c r="J3" s="20" t="n">
        <f aca="false">H3-I3</f>
        <v>405000</v>
      </c>
    </row>
    <row r="4" customFormat="false" ht="15" hidden="false" customHeight="false" outlineLevel="0" collapsed="false">
      <c r="A4" s="17" t="s">
        <v>95</v>
      </c>
      <c r="B4" s="17" t="s">
        <v>96</v>
      </c>
      <c r="C4" s="17" t="s">
        <v>97</v>
      </c>
      <c r="D4" s="18" t="str">
        <f aca="false">MID(A4,5,FIND("-",A4,5)-5)</f>
        <v>WRD</v>
      </c>
      <c r="E4" s="19" t="n">
        <f aca="false">VALUE(MID(A4,11,2))</f>
        <v>8</v>
      </c>
      <c r="F4" s="19" t="n">
        <f aca="false">VALUE(RIGHT(A4,3))</f>
        <v>3</v>
      </c>
      <c r="G4" s="18" t="str">
        <f aca="false">VLOOKUP(D4,Acuan!$A$2:$C$5,2,FALSE())</f>
        <v>Microsoft Word Profesional</v>
      </c>
      <c r="H4" s="20" t="n">
        <f aca="false">VLOOKUP(D4,Acuan!$A$2:$C$5,3,FALSE())</f>
        <v>450000</v>
      </c>
      <c r="I4" s="20" t="n">
        <f aca="false">IF(C4="Lunas",ROUND(H4*$M$2,0),0)</f>
        <v>0</v>
      </c>
      <c r="J4" s="20" t="n">
        <f aca="false">H4-I4</f>
        <v>450000</v>
      </c>
    </row>
    <row r="5" customFormat="false" ht="15" hidden="false" customHeight="false" outlineLevel="0" collapsed="false">
      <c r="A5" s="17" t="s">
        <v>98</v>
      </c>
      <c r="B5" s="17" t="s">
        <v>99</v>
      </c>
      <c r="C5" s="17" t="s">
        <v>97</v>
      </c>
      <c r="D5" s="18" t="str">
        <f aca="false">MID(A5,5,FIND("-",A5,5)-5)</f>
        <v>ACC</v>
      </c>
      <c r="E5" s="19" t="n">
        <f aca="false">VALUE(MID(A5,11,2))</f>
        <v>8</v>
      </c>
      <c r="F5" s="19" t="n">
        <f aca="false">VALUE(RIGHT(A5,3))</f>
        <v>4</v>
      </c>
      <c r="G5" s="18" t="str">
        <f aca="false">VLOOKUP(D5,Acuan!$A$2:$C$5,2,FALSE())</f>
        <v>Dasar Akuntansi Praktis</v>
      </c>
      <c r="H5" s="20" t="n">
        <f aca="false">VLOOKUP(D5,Acuan!$A$2:$C$5,3,FALSE())</f>
        <v>850000</v>
      </c>
      <c r="I5" s="20" t="n">
        <f aca="false">IF(C5="Lunas",ROUND(H5*$M$2,0),0)</f>
        <v>0</v>
      </c>
      <c r="J5" s="20" t="n">
        <f aca="false">H5-I5</f>
        <v>850000</v>
      </c>
    </row>
    <row r="6" customFormat="false" ht="15" hidden="false" customHeight="false" outlineLevel="0" collapsed="false">
      <c r="A6" s="17" t="s">
        <v>100</v>
      </c>
      <c r="B6" s="17" t="s">
        <v>101</v>
      </c>
      <c r="C6" s="17" t="s">
        <v>90</v>
      </c>
      <c r="D6" s="18" t="str">
        <f aca="false">MID(A6,5,FIND("-",A6,5)-5)</f>
        <v>DSN</v>
      </c>
      <c r="E6" s="19" t="n">
        <f aca="false">VALUE(MID(A6,11,2))</f>
        <v>8</v>
      </c>
      <c r="F6" s="19" t="n">
        <f aca="false">VALUE(RIGHT(A6,3))</f>
        <v>5</v>
      </c>
      <c r="G6" s="18" t="str">
        <f aca="false">VLOOKUP(D6,Acuan!$A$2:$C$5,2,FALSE())</f>
        <v>Desain Grafis Pemula</v>
      </c>
      <c r="H6" s="20" t="n">
        <f aca="false">VLOOKUP(D6,Acuan!$A$2:$C$5,3,FALSE())</f>
        <v>750000</v>
      </c>
      <c r="I6" s="20" t="n">
        <f aca="false">IF(C6="Lunas",ROUND(H6*$M$2,0),0)</f>
        <v>75000</v>
      </c>
      <c r="J6" s="20" t="n">
        <f aca="false">H6-I6</f>
        <v>675000</v>
      </c>
    </row>
    <row r="7" customFormat="false" ht="15" hidden="false" customHeight="false" outlineLevel="0" collapsed="false">
      <c r="A7" s="17" t="s">
        <v>102</v>
      </c>
      <c r="B7" s="17" t="s">
        <v>103</v>
      </c>
      <c r="C7" s="17" t="s">
        <v>90</v>
      </c>
      <c r="D7" s="18" t="str">
        <f aca="false">MID(A7,5,FIND("-",A7,5)-5)</f>
        <v>EXC</v>
      </c>
      <c r="E7" s="19" t="n">
        <f aca="false">VALUE(MID(A7,11,2))</f>
        <v>8</v>
      </c>
      <c r="F7" s="19" t="n">
        <f aca="false">VALUE(RIGHT(A7,3))</f>
        <v>6</v>
      </c>
      <c r="G7" s="18" t="str">
        <f aca="false">VLOOKUP(D7,Acuan!$A$2:$C$5,2,FALSE())</f>
        <v>Excel untuk Administrasi</v>
      </c>
      <c r="H7" s="20" t="n">
        <f aca="false">VLOOKUP(D7,Acuan!$A$2:$C$5,3,FALSE())</f>
        <v>650000</v>
      </c>
      <c r="I7" s="20" t="n">
        <f aca="false">IF(C7="Lunas",ROUND(H7*$M$2,0),0)</f>
        <v>65000</v>
      </c>
      <c r="J7" s="20" t="n">
        <f aca="false">H7-I7</f>
        <v>585000</v>
      </c>
    </row>
    <row r="8" customFormat="false" ht="15" hidden="false" customHeight="false" outlineLevel="0" collapsed="false">
      <c r="A8" s="17" t="s">
        <v>104</v>
      </c>
      <c r="B8" s="17" t="s">
        <v>105</v>
      </c>
      <c r="C8" s="17" t="s">
        <v>97</v>
      </c>
      <c r="D8" s="18" t="str">
        <f aca="false">MID(A8,5,FIND("-",A8,5)-5)</f>
        <v>EXC</v>
      </c>
      <c r="E8" s="19" t="n">
        <f aca="false">VALUE(MID(A8,11,2))</f>
        <v>8</v>
      </c>
      <c r="F8" s="19" t="n">
        <f aca="false">VALUE(RIGHT(A8,3))</f>
        <v>7</v>
      </c>
      <c r="G8" s="18" t="str">
        <f aca="false">VLOOKUP(D8,Acuan!$A$2:$C$5,2,FALSE())</f>
        <v>Excel untuk Administrasi</v>
      </c>
      <c r="H8" s="20" t="n">
        <f aca="false">VLOOKUP(D8,Acuan!$A$2:$C$5,3,FALSE())</f>
        <v>650000</v>
      </c>
      <c r="I8" s="20" t="n">
        <f aca="false">IF(C8="Lunas",ROUND(H8*$M$2,0),0)</f>
        <v>0</v>
      </c>
      <c r="J8" s="20" t="n">
        <f aca="false">H8-I8</f>
        <v>650000</v>
      </c>
    </row>
    <row r="9" customFormat="false" ht="15" hidden="false" customHeight="false" outlineLevel="0" collapsed="false">
      <c r="A9" s="17" t="s">
        <v>106</v>
      </c>
      <c r="B9" s="17" t="s">
        <v>107</v>
      </c>
      <c r="C9" s="17" t="s">
        <v>97</v>
      </c>
      <c r="D9" s="18" t="str">
        <f aca="false">MID(A9,5,FIND("-",A9,5)-5)</f>
        <v>WRD</v>
      </c>
      <c r="E9" s="19" t="n">
        <f aca="false">VALUE(MID(A9,11,2))</f>
        <v>8</v>
      </c>
      <c r="F9" s="19" t="n">
        <f aca="false">VALUE(RIGHT(A9,3))</f>
        <v>8</v>
      </c>
      <c r="G9" s="18" t="str">
        <f aca="false">VLOOKUP(D9,Acuan!$A$2:$C$5,2,FALSE())</f>
        <v>Microsoft Word Profesional</v>
      </c>
      <c r="H9" s="20" t="n">
        <f aca="false">VLOOKUP(D9,Acuan!$A$2:$C$5,3,FALSE())</f>
        <v>450000</v>
      </c>
      <c r="I9" s="20" t="n">
        <f aca="false">IF(C9="Lunas",ROUND(H9*$M$2,0),0)</f>
        <v>0</v>
      </c>
      <c r="J9" s="20" t="n">
        <f aca="false">H9-I9</f>
        <v>450000</v>
      </c>
    </row>
    <row r="10" customFormat="false" ht="15" hidden="false" customHeight="false" outlineLevel="0" collapsed="false">
      <c r="A10" s="17" t="s">
        <v>108</v>
      </c>
      <c r="B10" s="17" t="s">
        <v>109</v>
      </c>
      <c r="C10" s="17" t="s">
        <v>90</v>
      </c>
      <c r="D10" s="18" t="str">
        <f aca="false">MID(A10,5,FIND("-",A10,5)-5)</f>
        <v>ACC</v>
      </c>
      <c r="E10" s="19" t="n">
        <f aca="false">VALUE(MID(A10,11,2))</f>
        <v>8</v>
      </c>
      <c r="F10" s="19" t="n">
        <f aca="false">VALUE(RIGHT(A10,3))</f>
        <v>9</v>
      </c>
      <c r="G10" s="18" t="str">
        <f aca="false">VLOOKUP(D10,Acuan!$A$2:$C$5,2,FALSE())</f>
        <v>Dasar Akuntansi Praktis</v>
      </c>
      <c r="H10" s="20" t="n">
        <f aca="false">VLOOKUP(D10,Acuan!$A$2:$C$5,3,FALSE())</f>
        <v>850000</v>
      </c>
      <c r="I10" s="20" t="n">
        <f aca="false">IF(C10="Lunas",ROUND(H10*$M$2,0),0)</f>
        <v>85000</v>
      </c>
      <c r="J10" s="20" t="n">
        <f aca="false">H10-I10</f>
        <v>765000</v>
      </c>
    </row>
    <row r="11" customFormat="false" ht="15" hidden="false" customHeight="false" outlineLevel="0" collapsed="false">
      <c r="A11" s="17" t="s">
        <v>110</v>
      </c>
      <c r="B11" s="17" t="s">
        <v>111</v>
      </c>
      <c r="C11" s="17" t="s">
        <v>97</v>
      </c>
      <c r="D11" s="18" t="str">
        <f aca="false">MID(A11,5,FIND("-",A11,5)-5)</f>
        <v>EXC</v>
      </c>
      <c r="E11" s="19" t="n">
        <f aca="false">VALUE(MID(A11,11,2))</f>
        <v>9</v>
      </c>
      <c r="F11" s="19" t="n">
        <f aca="false">VALUE(RIGHT(A11,3))</f>
        <v>10</v>
      </c>
      <c r="G11" s="18" t="str">
        <f aca="false">VLOOKUP(D11,Acuan!$A$2:$C$5,2,FALSE())</f>
        <v>Excel untuk Administrasi</v>
      </c>
      <c r="H11" s="20" t="n">
        <f aca="false">VLOOKUP(D11,Acuan!$A$2:$C$5,3,FALSE())</f>
        <v>650000</v>
      </c>
      <c r="I11" s="20" t="n">
        <f aca="false">IF(C11="Lunas",ROUND(H11*$M$2,0),0)</f>
        <v>0</v>
      </c>
      <c r="J11" s="20" t="n">
        <f aca="false">H11-I11</f>
        <v>650000</v>
      </c>
    </row>
    <row r="12" customFormat="false" ht="15" hidden="false" customHeight="false" outlineLevel="0" collapsed="false">
      <c r="A12" s="17" t="s">
        <v>112</v>
      </c>
      <c r="B12" s="17" t="s">
        <v>113</v>
      </c>
      <c r="C12" s="17" t="s">
        <v>97</v>
      </c>
      <c r="D12" s="18" t="str">
        <f aca="false">MID(A12,5,FIND("-",A12,5)-5)</f>
        <v>DSN</v>
      </c>
      <c r="E12" s="19" t="n">
        <f aca="false">VALUE(MID(A12,11,2))</f>
        <v>9</v>
      </c>
      <c r="F12" s="19" t="n">
        <f aca="false">VALUE(RIGHT(A12,3))</f>
        <v>11</v>
      </c>
      <c r="G12" s="18" t="str">
        <f aca="false">VLOOKUP(D12,Acuan!$A$2:$C$5,2,FALSE())</f>
        <v>Desain Grafis Pemula</v>
      </c>
      <c r="H12" s="20" t="n">
        <f aca="false">VLOOKUP(D12,Acuan!$A$2:$C$5,3,FALSE())</f>
        <v>750000</v>
      </c>
      <c r="I12" s="20" t="n">
        <f aca="false">IF(C12="Lunas",ROUND(H12*$M$2,0),0)</f>
        <v>0</v>
      </c>
      <c r="J12" s="20" t="n">
        <f aca="false">H12-I12</f>
        <v>750000</v>
      </c>
    </row>
    <row r="13" customFormat="false" ht="15" hidden="false" customHeight="false" outlineLevel="0" collapsed="false">
      <c r="A13" s="17" t="s">
        <v>114</v>
      </c>
      <c r="B13" s="17" t="s">
        <v>115</v>
      </c>
      <c r="C13" s="17" t="s">
        <v>97</v>
      </c>
      <c r="D13" s="18" t="str">
        <f aca="false">MID(A13,5,FIND("-",A13,5)-5)</f>
        <v>EXC</v>
      </c>
      <c r="E13" s="19" t="n">
        <f aca="false">VALUE(MID(A13,11,2))</f>
        <v>9</v>
      </c>
      <c r="F13" s="19" t="n">
        <f aca="false">VALUE(RIGHT(A13,3))</f>
        <v>12</v>
      </c>
      <c r="G13" s="18" t="str">
        <f aca="false">VLOOKUP(D13,Acuan!$A$2:$C$5,2,FALSE())</f>
        <v>Excel untuk Administrasi</v>
      </c>
      <c r="H13" s="20" t="n">
        <f aca="false">VLOOKUP(D13,Acuan!$A$2:$C$5,3,FALSE())</f>
        <v>650000</v>
      </c>
      <c r="I13" s="20" t="n">
        <f aca="false">IF(C13="Lunas",ROUND(H13*$M$2,0),0)</f>
        <v>0</v>
      </c>
      <c r="J13" s="20" t="n">
        <f aca="false">H13-I13</f>
        <v>650000</v>
      </c>
    </row>
    <row r="14" customFormat="false" ht="15" hidden="false" customHeight="false" outlineLevel="0" collapsed="false">
      <c r="A14" s="17" t="s">
        <v>116</v>
      </c>
      <c r="B14" s="17" t="s">
        <v>117</v>
      </c>
      <c r="C14" s="17" t="s">
        <v>90</v>
      </c>
      <c r="D14" s="18" t="str">
        <f aca="false">MID(A14,5,FIND("-",A14,5)-5)</f>
        <v>ACC</v>
      </c>
      <c r="E14" s="19" t="n">
        <f aca="false">VALUE(MID(A14,11,2))</f>
        <v>9</v>
      </c>
      <c r="F14" s="19" t="n">
        <f aca="false">VALUE(RIGHT(A14,3))</f>
        <v>13</v>
      </c>
      <c r="G14" s="18" t="str">
        <f aca="false">VLOOKUP(D14,Acuan!$A$2:$C$5,2,FALSE())</f>
        <v>Dasar Akuntansi Praktis</v>
      </c>
      <c r="H14" s="20" t="n">
        <f aca="false">VLOOKUP(D14,Acuan!$A$2:$C$5,3,FALSE())</f>
        <v>850000</v>
      </c>
      <c r="I14" s="20" t="n">
        <f aca="false">IF(C14="Lunas",ROUND(H14*$M$2,0),0)</f>
        <v>85000</v>
      </c>
      <c r="J14" s="20" t="n">
        <f aca="false">H14-I14</f>
        <v>765000</v>
      </c>
    </row>
    <row r="15" customFormat="false" ht="15" hidden="false" customHeight="false" outlineLevel="0" collapsed="false">
      <c r="A15" s="17" t="s">
        <v>118</v>
      </c>
      <c r="B15" s="17" t="s">
        <v>119</v>
      </c>
      <c r="C15" s="17" t="s">
        <v>97</v>
      </c>
      <c r="D15" s="18" t="str">
        <f aca="false">MID(A15,5,FIND("-",A15,5)-5)</f>
        <v>WRD</v>
      </c>
      <c r="E15" s="19" t="n">
        <f aca="false">VALUE(MID(A15,11,2))</f>
        <v>9</v>
      </c>
      <c r="F15" s="19" t="n">
        <f aca="false">VALUE(RIGHT(A15,3))</f>
        <v>14</v>
      </c>
      <c r="G15" s="18" t="str">
        <f aca="false">VLOOKUP(D15,Acuan!$A$2:$C$5,2,FALSE())</f>
        <v>Microsoft Word Profesional</v>
      </c>
      <c r="H15" s="20" t="n">
        <f aca="false">VLOOKUP(D15,Acuan!$A$2:$C$5,3,FALSE())</f>
        <v>450000</v>
      </c>
      <c r="I15" s="20" t="n">
        <f aca="false">IF(C15="Lunas",ROUND(H15*$M$2,0),0)</f>
        <v>0</v>
      </c>
      <c r="J15" s="20" t="n">
        <f aca="false">H15-I15</f>
        <v>450000</v>
      </c>
    </row>
    <row r="16" customFormat="false" ht="15" hidden="false" customHeight="false" outlineLevel="0" collapsed="false">
      <c r="A16" s="17" t="s">
        <v>120</v>
      </c>
      <c r="B16" s="17" t="s">
        <v>121</v>
      </c>
      <c r="C16" s="17" t="s">
        <v>97</v>
      </c>
      <c r="D16" s="18" t="str">
        <f aca="false">MID(A16,5,FIND("-",A16,5)-5)</f>
        <v>EXC</v>
      </c>
      <c r="E16" s="19" t="n">
        <f aca="false">VALUE(MID(A16,11,2))</f>
        <v>9</v>
      </c>
      <c r="F16" s="19" t="n">
        <f aca="false">VALUE(RIGHT(A16,3))</f>
        <v>15</v>
      </c>
      <c r="G16" s="18" t="str">
        <f aca="false">VLOOKUP(D16,Acuan!$A$2:$C$5,2,FALSE())</f>
        <v>Excel untuk Administrasi</v>
      </c>
      <c r="H16" s="20" t="n">
        <f aca="false">VLOOKUP(D16,Acuan!$A$2:$C$5,3,FALSE())</f>
        <v>650000</v>
      </c>
      <c r="I16" s="20" t="n">
        <f aca="false">IF(C16="Lunas",ROUND(H16*$M$2,0),0)</f>
        <v>0</v>
      </c>
      <c r="J16" s="20" t="n">
        <f aca="false">H16-I16</f>
        <v>650000</v>
      </c>
    </row>
    <row r="17" customFormat="false" ht="15" hidden="false" customHeight="false" outlineLevel="0" collapsed="false">
      <c r="A17" s="17" t="s">
        <v>122</v>
      </c>
      <c r="B17" s="17" t="s">
        <v>123</v>
      </c>
      <c r="C17" s="17" t="s">
        <v>90</v>
      </c>
      <c r="D17" s="18" t="str">
        <f aca="false">MID(A17,5,FIND("-",A17,5)-5)</f>
        <v>EXC</v>
      </c>
      <c r="E17" s="19" t="n">
        <f aca="false">VALUE(MID(A17,11,2))</f>
        <v>9</v>
      </c>
      <c r="F17" s="19" t="n">
        <f aca="false">VALUE(RIGHT(A17,3))</f>
        <v>16</v>
      </c>
      <c r="G17" s="18" t="str">
        <f aca="false">VLOOKUP(D17,Acuan!$A$2:$C$5,2,FALSE())</f>
        <v>Excel untuk Administrasi</v>
      </c>
      <c r="H17" s="20" t="n">
        <f aca="false">VLOOKUP(D17,Acuan!$A$2:$C$5,3,FALSE())</f>
        <v>650000</v>
      </c>
      <c r="I17" s="20" t="n">
        <f aca="false">IF(C17="Lunas",ROUND(H17*$M$2,0),0)</f>
        <v>65000</v>
      </c>
      <c r="J17" s="20" t="n">
        <f aca="false">H17-I17</f>
        <v>585000</v>
      </c>
    </row>
    <row r="18" customFormat="false" ht="15" hidden="false" customHeight="false" outlineLevel="0" collapsed="false">
      <c r="A18" s="17" t="s">
        <v>124</v>
      </c>
      <c r="B18" s="17" t="s">
        <v>125</v>
      </c>
      <c r="C18" s="17" t="s">
        <v>90</v>
      </c>
      <c r="D18" s="18" t="str">
        <f aca="false">MID(A18,5,FIND("-",A18,5)-5)</f>
        <v>WRD</v>
      </c>
      <c r="E18" s="19" t="n">
        <f aca="false">VALUE(MID(A18,11,2))</f>
        <v>9</v>
      </c>
      <c r="F18" s="19" t="n">
        <f aca="false">VALUE(RIGHT(A18,3))</f>
        <v>17</v>
      </c>
      <c r="G18" s="18" t="str">
        <f aca="false">VLOOKUP(D18,Acuan!$A$2:$C$5,2,FALSE())</f>
        <v>Microsoft Word Profesional</v>
      </c>
      <c r="H18" s="20" t="n">
        <f aca="false">VLOOKUP(D18,Acuan!$A$2:$C$5,3,FALSE())</f>
        <v>450000</v>
      </c>
      <c r="I18" s="20" t="n">
        <f aca="false">IF(C18="Lunas",ROUND(H18*$M$2,0),0)</f>
        <v>45000</v>
      </c>
      <c r="J18" s="20" t="n">
        <f aca="false">H18-I18</f>
        <v>405000</v>
      </c>
    </row>
    <row r="19" customFormat="false" ht="15" hidden="false" customHeight="false" outlineLevel="0" collapsed="false">
      <c r="A19" s="17" t="s">
        <v>126</v>
      </c>
      <c r="B19" s="17" t="s">
        <v>127</v>
      </c>
      <c r="C19" s="17" t="s">
        <v>97</v>
      </c>
      <c r="D19" s="18" t="str">
        <f aca="false">MID(A19,5,FIND("-",A19,5)-5)</f>
        <v>EXC</v>
      </c>
      <c r="E19" s="19" t="n">
        <f aca="false">VALUE(MID(A19,11,2))</f>
        <v>9</v>
      </c>
      <c r="F19" s="19" t="n">
        <f aca="false">VALUE(RIGHT(A19,3))</f>
        <v>18</v>
      </c>
      <c r="G19" s="18" t="str">
        <f aca="false">VLOOKUP(D19,Acuan!$A$2:$C$5,2,FALSE())</f>
        <v>Excel untuk Administrasi</v>
      </c>
      <c r="H19" s="20" t="n">
        <f aca="false">VLOOKUP(D19,Acuan!$A$2:$C$5,3,FALSE())</f>
        <v>650000</v>
      </c>
      <c r="I19" s="20" t="n">
        <f aca="false">IF(C19="Lunas",ROUND(H19*$M$2,0),0)</f>
        <v>0</v>
      </c>
      <c r="J19" s="20" t="n">
        <f aca="false">H19-I19</f>
        <v>650000</v>
      </c>
    </row>
    <row r="20" customFormat="false" ht="15" hidden="false" customHeight="false" outlineLevel="0" collapsed="false">
      <c r="A20" s="17" t="s">
        <v>128</v>
      </c>
      <c r="B20" s="17" t="s">
        <v>129</v>
      </c>
      <c r="C20" s="17" t="s">
        <v>90</v>
      </c>
      <c r="D20" s="18" t="str">
        <f aca="false">MID(A20,5,FIND("-",A20,5)-5)</f>
        <v>EXC</v>
      </c>
      <c r="E20" s="19" t="n">
        <f aca="false">VALUE(MID(A20,11,2))</f>
        <v>9</v>
      </c>
      <c r="F20" s="19" t="n">
        <f aca="false">VALUE(RIGHT(A20,3))</f>
        <v>19</v>
      </c>
      <c r="G20" s="18" t="str">
        <f aca="false">VLOOKUP(D20,Acuan!$A$2:$C$5,2,FALSE())</f>
        <v>Excel untuk Administrasi</v>
      </c>
      <c r="H20" s="20" t="n">
        <f aca="false">VLOOKUP(D20,Acuan!$A$2:$C$5,3,FALSE())</f>
        <v>650000</v>
      </c>
      <c r="I20" s="20" t="n">
        <f aca="false">IF(C20="Lunas",ROUND(H20*$M$2,0),0)</f>
        <v>65000</v>
      </c>
      <c r="J20" s="20" t="n">
        <f aca="false">H20-I20</f>
        <v>585000</v>
      </c>
    </row>
    <row r="21" customFormat="false" ht="15" hidden="false" customHeight="false" outlineLevel="0" collapsed="false">
      <c r="A21" s="17" t="s">
        <v>130</v>
      </c>
      <c r="B21" s="17" t="s">
        <v>131</v>
      </c>
      <c r="C21" s="17" t="s">
        <v>90</v>
      </c>
      <c r="D21" s="18" t="str">
        <f aca="false">MID(A21,5,FIND("-",A21,5)-5)</f>
        <v>EXC</v>
      </c>
      <c r="E21" s="19" t="n">
        <f aca="false">VALUE(MID(A21,11,2))</f>
        <v>9</v>
      </c>
      <c r="F21" s="19" t="n">
        <f aca="false">VALUE(RIGHT(A21,3))</f>
        <v>20</v>
      </c>
      <c r="G21" s="18" t="str">
        <f aca="false">VLOOKUP(D21,Acuan!$A$2:$C$5,2,FALSE())</f>
        <v>Excel untuk Administrasi</v>
      </c>
      <c r="H21" s="20" t="n">
        <f aca="false">VLOOKUP(D21,Acuan!$A$2:$C$5,3,FALSE())</f>
        <v>650000</v>
      </c>
      <c r="I21" s="20" t="n">
        <f aca="false">IF(C21="Lunas",ROUND(H21*$M$2,0),0)</f>
        <v>65000</v>
      </c>
      <c r="J21" s="20" t="n">
        <f aca="false">H21-I21</f>
        <v>585000</v>
      </c>
    </row>
    <row r="22" customFormat="false" ht="15" hidden="false" customHeight="false" outlineLevel="0" collapsed="false">
      <c r="A22" s="17" t="s">
        <v>132</v>
      </c>
      <c r="B22" s="17" t="s">
        <v>133</v>
      </c>
      <c r="C22" s="17" t="s">
        <v>97</v>
      </c>
      <c r="D22" s="18" t="str">
        <f aca="false">MID(A22,5,FIND("-",A22,5)-5)</f>
        <v>EXC</v>
      </c>
      <c r="E22" s="19" t="n">
        <f aca="false">VALUE(MID(A22,11,2))</f>
        <v>9</v>
      </c>
      <c r="F22" s="19" t="n">
        <f aca="false">VALUE(RIGHT(A22,3))</f>
        <v>21</v>
      </c>
      <c r="G22" s="18" t="str">
        <f aca="false">VLOOKUP(D22,Acuan!$A$2:$C$5,2,FALSE())</f>
        <v>Excel untuk Administrasi</v>
      </c>
      <c r="H22" s="20" t="n">
        <f aca="false">VLOOKUP(D22,Acuan!$A$2:$C$5,3,FALSE())</f>
        <v>650000</v>
      </c>
      <c r="I22" s="20" t="n">
        <f aca="false">IF(C22="Lunas",ROUND(H22*$M$2,0),0)</f>
        <v>0</v>
      </c>
      <c r="J22" s="20" t="n">
        <f aca="false">H22-I22</f>
        <v>650000</v>
      </c>
    </row>
    <row r="23" customFormat="false" ht="15" hidden="false" customHeight="false" outlineLevel="0" collapsed="false">
      <c r="A23" s="17" t="s">
        <v>134</v>
      </c>
      <c r="B23" s="17" t="s">
        <v>135</v>
      </c>
      <c r="C23" s="17" t="s">
        <v>90</v>
      </c>
      <c r="D23" s="18" t="str">
        <f aca="false">MID(A23,5,FIND("-",A23,5)-5)</f>
        <v>ACC</v>
      </c>
      <c r="E23" s="19" t="n">
        <f aca="false">VALUE(MID(A23,11,2))</f>
        <v>9</v>
      </c>
      <c r="F23" s="19" t="n">
        <f aca="false">VALUE(RIGHT(A23,3))</f>
        <v>22</v>
      </c>
      <c r="G23" s="18" t="str">
        <f aca="false">VLOOKUP(D23,Acuan!$A$2:$C$5,2,FALSE())</f>
        <v>Dasar Akuntansi Praktis</v>
      </c>
      <c r="H23" s="20" t="n">
        <f aca="false">VLOOKUP(D23,Acuan!$A$2:$C$5,3,FALSE())</f>
        <v>850000</v>
      </c>
      <c r="I23" s="20" t="n">
        <f aca="false">IF(C23="Lunas",ROUND(H23*$M$2,0),0)</f>
        <v>85000</v>
      </c>
      <c r="J23" s="20" t="n">
        <f aca="false">H23-I23</f>
        <v>765000</v>
      </c>
    </row>
    <row r="24" customFormat="false" ht="15" hidden="false" customHeight="false" outlineLevel="0" collapsed="false">
      <c r="A24" s="17" t="s">
        <v>136</v>
      </c>
      <c r="B24" s="17" t="s">
        <v>137</v>
      </c>
      <c r="C24" s="17" t="s">
        <v>97</v>
      </c>
      <c r="D24" s="18" t="str">
        <f aca="false">MID(A24,5,FIND("-",A24,5)-5)</f>
        <v>ACC</v>
      </c>
      <c r="E24" s="19" t="n">
        <f aca="false">VALUE(MID(A24,11,2))</f>
        <v>9</v>
      </c>
      <c r="F24" s="19" t="n">
        <f aca="false">VALUE(RIGHT(A24,3))</f>
        <v>23</v>
      </c>
      <c r="G24" s="18" t="str">
        <f aca="false">VLOOKUP(D24,Acuan!$A$2:$C$5,2,FALSE())</f>
        <v>Dasar Akuntansi Praktis</v>
      </c>
      <c r="H24" s="20" t="n">
        <f aca="false">VLOOKUP(D24,Acuan!$A$2:$C$5,3,FALSE())</f>
        <v>850000</v>
      </c>
      <c r="I24" s="20" t="n">
        <f aca="false">IF(C24="Lunas",ROUND(H24*$M$2,0),0)</f>
        <v>0</v>
      </c>
      <c r="J24" s="20" t="n">
        <f aca="false">H24-I24</f>
        <v>850000</v>
      </c>
    </row>
    <row r="25" customFormat="false" ht="15" hidden="false" customHeight="false" outlineLevel="0" collapsed="false">
      <c r="A25" s="17" t="s">
        <v>138</v>
      </c>
      <c r="B25" s="17" t="s">
        <v>139</v>
      </c>
      <c r="C25" s="17" t="s">
        <v>97</v>
      </c>
      <c r="D25" s="18" t="str">
        <f aca="false">MID(A25,5,FIND("-",A25,5)-5)</f>
        <v>EXC</v>
      </c>
      <c r="E25" s="19" t="n">
        <f aca="false">VALUE(MID(A25,11,2))</f>
        <v>9</v>
      </c>
      <c r="F25" s="19" t="n">
        <f aca="false">VALUE(RIGHT(A25,3))</f>
        <v>24</v>
      </c>
      <c r="G25" s="18" t="str">
        <f aca="false">VLOOKUP(D25,Acuan!$A$2:$C$5,2,FALSE())</f>
        <v>Excel untuk Administrasi</v>
      </c>
      <c r="H25" s="20" t="n">
        <f aca="false">VLOOKUP(D25,Acuan!$A$2:$C$5,3,FALSE())</f>
        <v>650000</v>
      </c>
      <c r="I25" s="20" t="n">
        <f aca="false">IF(C25="Lunas",ROUND(H25*$M$2,0),0)</f>
        <v>0</v>
      </c>
      <c r="J25" s="20" t="n">
        <f aca="false">H25-I25</f>
        <v>650000</v>
      </c>
    </row>
    <row r="26" customFormat="false" ht="15" hidden="false" customHeight="false" outlineLevel="0" collapsed="false">
      <c r="A26" s="17" t="s">
        <v>140</v>
      </c>
      <c r="B26" s="17" t="s">
        <v>141</v>
      </c>
      <c r="C26" s="17" t="s">
        <v>97</v>
      </c>
      <c r="D26" s="18" t="str">
        <f aca="false">MID(A26,5,FIND("-",A26,5)-5)</f>
        <v>EXC</v>
      </c>
      <c r="E26" s="19" t="n">
        <f aca="false">VALUE(MID(A26,11,2))</f>
        <v>10</v>
      </c>
      <c r="F26" s="19" t="n">
        <f aca="false">VALUE(RIGHT(A26,3))</f>
        <v>25</v>
      </c>
      <c r="G26" s="18" t="str">
        <f aca="false">VLOOKUP(D26,Acuan!$A$2:$C$5,2,FALSE())</f>
        <v>Excel untuk Administrasi</v>
      </c>
      <c r="H26" s="20" t="n">
        <f aca="false">VLOOKUP(D26,Acuan!$A$2:$C$5,3,FALSE())</f>
        <v>650000</v>
      </c>
      <c r="I26" s="20" t="n">
        <f aca="false">IF(C26="Lunas",ROUND(H26*$M$2,0),0)</f>
        <v>0</v>
      </c>
      <c r="J26" s="20" t="n">
        <f aca="false">H26-I26</f>
        <v>650000</v>
      </c>
    </row>
    <row r="27" customFormat="false" ht="15" hidden="false" customHeight="false" outlineLevel="0" collapsed="false">
      <c r="A27" s="17" t="s">
        <v>142</v>
      </c>
      <c r="B27" s="17" t="s">
        <v>143</v>
      </c>
      <c r="C27" s="17" t="s">
        <v>97</v>
      </c>
      <c r="D27" s="18" t="str">
        <f aca="false">MID(A27,5,FIND("-",A27,5)-5)</f>
        <v>EXC</v>
      </c>
      <c r="E27" s="19" t="n">
        <f aca="false">VALUE(MID(A27,11,2))</f>
        <v>10</v>
      </c>
      <c r="F27" s="19" t="n">
        <f aca="false">VALUE(RIGHT(A27,3))</f>
        <v>26</v>
      </c>
      <c r="G27" s="18" t="str">
        <f aca="false">VLOOKUP(D27,Acuan!$A$2:$C$5,2,FALSE())</f>
        <v>Excel untuk Administrasi</v>
      </c>
      <c r="H27" s="20" t="n">
        <f aca="false">VLOOKUP(D27,Acuan!$A$2:$C$5,3,FALSE())</f>
        <v>650000</v>
      </c>
      <c r="I27" s="20" t="n">
        <f aca="false">IF(C27="Lunas",ROUND(H27*$M$2,0),0)</f>
        <v>0</v>
      </c>
      <c r="J27" s="20" t="n">
        <f aca="false">H27-I27</f>
        <v>650000</v>
      </c>
    </row>
    <row r="28" customFormat="false" ht="15" hidden="false" customHeight="false" outlineLevel="0" collapsed="false">
      <c r="A28" s="17" t="s">
        <v>144</v>
      </c>
      <c r="B28" s="17" t="s">
        <v>145</v>
      </c>
      <c r="C28" s="17" t="s">
        <v>90</v>
      </c>
      <c r="D28" s="18" t="str">
        <f aca="false">MID(A28,5,FIND("-",A28,5)-5)</f>
        <v>EXC</v>
      </c>
      <c r="E28" s="19" t="n">
        <f aca="false">VALUE(MID(A28,11,2))</f>
        <v>10</v>
      </c>
      <c r="F28" s="19" t="n">
        <f aca="false">VALUE(RIGHT(A28,3))</f>
        <v>27</v>
      </c>
      <c r="G28" s="18" t="str">
        <f aca="false">VLOOKUP(D28,Acuan!$A$2:$C$5,2,FALSE())</f>
        <v>Excel untuk Administrasi</v>
      </c>
      <c r="H28" s="20" t="n">
        <f aca="false">VLOOKUP(D28,Acuan!$A$2:$C$5,3,FALSE())</f>
        <v>650000</v>
      </c>
      <c r="I28" s="20" t="n">
        <f aca="false">IF(C28="Lunas",ROUND(H28*$M$2,0),0)</f>
        <v>65000</v>
      </c>
      <c r="J28" s="20" t="n">
        <f aca="false">H28-I28</f>
        <v>585000</v>
      </c>
    </row>
    <row r="29" customFormat="false" ht="15" hidden="false" customHeight="false" outlineLevel="0" collapsed="false">
      <c r="A29" s="17" t="s">
        <v>146</v>
      </c>
      <c r="B29" s="17" t="s">
        <v>147</v>
      </c>
      <c r="C29" s="17" t="s">
        <v>90</v>
      </c>
      <c r="D29" s="18" t="str">
        <f aca="false">MID(A29,5,FIND("-",A29,5)-5)</f>
        <v>EXC</v>
      </c>
      <c r="E29" s="19" t="n">
        <f aca="false">VALUE(MID(A29,11,2))</f>
        <v>10</v>
      </c>
      <c r="F29" s="19" t="n">
        <f aca="false">VALUE(RIGHT(A29,3))</f>
        <v>28</v>
      </c>
      <c r="G29" s="18" t="str">
        <f aca="false">VLOOKUP(D29,Acuan!$A$2:$C$5,2,FALSE())</f>
        <v>Excel untuk Administrasi</v>
      </c>
      <c r="H29" s="20" t="n">
        <f aca="false">VLOOKUP(D29,Acuan!$A$2:$C$5,3,FALSE())</f>
        <v>650000</v>
      </c>
      <c r="I29" s="20" t="n">
        <f aca="false">IF(C29="Lunas",ROUND(H29*$M$2,0),0)</f>
        <v>65000</v>
      </c>
      <c r="J29" s="20" t="n">
        <f aca="false">H29-I29</f>
        <v>585000</v>
      </c>
    </row>
    <row r="30" customFormat="false" ht="15" hidden="false" customHeight="false" outlineLevel="0" collapsed="false">
      <c r="A30" s="17" t="s">
        <v>148</v>
      </c>
      <c r="B30" s="17" t="s">
        <v>149</v>
      </c>
      <c r="C30" s="17" t="s">
        <v>97</v>
      </c>
      <c r="D30" s="18" t="str">
        <f aca="false">MID(A30,5,FIND("-",A30,5)-5)</f>
        <v>DSN</v>
      </c>
      <c r="E30" s="19" t="n">
        <f aca="false">VALUE(MID(A30,11,2))</f>
        <v>10</v>
      </c>
      <c r="F30" s="19" t="n">
        <f aca="false">VALUE(RIGHT(A30,3))</f>
        <v>29</v>
      </c>
      <c r="G30" s="18" t="str">
        <f aca="false">VLOOKUP(D30,Acuan!$A$2:$C$5,2,FALSE())</f>
        <v>Desain Grafis Pemula</v>
      </c>
      <c r="H30" s="20" t="n">
        <f aca="false">VLOOKUP(D30,Acuan!$A$2:$C$5,3,FALSE())</f>
        <v>750000</v>
      </c>
      <c r="I30" s="20" t="n">
        <f aca="false">IF(C30="Lunas",ROUND(H30*$M$2,0),0)</f>
        <v>0</v>
      </c>
      <c r="J30" s="20" t="n">
        <f aca="false">H30-I30</f>
        <v>750000</v>
      </c>
    </row>
    <row r="31" customFormat="false" ht="15" hidden="false" customHeight="false" outlineLevel="0" collapsed="false">
      <c r="A31" s="17" t="s">
        <v>150</v>
      </c>
      <c r="B31" s="17" t="s">
        <v>151</v>
      </c>
      <c r="C31" s="17" t="s">
        <v>97</v>
      </c>
      <c r="D31" s="18" t="str">
        <f aca="false">MID(A31,5,FIND("-",A31,5)-5)</f>
        <v>EXC</v>
      </c>
      <c r="E31" s="19" t="n">
        <f aca="false">VALUE(MID(A31,11,2))</f>
        <v>10</v>
      </c>
      <c r="F31" s="19" t="n">
        <f aca="false">VALUE(RIGHT(A31,3))</f>
        <v>30</v>
      </c>
      <c r="G31" s="18" t="str">
        <f aca="false">VLOOKUP(D31,Acuan!$A$2:$C$5,2,FALSE())</f>
        <v>Excel untuk Administrasi</v>
      </c>
      <c r="H31" s="20" t="n">
        <f aca="false">VLOOKUP(D31,Acuan!$A$2:$C$5,3,FALSE())</f>
        <v>650000</v>
      </c>
      <c r="I31" s="20" t="n">
        <f aca="false">IF(C31="Lunas",ROUND(H31*$M$2,0),0)</f>
        <v>0</v>
      </c>
      <c r="J31" s="20" t="n">
        <f aca="false">H31-I31</f>
        <v>650000</v>
      </c>
    </row>
    <row r="32" customFormat="false" ht="15" hidden="false" customHeight="false" outlineLevel="0" collapsed="false">
      <c r="A32" s="17" t="s">
        <v>152</v>
      </c>
      <c r="B32" s="17" t="s">
        <v>153</v>
      </c>
      <c r="C32" s="17" t="s">
        <v>90</v>
      </c>
      <c r="D32" s="18" t="str">
        <f aca="false">MID(A32,5,FIND("-",A32,5)-5)</f>
        <v>ACC</v>
      </c>
      <c r="E32" s="19" t="n">
        <f aca="false">VALUE(MID(A32,11,2))</f>
        <v>10</v>
      </c>
      <c r="F32" s="19" t="n">
        <f aca="false">VALUE(RIGHT(A32,3))</f>
        <v>31</v>
      </c>
      <c r="G32" s="18" t="str">
        <f aca="false">VLOOKUP(D32,Acuan!$A$2:$C$5,2,FALSE())</f>
        <v>Dasar Akuntansi Praktis</v>
      </c>
      <c r="H32" s="20" t="n">
        <f aca="false">VLOOKUP(D32,Acuan!$A$2:$C$5,3,FALSE())</f>
        <v>850000</v>
      </c>
      <c r="I32" s="20" t="n">
        <f aca="false">IF(C32="Lunas",ROUND(H32*$M$2,0),0)</f>
        <v>85000</v>
      </c>
      <c r="J32" s="20" t="n">
        <f aca="false">H32-I32</f>
        <v>765000</v>
      </c>
    </row>
    <row r="33" customFormat="false" ht="15" hidden="false" customHeight="false" outlineLevel="0" collapsed="false">
      <c r="A33" s="17" t="s">
        <v>154</v>
      </c>
      <c r="B33" s="17" t="s">
        <v>155</v>
      </c>
      <c r="C33" s="17" t="s">
        <v>97</v>
      </c>
      <c r="D33" s="18" t="str">
        <f aca="false">MID(A33,5,FIND("-",A33,5)-5)</f>
        <v>EXC</v>
      </c>
      <c r="E33" s="19" t="n">
        <f aca="false">VALUE(MID(A33,11,2))</f>
        <v>10</v>
      </c>
      <c r="F33" s="19" t="n">
        <f aca="false">VALUE(RIGHT(A33,3))</f>
        <v>32</v>
      </c>
      <c r="G33" s="18" t="str">
        <f aca="false">VLOOKUP(D33,Acuan!$A$2:$C$5,2,FALSE())</f>
        <v>Excel untuk Administrasi</v>
      </c>
      <c r="H33" s="20" t="n">
        <f aca="false">VLOOKUP(D33,Acuan!$A$2:$C$5,3,FALSE())</f>
        <v>650000</v>
      </c>
      <c r="I33" s="20" t="n">
        <f aca="false">IF(C33="Lunas",ROUND(H33*$M$2,0),0)</f>
        <v>0</v>
      </c>
      <c r="J33" s="20" t="n">
        <f aca="false">H33-I33</f>
        <v>650000</v>
      </c>
    </row>
    <row r="34" customFormat="false" ht="15" hidden="false" customHeight="false" outlineLevel="0" collapsed="false">
      <c r="A34" s="17" t="s">
        <v>156</v>
      </c>
      <c r="B34" s="17" t="s">
        <v>157</v>
      </c>
      <c r="C34" s="17" t="s">
        <v>90</v>
      </c>
      <c r="D34" s="18" t="str">
        <f aca="false">MID(A34,5,FIND("-",A34,5)-5)</f>
        <v>EXC</v>
      </c>
      <c r="E34" s="19" t="n">
        <f aca="false">VALUE(MID(A34,11,2))</f>
        <v>10</v>
      </c>
      <c r="F34" s="19" t="n">
        <f aca="false">VALUE(RIGHT(A34,3))</f>
        <v>33</v>
      </c>
      <c r="G34" s="18" t="str">
        <f aca="false">VLOOKUP(D34,Acuan!$A$2:$C$5,2,FALSE())</f>
        <v>Excel untuk Administrasi</v>
      </c>
      <c r="H34" s="20" t="n">
        <f aca="false">VLOOKUP(D34,Acuan!$A$2:$C$5,3,FALSE())</f>
        <v>650000</v>
      </c>
      <c r="I34" s="20" t="n">
        <f aca="false">IF(C34="Lunas",ROUND(H34*$M$2,0),0)</f>
        <v>65000</v>
      </c>
      <c r="J34" s="20" t="n">
        <f aca="false">H34-I34</f>
        <v>585000</v>
      </c>
    </row>
    <row r="35" customFormat="false" ht="15" hidden="false" customHeight="false" outlineLevel="0" collapsed="false">
      <c r="A35" s="17" t="s">
        <v>158</v>
      </c>
      <c r="B35" s="17" t="s">
        <v>159</v>
      </c>
      <c r="C35" s="17" t="s">
        <v>97</v>
      </c>
      <c r="D35" s="18" t="str">
        <f aca="false">MID(A35,5,FIND("-",A35,5)-5)</f>
        <v>EXC</v>
      </c>
      <c r="E35" s="19" t="n">
        <f aca="false">VALUE(MID(A35,11,2))</f>
        <v>10</v>
      </c>
      <c r="F35" s="19" t="n">
        <f aca="false">VALUE(RIGHT(A35,3))</f>
        <v>34</v>
      </c>
      <c r="G35" s="18" t="str">
        <f aca="false">VLOOKUP(D35,Acuan!$A$2:$C$5,2,FALSE())</f>
        <v>Excel untuk Administrasi</v>
      </c>
      <c r="H35" s="20" t="n">
        <f aca="false">VLOOKUP(D35,Acuan!$A$2:$C$5,3,FALSE())</f>
        <v>650000</v>
      </c>
      <c r="I35" s="20" t="n">
        <f aca="false">IF(C35="Lunas",ROUND(H35*$M$2,0),0)</f>
        <v>0</v>
      </c>
      <c r="J35" s="20" t="n">
        <f aca="false">H35-I35</f>
        <v>650000</v>
      </c>
    </row>
    <row r="36" customFormat="false" ht="15" hidden="false" customHeight="false" outlineLevel="0" collapsed="false">
      <c r="A36" s="17" t="s">
        <v>160</v>
      </c>
      <c r="B36" s="17" t="s">
        <v>161</v>
      </c>
      <c r="C36" s="17" t="s">
        <v>97</v>
      </c>
      <c r="D36" s="18" t="str">
        <f aca="false">MID(A36,5,FIND("-",A36,5)-5)</f>
        <v>WRD</v>
      </c>
      <c r="E36" s="19" t="n">
        <f aca="false">VALUE(MID(A36,11,2))</f>
        <v>10</v>
      </c>
      <c r="F36" s="19" t="n">
        <f aca="false">VALUE(RIGHT(A36,3))</f>
        <v>35</v>
      </c>
      <c r="G36" s="18" t="str">
        <f aca="false">VLOOKUP(D36,Acuan!$A$2:$C$5,2,FALSE())</f>
        <v>Microsoft Word Profesional</v>
      </c>
      <c r="H36" s="20" t="n">
        <f aca="false">VLOOKUP(D36,Acuan!$A$2:$C$5,3,FALSE())</f>
        <v>450000</v>
      </c>
      <c r="I36" s="20" t="n">
        <f aca="false">IF(C36="Lunas",ROUND(H36*$M$2,0),0)</f>
        <v>0</v>
      </c>
      <c r="J36" s="20" t="n">
        <f aca="false">H36-I36</f>
        <v>450000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</cols>
  <sheetData>
    <row r="1" customFormat="false" ht="33.75" hidden="false" customHeight="true" outlineLevel="0" collapsed="false">
      <c r="A1" s="11" t="s">
        <v>78</v>
      </c>
      <c r="B1" s="11" t="s">
        <v>81</v>
      </c>
      <c r="C1" s="11" t="s">
        <v>82</v>
      </c>
      <c r="D1" s="15" t="s">
        <v>162</v>
      </c>
      <c r="E1" s="15" t="s">
        <v>163</v>
      </c>
    </row>
    <row r="2" customFormat="false" ht="15" hidden="false" customHeight="false" outlineLevel="0" collapsed="false">
      <c r="A2" s="17" t="s">
        <v>164</v>
      </c>
      <c r="B2" s="17" t="s">
        <v>165</v>
      </c>
      <c r="C2" s="23" t="n">
        <v>650000</v>
      </c>
      <c r="D2" s="19" t="n">
        <f aca="false">COUNTIF(Data!$D$2:$D$36,A2)</f>
        <v>19</v>
      </c>
      <c r="E2" s="20" t="n">
        <f aca="false">SUMIF(Data!$D$2:$D$36,A2,Data!$J$2:$J$36)</f>
        <v>11895000</v>
      </c>
    </row>
    <row r="3" customFormat="false" ht="15" hidden="false" customHeight="false" outlineLevel="0" collapsed="false">
      <c r="A3" s="17" t="s">
        <v>166</v>
      </c>
      <c r="B3" s="17" t="s">
        <v>167</v>
      </c>
      <c r="C3" s="23" t="n">
        <v>450000</v>
      </c>
      <c r="D3" s="19" t="n">
        <f aca="false">COUNTIF(Data!$D$2:$D$36,A3)</f>
        <v>7</v>
      </c>
      <c r="E3" s="20" t="n">
        <f aca="false">SUMIF(Data!$D$2:$D$36,A3,Data!$J$2:$J$36)</f>
        <v>3015000</v>
      </c>
    </row>
    <row r="4" customFormat="false" ht="15" hidden="false" customHeight="false" outlineLevel="0" collapsed="false">
      <c r="A4" s="17" t="s">
        <v>168</v>
      </c>
      <c r="B4" s="17" t="s">
        <v>169</v>
      </c>
      <c r="C4" s="23" t="n">
        <v>850000</v>
      </c>
      <c r="D4" s="19" t="n">
        <f aca="false">COUNTIF(Data!$D$2:$D$36,A4)</f>
        <v>6</v>
      </c>
      <c r="E4" s="20" t="n">
        <f aca="false">SUMIF(Data!$D$2:$D$36,A4,Data!$J$2:$J$36)</f>
        <v>4760000</v>
      </c>
    </row>
    <row r="5" customFormat="false" ht="15" hidden="false" customHeight="false" outlineLevel="0" collapsed="false">
      <c r="A5" s="17" t="s">
        <v>170</v>
      </c>
      <c r="B5" s="17" t="s">
        <v>171</v>
      </c>
      <c r="C5" s="23" t="n">
        <v>750000</v>
      </c>
      <c r="D5" s="19" t="n">
        <f aca="false">COUNTIF(Data!$D$2:$D$36,A5)</f>
        <v>3</v>
      </c>
      <c r="E5" s="20" t="n">
        <f aca="false">SUMIF(Data!$D$2:$D$36,A5,Data!$J$2:$J$36)</f>
        <v>2175000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4" t="s">
        <v>172</v>
      </c>
      <c r="B1" s="24"/>
      <c r="C1" s="24"/>
      <c r="D1" s="24"/>
    </row>
    <row r="2" customFormat="false" ht="15" hidden="false" customHeight="false" outlineLevel="0" collapsed="false">
      <c r="A2" s="25" t="s">
        <v>173</v>
      </c>
      <c r="B2" s="25"/>
      <c r="C2" s="25"/>
      <c r="D2" s="25"/>
    </row>
    <row r="3" customFormat="false" ht="15" hidden="false" customHeight="false" outlineLevel="0" collapsed="false">
      <c r="A3" s="11" t="s">
        <v>19</v>
      </c>
      <c r="B3" s="11" t="s">
        <v>174</v>
      </c>
      <c r="C3" s="11" t="s">
        <v>175</v>
      </c>
      <c r="D3" s="11" t="s">
        <v>176</v>
      </c>
    </row>
    <row r="4" customFormat="false" ht="15" hidden="false" customHeight="false" outlineLevel="0" collapsed="false">
      <c r="A4" s="26" t="s">
        <v>177</v>
      </c>
      <c r="B4" s="27" t="s">
        <v>178</v>
      </c>
      <c r="C4" s="19" t="n">
        <f aca="false">COUNTA(Data!$B$2:$B$36)</f>
        <v>35</v>
      </c>
      <c r="D4" s="28" t="s">
        <v>179</v>
      </c>
    </row>
    <row r="5" customFormat="false" ht="15" hidden="false" customHeight="false" outlineLevel="0" collapsed="false">
      <c r="A5" s="26" t="s">
        <v>180</v>
      </c>
      <c r="B5" s="27" t="s">
        <v>181</v>
      </c>
      <c r="C5" s="20" t="n">
        <f aca="false">SUM(Data!$J$2:$J$36)</f>
        <v>21845000</v>
      </c>
      <c r="D5" s="28" t="s">
        <v>182</v>
      </c>
    </row>
    <row r="6" customFormat="false" ht="15" hidden="false" customHeight="false" outlineLevel="0" collapsed="false">
      <c r="A6" s="26" t="s">
        <v>183</v>
      </c>
      <c r="B6" s="27" t="s">
        <v>184</v>
      </c>
      <c r="C6" s="20" t="n">
        <f aca="false">SUM(Data!$I$2:$I$36)</f>
        <v>1005000</v>
      </c>
      <c r="D6" s="28" t="s">
        <v>185</v>
      </c>
    </row>
    <row r="7" customFormat="false" ht="15" hidden="false" customHeight="false" outlineLevel="0" collapsed="false">
      <c r="A7" s="26" t="s">
        <v>186</v>
      </c>
      <c r="B7" s="27" t="s">
        <v>187</v>
      </c>
      <c r="C7" s="19" t="n">
        <f aca="false">COUNTIF(Data!$C$2:$C$36,"Lunas")</f>
        <v>15</v>
      </c>
      <c r="D7" s="28" t="s">
        <v>188</v>
      </c>
    </row>
    <row r="8" customFormat="false" ht="15" hidden="false" customHeight="false" outlineLevel="0" collapsed="false">
      <c r="A8" s="26" t="s">
        <v>189</v>
      </c>
      <c r="B8" s="27" t="s">
        <v>190</v>
      </c>
      <c r="C8" s="19" t="n">
        <f aca="false">COUNTIFS(Data!$D$2:$D$36,"EXC",Data!$E$2:$E$36,10)</f>
        <v>8</v>
      </c>
      <c r="D8" s="28" t="s">
        <v>191</v>
      </c>
    </row>
    <row r="9" customFormat="false" ht="15" hidden="false" customHeight="false" outlineLevel="0" collapsed="false">
      <c r="A9" s="26" t="s">
        <v>192</v>
      </c>
      <c r="B9" s="27" t="s">
        <v>193</v>
      </c>
      <c r="C9" s="18" t="str">
        <f aca="false">INDEX(Acuan!$B$2:$B$5,MATCH(MAX(Acuan!$D$2:$D$5),Acuan!$D$2:$D$5,0))</f>
        <v>Excel untuk Administrasi</v>
      </c>
      <c r="D9" s="28" t="s">
        <v>194</v>
      </c>
    </row>
    <row r="10" customFormat="false" ht="15" hidden="false" customHeight="false" outlineLevel="0" collapsed="false">
      <c r="A10" s="26" t="s">
        <v>195</v>
      </c>
      <c r="B10" s="27" t="s">
        <v>196</v>
      </c>
      <c r="C10" s="18" t="str">
        <f aca="false">INDEX(Acuan!$B$2:$B$5,MATCH(MAX(Acuan!$E$2:$E$5),Acuan!$E$2:$E$5,0))</f>
        <v>Excel untuk Administrasi</v>
      </c>
      <c r="D10" s="28" t="s">
        <v>194</v>
      </c>
    </row>
    <row r="11" customFormat="false" ht="15" hidden="false" customHeight="false" outlineLevel="0" collapsed="false">
      <c r="A11" s="26" t="s">
        <v>197</v>
      </c>
      <c r="B11" s="27" t="s">
        <v>198</v>
      </c>
      <c r="C11" s="20" t="n">
        <f aca="false">AVERAGE(Data!$J$2:$J$36)</f>
        <v>624142.857142857</v>
      </c>
      <c r="D11" s="28" t="s">
        <v>199</v>
      </c>
    </row>
    <row r="12" customFormat="false" ht="15" hidden="false" customHeight="false" outlineLevel="0" collapsed="false">
      <c r="A12" s="26" t="s">
        <v>200</v>
      </c>
      <c r="B12" s="27" t="s">
        <v>201</v>
      </c>
      <c r="C12" s="20" t="n">
        <f aca="false">AVERAGEIF(Data!$C$2:$C$36,"Cicilan",Data!$J$2:$J$36)</f>
        <v>640000</v>
      </c>
      <c r="D12" s="28" t="s">
        <v>202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2026-10-14T23:33:44Z</dcterms:created>
  <dc:creator>PushExcel</dc:creator>
  <dc:description/>
  <dc:language>en-US</dc:language>
  <cp:lastModifiedBy/>
  <dcterms:modified xsi:type="dcterms:W3CDTF">2026-10-14T23:33:44Z</dcterms:modified>
  <cp:revision>0</cp:revision>
  <dc:subject/>
  <dc:title>Registrasi Peserta Kursus dan Pendapatan Program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