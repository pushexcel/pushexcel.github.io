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<sst xmlns="http://schemas.openxmlformats.org/spreadsheetml/2006/main" count="198" uniqueCount="153">
  <si>
    <t xml:space="preserve">Kunci Jawaban: Survei Kepuasan Pelanggan Empat Cabang</t>
  </si>
  <si>
    <t xml:space="preserve">Latihan 40 dari 56  |  Tingkat: Lanjutan  |  Perkiraan waktu: 65 menit  |  pushexcel.github.io/Pushexcel</t>
  </si>
  <si>
    <t xml:space="preserve">Skenario</t>
  </si>
  <si>
    <t xml:space="preserve">Kamu analis layanan pelanggan Kopi Nusantara, jaringan kedai dengan empat cabang. Selama September 2026, 40 pelanggan mengisi survei dan menilai empat aspek dengan skor 1 (sangat buruk) sampai 5 (sangat baik): kecepatan, keramahan, kebersihan, dan harga. Skor rata-rata responden dikelompokkan memakai batas di blok Parameter: skor sama dengan atau di atas 4,5 berarti Sangat Puas, 3,5 berarti Puas, 2,5 berarti Cukup, dan di bawahnya Kurang. Pelanggan berusia di bawah 25 tahun masuk kelompok Muda, 25 sampai 40 tahun Dewasa, dan di atas 40 tahun Senior. Rekap per cabang ada di sheet Acuan.</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</si>
  <si>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</si>
  <si>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</si>
  <si>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</si>
  <si>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</si>
  <si>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</si>
  <si>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</si>
  <si>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</si>
  <si>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</si>
  <si>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</si>
  <si>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</si>
  <si>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</si>
  <si>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</si>
  <si>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</si>
  <si>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</si>
  <si>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</si>
  <si>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</si>
  <si>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</si>
  <si>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</si>
  <si>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</si>
  <si>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</si>
  <si>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rata-rata keempat skor aspek (kecepatan, keramahan, kebersihan, harga) untuk tiap responden.</t>
  </si>
  <si>
    <t xml:space="preserve">Sheet Data, kolom I (Rata-rata Skor), baris 2 sampai 41</t>
  </si>
  <si>
    <t xml:space="preserve">=AVERAGE(E2;F2;G2;H2)</t>
  </si>
  <si>
    <t xml:space="preserve">2</t>
  </si>
  <si>
    <t xml:space="preserve">Tentukan kategori kepuasan dari Rata-rata Skor memakai tiga batas di blok Parameter: Sangat Puas, Puas, Cukup, atau Kurang.</t>
  </si>
  <si>
    <t xml:space="preserve">Sheet Data, kolom J (Kategori), baris 2 sampai 41</t>
  </si>
  <si>
    <t xml:space="preserve">=IF(I2&gt;=$N$2;"Sangat Puas";IF(I2&gt;=$N$3;"Puas";IF(I2&gt;=$N$4;"Cukup";"Kurang")))</t>
  </si>
  <si>
    <t xml:space="preserve">3</t>
  </si>
  <si>
    <t xml:space="preserve">Tentukan kelompok usia: di bawah 25 tahun Muda, 25 sampai 40 tahun Dewasa, di atas 40 tahun Senior.</t>
  </si>
  <si>
    <t xml:space="preserve">Sheet Data, kolom K (Kelompok Usia), baris 2 sampai 41</t>
  </si>
  <si>
    <t xml:space="preserve">=IF(D2&lt;25;"Muda";IF(D2&lt;=40;"Dewasa";"Senior"))</t>
  </si>
  <si>
    <t xml:space="preserve">4</t>
  </si>
  <si>
    <t xml:space="preserve">Pada sheet Acuan, hitung jumlah responden tiap cabang dari sheet Data.</t>
  </si>
  <si>
    <t xml:space="preserve">Sheet Acuan, kolom B (Jumlah Responden), baris 2 sampai 5</t>
  </si>
  <si>
    <t xml:space="preserve">=COUNTIF(Data!$C$2:$C$41;A2)</t>
  </si>
  <si>
    <t xml:space="preserve">5</t>
  </si>
  <si>
    <t xml:space="preserve">Pada sheet Acuan, hitung rata-rata kolom Rata-rata Skor dari responden tiap cabang.</t>
  </si>
  <si>
    <t xml:space="preserve">Sheet Acuan, kolom C (Rata-rata Skor Cabang), baris 2 sampai 5</t>
  </si>
  <si>
    <t xml:space="preserve">=AVERAGEIF(Data!$C$2:$C$41;A2;Data!$I$2:$I$41)</t>
  </si>
  <si>
    <t xml:space="preserve">6</t>
  </si>
  <si>
    <t xml:space="preserve">Pada sheet Acuan, beri peringkat cabang menurut rata-rata skor cabang, peringkat 1 untuk skor tertinggi.</t>
  </si>
  <si>
    <t xml:space="preserve">Sheet Acuan, kolom D (Peringkat), baris 2 sampai 5</t>
  </si>
  <si>
    <t xml:space="preserve">=RANK(C2;$C$2:$C$5;0)</t>
  </si>
  <si>
    <t xml:space="preserve">7</t>
  </si>
  <si>
    <t xml:space="preserve">Berapa responden yang mengisi survei, dan berapa rata-rata skor kepuasan seluruh responden?</t>
  </si>
  <si>
    <t xml:space="preserve">Sheet Ringkasan, sel C4 sampai C5</t>
  </si>
  <si>
    <t xml:space="preserve">=COUNT(Data!$A$2:$A$41)
=AVERAGE(Data!$I$2:$I$41)</t>
  </si>
  <si>
    <t xml:space="preserve">8</t>
  </si>
  <si>
    <t xml:space="preserve">Berapa rata-rata skor tertinggi dan terendah di antara keempat aspek?</t>
  </si>
  <si>
    <t xml:space="preserve">Sheet Ringkasan, sel C6 sampai C7</t>
  </si>
  <si>
    <t xml:space="preserve">=MAX(AVERAGE(Data!$E$2:$E$41);AVERAGE(Data!$F$2:$F$41);AVERAGE(Data!$G$2:$G$41);AVERAGE(Data!$H$2:$H$41))
=MIN(AVERAGE(Data!$E$2:$E$41);AVERAGE(Data!$F$2:$F$41);AVERAGE(Data!$G$2:$G$41);AVERAGE(Data!$H$2:$H$41))</t>
  </si>
  <si>
    <t xml:space="preserve">9</t>
  </si>
  <si>
    <t xml:space="preserve">Berapa responden yang Sangat Puas, dan berapa persen responden yang Puas atau Sangat Puas?</t>
  </si>
  <si>
    <t xml:space="preserve">Sheet Ringkasan, sel C8 sampai C9</t>
  </si>
  <si>
    <t xml:space="preserve">=COUNTIF(Data!$J$2:$J$41;"Sangat Puas")
=(COUNTIF(Data!$J$2:$J$41;"Sangat Puas")+COUNTIF(Data!$J$2:$J$41;"Puas"))/COUNT(Data!$A$2:$A$41)</t>
  </si>
  <si>
    <t xml:space="preserve">10</t>
  </si>
  <si>
    <t xml:space="preserve">Cabang mana yang rata-rata skornya tertinggi, dan cabang mana yang punya responden terbanyak?</t>
  </si>
  <si>
    <t xml:space="preserve">Sheet Ringkasan, sel C10 sampai C11</t>
  </si>
  <si>
    <t xml:space="preserve">=INDEX(Acuan!$A$2:$A$5;MATCH(MAX(Acuan!$C$2:$C$5);Acuan!$C$2:$C$5;0))
=INDEX(Acuan!$A$2:$A$5;MATCH(MAX(Acuan!$B$2:$B$5);Acuan!$B$2:$B$5;0))</t>
  </si>
  <si>
    <t xml:space="preserve">11</t>
  </si>
  <si>
    <t xml:space="preserve">Berapa rata-rata skor responden kelompok Muda, dan berapa responden kelompok Senior?</t>
  </si>
  <si>
    <t xml:space="preserve">Sheet Ringkasan, sel C12 sampai C13</t>
  </si>
  <si>
    <t xml:space="preserve">=AVERAGEIF(Data!$K$2:$K$41;"Muda";Data!$I$2:$I$41)
=COUNTIF(Data!$K$2:$K$41;"Senior")</t>
  </si>
  <si>
    <t xml:space="preserve">12</t>
  </si>
  <si>
    <t xml:space="preserve">Berapa responden Cabang Pusat yang rata-rata skornya mencapai batas Puas atau lebih?</t>
  </si>
  <si>
    <t xml:space="preserve">Sheet Ringkasan, sel C14</t>
  </si>
  <si>
    <t xml:space="preserve">=COUNTIFS(Data!$C$2:$C$41;"Cabang Pusat";Data!$I$2:$I$41;"&gt;="&amp;Data!$N$3)</t>
  </si>
  <si>
    <t xml:space="preserve">13</t>
  </si>
  <si>
    <t xml:space="preserve">Berapa responden yang memberi skor 5 untuk keempat aspek sekaligus, dan berapa responden yang menilai harga 2 atau lebih rendah?</t>
  </si>
  <si>
    <t xml:space="preserve">Sheet Ringkasan, sel C15 sampai C16</t>
  </si>
  <si>
    <t xml:space="preserve">=COUNTIFS(Data!$E$2:$E$41;5;Data!$F$2:$F$41;5;Data!$G$2:$G$41;5;Data!$H$2:$H$41;5)
=COUNTIF(Data!$H$2:$H$41;"&lt;=2")</t>
  </si>
  <si>
    <t xml:space="preserve">14</t>
  </si>
  <si>
    <t xml:space="preserve">Berapa usia responden termuda dan tertua, dan berapa responden yang mengisi survei pada 1 sampai 7 September 2026?</t>
  </si>
  <si>
    <t xml:space="preserve">Sheet Ringkasan, sel C17 sampai C19</t>
  </si>
  <si>
    <t xml:space="preserve">=MIN(Data!$D$2:$D$41)
=MAX(Data!$D$2:$D$41)
=COUNTIFS(Data!$B$2:$B$41;"&gt;="&amp;DATE(2026;9;1);Data!$B$2:$B$41;"&lt;="&amp;DATE(2026;9;7))</t>
  </si>
  <si>
    <t xml:space="preserve">Tanggal</t>
  </si>
  <si>
    <t xml:space="preserve">Cabang</t>
  </si>
  <si>
    <t xml:space="preserve">Usia</t>
  </si>
  <si>
    <t xml:space="preserve">Kecepatan</t>
  </si>
  <si>
    <t xml:space="preserve">Keramahan</t>
  </si>
  <si>
    <t xml:space="preserve">Kebersihan</t>
  </si>
  <si>
    <t xml:space="preserve">Harga</t>
  </si>
  <si>
    <t xml:space="preserve">Rata-rata Skor</t>
  </si>
  <si>
    <t xml:space="preserve">Kategori</t>
  </si>
  <si>
    <t xml:space="preserve">Kelompok Usia</t>
  </si>
  <si>
    <t xml:space="preserve">Parameter</t>
  </si>
  <si>
    <t xml:space="preserve">Nilai</t>
  </si>
  <si>
    <t xml:space="preserve">Keterangan</t>
  </si>
  <si>
    <t xml:space="preserve">Cabang Utara</t>
  </si>
  <si>
    <t xml:space="preserve">Batas Sangat Puas</t>
  </si>
  <si>
    <t xml:space="preserve">Cabang Timur</t>
  </si>
  <si>
    <t xml:space="preserve">Batas Puas</t>
  </si>
  <si>
    <t xml:space="preserve">Cabang Pusat</t>
  </si>
  <si>
    <t xml:space="preserve">Batas Cukup</t>
  </si>
  <si>
    <t xml:space="preserve">Cabang Selatan</t>
  </si>
  <si>
    <t xml:space="preserve">Jumlah Responden</t>
  </si>
  <si>
    <t xml:space="preserve">Rata-rata Skor Cabang</t>
  </si>
  <si>
    <t xml:space="preserve">Peringkat</t>
  </si>
  <si>
    <t xml:space="preserve">Ringkasan: lembar jawaban soal berjenis ringkasan</t>
  </si>
  <si>
    <t xml:space="preserve">Sel hijau berisi rumus kunci.</t>
  </si>
  <si>
    <t xml:space="preserve">Pertanyaan</t>
  </si>
  <si>
    <t xml:space="preserve">Jawaban</t>
  </si>
  <si>
    <t xml:space="preserve">Contoh format hasil</t>
  </si>
  <si>
    <t xml:space="preserve">7a</t>
  </si>
  <si>
    <t xml:space="preserve">Jumlah responden</t>
  </si>
  <si>
    <t xml:space="preserve">Angka bulat, mis. 25</t>
  </si>
  <si>
    <t xml:space="preserve">7b</t>
  </si>
  <si>
    <t xml:space="preserve">Rata-rata skor seluruh responden</t>
  </si>
  <si>
    <t xml:space="preserve">Angka desimal, mis. 3,10</t>
  </si>
  <si>
    <t xml:space="preserve">8a</t>
  </si>
  <si>
    <t xml:space="preserve">Rata-rata aspek tertinggi</t>
  </si>
  <si>
    <t xml:space="preserve">Angka desimal, mis. 3,90</t>
  </si>
  <si>
    <t xml:space="preserve">8b</t>
  </si>
  <si>
    <t xml:space="preserve">Rata-rata aspek terendah</t>
  </si>
  <si>
    <t xml:space="preserve">Angka desimal, mis. 2,60</t>
  </si>
  <si>
    <t xml:space="preserve">9a</t>
  </si>
  <si>
    <t xml:space="preserve">Jumlah responden Sangat Puas</t>
  </si>
  <si>
    <t xml:space="preserve">Angka bulat, mis. 7</t>
  </si>
  <si>
    <t xml:space="preserve">9b</t>
  </si>
  <si>
    <t xml:space="preserve">Persen responden Puas atau Sangat Puas</t>
  </si>
  <si>
    <t xml:space="preserve">Persen, mis. 45,5%</t>
  </si>
  <si>
    <t xml:space="preserve">10a</t>
  </si>
  <si>
    <t xml:space="preserve">Cabang dengan rata-rata skor tertinggi</t>
  </si>
  <si>
    <t xml:space="preserve">Teks: nama cabang</t>
  </si>
  <si>
    <t xml:space="preserve">10b</t>
  </si>
  <si>
    <t xml:space="preserve">Cabang dengan responden terbanyak</t>
  </si>
  <si>
    <t xml:space="preserve">11a</t>
  </si>
  <si>
    <t xml:space="preserve">Rata-rata skor kelompok Muda</t>
  </si>
  <si>
    <t xml:space="preserve">Angka desimal, mis. 3,30</t>
  </si>
  <si>
    <t xml:space="preserve">11b</t>
  </si>
  <si>
    <t xml:space="preserve">Jumlah responden kelompok Senior</t>
  </si>
  <si>
    <t xml:space="preserve">Angka bulat, mis. 8</t>
  </si>
  <si>
    <t xml:space="preserve">Responden Cabang Pusat dengan skor mencapai batas Puas</t>
  </si>
  <si>
    <t xml:space="preserve">Angka bulat, mis. 9</t>
  </si>
  <si>
    <t xml:space="preserve">13a</t>
  </si>
  <si>
    <t xml:space="preserve">Responden dengan skor 5 di semua aspek</t>
  </si>
  <si>
    <t xml:space="preserve">Angka bulat, mis. 6</t>
  </si>
  <si>
    <t xml:space="preserve">13b</t>
  </si>
  <si>
    <t xml:space="preserve">Responden yang menilai harga 2 atau lebih rendah</t>
  </si>
  <si>
    <t xml:space="preserve">Angka bulat, mis. 15</t>
  </si>
  <si>
    <t xml:space="preserve">14a</t>
  </si>
  <si>
    <t xml:space="preserve">Usia responden termuda</t>
  </si>
  <si>
    <t xml:space="preserve">Angka bulat, mis. 30</t>
  </si>
  <si>
    <t xml:space="preserve">14b</t>
  </si>
  <si>
    <t xml:space="preserve">Usia responden tertua</t>
  </si>
  <si>
    <t xml:space="preserve">Angka bulat, mis. 50</t>
  </si>
  <si>
    <t xml:space="preserve">14c</t>
  </si>
  <si>
    <t xml:space="preserve">Responden pada 1 sampai 7 September 2026</t>
  </si>
  <si>
    <t xml:space="preserve">Angka bulat, mis. 20</t>
  </si>
</sst>
</file>

<file path=xl/styles.xml><?xml version="1.0" encoding="utf-8"?>
<styleSheet xmlns="http://schemas.openxmlformats.org/spreadsheetml/2006/main">
  <numFmts count="6">
    <numFmt numFmtId="164" formatCode="General"/>
    <numFmt numFmtId="165" formatCode="0"/>
    <numFmt numFmtId="166" formatCode="dd/mm/yyyy"/>
    <numFmt numFmtId="167" formatCode="0.00"/>
    <numFmt numFmtId="168" formatCode="0.0"/>
    <numFmt numFmtId="169"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42"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43.5" hidden="false" customHeight="true" outlineLevel="0" collapsed="false">
      <c r="A27" s="12" t="s">
        <v>47</v>
      </c>
      <c r="B27" s="13" t="s">
        <v>48</v>
      </c>
      <c r="C27" s="13" t="s">
        <v>49</v>
      </c>
      <c r="D27" s="14" t="s">
        <v>50</v>
      </c>
    </row>
    <row r="28" customFormat="false" ht="69.75" hidden="false" customHeight="true" outlineLevel="0" collapsed="false">
      <c r="A28" s="12" t="s">
        <v>51</v>
      </c>
      <c r="B28" s="13" t="s">
        <v>52</v>
      </c>
      <c r="C28" s="13" t="s">
        <v>53</v>
      </c>
      <c r="D28" s="14" t="s">
        <v>54</v>
      </c>
    </row>
    <row r="29" customFormat="false" ht="43.5" hidden="false" customHeight="true" outlineLevel="0" collapsed="false">
      <c r="A29" s="12" t="s">
        <v>55</v>
      </c>
      <c r="B29" s="13" t="s">
        <v>56</v>
      </c>
      <c r="C29" s="13" t="s">
        <v>57</v>
      </c>
      <c r="D29" s="14" t="s">
        <v>58</v>
      </c>
    </row>
    <row r="30" customFormat="false" ht="55.5"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row r="32" customFormat="false" ht="30" hidden="false" customHeight="true" outlineLevel="0" collapsed="false">
      <c r="A32" s="12" t="s">
        <v>67</v>
      </c>
      <c r="B32" s="13" t="s">
        <v>68</v>
      </c>
      <c r="C32" s="13" t="s">
        <v>69</v>
      </c>
      <c r="D32" s="14" t="s">
        <v>70</v>
      </c>
    </row>
    <row r="33" customFormat="false" ht="55.5" hidden="false" customHeight="true" outlineLevel="0" collapsed="false">
      <c r="A33" s="12" t="s">
        <v>71</v>
      </c>
      <c r="B33" s="13" t="s">
        <v>72</v>
      </c>
      <c r="C33" s="13" t="s">
        <v>73</v>
      </c>
      <c r="D33" s="14" t="s">
        <v>74</v>
      </c>
    </row>
    <row r="34" customFormat="false" ht="57.75" hidden="false" customHeight="true" outlineLevel="0" collapsed="false">
      <c r="A34" s="12" t="s">
        <v>75</v>
      </c>
      <c r="B34" s="13" t="s">
        <v>76</v>
      </c>
      <c r="C34" s="13" t="s">
        <v>77</v>
      </c>
      <c r="D34" s="14" t="s">
        <v>78</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16"/>
    <col collapsed="false" customWidth="true" hidden="false" outlineLevel="0" max="4" min="4" style="0" width="8"/>
    <col collapsed="false" customWidth="true" hidden="false" outlineLevel="0" max="7" min="5" style="0" width="11"/>
    <col collapsed="false" customWidth="true" hidden="false" outlineLevel="0" max="8" min="8" style="0" width="9"/>
    <col collapsed="false" customWidth="true" hidden="false" outlineLevel="0" max="9" min="9" style="0" width="14"/>
    <col collapsed="false" customWidth="true" hidden="false" outlineLevel="0" max="10" min="10" style="0" width="13"/>
    <col collapsed="false" customWidth="true" hidden="false" outlineLevel="0" max="11" min="11" style="0" width="14"/>
    <col collapsed="false" customWidth="true" hidden="false" outlineLevel="0" max="12" min="12" style="0" width="3"/>
    <col collapsed="false" customWidth="true" hidden="false" outlineLevel="0" max="13" min="13" style="0" width="30"/>
    <col collapsed="false" customWidth="true" hidden="false" outlineLevel="0" max="14" min="14" style="0" width="16"/>
    <col collapsed="false" customWidth="true" hidden="false" outlineLevel="0" max="15" min="15" style="0" width="42"/>
  </cols>
  <sheetData>
    <row r="1" customFormat="false" ht="33.75" hidden="false" customHeight="true" outlineLevel="0" collapsed="false">
      <c r="A1" s="11" t="s">
        <v>19</v>
      </c>
      <c r="B1" s="11" t="s">
        <v>79</v>
      </c>
      <c r="C1" s="11" t="s">
        <v>80</v>
      </c>
      <c r="D1" s="11" t="s">
        <v>81</v>
      </c>
      <c r="E1" s="11" t="s">
        <v>82</v>
      </c>
      <c r="F1" s="11" t="s">
        <v>83</v>
      </c>
      <c r="G1" s="11" t="s">
        <v>84</v>
      </c>
      <c r="H1" s="11" t="s">
        <v>85</v>
      </c>
      <c r="I1" s="15" t="s">
        <v>86</v>
      </c>
      <c r="J1" s="15" t="s">
        <v>87</v>
      </c>
      <c r="K1" s="15" t="s">
        <v>88</v>
      </c>
      <c r="M1" s="16" t="s">
        <v>89</v>
      </c>
      <c r="N1" s="16" t="s">
        <v>90</v>
      </c>
      <c r="O1" s="16" t="s">
        <v>91</v>
      </c>
    </row>
    <row r="2" customFormat="false" ht="15" hidden="false" customHeight="false" outlineLevel="0" collapsed="false">
      <c r="A2" s="17" t="n">
        <v>1</v>
      </c>
      <c r="B2" s="18" t="n">
        <v>46266</v>
      </c>
      <c r="C2" s="19" t="s">
        <v>92</v>
      </c>
      <c r="D2" s="17" t="n">
        <v>29</v>
      </c>
      <c r="E2" s="17" t="n">
        <v>2</v>
      </c>
      <c r="F2" s="17" t="n">
        <v>5</v>
      </c>
      <c r="G2" s="17" t="n">
        <v>4</v>
      </c>
      <c r="H2" s="17" t="n">
        <v>4</v>
      </c>
      <c r="I2" s="20" t="n">
        <f aca="false">AVERAGE(E2,F2,G2,H2)</f>
        <v>3.75</v>
      </c>
      <c r="J2" s="21" t="str">
        <f aca="false">IF(I2&gt;=$N$2,"Sangat Puas",IF(I2&gt;=$N$3,"Puas",IF(I2&gt;=$N$4,"Cukup","Kurang")))</f>
        <v>Puas</v>
      </c>
      <c r="K2" s="21" t="str">
        <f aca="false">IF(D2&lt;25,"Muda",IF(D2&lt;=40,"Dewasa","Senior"))</f>
        <v>Dewasa</v>
      </c>
      <c r="M2" s="22" t="s">
        <v>93</v>
      </c>
      <c r="N2" s="23" t="n">
        <v>4.5</v>
      </c>
      <c r="O2" s="22"/>
    </row>
    <row r="3" customFormat="false" ht="15" hidden="false" customHeight="false" outlineLevel="0" collapsed="false">
      <c r="A3" s="17" t="n">
        <v>2</v>
      </c>
      <c r="B3" s="18" t="n">
        <v>46266</v>
      </c>
      <c r="C3" s="19" t="s">
        <v>94</v>
      </c>
      <c r="D3" s="17" t="n">
        <v>48</v>
      </c>
      <c r="E3" s="17" t="n">
        <v>3</v>
      </c>
      <c r="F3" s="17" t="n">
        <v>3</v>
      </c>
      <c r="G3" s="17" t="n">
        <v>5</v>
      </c>
      <c r="H3" s="17" t="n">
        <v>3</v>
      </c>
      <c r="I3" s="20" t="n">
        <f aca="false">AVERAGE(E3,F3,G3,H3)</f>
        <v>3.5</v>
      </c>
      <c r="J3" s="21" t="str">
        <f aca="false">IF(I3&gt;=$N$2,"Sangat Puas",IF(I3&gt;=$N$3,"Puas",IF(I3&gt;=$N$4,"Cukup","Kurang")))</f>
        <v>Puas</v>
      </c>
      <c r="K3" s="21" t="str">
        <f aca="false">IF(D3&lt;25,"Muda",IF(D3&lt;=40,"Dewasa","Senior"))</f>
        <v>Senior</v>
      </c>
      <c r="M3" s="22" t="s">
        <v>95</v>
      </c>
      <c r="N3" s="23" t="n">
        <v>3.5</v>
      </c>
      <c r="O3" s="22"/>
    </row>
    <row r="4" customFormat="false" ht="15" hidden="false" customHeight="false" outlineLevel="0" collapsed="false">
      <c r="A4" s="17" t="n">
        <v>3</v>
      </c>
      <c r="B4" s="18" t="n">
        <v>46267</v>
      </c>
      <c r="C4" s="19" t="s">
        <v>96</v>
      </c>
      <c r="D4" s="17" t="n">
        <v>42</v>
      </c>
      <c r="E4" s="17" t="n">
        <v>4</v>
      </c>
      <c r="F4" s="17" t="n">
        <v>3</v>
      </c>
      <c r="G4" s="17" t="n">
        <v>4</v>
      </c>
      <c r="H4" s="17" t="n">
        <v>3</v>
      </c>
      <c r="I4" s="20" t="n">
        <f aca="false">AVERAGE(E4,F4,G4,H4)</f>
        <v>3.5</v>
      </c>
      <c r="J4" s="21" t="str">
        <f aca="false">IF(I4&gt;=$N$2,"Sangat Puas",IF(I4&gt;=$N$3,"Puas",IF(I4&gt;=$N$4,"Cukup","Kurang")))</f>
        <v>Puas</v>
      </c>
      <c r="K4" s="21" t="str">
        <f aca="false">IF(D4&lt;25,"Muda",IF(D4&lt;=40,"Dewasa","Senior"))</f>
        <v>Senior</v>
      </c>
      <c r="M4" s="22" t="s">
        <v>97</v>
      </c>
      <c r="N4" s="23" t="n">
        <v>2.5</v>
      </c>
      <c r="O4" s="22"/>
    </row>
    <row r="5" customFormat="false" ht="15" hidden="false" customHeight="false" outlineLevel="0" collapsed="false">
      <c r="A5" s="17" t="n">
        <v>4</v>
      </c>
      <c r="B5" s="18" t="n">
        <v>46267</v>
      </c>
      <c r="C5" s="19" t="s">
        <v>96</v>
      </c>
      <c r="D5" s="17" t="n">
        <v>50</v>
      </c>
      <c r="E5" s="17" t="n">
        <v>5</v>
      </c>
      <c r="F5" s="17" t="n">
        <v>5</v>
      </c>
      <c r="G5" s="17" t="n">
        <v>5</v>
      </c>
      <c r="H5" s="17" t="n">
        <v>5</v>
      </c>
      <c r="I5" s="20" t="n">
        <f aca="false">AVERAGE(E5,F5,G5,H5)</f>
        <v>5</v>
      </c>
      <c r="J5" s="21" t="str">
        <f aca="false">IF(I5&gt;=$N$2,"Sangat Puas",IF(I5&gt;=$N$3,"Puas",IF(I5&gt;=$N$4,"Cukup","Kurang")))</f>
        <v>Sangat Puas</v>
      </c>
      <c r="K5" s="21" t="str">
        <f aca="false">IF(D5&lt;25,"Muda",IF(D5&lt;=40,"Dewasa","Senior"))</f>
        <v>Senior</v>
      </c>
    </row>
    <row r="6" customFormat="false" ht="15" hidden="false" customHeight="false" outlineLevel="0" collapsed="false">
      <c r="A6" s="17" t="n">
        <v>5</v>
      </c>
      <c r="B6" s="18" t="n">
        <v>46268</v>
      </c>
      <c r="C6" s="19" t="s">
        <v>94</v>
      </c>
      <c r="D6" s="17" t="n">
        <v>45</v>
      </c>
      <c r="E6" s="17" t="n">
        <v>1</v>
      </c>
      <c r="F6" s="17" t="n">
        <v>3</v>
      </c>
      <c r="G6" s="17" t="n">
        <v>4</v>
      </c>
      <c r="H6" s="17" t="n">
        <v>4</v>
      </c>
      <c r="I6" s="20" t="n">
        <f aca="false">AVERAGE(E6,F6,G6,H6)</f>
        <v>3</v>
      </c>
      <c r="J6" s="21" t="str">
        <f aca="false">IF(I6&gt;=$N$2,"Sangat Puas",IF(I6&gt;=$N$3,"Puas",IF(I6&gt;=$N$4,"Cukup","Kurang")))</f>
        <v>Cukup</v>
      </c>
      <c r="K6" s="21" t="str">
        <f aca="false">IF(D6&lt;25,"Muda",IF(D6&lt;=40,"Dewasa","Senior"))</f>
        <v>Senior</v>
      </c>
    </row>
    <row r="7" customFormat="false" ht="15" hidden="false" customHeight="false" outlineLevel="0" collapsed="false">
      <c r="A7" s="17" t="n">
        <v>6</v>
      </c>
      <c r="B7" s="18" t="n">
        <v>46269</v>
      </c>
      <c r="C7" s="19" t="s">
        <v>96</v>
      </c>
      <c r="D7" s="17" t="n">
        <v>22</v>
      </c>
      <c r="E7" s="17" t="n">
        <v>2</v>
      </c>
      <c r="F7" s="17" t="n">
        <v>2</v>
      </c>
      <c r="G7" s="17" t="n">
        <v>3</v>
      </c>
      <c r="H7" s="17" t="n">
        <v>1</v>
      </c>
      <c r="I7" s="20" t="n">
        <f aca="false">AVERAGE(E7,F7,G7,H7)</f>
        <v>2</v>
      </c>
      <c r="J7" s="21" t="str">
        <f aca="false">IF(I7&gt;=$N$2,"Sangat Puas",IF(I7&gt;=$N$3,"Puas",IF(I7&gt;=$N$4,"Cukup","Kurang")))</f>
        <v>Kurang</v>
      </c>
      <c r="K7" s="21" t="str">
        <f aca="false">IF(D7&lt;25,"Muda",IF(D7&lt;=40,"Dewasa","Senior"))</f>
        <v>Muda</v>
      </c>
    </row>
    <row r="8" customFormat="false" ht="15" hidden="false" customHeight="false" outlineLevel="0" collapsed="false">
      <c r="A8" s="17" t="n">
        <v>7</v>
      </c>
      <c r="B8" s="18" t="n">
        <v>46271</v>
      </c>
      <c r="C8" s="19" t="s">
        <v>94</v>
      </c>
      <c r="D8" s="17" t="n">
        <v>36</v>
      </c>
      <c r="E8" s="17" t="n">
        <v>2</v>
      </c>
      <c r="F8" s="17" t="n">
        <v>1</v>
      </c>
      <c r="G8" s="17" t="n">
        <v>3</v>
      </c>
      <c r="H8" s="17" t="n">
        <v>3</v>
      </c>
      <c r="I8" s="20" t="n">
        <f aca="false">AVERAGE(E8,F8,G8,H8)</f>
        <v>2.25</v>
      </c>
      <c r="J8" s="21" t="str">
        <f aca="false">IF(I8&gt;=$N$2,"Sangat Puas",IF(I8&gt;=$N$3,"Puas",IF(I8&gt;=$N$4,"Cukup","Kurang")))</f>
        <v>Kurang</v>
      </c>
      <c r="K8" s="21" t="str">
        <f aca="false">IF(D8&lt;25,"Muda",IF(D8&lt;=40,"Dewasa","Senior"))</f>
        <v>Dewasa</v>
      </c>
    </row>
    <row r="9" customFormat="false" ht="15" hidden="false" customHeight="false" outlineLevel="0" collapsed="false">
      <c r="A9" s="17" t="n">
        <v>8</v>
      </c>
      <c r="B9" s="18" t="n">
        <v>46271</v>
      </c>
      <c r="C9" s="19" t="s">
        <v>98</v>
      </c>
      <c r="D9" s="17" t="n">
        <v>24</v>
      </c>
      <c r="E9" s="17" t="n">
        <v>2</v>
      </c>
      <c r="F9" s="17" t="n">
        <v>1</v>
      </c>
      <c r="G9" s="17" t="n">
        <v>2</v>
      </c>
      <c r="H9" s="17" t="n">
        <v>4</v>
      </c>
      <c r="I9" s="20" t="n">
        <f aca="false">AVERAGE(E9,F9,G9,H9)</f>
        <v>2.25</v>
      </c>
      <c r="J9" s="21" t="str">
        <f aca="false">IF(I9&gt;=$N$2,"Sangat Puas",IF(I9&gt;=$N$3,"Puas",IF(I9&gt;=$N$4,"Cukup","Kurang")))</f>
        <v>Kurang</v>
      </c>
      <c r="K9" s="21" t="str">
        <f aca="false">IF(D9&lt;25,"Muda",IF(D9&lt;=40,"Dewasa","Senior"))</f>
        <v>Muda</v>
      </c>
    </row>
    <row r="10" customFormat="false" ht="15" hidden="false" customHeight="false" outlineLevel="0" collapsed="false">
      <c r="A10" s="17" t="n">
        <v>9</v>
      </c>
      <c r="B10" s="18" t="n">
        <v>46272</v>
      </c>
      <c r="C10" s="19" t="s">
        <v>92</v>
      </c>
      <c r="D10" s="17" t="n">
        <v>30</v>
      </c>
      <c r="E10" s="17" t="n">
        <v>4</v>
      </c>
      <c r="F10" s="17" t="n">
        <v>3</v>
      </c>
      <c r="G10" s="17" t="n">
        <v>3</v>
      </c>
      <c r="H10" s="17" t="n">
        <v>3</v>
      </c>
      <c r="I10" s="20" t="n">
        <f aca="false">AVERAGE(E10,F10,G10,H10)</f>
        <v>3.25</v>
      </c>
      <c r="J10" s="21" t="str">
        <f aca="false">IF(I10&gt;=$N$2,"Sangat Puas",IF(I10&gt;=$N$3,"Puas",IF(I10&gt;=$N$4,"Cukup","Kurang")))</f>
        <v>Cukup</v>
      </c>
      <c r="K10" s="21" t="str">
        <f aca="false">IF(D10&lt;25,"Muda",IF(D10&lt;=40,"Dewasa","Senior"))</f>
        <v>Dewasa</v>
      </c>
    </row>
    <row r="11" customFormat="false" ht="15" hidden="false" customHeight="false" outlineLevel="0" collapsed="false">
      <c r="A11" s="17" t="n">
        <v>10</v>
      </c>
      <c r="B11" s="18" t="n">
        <v>46272</v>
      </c>
      <c r="C11" s="19" t="s">
        <v>98</v>
      </c>
      <c r="D11" s="17" t="n">
        <v>17</v>
      </c>
      <c r="E11" s="17" t="n">
        <v>4</v>
      </c>
      <c r="F11" s="17" t="n">
        <v>4</v>
      </c>
      <c r="G11" s="17" t="n">
        <v>3</v>
      </c>
      <c r="H11" s="17" t="n">
        <v>2</v>
      </c>
      <c r="I11" s="20" t="n">
        <f aca="false">AVERAGE(E11,F11,G11,H11)</f>
        <v>3.25</v>
      </c>
      <c r="J11" s="21" t="str">
        <f aca="false">IF(I11&gt;=$N$2,"Sangat Puas",IF(I11&gt;=$N$3,"Puas",IF(I11&gt;=$N$4,"Cukup","Kurang")))</f>
        <v>Cukup</v>
      </c>
      <c r="K11" s="21" t="str">
        <f aca="false">IF(D11&lt;25,"Muda",IF(D11&lt;=40,"Dewasa","Senior"))</f>
        <v>Muda</v>
      </c>
    </row>
    <row r="12" customFormat="false" ht="15" hidden="false" customHeight="false" outlineLevel="0" collapsed="false">
      <c r="A12" s="17" t="n">
        <v>11</v>
      </c>
      <c r="B12" s="18" t="n">
        <v>46273</v>
      </c>
      <c r="C12" s="19" t="s">
        <v>92</v>
      </c>
      <c r="D12" s="17" t="n">
        <v>34</v>
      </c>
      <c r="E12" s="17" t="n">
        <v>1</v>
      </c>
      <c r="F12" s="17" t="n">
        <v>2</v>
      </c>
      <c r="G12" s="17" t="n">
        <v>3</v>
      </c>
      <c r="H12" s="17" t="n">
        <v>4</v>
      </c>
      <c r="I12" s="20" t="n">
        <f aca="false">AVERAGE(E12,F12,G12,H12)</f>
        <v>2.5</v>
      </c>
      <c r="J12" s="21" t="str">
        <f aca="false">IF(I12&gt;=$N$2,"Sangat Puas",IF(I12&gt;=$N$3,"Puas",IF(I12&gt;=$N$4,"Cukup","Kurang")))</f>
        <v>Cukup</v>
      </c>
      <c r="K12" s="21" t="str">
        <f aca="false">IF(D12&lt;25,"Muda",IF(D12&lt;=40,"Dewasa","Senior"))</f>
        <v>Dewasa</v>
      </c>
    </row>
    <row r="13" customFormat="false" ht="15" hidden="false" customHeight="false" outlineLevel="0" collapsed="false">
      <c r="A13" s="17" t="n">
        <v>12</v>
      </c>
      <c r="B13" s="18" t="n">
        <v>46273</v>
      </c>
      <c r="C13" s="19" t="s">
        <v>98</v>
      </c>
      <c r="D13" s="17" t="n">
        <v>26</v>
      </c>
      <c r="E13" s="17" t="n">
        <v>3</v>
      </c>
      <c r="F13" s="17" t="n">
        <v>4</v>
      </c>
      <c r="G13" s="17" t="n">
        <v>5</v>
      </c>
      <c r="H13" s="17" t="n">
        <v>3</v>
      </c>
      <c r="I13" s="20" t="n">
        <f aca="false">AVERAGE(E13,F13,G13,H13)</f>
        <v>3.75</v>
      </c>
      <c r="J13" s="21" t="str">
        <f aca="false">IF(I13&gt;=$N$2,"Sangat Puas",IF(I13&gt;=$N$3,"Puas",IF(I13&gt;=$N$4,"Cukup","Kurang")))</f>
        <v>Puas</v>
      </c>
      <c r="K13" s="21" t="str">
        <f aca="false">IF(D13&lt;25,"Muda",IF(D13&lt;=40,"Dewasa","Senior"))</f>
        <v>Dewasa</v>
      </c>
    </row>
    <row r="14" customFormat="false" ht="15" hidden="false" customHeight="false" outlineLevel="0" collapsed="false">
      <c r="A14" s="17" t="n">
        <v>13</v>
      </c>
      <c r="B14" s="18" t="n">
        <v>46276</v>
      </c>
      <c r="C14" s="19" t="s">
        <v>92</v>
      </c>
      <c r="D14" s="17" t="n">
        <v>54</v>
      </c>
      <c r="E14" s="17" t="n">
        <v>2</v>
      </c>
      <c r="F14" s="17" t="n">
        <v>2</v>
      </c>
      <c r="G14" s="17" t="n">
        <v>2</v>
      </c>
      <c r="H14" s="17" t="n">
        <v>1</v>
      </c>
      <c r="I14" s="20" t="n">
        <f aca="false">AVERAGE(E14,F14,G14,H14)</f>
        <v>1.75</v>
      </c>
      <c r="J14" s="21" t="str">
        <f aca="false">IF(I14&gt;=$N$2,"Sangat Puas",IF(I14&gt;=$N$3,"Puas",IF(I14&gt;=$N$4,"Cukup","Kurang")))</f>
        <v>Kurang</v>
      </c>
      <c r="K14" s="21" t="str">
        <f aca="false">IF(D14&lt;25,"Muda",IF(D14&lt;=40,"Dewasa","Senior"))</f>
        <v>Senior</v>
      </c>
    </row>
    <row r="15" customFormat="false" ht="15" hidden="false" customHeight="false" outlineLevel="0" collapsed="false">
      <c r="A15" s="17" t="n">
        <v>14</v>
      </c>
      <c r="B15" s="18" t="n">
        <v>46278</v>
      </c>
      <c r="C15" s="19" t="s">
        <v>98</v>
      </c>
      <c r="D15" s="17" t="n">
        <v>42</v>
      </c>
      <c r="E15" s="17" t="n">
        <v>4</v>
      </c>
      <c r="F15" s="17" t="n">
        <v>4</v>
      </c>
      <c r="G15" s="17" t="n">
        <v>3</v>
      </c>
      <c r="H15" s="17" t="n">
        <v>3</v>
      </c>
      <c r="I15" s="20" t="n">
        <f aca="false">AVERAGE(E15,F15,G15,H15)</f>
        <v>3.5</v>
      </c>
      <c r="J15" s="21" t="str">
        <f aca="false">IF(I15&gt;=$N$2,"Sangat Puas",IF(I15&gt;=$N$3,"Puas",IF(I15&gt;=$N$4,"Cukup","Kurang")))</f>
        <v>Puas</v>
      </c>
      <c r="K15" s="21" t="str">
        <f aca="false">IF(D15&lt;25,"Muda",IF(D15&lt;=40,"Dewasa","Senior"))</f>
        <v>Senior</v>
      </c>
    </row>
    <row r="16" customFormat="false" ht="15" hidden="false" customHeight="false" outlineLevel="0" collapsed="false">
      <c r="A16" s="17" t="n">
        <v>15</v>
      </c>
      <c r="B16" s="18" t="n">
        <v>46279</v>
      </c>
      <c r="C16" s="19" t="s">
        <v>94</v>
      </c>
      <c r="D16" s="17" t="n">
        <v>25</v>
      </c>
      <c r="E16" s="17" t="n">
        <v>1</v>
      </c>
      <c r="F16" s="17" t="n">
        <v>4</v>
      </c>
      <c r="G16" s="17" t="n">
        <v>2</v>
      </c>
      <c r="H16" s="17" t="n">
        <v>4</v>
      </c>
      <c r="I16" s="20" t="n">
        <f aca="false">AVERAGE(E16,F16,G16,H16)</f>
        <v>2.75</v>
      </c>
      <c r="J16" s="21" t="str">
        <f aca="false">IF(I16&gt;=$N$2,"Sangat Puas",IF(I16&gt;=$N$3,"Puas",IF(I16&gt;=$N$4,"Cukup","Kurang")))</f>
        <v>Cukup</v>
      </c>
      <c r="K16" s="21" t="str">
        <f aca="false">IF(D16&lt;25,"Muda",IF(D16&lt;=40,"Dewasa","Senior"))</f>
        <v>Dewasa</v>
      </c>
    </row>
    <row r="17" customFormat="false" ht="15" hidden="false" customHeight="false" outlineLevel="0" collapsed="false">
      <c r="A17" s="17" t="n">
        <v>16</v>
      </c>
      <c r="B17" s="18" t="n">
        <v>46281</v>
      </c>
      <c r="C17" s="19" t="s">
        <v>94</v>
      </c>
      <c r="D17" s="17" t="n">
        <v>41</v>
      </c>
      <c r="E17" s="17" t="n">
        <v>2</v>
      </c>
      <c r="F17" s="17" t="n">
        <v>3</v>
      </c>
      <c r="G17" s="17" t="n">
        <v>3</v>
      </c>
      <c r="H17" s="17" t="n">
        <v>2</v>
      </c>
      <c r="I17" s="20" t="n">
        <f aca="false">AVERAGE(E17,F17,G17,H17)</f>
        <v>2.5</v>
      </c>
      <c r="J17" s="21" t="str">
        <f aca="false">IF(I17&gt;=$N$2,"Sangat Puas",IF(I17&gt;=$N$3,"Puas",IF(I17&gt;=$N$4,"Cukup","Kurang")))</f>
        <v>Cukup</v>
      </c>
      <c r="K17" s="21" t="str">
        <f aca="false">IF(D17&lt;25,"Muda",IF(D17&lt;=40,"Dewasa","Senior"))</f>
        <v>Senior</v>
      </c>
    </row>
    <row r="18" customFormat="false" ht="15" hidden="false" customHeight="false" outlineLevel="0" collapsed="false">
      <c r="A18" s="17" t="n">
        <v>17</v>
      </c>
      <c r="B18" s="18" t="n">
        <v>46282</v>
      </c>
      <c r="C18" s="19" t="s">
        <v>98</v>
      </c>
      <c r="D18" s="17" t="n">
        <v>43</v>
      </c>
      <c r="E18" s="17" t="n">
        <v>5</v>
      </c>
      <c r="F18" s="17" t="n">
        <v>4</v>
      </c>
      <c r="G18" s="17" t="n">
        <v>3</v>
      </c>
      <c r="H18" s="17" t="n">
        <v>4</v>
      </c>
      <c r="I18" s="20" t="n">
        <f aca="false">AVERAGE(E18,F18,G18,H18)</f>
        <v>4</v>
      </c>
      <c r="J18" s="21" t="str">
        <f aca="false">IF(I18&gt;=$N$2,"Sangat Puas",IF(I18&gt;=$N$3,"Puas",IF(I18&gt;=$N$4,"Cukup","Kurang")))</f>
        <v>Puas</v>
      </c>
      <c r="K18" s="21" t="str">
        <f aca="false">IF(D18&lt;25,"Muda",IF(D18&lt;=40,"Dewasa","Senior"))</f>
        <v>Senior</v>
      </c>
    </row>
    <row r="19" customFormat="false" ht="15" hidden="false" customHeight="false" outlineLevel="0" collapsed="false">
      <c r="A19" s="17" t="n">
        <v>18</v>
      </c>
      <c r="B19" s="18" t="n">
        <v>46282</v>
      </c>
      <c r="C19" s="19" t="s">
        <v>98</v>
      </c>
      <c r="D19" s="17" t="n">
        <v>31</v>
      </c>
      <c r="E19" s="17" t="n">
        <v>4</v>
      </c>
      <c r="F19" s="17" t="n">
        <v>1</v>
      </c>
      <c r="G19" s="17" t="n">
        <v>5</v>
      </c>
      <c r="H19" s="17" t="n">
        <v>4</v>
      </c>
      <c r="I19" s="20" t="n">
        <f aca="false">AVERAGE(E19,F19,G19,H19)</f>
        <v>3.5</v>
      </c>
      <c r="J19" s="21" t="str">
        <f aca="false">IF(I19&gt;=$N$2,"Sangat Puas",IF(I19&gt;=$N$3,"Puas",IF(I19&gt;=$N$4,"Cukup","Kurang")))</f>
        <v>Puas</v>
      </c>
      <c r="K19" s="21" t="str">
        <f aca="false">IF(D19&lt;25,"Muda",IF(D19&lt;=40,"Dewasa","Senior"))</f>
        <v>Dewasa</v>
      </c>
    </row>
    <row r="20" customFormat="false" ht="15" hidden="false" customHeight="false" outlineLevel="0" collapsed="false">
      <c r="A20" s="17" t="n">
        <v>19</v>
      </c>
      <c r="B20" s="18" t="n">
        <v>46282</v>
      </c>
      <c r="C20" s="19" t="s">
        <v>96</v>
      </c>
      <c r="D20" s="17" t="n">
        <v>54</v>
      </c>
      <c r="E20" s="17" t="n">
        <v>4</v>
      </c>
      <c r="F20" s="17" t="n">
        <v>3</v>
      </c>
      <c r="G20" s="17" t="n">
        <v>3</v>
      </c>
      <c r="H20" s="17" t="n">
        <v>4</v>
      </c>
      <c r="I20" s="20" t="n">
        <f aca="false">AVERAGE(E20,F20,G20,H20)</f>
        <v>3.5</v>
      </c>
      <c r="J20" s="21" t="str">
        <f aca="false">IF(I20&gt;=$N$2,"Sangat Puas",IF(I20&gt;=$N$3,"Puas",IF(I20&gt;=$N$4,"Cukup","Kurang")))</f>
        <v>Puas</v>
      </c>
      <c r="K20" s="21" t="str">
        <f aca="false">IF(D20&lt;25,"Muda",IF(D20&lt;=40,"Dewasa","Senior"))</f>
        <v>Senior</v>
      </c>
    </row>
    <row r="21" customFormat="false" ht="15" hidden="false" customHeight="false" outlineLevel="0" collapsed="false">
      <c r="A21" s="17" t="n">
        <v>20</v>
      </c>
      <c r="B21" s="18" t="n">
        <v>46283</v>
      </c>
      <c r="C21" s="19" t="s">
        <v>94</v>
      </c>
      <c r="D21" s="17" t="n">
        <v>58</v>
      </c>
      <c r="E21" s="17" t="n">
        <v>2</v>
      </c>
      <c r="F21" s="17" t="n">
        <v>2</v>
      </c>
      <c r="G21" s="17" t="n">
        <v>3</v>
      </c>
      <c r="H21" s="17" t="n">
        <v>2</v>
      </c>
      <c r="I21" s="20" t="n">
        <f aca="false">AVERAGE(E21,F21,G21,H21)</f>
        <v>2.25</v>
      </c>
      <c r="J21" s="21" t="str">
        <f aca="false">IF(I21&gt;=$N$2,"Sangat Puas",IF(I21&gt;=$N$3,"Puas",IF(I21&gt;=$N$4,"Cukup","Kurang")))</f>
        <v>Kurang</v>
      </c>
      <c r="K21" s="21" t="str">
        <f aca="false">IF(D21&lt;25,"Muda",IF(D21&lt;=40,"Dewasa","Senior"))</f>
        <v>Senior</v>
      </c>
    </row>
    <row r="22" customFormat="false" ht="15" hidden="false" customHeight="false" outlineLevel="0" collapsed="false">
      <c r="A22" s="17" t="n">
        <v>21</v>
      </c>
      <c r="B22" s="18" t="n">
        <v>46283</v>
      </c>
      <c r="C22" s="19" t="s">
        <v>92</v>
      </c>
      <c r="D22" s="17" t="n">
        <v>37</v>
      </c>
      <c r="E22" s="17" t="n">
        <v>4</v>
      </c>
      <c r="F22" s="17" t="n">
        <v>4</v>
      </c>
      <c r="G22" s="17" t="n">
        <v>3</v>
      </c>
      <c r="H22" s="17" t="n">
        <v>4</v>
      </c>
      <c r="I22" s="20" t="n">
        <f aca="false">AVERAGE(E22,F22,G22,H22)</f>
        <v>3.75</v>
      </c>
      <c r="J22" s="21" t="str">
        <f aca="false">IF(I22&gt;=$N$2,"Sangat Puas",IF(I22&gt;=$N$3,"Puas",IF(I22&gt;=$N$4,"Cukup","Kurang")))</f>
        <v>Puas</v>
      </c>
      <c r="K22" s="21" t="str">
        <f aca="false">IF(D22&lt;25,"Muda",IF(D22&lt;=40,"Dewasa","Senior"))</f>
        <v>Dewasa</v>
      </c>
    </row>
    <row r="23" customFormat="false" ht="15" hidden="false" customHeight="false" outlineLevel="0" collapsed="false">
      <c r="A23" s="17" t="n">
        <v>22</v>
      </c>
      <c r="B23" s="18" t="n">
        <v>46286</v>
      </c>
      <c r="C23" s="19" t="s">
        <v>98</v>
      </c>
      <c r="D23" s="17" t="n">
        <v>59</v>
      </c>
      <c r="E23" s="17" t="n">
        <v>4</v>
      </c>
      <c r="F23" s="17" t="n">
        <v>4</v>
      </c>
      <c r="G23" s="17" t="n">
        <v>4</v>
      </c>
      <c r="H23" s="17" t="n">
        <v>1</v>
      </c>
      <c r="I23" s="20" t="n">
        <f aca="false">AVERAGE(E23,F23,G23,H23)</f>
        <v>3.25</v>
      </c>
      <c r="J23" s="21" t="str">
        <f aca="false">IF(I23&gt;=$N$2,"Sangat Puas",IF(I23&gt;=$N$3,"Puas",IF(I23&gt;=$N$4,"Cukup","Kurang")))</f>
        <v>Cukup</v>
      </c>
      <c r="K23" s="21" t="str">
        <f aca="false">IF(D23&lt;25,"Muda",IF(D23&lt;=40,"Dewasa","Senior"))</f>
        <v>Senior</v>
      </c>
    </row>
    <row r="24" customFormat="false" ht="15" hidden="false" customHeight="false" outlineLevel="0" collapsed="false">
      <c r="A24" s="17" t="n">
        <v>23</v>
      </c>
      <c r="B24" s="18" t="n">
        <v>46287</v>
      </c>
      <c r="C24" s="19" t="s">
        <v>92</v>
      </c>
      <c r="D24" s="17" t="n">
        <v>39</v>
      </c>
      <c r="E24" s="17" t="n">
        <v>3</v>
      </c>
      <c r="F24" s="17" t="n">
        <v>3</v>
      </c>
      <c r="G24" s="17" t="n">
        <v>3</v>
      </c>
      <c r="H24" s="17" t="n">
        <v>3</v>
      </c>
      <c r="I24" s="20" t="n">
        <f aca="false">AVERAGE(E24,F24,G24,H24)</f>
        <v>3</v>
      </c>
      <c r="J24" s="21" t="str">
        <f aca="false">IF(I24&gt;=$N$2,"Sangat Puas",IF(I24&gt;=$N$3,"Puas",IF(I24&gt;=$N$4,"Cukup","Kurang")))</f>
        <v>Cukup</v>
      </c>
      <c r="K24" s="21" t="str">
        <f aca="false">IF(D24&lt;25,"Muda",IF(D24&lt;=40,"Dewasa","Senior"))</f>
        <v>Dewasa</v>
      </c>
    </row>
    <row r="25" customFormat="false" ht="15" hidden="false" customHeight="false" outlineLevel="0" collapsed="false">
      <c r="A25" s="17" t="n">
        <v>24</v>
      </c>
      <c r="B25" s="18" t="n">
        <v>46289</v>
      </c>
      <c r="C25" s="19" t="s">
        <v>94</v>
      </c>
      <c r="D25" s="17" t="n">
        <v>30</v>
      </c>
      <c r="E25" s="17" t="n">
        <v>4</v>
      </c>
      <c r="F25" s="17" t="n">
        <v>2</v>
      </c>
      <c r="G25" s="17" t="n">
        <v>1</v>
      </c>
      <c r="H25" s="17" t="n">
        <v>5</v>
      </c>
      <c r="I25" s="20" t="n">
        <f aca="false">AVERAGE(E25,F25,G25,H25)</f>
        <v>3</v>
      </c>
      <c r="J25" s="21" t="str">
        <f aca="false">IF(I25&gt;=$N$2,"Sangat Puas",IF(I25&gt;=$N$3,"Puas",IF(I25&gt;=$N$4,"Cukup","Kurang")))</f>
        <v>Cukup</v>
      </c>
      <c r="K25" s="21" t="str">
        <f aca="false">IF(D25&lt;25,"Muda",IF(D25&lt;=40,"Dewasa","Senior"))</f>
        <v>Dewasa</v>
      </c>
    </row>
    <row r="26" customFormat="false" ht="15" hidden="false" customHeight="false" outlineLevel="0" collapsed="false">
      <c r="A26" s="17" t="n">
        <v>25</v>
      </c>
      <c r="B26" s="18" t="n">
        <v>46289</v>
      </c>
      <c r="C26" s="19" t="s">
        <v>92</v>
      </c>
      <c r="D26" s="17" t="n">
        <v>37</v>
      </c>
      <c r="E26" s="17" t="n">
        <v>3</v>
      </c>
      <c r="F26" s="17" t="n">
        <v>5</v>
      </c>
      <c r="G26" s="17" t="n">
        <v>4</v>
      </c>
      <c r="H26" s="17" t="n">
        <v>3</v>
      </c>
      <c r="I26" s="20" t="n">
        <f aca="false">AVERAGE(E26,F26,G26,H26)</f>
        <v>3.75</v>
      </c>
      <c r="J26" s="21" t="str">
        <f aca="false">IF(I26&gt;=$N$2,"Sangat Puas",IF(I26&gt;=$N$3,"Puas",IF(I26&gt;=$N$4,"Cukup","Kurang")))</f>
        <v>Puas</v>
      </c>
      <c r="K26" s="21" t="str">
        <f aca="false">IF(D26&lt;25,"Muda",IF(D26&lt;=40,"Dewasa","Senior"))</f>
        <v>Dewasa</v>
      </c>
    </row>
    <row r="27" customFormat="false" ht="15" hidden="false" customHeight="false" outlineLevel="0" collapsed="false">
      <c r="A27" s="17" t="n">
        <v>26</v>
      </c>
      <c r="B27" s="18" t="n">
        <v>46290</v>
      </c>
      <c r="C27" s="19" t="s">
        <v>98</v>
      </c>
      <c r="D27" s="17" t="n">
        <v>33</v>
      </c>
      <c r="E27" s="17" t="n">
        <v>3</v>
      </c>
      <c r="F27" s="17" t="n">
        <v>4</v>
      </c>
      <c r="G27" s="17" t="n">
        <v>4</v>
      </c>
      <c r="H27" s="17" t="n">
        <v>2</v>
      </c>
      <c r="I27" s="20" t="n">
        <f aca="false">AVERAGE(E27,F27,G27,H27)</f>
        <v>3.25</v>
      </c>
      <c r="J27" s="21" t="str">
        <f aca="false">IF(I27&gt;=$N$2,"Sangat Puas",IF(I27&gt;=$N$3,"Puas",IF(I27&gt;=$N$4,"Cukup","Kurang")))</f>
        <v>Cukup</v>
      </c>
      <c r="K27" s="21" t="str">
        <f aca="false">IF(D27&lt;25,"Muda",IF(D27&lt;=40,"Dewasa","Senior"))</f>
        <v>Dewasa</v>
      </c>
    </row>
    <row r="28" customFormat="false" ht="15" hidden="false" customHeight="false" outlineLevel="0" collapsed="false">
      <c r="A28" s="17" t="n">
        <v>27</v>
      </c>
      <c r="B28" s="18" t="n">
        <v>46290</v>
      </c>
      <c r="C28" s="19" t="s">
        <v>96</v>
      </c>
      <c r="D28" s="17" t="n">
        <v>46</v>
      </c>
      <c r="E28" s="17" t="n">
        <v>1</v>
      </c>
      <c r="F28" s="17" t="n">
        <v>4</v>
      </c>
      <c r="G28" s="17" t="n">
        <v>4</v>
      </c>
      <c r="H28" s="17" t="n">
        <v>5</v>
      </c>
      <c r="I28" s="20" t="n">
        <f aca="false">AVERAGE(E28,F28,G28,H28)</f>
        <v>3.5</v>
      </c>
      <c r="J28" s="21" t="str">
        <f aca="false">IF(I28&gt;=$N$2,"Sangat Puas",IF(I28&gt;=$N$3,"Puas",IF(I28&gt;=$N$4,"Cukup","Kurang")))</f>
        <v>Puas</v>
      </c>
      <c r="K28" s="21" t="str">
        <f aca="false">IF(D28&lt;25,"Muda",IF(D28&lt;=40,"Dewasa","Senior"))</f>
        <v>Senior</v>
      </c>
    </row>
    <row r="29" customFormat="false" ht="15" hidden="false" customHeight="false" outlineLevel="0" collapsed="false">
      <c r="A29" s="17" t="n">
        <v>28</v>
      </c>
      <c r="B29" s="18" t="n">
        <v>46291</v>
      </c>
      <c r="C29" s="19" t="s">
        <v>94</v>
      </c>
      <c r="D29" s="17" t="n">
        <v>34</v>
      </c>
      <c r="E29" s="17" t="n">
        <v>3</v>
      </c>
      <c r="F29" s="17" t="n">
        <v>2</v>
      </c>
      <c r="G29" s="17" t="n">
        <v>1</v>
      </c>
      <c r="H29" s="17" t="n">
        <v>5</v>
      </c>
      <c r="I29" s="20" t="n">
        <f aca="false">AVERAGE(E29,F29,G29,H29)</f>
        <v>2.75</v>
      </c>
      <c r="J29" s="21" t="str">
        <f aca="false">IF(I29&gt;=$N$2,"Sangat Puas",IF(I29&gt;=$N$3,"Puas",IF(I29&gt;=$N$4,"Cukup","Kurang")))</f>
        <v>Cukup</v>
      </c>
      <c r="K29" s="21" t="str">
        <f aca="false">IF(D29&lt;25,"Muda",IF(D29&lt;=40,"Dewasa","Senior"))</f>
        <v>Dewasa</v>
      </c>
    </row>
    <row r="30" customFormat="false" ht="15" hidden="false" customHeight="false" outlineLevel="0" collapsed="false">
      <c r="A30" s="17" t="n">
        <v>29</v>
      </c>
      <c r="B30" s="18" t="n">
        <v>46291</v>
      </c>
      <c r="C30" s="19" t="s">
        <v>96</v>
      </c>
      <c r="D30" s="17" t="n">
        <v>60</v>
      </c>
      <c r="E30" s="17" t="n">
        <v>5</v>
      </c>
      <c r="F30" s="17" t="n">
        <v>4</v>
      </c>
      <c r="G30" s="17" t="n">
        <v>5</v>
      </c>
      <c r="H30" s="17" t="n">
        <v>4</v>
      </c>
      <c r="I30" s="20" t="n">
        <f aca="false">AVERAGE(E30,F30,G30,H30)</f>
        <v>4.5</v>
      </c>
      <c r="J30" s="21" t="str">
        <f aca="false">IF(I30&gt;=$N$2,"Sangat Puas",IF(I30&gt;=$N$3,"Puas",IF(I30&gt;=$N$4,"Cukup","Kurang")))</f>
        <v>Sangat Puas</v>
      </c>
      <c r="K30" s="21" t="str">
        <f aca="false">IF(D30&lt;25,"Muda",IF(D30&lt;=40,"Dewasa","Senior"))</f>
        <v>Senior</v>
      </c>
    </row>
    <row r="31" customFormat="false" ht="15" hidden="false" customHeight="false" outlineLevel="0" collapsed="false">
      <c r="A31" s="17" t="n">
        <v>30</v>
      </c>
      <c r="B31" s="18" t="n">
        <v>46292</v>
      </c>
      <c r="C31" s="19" t="s">
        <v>92</v>
      </c>
      <c r="D31" s="17" t="n">
        <v>37</v>
      </c>
      <c r="E31" s="17" t="n">
        <v>4</v>
      </c>
      <c r="F31" s="17" t="n">
        <v>4</v>
      </c>
      <c r="G31" s="17" t="n">
        <v>4</v>
      </c>
      <c r="H31" s="17" t="n">
        <v>1</v>
      </c>
      <c r="I31" s="20" t="n">
        <f aca="false">AVERAGE(E31,F31,G31,H31)</f>
        <v>3.25</v>
      </c>
      <c r="J31" s="21" t="str">
        <f aca="false">IF(I31&gt;=$N$2,"Sangat Puas",IF(I31&gt;=$N$3,"Puas",IF(I31&gt;=$N$4,"Cukup","Kurang")))</f>
        <v>Cukup</v>
      </c>
      <c r="K31" s="21" t="str">
        <f aca="false">IF(D31&lt;25,"Muda",IF(D31&lt;=40,"Dewasa","Senior"))</f>
        <v>Dewasa</v>
      </c>
    </row>
    <row r="32" customFormat="false" ht="15" hidden="false" customHeight="false" outlineLevel="0" collapsed="false">
      <c r="A32" s="17" t="n">
        <v>31</v>
      </c>
      <c r="B32" s="18" t="n">
        <v>46292</v>
      </c>
      <c r="C32" s="19" t="s">
        <v>96</v>
      </c>
      <c r="D32" s="17" t="n">
        <v>50</v>
      </c>
      <c r="E32" s="17" t="n">
        <v>4</v>
      </c>
      <c r="F32" s="17" t="n">
        <v>4</v>
      </c>
      <c r="G32" s="17" t="n">
        <v>4</v>
      </c>
      <c r="H32" s="17" t="n">
        <v>4</v>
      </c>
      <c r="I32" s="20" t="n">
        <f aca="false">AVERAGE(E32,F32,G32,H32)</f>
        <v>4</v>
      </c>
      <c r="J32" s="21" t="str">
        <f aca="false">IF(I32&gt;=$N$2,"Sangat Puas",IF(I32&gt;=$N$3,"Puas",IF(I32&gt;=$N$4,"Cukup","Kurang")))</f>
        <v>Puas</v>
      </c>
      <c r="K32" s="21" t="str">
        <f aca="false">IF(D32&lt;25,"Muda",IF(D32&lt;=40,"Dewasa","Senior"))</f>
        <v>Senior</v>
      </c>
    </row>
    <row r="33" customFormat="false" ht="15" hidden="false" customHeight="false" outlineLevel="0" collapsed="false">
      <c r="A33" s="17" t="n">
        <v>32</v>
      </c>
      <c r="B33" s="18" t="n">
        <v>46292</v>
      </c>
      <c r="C33" s="19" t="s">
        <v>96</v>
      </c>
      <c r="D33" s="17" t="n">
        <v>56</v>
      </c>
      <c r="E33" s="17" t="n">
        <v>4</v>
      </c>
      <c r="F33" s="17" t="n">
        <v>3</v>
      </c>
      <c r="G33" s="17" t="n">
        <v>3</v>
      </c>
      <c r="H33" s="17" t="n">
        <v>4</v>
      </c>
      <c r="I33" s="20" t="n">
        <f aca="false">AVERAGE(E33,F33,G33,H33)</f>
        <v>3.5</v>
      </c>
      <c r="J33" s="21" t="str">
        <f aca="false">IF(I33&gt;=$N$2,"Sangat Puas",IF(I33&gt;=$N$3,"Puas",IF(I33&gt;=$N$4,"Cukup","Kurang")))</f>
        <v>Puas</v>
      </c>
      <c r="K33" s="21" t="str">
        <f aca="false">IF(D33&lt;25,"Muda",IF(D33&lt;=40,"Dewasa","Senior"))</f>
        <v>Senior</v>
      </c>
    </row>
    <row r="34" customFormat="false" ht="15" hidden="false" customHeight="false" outlineLevel="0" collapsed="false">
      <c r="A34" s="17" t="n">
        <v>33</v>
      </c>
      <c r="B34" s="18" t="n">
        <v>46292</v>
      </c>
      <c r="C34" s="19" t="s">
        <v>96</v>
      </c>
      <c r="D34" s="17" t="n">
        <v>43</v>
      </c>
      <c r="E34" s="17" t="n">
        <v>4</v>
      </c>
      <c r="F34" s="17" t="n">
        <v>5</v>
      </c>
      <c r="G34" s="17" t="n">
        <v>4</v>
      </c>
      <c r="H34" s="17" t="n">
        <v>3</v>
      </c>
      <c r="I34" s="20" t="n">
        <f aca="false">AVERAGE(E34,F34,G34,H34)</f>
        <v>4</v>
      </c>
      <c r="J34" s="21" t="str">
        <f aca="false">IF(I34&gt;=$N$2,"Sangat Puas",IF(I34&gt;=$N$3,"Puas",IF(I34&gt;=$N$4,"Cukup","Kurang")))</f>
        <v>Puas</v>
      </c>
      <c r="K34" s="21" t="str">
        <f aca="false">IF(D34&lt;25,"Muda",IF(D34&lt;=40,"Dewasa","Senior"))</f>
        <v>Senior</v>
      </c>
    </row>
    <row r="35" customFormat="false" ht="15" hidden="false" customHeight="false" outlineLevel="0" collapsed="false">
      <c r="A35" s="17" t="n">
        <v>34</v>
      </c>
      <c r="B35" s="18" t="n">
        <v>46292</v>
      </c>
      <c r="C35" s="19" t="s">
        <v>92</v>
      </c>
      <c r="D35" s="17" t="n">
        <v>31</v>
      </c>
      <c r="E35" s="17" t="n">
        <v>5</v>
      </c>
      <c r="F35" s="17" t="n">
        <v>4</v>
      </c>
      <c r="G35" s="17" t="n">
        <v>5</v>
      </c>
      <c r="H35" s="17" t="n">
        <v>5</v>
      </c>
      <c r="I35" s="20" t="n">
        <f aca="false">AVERAGE(E35,F35,G35,H35)</f>
        <v>4.75</v>
      </c>
      <c r="J35" s="21" t="str">
        <f aca="false">IF(I35&gt;=$N$2,"Sangat Puas",IF(I35&gt;=$N$3,"Puas",IF(I35&gt;=$N$4,"Cukup","Kurang")))</f>
        <v>Sangat Puas</v>
      </c>
      <c r="K35" s="21" t="str">
        <f aca="false">IF(D35&lt;25,"Muda",IF(D35&lt;=40,"Dewasa","Senior"))</f>
        <v>Dewasa</v>
      </c>
    </row>
    <row r="36" customFormat="false" ht="15" hidden="false" customHeight="false" outlineLevel="0" collapsed="false">
      <c r="A36" s="17" t="n">
        <v>35</v>
      </c>
      <c r="B36" s="18" t="n">
        <v>46292</v>
      </c>
      <c r="C36" s="19" t="s">
        <v>92</v>
      </c>
      <c r="D36" s="17" t="n">
        <v>46</v>
      </c>
      <c r="E36" s="17" t="n">
        <v>3</v>
      </c>
      <c r="F36" s="17" t="n">
        <v>3</v>
      </c>
      <c r="G36" s="17" t="n">
        <v>4</v>
      </c>
      <c r="H36" s="17" t="n">
        <v>2</v>
      </c>
      <c r="I36" s="20" t="n">
        <f aca="false">AVERAGE(E36,F36,G36,H36)</f>
        <v>3</v>
      </c>
      <c r="J36" s="21" t="str">
        <f aca="false">IF(I36&gt;=$N$2,"Sangat Puas",IF(I36&gt;=$N$3,"Puas",IF(I36&gt;=$N$4,"Cukup","Kurang")))</f>
        <v>Cukup</v>
      </c>
      <c r="K36" s="21" t="str">
        <f aca="false">IF(D36&lt;25,"Muda",IF(D36&lt;=40,"Dewasa","Senior"))</f>
        <v>Senior</v>
      </c>
    </row>
    <row r="37" customFormat="false" ht="15" hidden="false" customHeight="false" outlineLevel="0" collapsed="false">
      <c r="A37" s="17" t="n">
        <v>36</v>
      </c>
      <c r="B37" s="18" t="n">
        <v>46293</v>
      </c>
      <c r="C37" s="19" t="s">
        <v>98</v>
      </c>
      <c r="D37" s="17" t="n">
        <v>31</v>
      </c>
      <c r="E37" s="17" t="n">
        <v>4</v>
      </c>
      <c r="F37" s="17" t="n">
        <v>3</v>
      </c>
      <c r="G37" s="17" t="n">
        <v>4</v>
      </c>
      <c r="H37" s="17" t="n">
        <v>5</v>
      </c>
      <c r="I37" s="20" t="n">
        <f aca="false">AVERAGE(E37,F37,G37,H37)</f>
        <v>4</v>
      </c>
      <c r="J37" s="21" t="str">
        <f aca="false">IF(I37&gt;=$N$2,"Sangat Puas",IF(I37&gt;=$N$3,"Puas",IF(I37&gt;=$N$4,"Cukup","Kurang")))</f>
        <v>Puas</v>
      </c>
      <c r="K37" s="21" t="str">
        <f aca="false">IF(D37&lt;25,"Muda",IF(D37&lt;=40,"Dewasa","Senior"))</f>
        <v>Dewasa</v>
      </c>
    </row>
    <row r="38" customFormat="false" ht="15" hidden="false" customHeight="false" outlineLevel="0" collapsed="false">
      <c r="A38" s="17" t="n">
        <v>37</v>
      </c>
      <c r="B38" s="18" t="n">
        <v>46293</v>
      </c>
      <c r="C38" s="19" t="s">
        <v>94</v>
      </c>
      <c r="D38" s="17" t="n">
        <v>28</v>
      </c>
      <c r="E38" s="17" t="n">
        <v>4</v>
      </c>
      <c r="F38" s="17" t="n">
        <v>1</v>
      </c>
      <c r="G38" s="17" t="n">
        <v>4</v>
      </c>
      <c r="H38" s="17" t="n">
        <v>2</v>
      </c>
      <c r="I38" s="20" t="n">
        <f aca="false">AVERAGE(E38,F38,G38,H38)</f>
        <v>2.75</v>
      </c>
      <c r="J38" s="21" t="str">
        <f aca="false">IF(I38&gt;=$N$2,"Sangat Puas",IF(I38&gt;=$N$3,"Puas",IF(I38&gt;=$N$4,"Cukup","Kurang")))</f>
        <v>Cukup</v>
      </c>
      <c r="K38" s="21" t="str">
        <f aca="false">IF(D38&lt;25,"Muda",IF(D38&lt;=40,"Dewasa","Senior"))</f>
        <v>Dewasa</v>
      </c>
    </row>
    <row r="39" customFormat="false" ht="15" hidden="false" customHeight="false" outlineLevel="0" collapsed="false">
      <c r="A39" s="17" t="n">
        <v>38</v>
      </c>
      <c r="B39" s="18" t="n">
        <v>46294</v>
      </c>
      <c r="C39" s="19" t="s">
        <v>94</v>
      </c>
      <c r="D39" s="17" t="n">
        <v>46</v>
      </c>
      <c r="E39" s="17" t="n">
        <v>3</v>
      </c>
      <c r="F39" s="17" t="n">
        <v>3</v>
      </c>
      <c r="G39" s="17" t="n">
        <v>4</v>
      </c>
      <c r="H39" s="17" t="n">
        <v>3</v>
      </c>
      <c r="I39" s="20" t="n">
        <f aca="false">AVERAGE(E39,F39,G39,H39)</f>
        <v>3.25</v>
      </c>
      <c r="J39" s="21" t="str">
        <f aca="false">IF(I39&gt;=$N$2,"Sangat Puas",IF(I39&gt;=$N$3,"Puas",IF(I39&gt;=$N$4,"Cukup","Kurang")))</f>
        <v>Cukup</v>
      </c>
      <c r="K39" s="21" t="str">
        <f aca="false">IF(D39&lt;25,"Muda",IF(D39&lt;=40,"Dewasa","Senior"))</f>
        <v>Senior</v>
      </c>
    </row>
    <row r="40" customFormat="false" ht="15" hidden="false" customHeight="false" outlineLevel="0" collapsed="false">
      <c r="A40" s="17" t="n">
        <v>39</v>
      </c>
      <c r="B40" s="18" t="n">
        <v>46294</v>
      </c>
      <c r="C40" s="19" t="s">
        <v>98</v>
      </c>
      <c r="D40" s="17" t="n">
        <v>49</v>
      </c>
      <c r="E40" s="17" t="n">
        <v>4</v>
      </c>
      <c r="F40" s="17" t="n">
        <v>5</v>
      </c>
      <c r="G40" s="17" t="n">
        <v>5</v>
      </c>
      <c r="H40" s="17" t="n">
        <v>4</v>
      </c>
      <c r="I40" s="20" t="n">
        <f aca="false">AVERAGE(E40,F40,G40,H40)</f>
        <v>4.5</v>
      </c>
      <c r="J40" s="21" t="str">
        <f aca="false">IF(I40&gt;=$N$2,"Sangat Puas",IF(I40&gt;=$N$3,"Puas",IF(I40&gt;=$N$4,"Cukup","Kurang")))</f>
        <v>Sangat Puas</v>
      </c>
      <c r="K40" s="21" t="str">
        <f aca="false">IF(D40&lt;25,"Muda",IF(D40&lt;=40,"Dewasa","Senior"))</f>
        <v>Senior</v>
      </c>
    </row>
    <row r="41" customFormat="false" ht="15" hidden="false" customHeight="false" outlineLevel="0" collapsed="false">
      <c r="A41" s="17" t="n">
        <v>40</v>
      </c>
      <c r="B41" s="18" t="n">
        <v>46295</v>
      </c>
      <c r="C41" s="19" t="s">
        <v>98</v>
      </c>
      <c r="D41" s="17" t="n">
        <v>18</v>
      </c>
      <c r="E41" s="17" t="n">
        <v>2</v>
      </c>
      <c r="F41" s="17" t="n">
        <v>5</v>
      </c>
      <c r="G41" s="17" t="n">
        <v>2</v>
      </c>
      <c r="H41" s="17" t="n">
        <v>3</v>
      </c>
      <c r="I41" s="20" t="n">
        <f aca="false">AVERAGE(E41,F41,G41,H41)</f>
        <v>3</v>
      </c>
      <c r="J41" s="21" t="str">
        <f aca="false">IF(I41&gt;=$N$2,"Sangat Puas",IF(I41&gt;=$N$3,"Puas",IF(I41&gt;=$N$4,"Cukup","Kurang")))</f>
        <v>Cukup</v>
      </c>
      <c r="K41" s="21" t="str">
        <f aca="false">IF(D41&lt;25,"Muda",IF(D41&lt;=40,"Dewasa","Senior"))</f>
        <v>Muda</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7"/>
    <col collapsed="false" customWidth="true" hidden="false" outlineLevel="0" max="3" min="3" style="0" width="21"/>
    <col collapsed="false" customWidth="true" hidden="false" outlineLevel="0" max="4" min="4" style="0" width="11"/>
  </cols>
  <sheetData>
    <row r="1" customFormat="false" ht="33.75" hidden="false" customHeight="true" outlineLevel="0" collapsed="false">
      <c r="A1" s="11" t="s">
        <v>80</v>
      </c>
      <c r="B1" s="15" t="s">
        <v>99</v>
      </c>
      <c r="C1" s="15" t="s">
        <v>100</v>
      </c>
      <c r="D1" s="15" t="s">
        <v>101</v>
      </c>
    </row>
    <row r="2" customFormat="false" ht="15" hidden="false" customHeight="false" outlineLevel="0" collapsed="false">
      <c r="A2" s="19" t="s">
        <v>96</v>
      </c>
      <c r="B2" s="24" t="n">
        <f aca="false">COUNTIF(Data!$C$2:$C$41,A2)</f>
        <v>9</v>
      </c>
      <c r="C2" s="20" t="n">
        <f aca="false">AVERAGEIF(Data!$C$2:$C$41,A2,Data!$I$2:$I$41)</f>
        <v>3.72222222222222</v>
      </c>
      <c r="D2" s="24" t="n">
        <f aca="false">RANK(C2,$C$2:$C$5,0)</f>
        <v>1</v>
      </c>
    </row>
    <row r="3" customFormat="false" ht="15" hidden="false" customHeight="false" outlineLevel="0" collapsed="false">
      <c r="A3" s="19" t="s">
        <v>92</v>
      </c>
      <c r="B3" s="24" t="n">
        <f aca="false">COUNTIF(Data!$C$2:$C$41,A3)</f>
        <v>10</v>
      </c>
      <c r="C3" s="20" t="n">
        <f aca="false">AVERAGEIF(Data!$C$2:$C$41,A3,Data!$I$2:$I$41)</f>
        <v>3.275</v>
      </c>
      <c r="D3" s="24" t="n">
        <f aca="false">RANK(C3,$C$2:$C$5,0)</f>
        <v>3</v>
      </c>
    </row>
    <row r="4" customFormat="false" ht="15" hidden="false" customHeight="false" outlineLevel="0" collapsed="false">
      <c r="A4" s="19" t="s">
        <v>98</v>
      </c>
      <c r="B4" s="24" t="n">
        <f aca="false">COUNTIF(Data!$C$2:$C$41,A4)</f>
        <v>11</v>
      </c>
      <c r="C4" s="20" t="n">
        <f aca="false">AVERAGEIF(Data!$C$2:$C$41,A4,Data!$I$2:$I$41)</f>
        <v>3.47727272727273</v>
      </c>
      <c r="D4" s="24" t="n">
        <f aca="false">RANK(C4,$C$2:$C$5,0)</f>
        <v>2</v>
      </c>
    </row>
    <row r="5" customFormat="false" ht="15" hidden="false" customHeight="false" outlineLevel="0" collapsed="false">
      <c r="A5" s="19" t="s">
        <v>94</v>
      </c>
      <c r="B5" s="24" t="n">
        <f aca="false">COUNTIF(Data!$C$2:$C$41,A5)</f>
        <v>10</v>
      </c>
      <c r="C5" s="20" t="n">
        <f aca="false">AVERAGEIF(Data!$C$2:$C$41,A5,Data!$I$2:$I$41)</f>
        <v>2.8</v>
      </c>
      <c r="D5" s="24" t="n">
        <f aca="false">RANK(C5,$C$2:$C$5,0)</f>
        <v>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5" t="s">
        <v>102</v>
      </c>
      <c r="B1" s="25"/>
      <c r="C1" s="25"/>
      <c r="D1" s="25"/>
    </row>
    <row r="2" customFormat="false" ht="15" hidden="false" customHeight="false" outlineLevel="0" collapsed="false">
      <c r="A2" s="26" t="s">
        <v>103</v>
      </c>
      <c r="B2" s="26"/>
      <c r="C2" s="26"/>
      <c r="D2" s="26"/>
    </row>
    <row r="3" customFormat="false" ht="15" hidden="false" customHeight="false" outlineLevel="0" collapsed="false">
      <c r="A3" s="11" t="s">
        <v>19</v>
      </c>
      <c r="B3" s="11" t="s">
        <v>104</v>
      </c>
      <c r="C3" s="11" t="s">
        <v>105</v>
      </c>
      <c r="D3" s="11" t="s">
        <v>106</v>
      </c>
    </row>
    <row r="4" customFormat="false" ht="15" hidden="false" customHeight="false" outlineLevel="0" collapsed="false">
      <c r="A4" s="27" t="s">
        <v>107</v>
      </c>
      <c r="B4" s="28" t="s">
        <v>108</v>
      </c>
      <c r="C4" s="24" t="n">
        <f aca="false">COUNT(Data!$A$2:$A$41)</f>
        <v>40</v>
      </c>
      <c r="D4" s="29" t="s">
        <v>109</v>
      </c>
    </row>
    <row r="5" customFormat="false" ht="15" hidden="false" customHeight="false" outlineLevel="0" collapsed="false">
      <c r="A5" s="27" t="s">
        <v>110</v>
      </c>
      <c r="B5" s="28" t="s">
        <v>111</v>
      </c>
      <c r="C5" s="20" t="n">
        <f aca="false">AVERAGE(Data!$I$2:$I$41)</f>
        <v>3.3125</v>
      </c>
      <c r="D5" s="29" t="s">
        <v>112</v>
      </c>
    </row>
    <row r="6" customFormat="false" ht="15" hidden="false" customHeight="false" outlineLevel="0" collapsed="false">
      <c r="A6" s="27" t="s">
        <v>113</v>
      </c>
      <c r="B6" s="28" t="s">
        <v>114</v>
      </c>
      <c r="C6" s="20" t="n">
        <f aca="false">MAX(AVERAGE(Data!$E$2:$E$41),AVERAGE(Data!$F$2:$F$41),AVERAGE(Data!$G$2:$G$41),AVERAGE(Data!$H$2:$H$41))</f>
        <v>3.5</v>
      </c>
      <c r="D6" s="29" t="s">
        <v>115</v>
      </c>
    </row>
    <row r="7" customFormat="false" ht="15" hidden="false" customHeight="false" outlineLevel="0" collapsed="false">
      <c r="A7" s="27" t="s">
        <v>116</v>
      </c>
      <c r="B7" s="28" t="s">
        <v>117</v>
      </c>
      <c r="C7" s="20" t="n">
        <f aca="false">MIN(AVERAGE(Data!$E$2:$E$41),AVERAGE(Data!$F$2:$F$41),AVERAGE(Data!$G$2:$G$41),AVERAGE(Data!$H$2:$H$41))</f>
        <v>3.2</v>
      </c>
      <c r="D7" s="29" t="s">
        <v>118</v>
      </c>
    </row>
    <row r="8" customFormat="false" ht="15" hidden="false" customHeight="false" outlineLevel="0" collapsed="false">
      <c r="A8" s="27" t="s">
        <v>119</v>
      </c>
      <c r="B8" s="28" t="s">
        <v>120</v>
      </c>
      <c r="C8" s="24" t="n">
        <f aca="false">COUNTIF(Data!$J$2:$J$41,"Sangat Puas")</f>
        <v>4</v>
      </c>
      <c r="D8" s="29" t="s">
        <v>121</v>
      </c>
    </row>
    <row r="9" customFormat="false" ht="15" hidden="false" customHeight="false" outlineLevel="0" collapsed="false">
      <c r="A9" s="27" t="s">
        <v>122</v>
      </c>
      <c r="B9" s="28" t="s">
        <v>123</v>
      </c>
      <c r="C9" s="30" t="n">
        <f aca="false">(COUNTIF(Data!$J$2:$J$41,"Sangat Puas")+COUNTIF(Data!$J$2:$J$41,"Puas"))/COUNT(Data!$A$2:$A$41)</f>
        <v>0.475</v>
      </c>
      <c r="D9" s="29" t="s">
        <v>124</v>
      </c>
    </row>
    <row r="10" customFormat="false" ht="15" hidden="false" customHeight="false" outlineLevel="0" collapsed="false">
      <c r="A10" s="27" t="s">
        <v>125</v>
      </c>
      <c r="B10" s="28" t="s">
        <v>126</v>
      </c>
      <c r="C10" s="21" t="str">
        <f aca="false">INDEX(Acuan!$A$2:$A$5,MATCH(MAX(Acuan!$C$2:$C$5),Acuan!$C$2:$C$5,0))</f>
        <v>Cabang Pusat</v>
      </c>
      <c r="D10" s="29" t="s">
        <v>127</v>
      </c>
    </row>
    <row r="11" customFormat="false" ht="15" hidden="false" customHeight="false" outlineLevel="0" collapsed="false">
      <c r="A11" s="27" t="s">
        <v>128</v>
      </c>
      <c r="B11" s="28" t="s">
        <v>129</v>
      </c>
      <c r="C11" s="21" t="str">
        <f aca="false">INDEX(Acuan!$A$2:$A$5,MATCH(MAX(Acuan!$B$2:$B$5),Acuan!$B$2:$B$5,0))</f>
        <v>Cabang Selatan</v>
      </c>
      <c r="D11" s="29" t="s">
        <v>127</v>
      </c>
    </row>
    <row r="12" customFormat="false" ht="15" hidden="false" customHeight="false" outlineLevel="0" collapsed="false">
      <c r="A12" s="27" t="s">
        <v>130</v>
      </c>
      <c r="B12" s="28" t="s">
        <v>131</v>
      </c>
      <c r="C12" s="20" t="n">
        <f aca="false">AVERAGEIF(Data!$K$2:$K$41,"Muda",Data!$I$2:$I$41)</f>
        <v>2.625</v>
      </c>
      <c r="D12" s="29" t="s">
        <v>132</v>
      </c>
    </row>
    <row r="13" customFormat="false" ht="15" hidden="false" customHeight="false" outlineLevel="0" collapsed="false">
      <c r="A13" s="27" t="s">
        <v>133</v>
      </c>
      <c r="B13" s="28" t="s">
        <v>134</v>
      </c>
      <c r="C13" s="24" t="n">
        <f aca="false">COUNTIF(Data!$K$2:$K$41,"Senior")</f>
        <v>19</v>
      </c>
      <c r="D13" s="29" t="s">
        <v>135</v>
      </c>
    </row>
    <row r="14" customFormat="false" ht="15" hidden="false" customHeight="false" outlineLevel="0" collapsed="false">
      <c r="A14" s="27" t="s">
        <v>67</v>
      </c>
      <c r="B14" s="28" t="s">
        <v>136</v>
      </c>
      <c r="C14" s="24" t="n">
        <f aca="false">COUNTIFS(Data!$C$2:$C$41,"Cabang Pusat",Data!$I$2:$I$41,"&gt;="&amp;Data!$N$3)</f>
        <v>8</v>
      </c>
      <c r="D14" s="29" t="s">
        <v>137</v>
      </c>
    </row>
    <row r="15" customFormat="false" ht="15" hidden="false" customHeight="false" outlineLevel="0" collapsed="false">
      <c r="A15" s="27" t="s">
        <v>138</v>
      </c>
      <c r="B15" s="28" t="s">
        <v>139</v>
      </c>
      <c r="C15" s="24" t="n">
        <f aca="false">COUNTIFS(Data!$E$2:$E$41,5,Data!$F$2:$F$41,5,Data!$G$2:$G$41,5,Data!$H$2:$H$41,5)</f>
        <v>1</v>
      </c>
      <c r="D15" s="29" t="s">
        <v>140</v>
      </c>
    </row>
    <row r="16" customFormat="false" ht="15" hidden="false" customHeight="false" outlineLevel="0" collapsed="false">
      <c r="A16" s="27" t="s">
        <v>141</v>
      </c>
      <c r="B16" s="28" t="s">
        <v>142</v>
      </c>
      <c r="C16" s="24" t="n">
        <f aca="false">COUNTIF(Data!$H$2:$H$41,"&lt;=2")</f>
        <v>10</v>
      </c>
      <c r="D16" s="29" t="s">
        <v>143</v>
      </c>
    </row>
    <row r="17" customFormat="false" ht="15" hidden="false" customHeight="false" outlineLevel="0" collapsed="false">
      <c r="A17" s="27" t="s">
        <v>144</v>
      </c>
      <c r="B17" s="28" t="s">
        <v>145</v>
      </c>
      <c r="C17" s="24" t="n">
        <f aca="false">MIN(Data!$D$2:$D$41)</f>
        <v>17</v>
      </c>
      <c r="D17" s="29" t="s">
        <v>146</v>
      </c>
    </row>
    <row r="18" customFormat="false" ht="15" hidden="false" customHeight="false" outlineLevel="0" collapsed="false">
      <c r="A18" s="27" t="s">
        <v>147</v>
      </c>
      <c r="B18" s="28" t="s">
        <v>148</v>
      </c>
      <c r="C18" s="24" t="n">
        <f aca="false">MAX(Data!$D$2:$D$41)</f>
        <v>60</v>
      </c>
      <c r="D18" s="29" t="s">
        <v>149</v>
      </c>
    </row>
    <row r="19" customFormat="false" ht="15" hidden="false" customHeight="false" outlineLevel="0" collapsed="false">
      <c r="A19" s="27" t="s">
        <v>150</v>
      </c>
      <c r="B19" s="28" t="s">
        <v>151</v>
      </c>
      <c r="C19" s="24" t="n">
        <f aca="false">COUNTIFS(Data!$B$2:$B$41,"&gt;="&amp;DATE(2026,9,1),Data!$B$2:$B$41,"&lt;="&amp;DATE(2026,9,7))</f>
        <v>10</v>
      </c>
      <c r="D19" s="29" t="s">
        <v>152</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2026-10-14T23:33:58Z</dcterms:created>
  <dc:creator>PushExcel</dc:creator>
  <dc:description/>
  <dc:language>en-US</dc:language>
  <cp:lastModifiedBy/>
  <dcterms:modified xsi:type="dcterms:W3CDTF">2026-10-14T23:33:58Z</dcterms:modified>
  <cp:revision>0</cp:revision>
  <dc:subject/>
  <dc:title>Survei Kepuasan Pelanggan Empat Cabang - Kunci</dc:title>
</cp:coreProperties>
</file>

<file path=docProps/custom.xml><?xml version="1.0" encoding="utf-8"?>
<Properties xmlns="http://schemas.openxmlformats.org/officeDocument/2006/custom-properties" xmlns:vt="http://schemas.openxmlformats.org/officeDocument/2006/docPropsVTypes"/>
</file>