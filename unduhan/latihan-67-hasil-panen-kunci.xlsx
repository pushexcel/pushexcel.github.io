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<sst xmlns="http://schemas.openxmlformats.org/spreadsheetml/2006/main" count="188" uniqueCount="155">
  <si>
    <t xml:space="preserve">Kunci Jawaban: Hasil Panen Petani, Pendapatan, dan Grade</t>
  </si>
  <si>
    <t xml:space="preserve">Latihan 67 dari 40  |  Tingkat: Pemula  |  Perkiraan waktu: 35 menit  |  pushexcel.github.io/Pushexcel</t>
  </si>
  <si>
    <t xml:space="preserve">Skenario</t>
  </si>
  <si>
    <t xml:space="preserve">Kamu pengurus Kelompok Tani Sumber Makmur di sebuah desa dataran tinggi fiktif. Ada 30 petani yang menanam lima jenis sayur dan melaporkan luas lahan (dalam are) serta hasil panen (kg) musim ini. Harga per kg tiap komoditas ada di sheet Acuan. Hasil per are adalah panen dibagi luas lahan, dibulatkan satu desimal. Grade A bila hasil per are sama dengan atau di atas 50 kg, Grade B bila sama dengan atau di atas 35 kg, selain itu Grade C (batasnya ada di blok Parameter).</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</si>
  <si>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</si>
  <si>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</si>
  <si>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</si>
  <si>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</si>
  <si>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</si>
  <si>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</si>
  <si>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</si>
  <si>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</si>
  <si>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</si>
  <si>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</si>
  <si>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</si>
  <si>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</si>
  <si>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</si>
  <si>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</si>
  <si>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</si>
  <si>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</si>
  <si>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</si>
  <si>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</si>
  <si>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</si>
  <si>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</si>
  <si>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Ambil harga per kg tiap petani dari tabel harga di sheet Acuan berdasarkan komoditasnya (pencocokan persis).</t>
  </si>
  <si>
    <t xml:space="preserve">Sheet Data, kolom E (Harga per Kg), baris 2 sampai 31</t>
  </si>
  <si>
    <t xml:space="preserve">=VLOOKUP(B2;Acuan!$A$2:$B$6;2;FALSE)</t>
  </si>
  <si>
    <t xml:space="preserve">2</t>
  </si>
  <si>
    <t xml:space="preserve">Hitung pendapatan: hasil panen (kg) dikali harga per kg.</t>
  </si>
  <si>
    <t xml:space="preserve">Sheet Data, kolom F (Pendapatan), baris 2 sampai 31</t>
  </si>
  <si>
    <t xml:space="preserve">=D2*E2</t>
  </si>
  <si>
    <t xml:space="preserve">3</t>
  </si>
  <si>
    <t xml:space="preserve">Hitung hasil per are: panen dibagi luas lahan, dibulatkan satu desimal.</t>
  </si>
  <si>
    <t xml:space="preserve">Sheet Data, kolom G (Hasil per Are), baris 2 sampai 31</t>
  </si>
  <si>
    <t xml:space="preserve">=ROUND(D2/C2;1)</t>
  </si>
  <si>
    <t xml:space="preserve">4</t>
  </si>
  <si>
    <t xml:space="preserve">Beri grade: A bila hasil per are sama dengan atau di atas batas grade A, B bila sama dengan atau di atas batas grade B, selain itu C.</t>
  </si>
  <si>
    <t xml:space="preserve">Sheet Data, kolom H (Grade), baris 2 sampai 31</t>
  </si>
  <si>
    <t xml:space="preserve">=IF(G2&gt;=$K$2;"A";IF(G2&gt;=$K$3;"B";"C"))</t>
  </si>
  <si>
    <t xml:space="preserve">5</t>
  </si>
  <si>
    <t xml:space="preserve">Pada sheet Acuan, hitung jumlah petani tiap komoditas.</t>
  </si>
  <si>
    <t xml:space="preserve">Sheet Acuan, kolom C (Jumlah Petani), baris 2 sampai 6</t>
  </si>
  <si>
    <t xml:space="preserve">=COUNTIF(Data!$B$2:$B$31;A2)</t>
  </si>
  <si>
    <t xml:space="preserve">6</t>
  </si>
  <si>
    <t xml:space="preserve">Pada sheet Acuan, hitung total panen (kg) tiap komoditas.</t>
  </si>
  <si>
    <t xml:space="preserve">Sheet Acuan, kolom D (Total Panen (Kg)), baris 2 sampai 6</t>
  </si>
  <si>
    <t xml:space="preserve">=SUMIF(Data!$B$2:$B$31;A2;Data!$D$2:$D$31)</t>
  </si>
  <si>
    <t xml:space="preserve">7</t>
  </si>
  <si>
    <t xml:space="preserve">Pada sheet Acuan, hitung total pendapatan tiap komoditas.</t>
  </si>
  <si>
    <t xml:space="preserve">Sheet Acuan, kolom E (Total Pendapatan), baris 2 sampai 6</t>
  </si>
  <si>
    <t xml:space="preserve">=SUMIF(Data!$B$2:$B$31;A2;Data!$F$2:$F$31)</t>
  </si>
  <si>
    <t xml:space="preserve">8</t>
  </si>
  <si>
    <t xml:space="preserve">Berapa jumlah petani, total panen, dan total pendapatan seluruh petani?</t>
  </si>
  <si>
    <t xml:space="preserve">Sheet Ringkasan, sel C4 sampai C6</t>
  </si>
  <si>
    <t xml:space="preserve">=COUNTA(Data!$A$2:$A$31)
=SUM(Data!$D$2:$D$31)
=SUM(Data!$F$2:$F$31)</t>
  </si>
  <si>
    <t xml:space="preserve">9</t>
  </si>
  <si>
    <t xml:space="preserve">Berapa petani yang mendapat Grade A, Grade B, dan Grade C?</t>
  </si>
  <si>
    <t xml:space="preserve">Sheet Ringkasan, sel C7 sampai C9</t>
  </si>
  <si>
    <t xml:space="preserve">=COUNTIF(Data!$H$2:$H$31;"A")
=COUNTIF(Data!$H$2:$H$31;"B")
=COUNTIF(Data!$H$2:$H$31;"C")</t>
  </si>
  <si>
    <t xml:space="preserve">10</t>
  </si>
  <si>
    <t xml:space="preserve">Siapa petani dengan pendapatan terbesar, dan komoditas apa yang total pendapatannya terbesar?</t>
  </si>
  <si>
    <t xml:space="preserve">Sheet Ringkasan, sel C10 sampai C11</t>
  </si>
  <si>
    <t xml:space="preserve">=INDEX(Data!$A$2:$A$31;MATCH(MAX(Data!$F$2:$F$31);Data!$F$2:$F$31;0))
=INDEX(Acuan!$A$2:$A$6;MATCH(MAX(Acuan!$E$2:$E$6);Acuan!$E$2:$E$6;0))</t>
  </si>
  <si>
    <t xml:space="preserve">11</t>
  </si>
  <si>
    <t xml:space="preserve">Berapa rata-rata hasil per are seluruh petani, dan berapa petani Kentang yang mendapat Grade A?</t>
  </si>
  <si>
    <t xml:space="preserve">Sheet Ringkasan, sel C12 sampai C13</t>
  </si>
  <si>
    <t xml:space="preserve">=AVERAGE(Data!$G$2:$G$31)
=COUNTIFS(Data!$B$2:$B$31;"Kentang";Data!$H$2:$H$31;"A")</t>
  </si>
  <si>
    <t xml:space="preserve">Nama Petani</t>
  </si>
  <si>
    <t xml:space="preserve">Komoditas</t>
  </si>
  <si>
    <t xml:space="preserve">Luas Lahan (Are)</t>
  </si>
  <si>
    <t xml:space="preserve">Panen (Kg)</t>
  </si>
  <si>
    <t xml:space="preserve">Harga per Kg</t>
  </si>
  <si>
    <t xml:space="preserve">Pendapatan</t>
  </si>
  <si>
    <t xml:space="preserve">Hasil per Are</t>
  </si>
  <si>
    <t xml:space="preserve">Grade</t>
  </si>
  <si>
    <t xml:space="preserve">Parameter</t>
  </si>
  <si>
    <t xml:space="preserve">Nilai</t>
  </si>
  <si>
    <t xml:space="preserve">Keterangan</t>
  </si>
  <si>
    <t xml:space="preserve">Gita Maharani</t>
  </si>
  <si>
    <t xml:space="preserve">Kentang</t>
  </si>
  <si>
    <t xml:space="preserve">Batas grade A</t>
  </si>
  <si>
    <t xml:space="preserve">Hasil per are (kg) minimal untuk Grade A</t>
  </si>
  <si>
    <t xml:space="preserve">Farida Purnomo</t>
  </si>
  <si>
    <t xml:space="preserve">Kubis</t>
  </si>
  <si>
    <t xml:space="preserve">Batas grade B</t>
  </si>
  <si>
    <t xml:space="preserve">Hasil per are (kg) minimal untuk Grade B</t>
  </si>
  <si>
    <t xml:space="preserve">Indah Saputra</t>
  </si>
  <si>
    <t xml:space="preserve">Wortel</t>
  </si>
  <si>
    <t xml:space="preserve">Eka Kusuma</t>
  </si>
  <si>
    <t xml:space="preserve">Cabai Rawit</t>
  </si>
  <si>
    <t xml:space="preserve">Utami Wijaya</t>
  </si>
  <si>
    <t xml:space="preserve">Bawang Daun</t>
  </si>
  <si>
    <t xml:space="preserve">Vivi Maharani</t>
  </si>
  <si>
    <t xml:space="preserve">Bambang Santoso</t>
  </si>
  <si>
    <t xml:space="preserve">Rahmat Pratama</t>
  </si>
  <si>
    <t xml:space="preserve">Bambang Ramadhan</t>
  </si>
  <si>
    <t xml:space="preserve">Hadi Handayani</t>
  </si>
  <si>
    <t xml:space="preserve">Maman Utomo</t>
  </si>
  <si>
    <t xml:space="preserve">Galih Anggraini</t>
  </si>
  <si>
    <t xml:space="preserve">Wawan Wibowo</t>
  </si>
  <si>
    <t xml:space="preserve">Rizki Wibowo</t>
  </si>
  <si>
    <t xml:space="preserve">Rina Nugroho</t>
  </si>
  <si>
    <t xml:space="preserve">Maman Maharani</t>
  </si>
  <si>
    <t xml:space="preserve">Ayu Pratama</t>
  </si>
  <si>
    <t xml:space="preserve">Jihan Susanto</t>
  </si>
  <si>
    <t xml:space="preserve">Novi Ramadhan</t>
  </si>
  <si>
    <t xml:space="preserve">Dian Suryani</t>
  </si>
  <si>
    <t xml:space="preserve">Eka Anggraini</t>
  </si>
  <si>
    <t xml:space="preserve">Zainal Pratama</t>
  </si>
  <si>
    <t xml:space="preserve">Budi Fauzi</t>
  </si>
  <si>
    <t xml:space="preserve">Umar Wibowo</t>
  </si>
  <si>
    <t xml:space="preserve">Tono Hartono</t>
  </si>
  <si>
    <t xml:space="preserve">Oki Saputra</t>
  </si>
  <si>
    <t xml:space="preserve">Dian Santoso</t>
  </si>
  <si>
    <t xml:space="preserve">Rina Hartono</t>
  </si>
  <si>
    <t xml:space="preserve">Wahyu Hidayat</t>
  </si>
  <si>
    <t xml:space="preserve">Putri Wijaya</t>
  </si>
  <si>
    <t xml:space="preserve">Jumlah Petani</t>
  </si>
  <si>
    <t xml:space="preserve">Total Panen (Kg)</t>
  </si>
  <si>
    <t xml:space="preserve">Total Pendapatan</t>
  </si>
  <si>
    <t xml:space="preserve">Ringkasan: lembar jawaban soal berjenis ringkasan</t>
  </si>
  <si>
    <t xml:space="preserve">Sel hijau berisi rumus kunci.</t>
  </si>
  <si>
    <t xml:space="preserve">Pertanyaan</t>
  </si>
  <si>
    <t xml:space="preserve">Jawaban</t>
  </si>
  <si>
    <t xml:space="preserve">Contoh format hasil</t>
  </si>
  <si>
    <t xml:space="preserve">8a</t>
  </si>
  <si>
    <t xml:space="preserve">Jumlah petani</t>
  </si>
  <si>
    <t xml:space="preserve">Angka bulat, mis. 25</t>
  </si>
  <si>
    <t xml:space="preserve">8b</t>
  </si>
  <si>
    <t xml:space="preserve">Total panen (kg)</t>
  </si>
  <si>
    <t xml:space="preserve">Angka bulat, mis. 20.000</t>
  </si>
  <si>
    <t xml:space="preserve">8c</t>
  </si>
  <si>
    <t xml:space="preserve">Total pendapatan</t>
  </si>
  <si>
    <t xml:space="preserve">Rupiah, mis. Rp 150.000.000</t>
  </si>
  <si>
    <t xml:space="preserve">9a</t>
  </si>
  <si>
    <t xml:space="preserve">Petani Grade A</t>
  </si>
  <si>
    <t xml:space="preserve">Angka bulat, mis. 8</t>
  </si>
  <si>
    <t xml:space="preserve">9b</t>
  </si>
  <si>
    <t xml:space="preserve">Petani Grade B</t>
  </si>
  <si>
    <t xml:space="preserve">Angka bulat, mis. 14</t>
  </si>
  <si>
    <t xml:space="preserve">9c</t>
  </si>
  <si>
    <t xml:space="preserve">Petani Grade C</t>
  </si>
  <si>
    <t xml:space="preserve">Angka bulat, mis. 10</t>
  </si>
  <si>
    <t xml:space="preserve">10a</t>
  </si>
  <si>
    <t xml:space="preserve">Petani dengan pendapatan terbesar</t>
  </si>
  <si>
    <t xml:space="preserve">Teks: nama petani</t>
  </si>
  <si>
    <t xml:space="preserve">10b</t>
  </si>
  <si>
    <t xml:space="preserve">Komoditas dengan total pendapatan terbesar</t>
  </si>
  <si>
    <t xml:space="preserve">Teks: nama komoditas</t>
  </si>
  <si>
    <t xml:space="preserve">11a</t>
  </si>
  <si>
    <t xml:space="preserve">Rata-rata hasil per are</t>
  </si>
  <si>
    <t xml:space="preserve">Angka desimal, mis. 43,2</t>
  </si>
  <si>
    <t xml:space="preserve">11b</t>
  </si>
  <si>
    <t xml:space="preserve">Petani Kentang Grade A</t>
  </si>
  <si>
    <t xml:space="preserve">Angka bulat, mis. 4</t>
  </si>
</sst>
</file>

<file path=xl/styles.xml><?xml version="1.0" encoding="utf-8"?>
<styleSheet xmlns="http://schemas.openxmlformats.org/spreadsheetml/2006/main">
  <numFmts count="5">
    <numFmt numFmtId="164" formatCode="General"/>
    <numFmt numFmtId="165" formatCode="0"/>
    <numFmt numFmtId="166" formatCode="#,##0"/>
    <numFmt numFmtId="167" formatCode="&quot;Rp &quot;#,##0"/>
    <numFmt numFmtId="168"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42"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57.75" hidden="false" customHeight="true" outlineLevel="0" collapsed="false">
      <c r="A28" s="12" t="s">
        <v>51</v>
      </c>
      <c r="B28" s="13" t="s">
        <v>52</v>
      </c>
      <c r="C28" s="13" t="s">
        <v>53</v>
      </c>
      <c r="D28" s="14" t="s">
        <v>54</v>
      </c>
    </row>
    <row r="29" customFormat="false" ht="57.75" hidden="false" customHeight="true" outlineLevel="0" collapsed="false">
      <c r="A29" s="12" t="s">
        <v>55</v>
      </c>
      <c r="B29" s="13" t="s">
        <v>56</v>
      </c>
      <c r="C29" s="13" t="s">
        <v>57</v>
      </c>
      <c r="D29" s="14" t="s">
        <v>58</v>
      </c>
    </row>
    <row r="30" customFormat="false" ht="55.5" hidden="false" customHeight="true" outlineLevel="0" collapsed="false">
      <c r="A30" s="12" t="s">
        <v>59</v>
      </c>
      <c r="B30" s="13" t="s">
        <v>60</v>
      </c>
      <c r="C30" s="13" t="s">
        <v>61</v>
      </c>
      <c r="D30" s="14" t="s">
        <v>62</v>
      </c>
    </row>
    <row r="31" customFormat="false" ht="43.5" hidden="false" customHeight="true" outlineLevel="0" collapsed="false">
      <c r="A31" s="12" t="s">
        <v>63</v>
      </c>
      <c r="B31" s="13" t="s">
        <v>64</v>
      </c>
      <c r="C31" s="13" t="s">
        <v>65</v>
      </c>
      <c r="D31" s="14" t="s">
        <v>66</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5"/>
    <col collapsed="false" customWidth="true" hidden="false" outlineLevel="0" max="4" min="4" style="0" width="12"/>
    <col collapsed="false" customWidth="true" hidden="false" outlineLevel="0" max="5" min="5" style="0" width="13"/>
    <col collapsed="false" customWidth="true" hidden="false" outlineLevel="0" max="6" min="6" style="0" width="15"/>
    <col collapsed="false" customWidth="true" hidden="false" outlineLevel="0" max="7" min="7" style="0" width="13"/>
    <col collapsed="false" customWidth="true" hidden="false" outlineLevel="0" max="8" min="8" style="0" width="8"/>
    <col collapsed="false" customWidth="true" hidden="false" outlineLevel="0" max="9" min="9" style="0" width="3"/>
    <col collapsed="false" customWidth="true" hidden="false" outlineLevel="0" max="10" min="10" style="0" width="30"/>
    <col collapsed="false" customWidth="true" hidden="false" outlineLevel="0" max="11" min="11" style="0" width="16"/>
    <col collapsed="false" customWidth="true" hidden="false" outlineLevel="0" max="12" min="12" style="0" width="42"/>
  </cols>
  <sheetData>
    <row r="1" customFormat="false" ht="33.75" hidden="false" customHeight="true" outlineLevel="0" collapsed="false">
      <c r="A1" s="11" t="s">
        <v>67</v>
      </c>
      <c r="B1" s="11" t="s">
        <v>68</v>
      </c>
      <c r="C1" s="11" t="s">
        <v>69</v>
      </c>
      <c r="D1" s="11" t="s">
        <v>70</v>
      </c>
      <c r="E1" s="15" t="s">
        <v>71</v>
      </c>
      <c r="F1" s="15" t="s">
        <v>72</v>
      </c>
      <c r="G1" s="15" t="s">
        <v>73</v>
      </c>
      <c r="H1" s="15" t="s">
        <v>74</v>
      </c>
      <c r="J1" s="16" t="s">
        <v>75</v>
      </c>
      <c r="K1" s="16" t="s">
        <v>76</v>
      </c>
      <c r="L1" s="16" t="s">
        <v>77</v>
      </c>
    </row>
    <row r="2" customFormat="false" ht="15" hidden="false" customHeight="false" outlineLevel="0" collapsed="false">
      <c r="A2" s="17" t="s">
        <v>78</v>
      </c>
      <c r="B2" s="17" t="s">
        <v>79</v>
      </c>
      <c r="C2" s="18" t="n">
        <v>25</v>
      </c>
      <c r="D2" s="19" t="n">
        <v>1313</v>
      </c>
      <c r="E2" s="20" t="n">
        <f aca="false">VLOOKUP(B2,Acuan!$A$2:$B$6,2,FALSE())</f>
        <v>12000</v>
      </c>
      <c r="F2" s="20" t="n">
        <f aca="false">D2*E2</f>
        <v>15756000</v>
      </c>
      <c r="G2" s="21" t="n">
        <f aca="false">ROUND(D2/C2,1)</f>
        <v>52.5</v>
      </c>
      <c r="H2" s="22" t="str">
        <f aca="false">IF(G2&gt;=$K$2,"A",IF(G2&gt;=$K$3,"B","C"))</f>
        <v>A</v>
      </c>
      <c r="J2" s="23" t="s">
        <v>80</v>
      </c>
      <c r="K2" s="24" t="n">
        <v>50</v>
      </c>
      <c r="L2" s="23" t="s">
        <v>81</v>
      </c>
    </row>
    <row r="3" customFormat="false" ht="15" hidden="false" customHeight="false" outlineLevel="0" collapsed="false">
      <c r="A3" s="17" t="s">
        <v>82</v>
      </c>
      <c r="B3" s="17" t="s">
        <v>83</v>
      </c>
      <c r="C3" s="18" t="n">
        <v>30</v>
      </c>
      <c r="D3" s="19" t="n">
        <v>1178</v>
      </c>
      <c r="E3" s="20" t="n">
        <f aca="false">VLOOKUP(B3,Acuan!$A$2:$B$6,2,FALSE())</f>
        <v>5000</v>
      </c>
      <c r="F3" s="20" t="n">
        <f aca="false">D3*E3</f>
        <v>5890000</v>
      </c>
      <c r="G3" s="21" t="n">
        <f aca="false">ROUND(D3/C3,1)</f>
        <v>39.3</v>
      </c>
      <c r="H3" s="22" t="str">
        <f aca="false">IF(G3&gt;=$K$2,"A",IF(G3&gt;=$K$3,"B","C"))</f>
        <v>B</v>
      </c>
      <c r="J3" s="23" t="s">
        <v>84</v>
      </c>
      <c r="K3" s="24" t="n">
        <v>35</v>
      </c>
      <c r="L3" s="23" t="s">
        <v>85</v>
      </c>
    </row>
    <row r="4" customFormat="false" ht="15" hidden="false" customHeight="false" outlineLevel="0" collapsed="false">
      <c r="A4" s="17" t="s">
        <v>86</v>
      </c>
      <c r="B4" s="17" t="s">
        <v>87</v>
      </c>
      <c r="C4" s="18" t="n">
        <v>40</v>
      </c>
      <c r="D4" s="19" t="n">
        <v>1510</v>
      </c>
      <c r="E4" s="20" t="n">
        <f aca="false">VLOOKUP(B4,Acuan!$A$2:$B$6,2,FALSE())</f>
        <v>7500</v>
      </c>
      <c r="F4" s="20" t="n">
        <f aca="false">D4*E4</f>
        <v>11325000</v>
      </c>
      <c r="G4" s="21" t="n">
        <f aca="false">ROUND(D4/C4,1)</f>
        <v>37.8</v>
      </c>
      <c r="H4" s="22" t="str">
        <f aca="false">IF(G4&gt;=$K$2,"A",IF(G4&gt;=$K$3,"B","C"))</f>
        <v>B</v>
      </c>
    </row>
    <row r="5" customFormat="false" ht="15" hidden="false" customHeight="false" outlineLevel="0" collapsed="false">
      <c r="A5" s="17" t="s">
        <v>88</v>
      </c>
      <c r="B5" s="17" t="s">
        <v>89</v>
      </c>
      <c r="C5" s="18" t="n">
        <v>40</v>
      </c>
      <c r="D5" s="19" t="n">
        <v>1470</v>
      </c>
      <c r="E5" s="20" t="n">
        <f aca="false">VLOOKUP(B5,Acuan!$A$2:$B$6,2,FALSE())</f>
        <v>38000</v>
      </c>
      <c r="F5" s="20" t="n">
        <f aca="false">D5*E5</f>
        <v>55860000</v>
      </c>
      <c r="G5" s="21" t="n">
        <f aca="false">ROUND(D5/C5,1)</f>
        <v>36.8</v>
      </c>
      <c r="H5" s="22" t="str">
        <f aca="false">IF(G5&gt;=$K$2,"A",IF(G5&gt;=$K$3,"B","C"))</f>
        <v>B</v>
      </c>
    </row>
    <row r="6" customFormat="false" ht="15" hidden="false" customHeight="false" outlineLevel="0" collapsed="false">
      <c r="A6" s="17" t="s">
        <v>90</v>
      </c>
      <c r="B6" s="17" t="s">
        <v>91</v>
      </c>
      <c r="C6" s="18" t="n">
        <v>10</v>
      </c>
      <c r="D6" s="19" t="n">
        <v>241</v>
      </c>
      <c r="E6" s="20" t="n">
        <f aca="false">VLOOKUP(B6,Acuan!$A$2:$B$6,2,FALSE())</f>
        <v>14000</v>
      </c>
      <c r="F6" s="20" t="n">
        <f aca="false">D6*E6</f>
        <v>3374000</v>
      </c>
      <c r="G6" s="21" t="n">
        <f aca="false">ROUND(D6/C6,1)</f>
        <v>24.1</v>
      </c>
      <c r="H6" s="22" t="str">
        <f aca="false">IF(G6&gt;=$K$2,"A",IF(G6&gt;=$K$3,"B","C"))</f>
        <v>C</v>
      </c>
    </row>
    <row r="7" customFormat="false" ht="15" hidden="false" customHeight="false" outlineLevel="0" collapsed="false">
      <c r="A7" s="17" t="s">
        <v>92</v>
      </c>
      <c r="B7" s="17" t="s">
        <v>79</v>
      </c>
      <c r="C7" s="18" t="n">
        <v>10</v>
      </c>
      <c r="D7" s="19" t="n">
        <v>336</v>
      </c>
      <c r="E7" s="20" t="n">
        <f aca="false">VLOOKUP(B7,Acuan!$A$2:$B$6,2,FALSE())</f>
        <v>12000</v>
      </c>
      <c r="F7" s="20" t="n">
        <f aca="false">D7*E7</f>
        <v>4032000</v>
      </c>
      <c r="G7" s="21" t="n">
        <f aca="false">ROUND(D7/C7,1)</f>
        <v>33.6</v>
      </c>
      <c r="H7" s="22" t="str">
        <f aca="false">IF(G7&gt;=$K$2,"A",IF(G7&gt;=$K$3,"B","C"))</f>
        <v>C</v>
      </c>
    </row>
    <row r="8" customFormat="false" ht="15" hidden="false" customHeight="false" outlineLevel="0" collapsed="false">
      <c r="A8" s="17" t="s">
        <v>93</v>
      </c>
      <c r="B8" s="17" t="s">
        <v>83</v>
      </c>
      <c r="C8" s="18" t="n">
        <v>20</v>
      </c>
      <c r="D8" s="19" t="n">
        <v>576</v>
      </c>
      <c r="E8" s="20" t="n">
        <f aca="false">VLOOKUP(B8,Acuan!$A$2:$B$6,2,FALSE())</f>
        <v>5000</v>
      </c>
      <c r="F8" s="20" t="n">
        <f aca="false">D8*E8</f>
        <v>2880000</v>
      </c>
      <c r="G8" s="21" t="n">
        <f aca="false">ROUND(D8/C8,1)</f>
        <v>28.8</v>
      </c>
      <c r="H8" s="22" t="str">
        <f aca="false">IF(G8&gt;=$K$2,"A",IF(G8&gt;=$K$3,"B","C"))</f>
        <v>C</v>
      </c>
    </row>
    <row r="9" customFormat="false" ht="15" hidden="false" customHeight="false" outlineLevel="0" collapsed="false">
      <c r="A9" s="17" t="s">
        <v>94</v>
      </c>
      <c r="B9" s="17" t="s">
        <v>87</v>
      </c>
      <c r="C9" s="18" t="n">
        <v>15</v>
      </c>
      <c r="D9" s="19" t="n">
        <v>781</v>
      </c>
      <c r="E9" s="20" t="n">
        <f aca="false">VLOOKUP(B9,Acuan!$A$2:$B$6,2,FALSE())</f>
        <v>7500</v>
      </c>
      <c r="F9" s="20" t="n">
        <f aca="false">D9*E9</f>
        <v>5857500</v>
      </c>
      <c r="G9" s="21" t="n">
        <f aca="false">ROUND(D9/C9,1)</f>
        <v>52.1</v>
      </c>
      <c r="H9" s="22" t="str">
        <f aca="false">IF(G9&gt;=$K$2,"A",IF(G9&gt;=$K$3,"B","C"))</f>
        <v>A</v>
      </c>
    </row>
    <row r="10" customFormat="false" ht="15" hidden="false" customHeight="false" outlineLevel="0" collapsed="false">
      <c r="A10" s="17" t="s">
        <v>95</v>
      </c>
      <c r="B10" s="17" t="s">
        <v>89</v>
      </c>
      <c r="C10" s="18" t="n">
        <v>40</v>
      </c>
      <c r="D10" s="19" t="n">
        <v>984</v>
      </c>
      <c r="E10" s="20" t="n">
        <f aca="false">VLOOKUP(B10,Acuan!$A$2:$B$6,2,FALSE())</f>
        <v>38000</v>
      </c>
      <c r="F10" s="20" t="n">
        <f aca="false">D10*E10</f>
        <v>37392000</v>
      </c>
      <c r="G10" s="21" t="n">
        <f aca="false">ROUND(D10/C10,1)</f>
        <v>24.6</v>
      </c>
      <c r="H10" s="22" t="str">
        <f aca="false">IF(G10&gt;=$K$2,"A",IF(G10&gt;=$K$3,"B","C"))</f>
        <v>C</v>
      </c>
    </row>
    <row r="11" customFormat="false" ht="15" hidden="false" customHeight="false" outlineLevel="0" collapsed="false">
      <c r="A11" s="17" t="s">
        <v>96</v>
      </c>
      <c r="B11" s="17" t="s">
        <v>91</v>
      </c>
      <c r="C11" s="18" t="n">
        <v>10</v>
      </c>
      <c r="D11" s="19" t="n">
        <v>383</v>
      </c>
      <c r="E11" s="20" t="n">
        <f aca="false">VLOOKUP(B11,Acuan!$A$2:$B$6,2,FALSE())</f>
        <v>14000</v>
      </c>
      <c r="F11" s="20" t="n">
        <f aca="false">D11*E11</f>
        <v>5362000</v>
      </c>
      <c r="G11" s="21" t="n">
        <f aca="false">ROUND(D11/C11,1)</f>
        <v>38.3</v>
      </c>
      <c r="H11" s="22" t="str">
        <f aca="false">IF(G11&gt;=$K$2,"A",IF(G11&gt;=$K$3,"B","C"))</f>
        <v>B</v>
      </c>
    </row>
    <row r="12" customFormat="false" ht="15" hidden="false" customHeight="false" outlineLevel="0" collapsed="false">
      <c r="A12" s="17" t="s">
        <v>97</v>
      </c>
      <c r="B12" s="17" t="s">
        <v>79</v>
      </c>
      <c r="C12" s="18" t="n">
        <v>20</v>
      </c>
      <c r="D12" s="19" t="n">
        <v>939</v>
      </c>
      <c r="E12" s="20" t="n">
        <f aca="false">VLOOKUP(B12,Acuan!$A$2:$B$6,2,FALSE())</f>
        <v>12000</v>
      </c>
      <c r="F12" s="20" t="n">
        <f aca="false">D12*E12</f>
        <v>11268000</v>
      </c>
      <c r="G12" s="21" t="n">
        <f aca="false">ROUND(D12/C12,1)</f>
        <v>47</v>
      </c>
      <c r="H12" s="22" t="str">
        <f aca="false">IF(G12&gt;=$K$2,"A",IF(G12&gt;=$K$3,"B","C"))</f>
        <v>B</v>
      </c>
    </row>
    <row r="13" customFormat="false" ht="15" hidden="false" customHeight="false" outlineLevel="0" collapsed="false">
      <c r="A13" s="17" t="s">
        <v>98</v>
      </c>
      <c r="B13" s="17" t="s">
        <v>83</v>
      </c>
      <c r="C13" s="18" t="n">
        <v>40</v>
      </c>
      <c r="D13" s="19" t="n">
        <v>2523</v>
      </c>
      <c r="E13" s="20" t="n">
        <f aca="false">VLOOKUP(B13,Acuan!$A$2:$B$6,2,FALSE())</f>
        <v>5000</v>
      </c>
      <c r="F13" s="20" t="n">
        <f aca="false">D13*E13</f>
        <v>12615000</v>
      </c>
      <c r="G13" s="21" t="n">
        <f aca="false">ROUND(D13/C13,1)</f>
        <v>63.1</v>
      </c>
      <c r="H13" s="22" t="str">
        <f aca="false">IF(G13&gt;=$K$2,"A",IF(G13&gt;=$K$3,"B","C"))</f>
        <v>A</v>
      </c>
    </row>
    <row r="14" customFormat="false" ht="15" hidden="false" customHeight="false" outlineLevel="0" collapsed="false">
      <c r="A14" s="17" t="s">
        <v>99</v>
      </c>
      <c r="B14" s="17" t="s">
        <v>87</v>
      </c>
      <c r="C14" s="18" t="n">
        <v>40</v>
      </c>
      <c r="D14" s="19" t="n">
        <v>2510</v>
      </c>
      <c r="E14" s="20" t="n">
        <f aca="false">VLOOKUP(B14,Acuan!$A$2:$B$6,2,FALSE())</f>
        <v>7500</v>
      </c>
      <c r="F14" s="20" t="n">
        <f aca="false">D14*E14</f>
        <v>18825000</v>
      </c>
      <c r="G14" s="21" t="n">
        <f aca="false">ROUND(D14/C14,1)</f>
        <v>62.8</v>
      </c>
      <c r="H14" s="22" t="str">
        <f aca="false">IF(G14&gt;=$K$2,"A",IF(G14&gt;=$K$3,"B","C"))</f>
        <v>A</v>
      </c>
    </row>
    <row r="15" customFormat="false" ht="15" hidden="false" customHeight="false" outlineLevel="0" collapsed="false">
      <c r="A15" s="17" t="s">
        <v>100</v>
      </c>
      <c r="B15" s="17" t="s">
        <v>89</v>
      </c>
      <c r="C15" s="18" t="n">
        <v>25</v>
      </c>
      <c r="D15" s="19" t="n">
        <v>735</v>
      </c>
      <c r="E15" s="20" t="n">
        <f aca="false">VLOOKUP(B15,Acuan!$A$2:$B$6,2,FALSE())</f>
        <v>38000</v>
      </c>
      <c r="F15" s="20" t="n">
        <f aca="false">D15*E15</f>
        <v>27930000</v>
      </c>
      <c r="G15" s="21" t="n">
        <f aca="false">ROUND(D15/C15,1)</f>
        <v>29.4</v>
      </c>
      <c r="H15" s="22" t="str">
        <f aca="false">IF(G15&gt;=$K$2,"A",IF(G15&gt;=$K$3,"B","C"))</f>
        <v>C</v>
      </c>
    </row>
    <row r="16" customFormat="false" ht="15" hidden="false" customHeight="false" outlineLevel="0" collapsed="false">
      <c r="A16" s="17" t="s">
        <v>101</v>
      </c>
      <c r="B16" s="17" t="s">
        <v>91</v>
      </c>
      <c r="C16" s="18" t="n">
        <v>20</v>
      </c>
      <c r="D16" s="19" t="n">
        <v>754</v>
      </c>
      <c r="E16" s="20" t="n">
        <f aca="false">VLOOKUP(B16,Acuan!$A$2:$B$6,2,FALSE())</f>
        <v>14000</v>
      </c>
      <c r="F16" s="20" t="n">
        <f aca="false">D16*E16</f>
        <v>10556000</v>
      </c>
      <c r="G16" s="21" t="n">
        <f aca="false">ROUND(D16/C16,1)</f>
        <v>37.7</v>
      </c>
      <c r="H16" s="22" t="str">
        <f aca="false">IF(G16&gt;=$K$2,"A",IF(G16&gt;=$K$3,"B","C"))</f>
        <v>B</v>
      </c>
    </row>
    <row r="17" customFormat="false" ht="15" hidden="false" customHeight="false" outlineLevel="0" collapsed="false">
      <c r="A17" s="17" t="s">
        <v>102</v>
      </c>
      <c r="B17" s="17" t="s">
        <v>79</v>
      </c>
      <c r="C17" s="18" t="n">
        <v>25</v>
      </c>
      <c r="D17" s="19" t="n">
        <v>625</v>
      </c>
      <c r="E17" s="20" t="n">
        <f aca="false">VLOOKUP(B17,Acuan!$A$2:$B$6,2,FALSE())</f>
        <v>12000</v>
      </c>
      <c r="F17" s="20" t="n">
        <f aca="false">D17*E17</f>
        <v>7500000</v>
      </c>
      <c r="G17" s="21" t="n">
        <f aca="false">ROUND(D17/C17,1)</f>
        <v>25</v>
      </c>
      <c r="H17" s="22" t="str">
        <f aca="false">IF(G17&gt;=$K$2,"A",IF(G17&gt;=$K$3,"B","C"))</f>
        <v>C</v>
      </c>
    </row>
    <row r="18" customFormat="false" ht="15" hidden="false" customHeight="false" outlineLevel="0" collapsed="false">
      <c r="A18" s="17" t="s">
        <v>103</v>
      </c>
      <c r="B18" s="17" t="s">
        <v>83</v>
      </c>
      <c r="C18" s="18" t="n">
        <v>30</v>
      </c>
      <c r="D18" s="19" t="n">
        <v>1021</v>
      </c>
      <c r="E18" s="20" t="n">
        <f aca="false">VLOOKUP(B18,Acuan!$A$2:$B$6,2,FALSE())</f>
        <v>5000</v>
      </c>
      <c r="F18" s="20" t="n">
        <f aca="false">D18*E18</f>
        <v>5105000</v>
      </c>
      <c r="G18" s="21" t="n">
        <f aca="false">ROUND(D18/C18,1)</f>
        <v>34</v>
      </c>
      <c r="H18" s="22" t="str">
        <f aca="false">IF(G18&gt;=$K$2,"A",IF(G18&gt;=$K$3,"B","C"))</f>
        <v>C</v>
      </c>
    </row>
    <row r="19" customFormat="false" ht="15" hidden="false" customHeight="false" outlineLevel="0" collapsed="false">
      <c r="A19" s="17" t="s">
        <v>104</v>
      </c>
      <c r="B19" s="17" t="s">
        <v>87</v>
      </c>
      <c r="C19" s="18" t="n">
        <v>20</v>
      </c>
      <c r="D19" s="19" t="n">
        <v>480</v>
      </c>
      <c r="E19" s="20" t="n">
        <f aca="false">VLOOKUP(B19,Acuan!$A$2:$B$6,2,FALSE())</f>
        <v>7500</v>
      </c>
      <c r="F19" s="20" t="n">
        <f aca="false">D19*E19</f>
        <v>3600000</v>
      </c>
      <c r="G19" s="21" t="n">
        <f aca="false">ROUND(D19/C19,1)</f>
        <v>24</v>
      </c>
      <c r="H19" s="22" t="str">
        <f aca="false">IF(G19&gt;=$K$2,"A",IF(G19&gt;=$K$3,"B","C"))</f>
        <v>C</v>
      </c>
    </row>
    <row r="20" customFormat="false" ht="15" hidden="false" customHeight="false" outlineLevel="0" collapsed="false">
      <c r="A20" s="17" t="s">
        <v>105</v>
      </c>
      <c r="B20" s="17" t="s">
        <v>89</v>
      </c>
      <c r="C20" s="18" t="n">
        <v>20</v>
      </c>
      <c r="D20" s="19" t="n">
        <v>689</v>
      </c>
      <c r="E20" s="20" t="n">
        <f aca="false">VLOOKUP(B20,Acuan!$A$2:$B$6,2,FALSE())</f>
        <v>38000</v>
      </c>
      <c r="F20" s="20" t="n">
        <f aca="false">D20*E20</f>
        <v>26182000</v>
      </c>
      <c r="G20" s="21" t="n">
        <f aca="false">ROUND(D20/C20,1)</f>
        <v>34.5</v>
      </c>
      <c r="H20" s="22" t="str">
        <f aca="false">IF(G20&gt;=$K$2,"A",IF(G20&gt;=$K$3,"B","C"))</f>
        <v>C</v>
      </c>
    </row>
    <row r="21" customFormat="false" ht="15" hidden="false" customHeight="false" outlineLevel="0" collapsed="false">
      <c r="A21" s="17" t="s">
        <v>106</v>
      </c>
      <c r="B21" s="17" t="s">
        <v>91</v>
      </c>
      <c r="C21" s="18" t="n">
        <v>20</v>
      </c>
      <c r="D21" s="19" t="n">
        <v>1013</v>
      </c>
      <c r="E21" s="20" t="n">
        <f aca="false">VLOOKUP(B21,Acuan!$A$2:$B$6,2,FALSE())</f>
        <v>14000</v>
      </c>
      <c r="F21" s="20" t="n">
        <f aca="false">D21*E21</f>
        <v>14182000</v>
      </c>
      <c r="G21" s="21" t="n">
        <f aca="false">ROUND(D21/C21,1)</f>
        <v>50.7</v>
      </c>
      <c r="H21" s="22" t="str">
        <f aca="false">IF(G21&gt;=$K$2,"A",IF(G21&gt;=$K$3,"B","C"))</f>
        <v>A</v>
      </c>
    </row>
    <row r="22" customFormat="false" ht="15" hidden="false" customHeight="false" outlineLevel="0" collapsed="false">
      <c r="A22" s="17" t="s">
        <v>107</v>
      </c>
      <c r="B22" s="17" t="s">
        <v>79</v>
      </c>
      <c r="C22" s="18" t="n">
        <v>20</v>
      </c>
      <c r="D22" s="19" t="n">
        <v>1157</v>
      </c>
      <c r="E22" s="20" t="n">
        <f aca="false">VLOOKUP(B22,Acuan!$A$2:$B$6,2,FALSE())</f>
        <v>12000</v>
      </c>
      <c r="F22" s="20" t="n">
        <f aca="false">D22*E22</f>
        <v>13884000</v>
      </c>
      <c r="G22" s="21" t="n">
        <f aca="false">ROUND(D22/C22,1)</f>
        <v>57.9</v>
      </c>
      <c r="H22" s="22" t="str">
        <f aca="false">IF(G22&gt;=$K$2,"A",IF(G22&gt;=$K$3,"B","C"))</f>
        <v>A</v>
      </c>
    </row>
    <row r="23" customFormat="false" ht="15" hidden="false" customHeight="false" outlineLevel="0" collapsed="false">
      <c r="A23" s="17" t="s">
        <v>108</v>
      </c>
      <c r="B23" s="17" t="s">
        <v>83</v>
      </c>
      <c r="C23" s="18" t="n">
        <v>25</v>
      </c>
      <c r="D23" s="19" t="n">
        <v>869</v>
      </c>
      <c r="E23" s="20" t="n">
        <f aca="false">VLOOKUP(B23,Acuan!$A$2:$B$6,2,FALSE())</f>
        <v>5000</v>
      </c>
      <c r="F23" s="20" t="n">
        <f aca="false">D23*E23</f>
        <v>4345000</v>
      </c>
      <c r="G23" s="21" t="n">
        <f aca="false">ROUND(D23/C23,1)</f>
        <v>34.8</v>
      </c>
      <c r="H23" s="22" t="str">
        <f aca="false">IF(G23&gt;=$K$2,"A",IF(G23&gt;=$K$3,"B","C"))</f>
        <v>C</v>
      </c>
    </row>
    <row r="24" customFormat="false" ht="15" hidden="false" customHeight="false" outlineLevel="0" collapsed="false">
      <c r="A24" s="17" t="s">
        <v>109</v>
      </c>
      <c r="B24" s="17" t="s">
        <v>87</v>
      </c>
      <c r="C24" s="18" t="n">
        <v>30</v>
      </c>
      <c r="D24" s="19" t="n">
        <v>1425</v>
      </c>
      <c r="E24" s="20" t="n">
        <f aca="false">VLOOKUP(B24,Acuan!$A$2:$B$6,2,FALSE())</f>
        <v>7500</v>
      </c>
      <c r="F24" s="20" t="n">
        <f aca="false">D24*E24</f>
        <v>10687500</v>
      </c>
      <c r="G24" s="21" t="n">
        <f aca="false">ROUND(D24/C24,1)</f>
        <v>47.5</v>
      </c>
      <c r="H24" s="22" t="str">
        <f aca="false">IF(G24&gt;=$K$2,"A",IF(G24&gt;=$K$3,"B","C"))</f>
        <v>B</v>
      </c>
    </row>
    <row r="25" customFormat="false" ht="15" hidden="false" customHeight="false" outlineLevel="0" collapsed="false">
      <c r="A25" s="17" t="s">
        <v>110</v>
      </c>
      <c r="B25" s="17" t="s">
        <v>89</v>
      </c>
      <c r="C25" s="18" t="n">
        <v>15</v>
      </c>
      <c r="D25" s="19" t="n">
        <v>538</v>
      </c>
      <c r="E25" s="20" t="n">
        <f aca="false">VLOOKUP(B25,Acuan!$A$2:$B$6,2,FALSE())</f>
        <v>38000</v>
      </c>
      <c r="F25" s="20" t="n">
        <f aca="false">D25*E25</f>
        <v>20444000</v>
      </c>
      <c r="G25" s="21" t="n">
        <f aca="false">ROUND(D25/C25,1)</f>
        <v>35.9</v>
      </c>
      <c r="H25" s="22" t="str">
        <f aca="false">IF(G25&gt;=$K$2,"A",IF(G25&gt;=$K$3,"B","C"))</f>
        <v>B</v>
      </c>
    </row>
    <row r="26" customFormat="false" ht="15" hidden="false" customHeight="false" outlineLevel="0" collapsed="false">
      <c r="A26" s="17" t="s">
        <v>111</v>
      </c>
      <c r="B26" s="17" t="s">
        <v>91</v>
      </c>
      <c r="C26" s="18" t="n">
        <v>30</v>
      </c>
      <c r="D26" s="19" t="n">
        <v>862</v>
      </c>
      <c r="E26" s="20" t="n">
        <f aca="false">VLOOKUP(B26,Acuan!$A$2:$B$6,2,FALSE())</f>
        <v>14000</v>
      </c>
      <c r="F26" s="20" t="n">
        <f aca="false">D26*E26</f>
        <v>12068000</v>
      </c>
      <c r="G26" s="21" t="n">
        <f aca="false">ROUND(D26/C26,1)</f>
        <v>28.7</v>
      </c>
      <c r="H26" s="22" t="str">
        <f aca="false">IF(G26&gt;=$K$2,"A",IF(G26&gt;=$K$3,"B","C"))</f>
        <v>C</v>
      </c>
    </row>
    <row r="27" customFormat="false" ht="15" hidden="false" customHeight="false" outlineLevel="0" collapsed="false">
      <c r="A27" s="17" t="s">
        <v>112</v>
      </c>
      <c r="B27" s="17" t="s">
        <v>87</v>
      </c>
      <c r="C27" s="18" t="n">
        <v>30</v>
      </c>
      <c r="D27" s="19" t="n">
        <v>1165</v>
      </c>
      <c r="E27" s="20" t="n">
        <f aca="false">VLOOKUP(B27,Acuan!$A$2:$B$6,2,FALSE())</f>
        <v>7500</v>
      </c>
      <c r="F27" s="20" t="n">
        <f aca="false">D27*E27</f>
        <v>8737500</v>
      </c>
      <c r="G27" s="21" t="n">
        <f aca="false">ROUND(D27/C27,1)</f>
        <v>38.8</v>
      </c>
      <c r="H27" s="22" t="str">
        <f aca="false">IF(G27&gt;=$K$2,"A",IF(G27&gt;=$K$3,"B","C"))</f>
        <v>B</v>
      </c>
    </row>
    <row r="28" customFormat="false" ht="15" hidden="false" customHeight="false" outlineLevel="0" collapsed="false">
      <c r="A28" s="17" t="s">
        <v>113</v>
      </c>
      <c r="B28" s="17" t="s">
        <v>89</v>
      </c>
      <c r="C28" s="18" t="n">
        <v>40</v>
      </c>
      <c r="D28" s="19" t="n">
        <v>1938</v>
      </c>
      <c r="E28" s="20" t="n">
        <f aca="false">VLOOKUP(B28,Acuan!$A$2:$B$6,2,FALSE())</f>
        <v>38000</v>
      </c>
      <c r="F28" s="20" t="n">
        <f aca="false">D28*E28</f>
        <v>73644000</v>
      </c>
      <c r="G28" s="21" t="n">
        <f aca="false">ROUND(D28/C28,1)</f>
        <v>48.5</v>
      </c>
      <c r="H28" s="22" t="str">
        <f aca="false">IF(G28&gt;=$K$2,"A",IF(G28&gt;=$K$3,"B","C"))</f>
        <v>B</v>
      </c>
    </row>
    <row r="29" customFormat="false" ht="15" hidden="false" customHeight="false" outlineLevel="0" collapsed="false">
      <c r="A29" s="17" t="s">
        <v>114</v>
      </c>
      <c r="B29" s="17" t="s">
        <v>83</v>
      </c>
      <c r="C29" s="18" t="n">
        <v>25</v>
      </c>
      <c r="D29" s="19" t="n">
        <v>1440</v>
      </c>
      <c r="E29" s="20" t="n">
        <f aca="false">VLOOKUP(B29,Acuan!$A$2:$B$6,2,FALSE())</f>
        <v>5000</v>
      </c>
      <c r="F29" s="20" t="n">
        <f aca="false">D29*E29</f>
        <v>7200000</v>
      </c>
      <c r="G29" s="21" t="n">
        <f aca="false">ROUND(D29/C29,1)</f>
        <v>57.6</v>
      </c>
      <c r="H29" s="22" t="str">
        <f aca="false">IF(G29&gt;=$K$2,"A",IF(G29&gt;=$K$3,"B","C"))</f>
        <v>A</v>
      </c>
    </row>
    <row r="30" customFormat="false" ht="15" hidden="false" customHeight="false" outlineLevel="0" collapsed="false">
      <c r="A30" s="17" t="s">
        <v>115</v>
      </c>
      <c r="B30" s="17" t="s">
        <v>91</v>
      </c>
      <c r="C30" s="18" t="n">
        <v>15</v>
      </c>
      <c r="D30" s="19" t="n">
        <v>621</v>
      </c>
      <c r="E30" s="20" t="n">
        <f aca="false">VLOOKUP(B30,Acuan!$A$2:$B$6,2,FALSE())</f>
        <v>14000</v>
      </c>
      <c r="F30" s="20" t="n">
        <f aca="false">D30*E30</f>
        <v>8694000</v>
      </c>
      <c r="G30" s="21" t="n">
        <f aca="false">ROUND(D30/C30,1)</f>
        <v>41.4</v>
      </c>
      <c r="H30" s="22" t="str">
        <f aca="false">IF(G30&gt;=$K$2,"A",IF(G30&gt;=$K$3,"B","C"))</f>
        <v>B</v>
      </c>
    </row>
    <row r="31" customFormat="false" ht="15" hidden="false" customHeight="false" outlineLevel="0" collapsed="false">
      <c r="A31" s="17" t="s">
        <v>116</v>
      </c>
      <c r="B31" s="17" t="s">
        <v>89</v>
      </c>
      <c r="C31" s="18" t="n">
        <v>25</v>
      </c>
      <c r="D31" s="19" t="n">
        <v>1079</v>
      </c>
      <c r="E31" s="20" t="n">
        <f aca="false">VLOOKUP(B31,Acuan!$A$2:$B$6,2,FALSE())</f>
        <v>38000</v>
      </c>
      <c r="F31" s="20" t="n">
        <f aca="false">D31*E31</f>
        <v>41002000</v>
      </c>
      <c r="G31" s="21" t="n">
        <f aca="false">ROUND(D31/C31,1)</f>
        <v>43.2</v>
      </c>
      <c r="H31" s="22" t="str">
        <f aca="false">IF(G31&gt;=$K$2,"A",IF(G31&gt;=$K$3,"B","C"))</f>
        <v>B</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3"/>
    <col collapsed="false" customWidth="true" hidden="false" outlineLevel="0" max="3" min="3" style="0" width="14"/>
    <col collapsed="false" customWidth="true" hidden="false" outlineLevel="0" max="4" min="4" style="0" width="16"/>
    <col collapsed="false" customWidth="true" hidden="false" outlineLevel="0" max="5" min="5" style="0" width="17"/>
  </cols>
  <sheetData>
    <row r="1" customFormat="false" ht="33.75" hidden="false" customHeight="true" outlineLevel="0" collapsed="false">
      <c r="A1" s="11" t="s">
        <v>68</v>
      </c>
      <c r="B1" s="11" t="s">
        <v>71</v>
      </c>
      <c r="C1" s="15" t="s">
        <v>117</v>
      </c>
      <c r="D1" s="15" t="s">
        <v>118</v>
      </c>
      <c r="E1" s="15" t="s">
        <v>119</v>
      </c>
    </row>
    <row r="2" customFormat="false" ht="15" hidden="false" customHeight="false" outlineLevel="0" collapsed="false">
      <c r="A2" s="17" t="s">
        <v>79</v>
      </c>
      <c r="B2" s="25" t="n">
        <v>12000</v>
      </c>
      <c r="C2" s="26" t="n">
        <f aca="false">COUNTIF(Data!$B$2:$B$31,A2)</f>
        <v>5</v>
      </c>
      <c r="D2" s="27" t="n">
        <f aca="false">SUMIF(Data!$B$2:$B$31,A2,Data!$D$2:$D$31)</f>
        <v>4370</v>
      </c>
      <c r="E2" s="20" t="n">
        <f aca="false">SUMIF(Data!$B$2:$B$31,A2,Data!$F$2:$F$31)</f>
        <v>52440000</v>
      </c>
    </row>
    <row r="3" customFormat="false" ht="15" hidden="false" customHeight="false" outlineLevel="0" collapsed="false">
      <c r="A3" s="17" t="s">
        <v>83</v>
      </c>
      <c r="B3" s="25" t="n">
        <v>5000</v>
      </c>
      <c r="C3" s="26" t="n">
        <f aca="false">COUNTIF(Data!$B$2:$B$31,A3)</f>
        <v>6</v>
      </c>
      <c r="D3" s="27" t="n">
        <f aca="false">SUMIF(Data!$B$2:$B$31,A3,Data!$D$2:$D$31)</f>
        <v>7607</v>
      </c>
      <c r="E3" s="20" t="n">
        <f aca="false">SUMIF(Data!$B$2:$B$31,A3,Data!$F$2:$F$31)</f>
        <v>38035000</v>
      </c>
    </row>
    <row r="4" customFormat="false" ht="15" hidden="false" customHeight="false" outlineLevel="0" collapsed="false">
      <c r="A4" s="17" t="s">
        <v>87</v>
      </c>
      <c r="B4" s="25" t="n">
        <v>7500</v>
      </c>
      <c r="C4" s="26" t="n">
        <f aca="false">COUNTIF(Data!$B$2:$B$31,A4)</f>
        <v>6</v>
      </c>
      <c r="D4" s="27" t="n">
        <f aca="false">SUMIF(Data!$B$2:$B$31,A4,Data!$D$2:$D$31)</f>
        <v>7871</v>
      </c>
      <c r="E4" s="20" t="n">
        <f aca="false">SUMIF(Data!$B$2:$B$31,A4,Data!$F$2:$F$31)</f>
        <v>59032500</v>
      </c>
    </row>
    <row r="5" customFormat="false" ht="15" hidden="false" customHeight="false" outlineLevel="0" collapsed="false">
      <c r="A5" s="17" t="s">
        <v>89</v>
      </c>
      <c r="B5" s="25" t="n">
        <v>38000</v>
      </c>
      <c r="C5" s="26" t="n">
        <f aca="false">COUNTIF(Data!$B$2:$B$31,A5)</f>
        <v>7</v>
      </c>
      <c r="D5" s="27" t="n">
        <f aca="false">SUMIF(Data!$B$2:$B$31,A5,Data!$D$2:$D$31)</f>
        <v>7433</v>
      </c>
      <c r="E5" s="20" t="n">
        <f aca="false">SUMIF(Data!$B$2:$B$31,A5,Data!$F$2:$F$31)</f>
        <v>282454000</v>
      </c>
    </row>
    <row r="6" customFormat="false" ht="15" hidden="false" customHeight="false" outlineLevel="0" collapsed="false">
      <c r="A6" s="17" t="s">
        <v>91</v>
      </c>
      <c r="B6" s="25" t="n">
        <v>14000</v>
      </c>
      <c r="C6" s="26" t="n">
        <f aca="false">COUNTIF(Data!$B$2:$B$31,A6)</f>
        <v>6</v>
      </c>
      <c r="D6" s="27" t="n">
        <f aca="false">SUMIF(Data!$B$2:$B$31,A6,Data!$D$2:$D$31)</f>
        <v>3874</v>
      </c>
      <c r="E6" s="20" t="n">
        <f aca="false">SUMIF(Data!$B$2:$B$31,A6,Data!$F$2:$F$31)</f>
        <v>54236000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8" t="s">
        <v>120</v>
      </c>
      <c r="B1" s="28"/>
      <c r="C1" s="28"/>
      <c r="D1" s="28"/>
    </row>
    <row r="2" customFormat="false" ht="15" hidden="false" customHeight="false" outlineLevel="0" collapsed="false">
      <c r="A2" s="29" t="s">
        <v>121</v>
      </c>
      <c r="B2" s="29"/>
      <c r="C2" s="29"/>
      <c r="D2" s="29"/>
    </row>
    <row r="3" customFormat="false" ht="15" hidden="false" customHeight="false" outlineLevel="0" collapsed="false">
      <c r="A3" s="11" t="s">
        <v>19</v>
      </c>
      <c r="B3" s="11" t="s">
        <v>122</v>
      </c>
      <c r="C3" s="11" t="s">
        <v>123</v>
      </c>
      <c r="D3" s="11" t="s">
        <v>124</v>
      </c>
    </row>
    <row r="4" customFormat="false" ht="15" hidden="false" customHeight="false" outlineLevel="0" collapsed="false">
      <c r="A4" s="30" t="s">
        <v>125</v>
      </c>
      <c r="B4" s="31" t="s">
        <v>126</v>
      </c>
      <c r="C4" s="26" t="n">
        <f aca="false">COUNTA(Data!$A$2:$A$31)</f>
        <v>30</v>
      </c>
      <c r="D4" s="32" t="s">
        <v>127</v>
      </c>
    </row>
    <row r="5" customFormat="false" ht="15" hidden="false" customHeight="false" outlineLevel="0" collapsed="false">
      <c r="A5" s="30" t="s">
        <v>128</v>
      </c>
      <c r="B5" s="31" t="s">
        <v>129</v>
      </c>
      <c r="C5" s="27" t="n">
        <f aca="false">SUM(Data!$D$2:$D$31)</f>
        <v>31155</v>
      </c>
      <c r="D5" s="32" t="s">
        <v>130</v>
      </c>
    </row>
    <row r="6" customFormat="false" ht="15" hidden="false" customHeight="false" outlineLevel="0" collapsed="false">
      <c r="A6" s="30" t="s">
        <v>131</v>
      </c>
      <c r="B6" s="31" t="s">
        <v>132</v>
      </c>
      <c r="C6" s="20" t="n">
        <f aca="false">SUM(Data!$F$2:$F$31)</f>
        <v>486197500</v>
      </c>
      <c r="D6" s="32" t="s">
        <v>133</v>
      </c>
    </row>
    <row r="7" customFormat="false" ht="15" hidden="false" customHeight="false" outlineLevel="0" collapsed="false">
      <c r="A7" s="30" t="s">
        <v>134</v>
      </c>
      <c r="B7" s="31" t="s">
        <v>135</v>
      </c>
      <c r="C7" s="26" t="n">
        <f aca="false">COUNTIF(Data!$H$2:$H$31,"A")</f>
        <v>7</v>
      </c>
      <c r="D7" s="32" t="s">
        <v>136</v>
      </c>
    </row>
    <row r="8" customFormat="false" ht="15" hidden="false" customHeight="false" outlineLevel="0" collapsed="false">
      <c r="A8" s="30" t="s">
        <v>137</v>
      </c>
      <c r="B8" s="31" t="s">
        <v>138</v>
      </c>
      <c r="C8" s="26" t="n">
        <f aca="false">COUNTIF(Data!$H$2:$H$31,"B")</f>
        <v>12</v>
      </c>
      <c r="D8" s="32" t="s">
        <v>139</v>
      </c>
    </row>
    <row r="9" customFormat="false" ht="15" hidden="false" customHeight="false" outlineLevel="0" collapsed="false">
      <c r="A9" s="30" t="s">
        <v>140</v>
      </c>
      <c r="B9" s="31" t="s">
        <v>141</v>
      </c>
      <c r="C9" s="26" t="n">
        <f aca="false">COUNTIF(Data!$H$2:$H$31,"C")</f>
        <v>11</v>
      </c>
      <c r="D9" s="32" t="s">
        <v>142</v>
      </c>
    </row>
    <row r="10" customFormat="false" ht="15" hidden="false" customHeight="false" outlineLevel="0" collapsed="false">
      <c r="A10" s="30" t="s">
        <v>143</v>
      </c>
      <c r="B10" s="31" t="s">
        <v>144</v>
      </c>
      <c r="C10" s="22" t="str">
        <f aca="false">INDEX(Data!$A$2:$A$31,MATCH(MAX(Data!$F$2:$F$31),Data!$F$2:$F$31,0))</f>
        <v>Dian Santoso</v>
      </c>
      <c r="D10" s="32" t="s">
        <v>145</v>
      </c>
    </row>
    <row r="11" customFormat="false" ht="15" hidden="false" customHeight="false" outlineLevel="0" collapsed="false">
      <c r="A11" s="30" t="s">
        <v>146</v>
      </c>
      <c r="B11" s="31" t="s">
        <v>147</v>
      </c>
      <c r="C11" s="22" t="str">
        <f aca="false">INDEX(Acuan!$A$2:$A$6,MATCH(MAX(Acuan!$E$2:$E$6),Acuan!$E$2:$E$6,0))</f>
        <v>Cabai Rawit</v>
      </c>
      <c r="D11" s="32" t="s">
        <v>148</v>
      </c>
    </row>
    <row r="12" customFormat="false" ht="15" hidden="false" customHeight="false" outlineLevel="0" collapsed="false">
      <c r="A12" s="30" t="s">
        <v>149</v>
      </c>
      <c r="B12" s="31" t="s">
        <v>150</v>
      </c>
      <c r="C12" s="21" t="n">
        <f aca="false">AVERAGE(Data!$G$2:$G$31)</f>
        <v>40.3466666666667</v>
      </c>
      <c r="D12" s="32" t="s">
        <v>151</v>
      </c>
    </row>
    <row r="13" customFormat="false" ht="15" hidden="false" customHeight="false" outlineLevel="0" collapsed="false">
      <c r="A13" s="30" t="s">
        <v>152</v>
      </c>
      <c r="B13" s="31" t="s">
        <v>153</v>
      </c>
      <c r="C13" s="26" t="n">
        <f aca="false">COUNTIFS(Data!$B$2:$B$31,"Kentang",Data!$H$2:$H$31,"A")</f>
        <v>2</v>
      </c>
      <c r="D13" s="32" t="s">
        <v>154</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2026-10-16T05:23:10Z</dcterms:created>
  <dc:creator>PushExcel</dc:creator>
  <dc:description/>
  <dc:language>en-US</dc:language>
  <cp:lastModifiedBy/>
  <dcterms:modified xsi:type="dcterms:W3CDTF">2026-10-16T05:23:10Z</dcterms:modified>
  <cp:revision>0</cp:revision>
  <dc:subject/>
  <dc:title>Hasil Panen Petani, Pendapatan, dan Grade - Kunci</dc:title>
</cp:coreProperties>
</file>

<file path=docProps/custom.xml><?xml version="1.0" encoding="utf-8"?>
<Properties xmlns="http://schemas.openxmlformats.org/officeDocument/2006/custom-properties" xmlns:vt="http://schemas.openxmlformats.org/officeDocument/2006/docPropsVTypes"/>
</file>