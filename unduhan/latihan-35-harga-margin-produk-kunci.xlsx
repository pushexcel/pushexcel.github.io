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etunjuk" sheetId="1" state="visible" r:id="rId3"/>
    <sheet name="Data" sheetId="2" state="visible" r:id="rId4"/>
    <sheet name="Acuan" sheetId="3" state="visible" r:id="rId5"/>
    <sheet name="Ringkas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<sst xmlns="http://schemas.openxmlformats.org/spreadsheetml/2006/main" count="227" uniqueCount="192">
  <si>
    <t xml:space="preserve">Kunci Jawaban: Daftar Harga Jual dan Margin Produk Toko</t>
  </si>
  <si>
    <t xml:space="preserve">Latihan 35 dari 56  |  Tingkat: Menengah  |  Perkiraan waktu: 50 menit  |  pushexcel.github.io/Pushexcel</t>
  </si>
  <si>
    <t xml:space="preserve">Skenario</t>
  </si>
  <si>
    <t xml:space="preserve">Kamu admin Toko Serba Ada Mandiri yang menyusun daftar harga baru. Harga jual = HPP ditambah margin target, lalu dibulatkan ke atas ke ratusan rupiah terdekat. Produk dikelompokkan berdasarkan harga jual: di bawah Rp 10.000 Murah, Rp 10.000 sampai di bawah Rp 50.000 Sedang, dan Rp 50.000 ke atas Mahal. Rekap kategori ada di sheet Acuan.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</si>
  <si>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</si>
  <si>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</si>
  <si>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</si>
  <si>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</si>
  <si>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</si>
  <si>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</si>
  <si>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</si>
  <si>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</si>
  <si>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</si>
  <si>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</si>
  <si>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</si>
  <si>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</si>
  <si>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</si>
  <si>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</si>
  <si>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</si>
  <si>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</si>
  <si>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</si>
  <si>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</si>
  <si>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</si>
  <si>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</si>
  <si>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Hitung harga jual: HPP dikali (1 + margin target), dibulatkan ke atas ke ratusan rupiah.</t>
  </si>
  <si>
    <t xml:space="preserve">Sheet Data, kolom G (Harga Jual), baris 2 sampai 33</t>
  </si>
  <si>
    <t xml:space="preserve">=ROUNDUP(D2*(1+E2);-2)</t>
  </si>
  <si>
    <t xml:space="preserve">2</t>
  </si>
  <si>
    <t xml:space="preserve">Hitung laba per unit: harga jual dikurangi HPP.</t>
  </si>
  <si>
    <t xml:space="preserve">Sheet Data, kolom H (Laba per Unit), baris 2 sampai 33</t>
  </si>
  <si>
    <t xml:space="preserve">=G2-D2</t>
  </si>
  <si>
    <t xml:space="preserve">3</t>
  </si>
  <si>
    <t xml:space="preserve">Hitung margin aktual: laba per unit dibagi HPP. Hasilnya bisa sedikit di atas margin target karena pembulatan.</t>
  </si>
  <si>
    <t xml:space="preserve">Sheet Data, kolom I (Margin Aktual), baris 2 sampai 33</t>
  </si>
  <si>
    <t xml:space="preserve">=H2/D2</t>
  </si>
  <si>
    <t xml:space="preserve">4</t>
  </si>
  <si>
    <t xml:space="preserve">Hitung nilai stok pada harga pokok: HPP dikali stok.</t>
  </si>
  <si>
    <t xml:space="preserve">Sheet Data, kolom J (Nilai Stok), baris 2 sampai 33</t>
  </si>
  <si>
    <t xml:space="preserve">=D2*F2</t>
  </si>
  <si>
    <t xml:space="preserve">5</t>
  </si>
  <si>
    <t xml:space="preserve">Tentukan kelompok harga berdasarkan harga jual: batas mahal ke atas Mahal, batas sedang ke atas Sedang, selain itu Murah.</t>
  </si>
  <si>
    <t xml:space="preserve">Sheet Data, kolom K (Kelompok Harga), baris 2 sampai 33</t>
  </si>
  <si>
    <t xml:space="preserve">=IF(G2&gt;=$N$3;"Mahal";IF(G2&gt;=$N$2;"Sedang";"Murah"))</t>
  </si>
  <si>
    <t xml:space="preserve">6</t>
  </si>
  <si>
    <t xml:space="preserve">Pada sheet Acuan, hitung jumlah produk tiap kategori.</t>
  </si>
  <si>
    <t xml:space="preserve">Sheet Acuan, kolom B (Jumlah Produk), baris 2 sampai 6</t>
  </si>
  <si>
    <t xml:space="preserve">=COUNTIF(Data!$C$2:$C$33;A2)</t>
  </si>
  <si>
    <t xml:space="preserve">7</t>
  </si>
  <si>
    <t xml:space="preserve">Pada sheet Acuan, hitung total nilai stok tiap kategori.</t>
  </si>
  <si>
    <t xml:space="preserve">Sheet Acuan, kolom C (Total Nilai Stok), baris 2 sampai 6</t>
  </si>
  <si>
    <t xml:space="preserve">=SUMIF(Data!$C$2:$C$33;A2;Data!$J$2:$J$33)</t>
  </si>
  <si>
    <t xml:space="preserve">8</t>
  </si>
  <si>
    <t xml:space="preserve">Pada sheet Acuan, hitung rata-rata margin aktual tiap kategori.</t>
  </si>
  <si>
    <t xml:space="preserve">Sheet Acuan, kolom D (Rata-rata Margin), baris 2 sampai 6</t>
  </si>
  <si>
    <t xml:space="preserve">=AVERAGEIF(Data!$C$2:$C$33;A2;Data!$I$2:$I$33)</t>
  </si>
  <si>
    <t xml:space="preserve">9</t>
  </si>
  <si>
    <t xml:space="preserve">Berapa total nilai stok seluruh produk, dan berapa total laba bila seluruh stok terjual (laba per unit dikali stok)?</t>
  </si>
  <si>
    <t xml:space="preserve">Sheet Ringkasan, sel C4 sampai C5</t>
  </si>
  <si>
    <t xml:space="preserve">=SUM(Data!$J$2:$J$33)
=SUMPRODUCT(Data!$H$2:$H$33;Data!$F$2:$F$33)</t>
  </si>
  <si>
    <t xml:space="preserve">10</t>
  </si>
  <si>
    <t xml:space="preserve">Berapa produk yang berkelompok Murah, Sedang, dan Mahal?</t>
  </si>
  <si>
    <t xml:space="preserve">Sheet Ringkasan, sel C6 sampai C8</t>
  </si>
  <si>
    <t xml:space="preserve">=COUNTIF(Data!$K$2:$K$33;"Murah")
=COUNTIF(Data!$K$2:$K$33;"Sedang")
=COUNTIF(Data!$K$2:$K$33;"Mahal")</t>
  </si>
  <si>
    <t xml:space="preserve">11</t>
  </si>
  <si>
    <t xml:space="preserve">Produk apa yang laba per unitnya paling besar, dan produk apa yang margin aktualnya paling kecil?</t>
  </si>
  <si>
    <t xml:space="preserve">Sheet Ringkasan, sel C9 sampai C10</t>
  </si>
  <si>
    <t xml:space="preserve">=INDEX(Data!$B$2:$B$33;MATCH(MAX(Data!$H$2:$H$33);Data!$H$2:$H$33;0))
=INDEX(Data!$B$2:$B$33;MATCH(MIN(Data!$I$2:$I$33);Data!$I$2:$I$33;0))</t>
  </si>
  <si>
    <t xml:space="preserve">12</t>
  </si>
  <si>
    <t xml:space="preserve">Kategori mana yang nilai stoknya terbesar, dan berapa produk yang stoknya kurang dari 15 unit?</t>
  </si>
  <si>
    <t xml:space="preserve">Sheet Ringkasan, sel C11 sampai C12</t>
  </si>
  <si>
    <t xml:space="preserve">=INDEX(Acuan!$A$2:$A$6;MATCH(MAX(Acuan!$C$2:$C$6);Acuan!$C$2:$C$6;0))
=COUNTIF(Data!$F$2:$F$33;"&lt;15")</t>
  </si>
  <si>
    <t xml:space="preserve">Kode</t>
  </si>
  <si>
    <t xml:space="preserve">Nama Produk</t>
  </si>
  <si>
    <t xml:space="preserve">Kategori</t>
  </si>
  <si>
    <t xml:space="preserve">HPP</t>
  </si>
  <si>
    <t xml:space="preserve">Margin Target</t>
  </si>
  <si>
    <t xml:space="preserve">Stok</t>
  </si>
  <si>
    <t xml:space="preserve">Harga Jual</t>
  </si>
  <si>
    <t xml:space="preserve">Laba per Unit</t>
  </si>
  <si>
    <t xml:space="preserve">Margin Aktual</t>
  </si>
  <si>
    <t xml:space="preserve">Nilai Stok</t>
  </si>
  <si>
    <t xml:space="preserve">Kelompok Harga</t>
  </si>
  <si>
    <t xml:space="preserve">Parameter</t>
  </si>
  <si>
    <t xml:space="preserve">Nilai</t>
  </si>
  <si>
    <t xml:space="preserve">Keterangan</t>
  </si>
  <si>
    <t xml:space="preserve">PRD-001</t>
  </si>
  <si>
    <t xml:space="preserve">Mi Instan Goreng</t>
  </si>
  <si>
    <t xml:space="preserve">Makanan</t>
  </si>
  <si>
    <t xml:space="preserve">Batas harga sedang</t>
  </si>
  <si>
    <t xml:space="preserve">Harga jual sama dengan atau di atas ini = Sedang</t>
  </si>
  <si>
    <t xml:space="preserve">PRD-002</t>
  </si>
  <si>
    <t xml:space="preserve">Biskuit Kelapa 300 g</t>
  </si>
  <si>
    <t xml:space="preserve">Batas harga mahal</t>
  </si>
  <si>
    <t xml:space="preserve">Harga jual sama dengan atau di atas ini = Mahal</t>
  </si>
  <si>
    <t xml:space="preserve">PRD-003</t>
  </si>
  <si>
    <t xml:space="preserve">Keripik Singkong 250 g</t>
  </si>
  <si>
    <t xml:space="preserve">PRD-004</t>
  </si>
  <si>
    <t xml:space="preserve">Roti Tawar</t>
  </si>
  <si>
    <t xml:space="preserve">PRD-005</t>
  </si>
  <si>
    <t xml:space="preserve">Beras Pandan 5 kg</t>
  </si>
  <si>
    <t xml:space="preserve">PRD-006</t>
  </si>
  <si>
    <t xml:space="preserve">Minyak Goreng 1 L</t>
  </si>
  <si>
    <t xml:space="preserve">PRD-007</t>
  </si>
  <si>
    <t xml:space="preserve">Gula Pasir 1 kg</t>
  </si>
  <si>
    <t xml:space="preserve">PRD-008</t>
  </si>
  <si>
    <t xml:space="preserve">Telur Ayam 1 kg</t>
  </si>
  <si>
    <t xml:space="preserve">PRD-009</t>
  </si>
  <si>
    <t xml:space="preserve">Air Mineral 600 ml</t>
  </si>
  <si>
    <t xml:space="preserve">Minuman</t>
  </si>
  <si>
    <t xml:space="preserve">PRD-010</t>
  </si>
  <si>
    <t xml:space="preserve">Teh Botol 350 ml</t>
  </si>
  <si>
    <t xml:space="preserve">PRD-011</t>
  </si>
  <si>
    <t xml:space="preserve">Kopi Sachet 10 pcs</t>
  </si>
  <si>
    <t xml:space="preserve">PRD-012</t>
  </si>
  <si>
    <t xml:space="preserve">Susu UHT 1 L</t>
  </si>
  <si>
    <t xml:space="preserve">PRD-013</t>
  </si>
  <si>
    <t xml:space="preserve">Jus Jambu 250 ml</t>
  </si>
  <si>
    <t xml:space="preserve">PRD-014</t>
  </si>
  <si>
    <t xml:space="preserve">Sirup Markisa 450 ml</t>
  </si>
  <si>
    <t xml:space="preserve">PRD-015</t>
  </si>
  <si>
    <t xml:space="preserve">Minuman Isotonik</t>
  </si>
  <si>
    <t xml:space="preserve">PRD-016</t>
  </si>
  <si>
    <t xml:space="preserve">Sabun Cuci Piring 800 ml</t>
  </si>
  <si>
    <t xml:space="preserve">Rumah Tangga</t>
  </si>
  <si>
    <t xml:space="preserve">PRD-017</t>
  </si>
  <si>
    <t xml:space="preserve">Deterjen Bubuk 1 kg</t>
  </si>
  <si>
    <t xml:space="preserve">PRD-018</t>
  </si>
  <si>
    <t xml:space="preserve">Pewangi Pakaian 900 ml</t>
  </si>
  <si>
    <t xml:space="preserve">PRD-019</t>
  </si>
  <si>
    <t xml:space="preserve">Tisu Gulung 4 roll</t>
  </si>
  <si>
    <t xml:space="preserve">PRD-020</t>
  </si>
  <si>
    <t xml:space="preserve">Sapu Lantai</t>
  </si>
  <si>
    <t xml:space="preserve">PRD-021</t>
  </si>
  <si>
    <t xml:space="preserve">Ember 12 L</t>
  </si>
  <si>
    <t xml:space="preserve">PRD-022</t>
  </si>
  <si>
    <t xml:space="preserve">Kantong Sampah 20 pcs</t>
  </si>
  <si>
    <t xml:space="preserve">PRD-023</t>
  </si>
  <si>
    <t xml:space="preserve">Pulpen Biru isi 12</t>
  </si>
  <si>
    <t xml:space="preserve">ATK</t>
  </si>
  <si>
    <t xml:space="preserve">PRD-024</t>
  </si>
  <si>
    <t xml:space="preserve">Buku Tulis 38 lembar</t>
  </si>
  <si>
    <t xml:space="preserve">PRD-025</t>
  </si>
  <si>
    <t xml:space="preserve">Kertas HVS A4 Rim</t>
  </si>
  <si>
    <t xml:space="preserve">PRD-026</t>
  </si>
  <si>
    <t xml:space="preserve">Spidol Papan Tulis</t>
  </si>
  <si>
    <t xml:space="preserve">PRD-027</t>
  </si>
  <si>
    <t xml:space="preserve">Map Plastik</t>
  </si>
  <si>
    <t xml:space="preserve">PRD-028</t>
  </si>
  <si>
    <t xml:space="preserve">Lampu LED 12 W</t>
  </si>
  <si>
    <t xml:space="preserve">Elektronik</t>
  </si>
  <si>
    <t xml:space="preserve">PRD-029</t>
  </si>
  <si>
    <t xml:space="preserve">Kabel Roll 5 m</t>
  </si>
  <si>
    <t xml:space="preserve">PRD-030</t>
  </si>
  <si>
    <t xml:space="preserve">Baterai AA isi 4</t>
  </si>
  <si>
    <t xml:space="preserve">PRD-031</t>
  </si>
  <si>
    <t xml:space="preserve">Colokan T Bercabang</t>
  </si>
  <si>
    <t xml:space="preserve">PRD-032</t>
  </si>
  <si>
    <t xml:space="preserve">Senter Isi Ulang</t>
  </si>
  <si>
    <t xml:space="preserve">Jumlah Produk</t>
  </si>
  <si>
    <t xml:space="preserve">Total Nilai Stok</t>
  </si>
  <si>
    <t xml:space="preserve">Rata-rata Margin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</si>
  <si>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</si>
  <si>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</si>
  <si>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</si>
  <si>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</si>
  <si>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</si>
  <si>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9a</t>
  </si>
  <si>
    <t xml:space="preserve">Total nilai stok seluruh produk</t>
  </si>
  <si>
    <t xml:space="preserve">Rupiah, mis. Rp 20.000.000</t>
  </si>
  <si>
    <t xml:space="preserve">9b</t>
  </si>
  <si>
    <t xml:space="preserve">Total laba bila seluruh stok terjual</t>
  </si>
  <si>
    <t xml:space="preserve">Rupiah, mis. Rp 5.000.000</t>
  </si>
  <si>
    <t xml:space="preserve">10a</t>
  </si>
  <si>
    <t xml:space="preserve">Jumlah produk Murah</t>
  </si>
  <si>
    <t xml:space="preserve">Angka bulat, mis. 7</t>
  </si>
  <si>
    <t xml:space="preserve">10b</t>
  </si>
  <si>
    <t xml:space="preserve">Jumlah produk Sedang</t>
  </si>
  <si>
    <t xml:space="preserve">Angka bulat, mis. 14</t>
  </si>
  <si>
    <t xml:space="preserve">10c</t>
  </si>
  <si>
    <t xml:space="preserve">Jumlah produk Mahal</t>
  </si>
  <si>
    <t xml:space="preserve">Angka bulat, mis. 6</t>
  </si>
  <si>
    <t xml:space="preserve">11a</t>
  </si>
  <si>
    <t xml:space="preserve">Produk dengan laba per unit terbesar</t>
  </si>
  <si>
    <t xml:space="preserve">Teks: nama produk</t>
  </si>
  <si>
    <t xml:space="preserve">11b</t>
  </si>
  <si>
    <t xml:space="preserve">Produk dengan margin aktual terkecil</t>
  </si>
  <si>
    <t xml:space="preserve">12a</t>
  </si>
  <si>
    <t xml:space="preserve">Kategori dengan nilai stok terbesar</t>
  </si>
  <si>
    <t xml:space="preserve">Teks: nama kategori</t>
  </si>
  <si>
    <t xml:space="preserve">12b</t>
  </si>
  <si>
    <t xml:space="preserve">Jumlah produk dengan stok kurang dari 15 unit</t>
  </si>
  <si>
    <t xml:space="preserve">Angka bulat, mis. 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</si>
</sst>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p &quot;#,##0"/>
    <numFmt numFmtId="166" formatCode="0%"/>
    <numFmt numFmtId="167" formatCode="0"/>
    <numFmt numFmtId="168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1F4E3D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3D"/>
        <bgColor rgb="FF44546A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44546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44546A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7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1" t="s">
        <v>19</v>
      </c>
      <c r="B20" s="11" t="s">
        <v>20</v>
      </c>
      <c r="C20" s="11" t="s">
        <v>21</v>
      </c>
      <c r="D20" s="11" t="s">
        <v>22</v>
      </c>
    </row>
    <row r="21" customFormat="false" ht="30" hidden="false" customHeight="true" outlineLevel="0" collapsed="false">
      <c r="A21" s="12" t="s">
        <v>23</v>
      </c>
      <c r="B21" s="13" t="s">
        <v>24</v>
      </c>
      <c r="C21" s="13" t="s">
        <v>25</v>
      </c>
      <c r="D21" s="14" t="s">
        <v>26</v>
      </c>
    </row>
    <row r="22" customFormat="false" ht="30" hidden="false" customHeight="true" outlineLevel="0" collapsed="false">
      <c r="A22" s="12" t="s">
        <v>27</v>
      </c>
      <c r="B22" s="13" t="s">
        <v>28</v>
      </c>
      <c r="C22" s="13" t="s">
        <v>29</v>
      </c>
      <c r="D22" s="14" t="s">
        <v>30</v>
      </c>
    </row>
    <row r="23" customFormat="false" ht="30" hidden="false" customHeight="true" outlineLevel="0" collapsed="false">
      <c r="A23" s="12" t="s">
        <v>31</v>
      </c>
      <c r="B23" s="13" t="s">
        <v>32</v>
      </c>
      <c r="C23" s="13" t="s">
        <v>33</v>
      </c>
      <c r="D23" s="14" t="s">
        <v>34</v>
      </c>
    </row>
    <row r="24" customFormat="false" ht="30" hidden="false" customHeight="true" outlineLevel="0" collapsed="false">
      <c r="A24" s="12" t="s">
        <v>35</v>
      </c>
      <c r="B24" s="13" t="s">
        <v>36</v>
      </c>
      <c r="C24" s="13" t="s">
        <v>37</v>
      </c>
      <c r="D24" s="14" t="s">
        <v>38</v>
      </c>
    </row>
    <row r="25" customFormat="false" ht="42" hidden="false" customHeight="true" outlineLevel="0" collapsed="false">
      <c r="A25" s="12" t="s">
        <v>39</v>
      </c>
      <c r="B25" s="13" t="s">
        <v>40</v>
      </c>
      <c r="C25" s="13" t="s">
        <v>41</v>
      </c>
      <c r="D25" s="14" t="s">
        <v>42</v>
      </c>
    </row>
    <row r="26" customFormat="false" ht="30" hidden="false" customHeight="true" outlineLevel="0" collapsed="false">
      <c r="A26" s="12" t="s">
        <v>43</v>
      </c>
      <c r="B26" s="13" t="s">
        <v>44</v>
      </c>
      <c r="C26" s="13" t="s">
        <v>45</v>
      </c>
      <c r="D26" s="14" t="s">
        <v>46</v>
      </c>
    </row>
    <row r="27" customFormat="false" ht="30" hidden="false" customHeight="true" outlineLevel="0" collapsed="false">
      <c r="A27" s="12" t="s">
        <v>47</v>
      </c>
      <c r="B27" s="13" t="s">
        <v>48</v>
      </c>
      <c r="C27" s="13" t="s">
        <v>49</v>
      </c>
      <c r="D27" s="14" t="s">
        <v>50</v>
      </c>
    </row>
    <row r="28" customFormat="false" ht="30" hidden="false" customHeight="true" outlineLevel="0" collapsed="false">
      <c r="A28" s="12" t="s">
        <v>51</v>
      </c>
      <c r="B28" s="13" t="s">
        <v>52</v>
      </c>
      <c r="C28" s="13" t="s">
        <v>53</v>
      </c>
      <c r="D28" s="14" t="s">
        <v>54</v>
      </c>
    </row>
    <row r="29" customFormat="false" ht="43.5" hidden="false" customHeight="true" outlineLevel="0" collapsed="false">
      <c r="A29" s="12" t="s">
        <v>55</v>
      </c>
      <c r="B29" s="13" t="s">
        <v>56</v>
      </c>
      <c r="C29" s="13" t="s">
        <v>57</v>
      </c>
      <c r="D29" s="14" t="s">
        <v>58</v>
      </c>
    </row>
    <row r="30" customFormat="false" ht="57.75" hidden="false" customHeight="true" outlineLevel="0" collapsed="false">
      <c r="A30" s="12" t="s">
        <v>59</v>
      </c>
      <c r="B30" s="13" t="s">
        <v>60</v>
      </c>
      <c r="C30" s="13" t="s">
        <v>61</v>
      </c>
      <c r="D30" s="14" t="s">
        <v>62</v>
      </c>
    </row>
    <row r="31" customFormat="false" ht="55.5" hidden="false" customHeight="true" outlineLevel="0" collapsed="false">
      <c r="A31" s="12" t="s">
        <v>63</v>
      </c>
      <c r="B31" s="13" t="s">
        <v>64</v>
      </c>
      <c r="C31" s="13" t="s">
        <v>65</v>
      </c>
      <c r="D31" s="14" t="s">
        <v>66</v>
      </c>
    </row>
    <row r="32" customFormat="false" ht="43.5" hidden="false" customHeight="true" outlineLevel="0" collapsed="false">
      <c r="A32" s="12" t="s">
        <v>67</v>
      </c>
      <c r="B32" s="13" t="s">
        <v>68</v>
      </c>
      <c r="C32" s="13" t="s">
        <v>69</v>
      </c>
      <c r="D32" s="14" t="s">
        <v>70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8" min="7" style="0" width="13"/>
    <col collapsed="false" customWidth="true" hidden="false" outlineLevel="0" max="9" min="9" style="0" width="12"/>
    <col collapsed="false" customWidth="true" hidden="false" outlineLevel="0" max="11" min="10" style="0" width="14"/>
    <col collapsed="false" customWidth="true" hidden="false" outlineLevel="0" max="12" min="12" style="0" width="3"/>
    <col collapsed="false" customWidth="true" hidden="false" outlineLevel="0" max="13" min="13" style="0" width="30"/>
    <col collapsed="false" customWidth="true" hidden="false" outlineLevel="0" max="14" min="14" style="0" width="16"/>
    <col collapsed="false" customWidth="true" hidden="false" outlineLevel="0" max="15" min="15" style="0" width="42"/>
  </cols>
  <sheetData>
    <row r="1" customFormat="false" ht="33.75" hidden="false" customHeight="true" outlineLevel="0" collapsed="false">
      <c r="A1" s="11" t="s">
        <v>71</v>
      </c>
      <c r="B1" s="11" t="s">
        <v>72</v>
      </c>
      <c r="C1" s="11" t="s">
        <v>73</v>
      </c>
      <c r="D1" s="11" t="s">
        <v>74</v>
      </c>
      <c r="E1" s="11" t="s">
        <v>75</v>
      </c>
      <c r="F1" s="11" t="s">
        <v>76</v>
      </c>
      <c r="G1" s="15" t="s">
        <v>77</v>
      </c>
      <c r="H1" s="15" t="s">
        <v>78</v>
      </c>
      <c r="I1" s="15" t="s">
        <v>79</v>
      </c>
      <c r="J1" s="15" t="s">
        <v>80</v>
      </c>
      <c r="K1" s="15" t="s">
        <v>81</v>
      </c>
      <c r="M1" s="16" t="s">
        <v>82</v>
      </c>
      <c r="N1" s="16" t="s">
        <v>83</v>
      </c>
      <c r="O1" s="16" t="s">
        <v>84</v>
      </c>
    </row>
    <row r="2" customFormat="false" ht="15" hidden="false" customHeight="false" outlineLevel="0" collapsed="false">
      <c r="A2" s="17" t="s">
        <v>85</v>
      </c>
      <c r="B2" s="17" t="s">
        <v>86</v>
      </c>
      <c r="C2" s="17" t="s">
        <v>87</v>
      </c>
      <c r="D2" s="18" t="n">
        <v>2600</v>
      </c>
      <c r="E2" s="19" t="n">
        <v>0.3</v>
      </c>
      <c r="F2" s="20" t="n">
        <v>78</v>
      </c>
      <c r="G2" s="21" t="n">
        <f aca="false">ROUNDUP(D2*(1+E2),-2)</f>
        <v>3400</v>
      </c>
      <c r="H2" s="21" t="n">
        <f aca="false">G2-D2</f>
        <v>800</v>
      </c>
      <c r="I2" s="22" t="n">
        <f aca="false">H2/D2</f>
        <v>0.307692307692308</v>
      </c>
      <c r="J2" s="21" t="n">
        <f aca="false">D2*F2</f>
        <v>202800</v>
      </c>
      <c r="K2" s="23" t="str">
        <f aca="false">IF(G2&gt;=$N$3,"Mahal",IF(G2&gt;=$N$2,"Sedang","Murah"))</f>
        <v>Murah</v>
      </c>
      <c r="M2" s="24" t="s">
        <v>88</v>
      </c>
      <c r="N2" s="25" t="n">
        <v>10000</v>
      </c>
      <c r="O2" s="24" t="s">
        <v>89</v>
      </c>
    </row>
    <row r="3" customFormat="false" ht="15" hidden="false" customHeight="false" outlineLevel="0" collapsed="false">
      <c r="A3" s="17" t="s">
        <v>90</v>
      </c>
      <c r="B3" s="17" t="s">
        <v>91</v>
      </c>
      <c r="C3" s="17" t="s">
        <v>87</v>
      </c>
      <c r="D3" s="18" t="n">
        <v>9600</v>
      </c>
      <c r="E3" s="19" t="n">
        <v>0.15</v>
      </c>
      <c r="F3" s="20" t="n">
        <v>68</v>
      </c>
      <c r="G3" s="21" t="n">
        <f aca="false">ROUNDUP(D3*(1+E3),-2)</f>
        <v>11100</v>
      </c>
      <c r="H3" s="21" t="n">
        <f aca="false">G3-D3</f>
        <v>1500</v>
      </c>
      <c r="I3" s="22" t="n">
        <f aca="false">H3/D3</f>
        <v>0.15625</v>
      </c>
      <c r="J3" s="21" t="n">
        <f aca="false">D3*F3</f>
        <v>652800</v>
      </c>
      <c r="K3" s="23" t="str">
        <f aca="false">IF(G3&gt;=$N$3,"Mahal",IF(G3&gt;=$N$2,"Sedang","Murah"))</f>
        <v>Sedang</v>
      </c>
      <c r="M3" s="24" t="s">
        <v>92</v>
      </c>
      <c r="N3" s="25" t="n">
        <v>50000</v>
      </c>
      <c r="O3" s="24" t="s">
        <v>93</v>
      </c>
    </row>
    <row r="4" customFormat="false" ht="15" hidden="false" customHeight="false" outlineLevel="0" collapsed="false">
      <c r="A4" s="17" t="s">
        <v>94</v>
      </c>
      <c r="B4" s="17" t="s">
        <v>95</v>
      </c>
      <c r="C4" s="17" t="s">
        <v>87</v>
      </c>
      <c r="D4" s="18" t="n">
        <v>8450</v>
      </c>
      <c r="E4" s="19" t="n">
        <v>0.15</v>
      </c>
      <c r="F4" s="20" t="n">
        <v>58</v>
      </c>
      <c r="G4" s="21" t="n">
        <f aca="false">ROUNDUP(D4*(1+E4),-2)</f>
        <v>9800</v>
      </c>
      <c r="H4" s="21" t="n">
        <f aca="false">G4-D4</f>
        <v>1350</v>
      </c>
      <c r="I4" s="22" t="n">
        <f aca="false">H4/D4</f>
        <v>0.159763313609467</v>
      </c>
      <c r="J4" s="21" t="n">
        <f aca="false">D4*F4</f>
        <v>490100</v>
      </c>
      <c r="K4" s="23" t="str">
        <f aca="false">IF(G4&gt;=$N$3,"Mahal",IF(G4&gt;=$N$2,"Sedang","Murah"))</f>
        <v>Murah</v>
      </c>
    </row>
    <row r="5" customFormat="false" ht="15" hidden="false" customHeight="false" outlineLevel="0" collapsed="false">
      <c r="A5" s="17" t="s">
        <v>96</v>
      </c>
      <c r="B5" s="17" t="s">
        <v>97</v>
      </c>
      <c r="C5" s="17" t="s">
        <v>87</v>
      </c>
      <c r="D5" s="18" t="n">
        <v>11700</v>
      </c>
      <c r="E5" s="19" t="n">
        <v>0.2</v>
      </c>
      <c r="F5" s="20" t="n">
        <v>37</v>
      </c>
      <c r="G5" s="21" t="n">
        <f aca="false">ROUNDUP(D5*(1+E5),-2)</f>
        <v>14100</v>
      </c>
      <c r="H5" s="21" t="n">
        <f aca="false">G5-D5</f>
        <v>2400</v>
      </c>
      <c r="I5" s="22" t="n">
        <f aca="false">H5/D5</f>
        <v>0.205128205128205</v>
      </c>
      <c r="J5" s="21" t="n">
        <f aca="false">D5*F5</f>
        <v>432900</v>
      </c>
      <c r="K5" s="23" t="str">
        <f aca="false">IF(G5&gt;=$N$3,"Mahal",IF(G5&gt;=$N$2,"Sedang","Murah"))</f>
        <v>Sedang</v>
      </c>
    </row>
    <row r="6" customFormat="false" ht="15" hidden="false" customHeight="false" outlineLevel="0" collapsed="false">
      <c r="A6" s="17" t="s">
        <v>98</v>
      </c>
      <c r="B6" s="17" t="s">
        <v>99</v>
      </c>
      <c r="C6" s="17" t="s">
        <v>87</v>
      </c>
      <c r="D6" s="18" t="n">
        <v>61300</v>
      </c>
      <c r="E6" s="19" t="n">
        <v>0.15</v>
      </c>
      <c r="F6" s="20" t="n">
        <v>38</v>
      </c>
      <c r="G6" s="21" t="n">
        <f aca="false">ROUNDUP(D6*(1+E6),-2)</f>
        <v>70500</v>
      </c>
      <c r="H6" s="21" t="n">
        <f aca="false">G6-D6</f>
        <v>9200</v>
      </c>
      <c r="I6" s="22" t="n">
        <f aca="false">H6/D6</f>
        <v>0.150081566068516</v>
      </c>
      <c r="J6" s="21" t="n">
        <f aca="false">D6*F6</f>
        <v>2329400</v>
      </c>
      <c r="K6" s="23" t="str">
        <f aca="false">IF(G6&gt;=$N$3,"Mahal",IF(G6&gt;=$N$2,"Sedang","Murah"))</f>
        <v>Mahal</v>
      </c>
    </row>
    <row r="7" customFormat="false" ht="15" hidden="false" customHeight="false" outlineLevel="0" collapsed="false">
      <c r="A7" s="17" t="s">
        <v>100</v>
      </c>
      <c r="B7" s="17" t="s">
        <v>101</v>
      </c>
      <c r="C7" s="17" t="s">
        <v>87</v>
      </c>
      <c r="D7" s="18" t="n">
        <v>16400</v>
      </c>
      <c r="E7" s="19" t="n">
        <v>0.25</v>
      </c>
      <c r="F7" s="20" t="n">
        <v>48</v>
      </c>
      <c r="G7" s="21" t="n">
        <f aca="false">ROUNDUP(D7*(1+E7),-2)</f>
        <v>20500</v>
      </c>
      <c r="H7" s="21" t="n">
        <f aca="false">G7-D7</f>
        <v>4100</v>
      </c>
      <c r="I7" s="22" t="n">
        <f aca="false">H7/D7</f>
        <v>0.25</v>
      </c>
      <c r="J7" s="21" t="n">
        <f aca="false">D7*F7</f>
        <v>787200</v>
      </c>
      <c r="K7" s="23" t="str">
        <f aca="false">IF(G7&gt;=$N$3,"Mahal",IF(G7&gt;=$N$2,"Sedang","Murah"))</f>
        <v>Sedang</v>
      </c>
    </row>
    <row r="8" customFormat="false" ht="15" hidden="false" customHeight="false" outlineLevel="0" collapsed="false">
      <c r="A8" s="17" t="s">
        <v>102</v>
      </c>
      <c r="B8" s="17" t="s">
        <v>103</v>
      </c>
      <c r="C8" s="17" t="s">
        <v>87</v>
      </c>
      <c r="D8" s="18" t="n">
        <v>15300</v>
      </c>
      <c r="E8" s="19" t="n">
        <v>0.35</v>
      </c>
      <c r="F8" s="20" t="n">
        <v>45</v>
      </c>
      <c r="G8" s="21" t="n">
        <f aca="false">ROUNDUP(D8*(1+E8),-2)</f>
        <v>20700</v>
      </c>
      <c r="H8" s="21" t="n">
        <f aca="false">G8-D8</f>
        <v>5400</v>
      </c>
      <c r="I8" s="22" t="n">
        <f aca="false">H8/D8</f>
        <v>0.352941176470588</v>
      </c>
      <c r="J8" s="21" t="n">
        <f aca="false">D8*F8</f>
        <v>688500</v>
      </c>
      <c r="K8" s="23" t="str">
        <f aca="false">IF(G8&gt;=$N$3,"Mahal",IF(G8&gt;=$N$2,"Sedang","Murah"))</f>
        <v>Sedang</v>
      </c>
    </row>
    <row r="9" customFormat="false" ht="15" hidden="false" customHeight="false" outlineLevel="0" collapsed="false">
      <c r="A9" s="17" t="s">
        <v>104</v>
      </c>
      <c r="B9" s="17" t="s">
        <v>105</v>
      </c>
      <c r="C9" s="17" t="s">
        <v>87</v>
      </c>
      <c r="D9" s="18" t="n">
        <v>27700</v>
      </c>
      <c r="E9" s="19" t="n">
        <v>0.3</v>
      </c>
      <c r="F9" s="20" t="n">
        <v>10</v>
      </c>
      <c r="G9" s="21" t="n">
        <f aca="false">ROUNDUP(D9*(1+E9),-2)</f>
        <v>36100</v>
      </c>
      <c r="H9" s="21" t="n">
        <f aca="false">G9-D9</f>
        <v>8400</v>
      </c>
      <c r="I9" s="22" t="n">
        <f aca="false">H9/D9</f>
        <v>0.303249097472924</v>
      </c>
      <c r="J9" s="21" t="n">
        <f aca="false">D9*F9</f>
        <v>277000</v>
      </c>
      <c r="K9" s="23" t="str">
        <f aca="false">IF(G9&gt;=$N$3,"Mahal",IF(G9&gt;=$N$2,"Sedang","Murah"))</f>
        <v>Sedang</v>
      </c>
    </row>
    <row r="10" customFormat="false" ht="15" hidden="false" customHeight="false" outlineLevel="0" collapsed="false">
      <c r="A10" s="17" t="s">
        <v>106</v>
      </c>
      <c r="B10" s="17" t="s">
        <v>107</v>
      </c>
      <c r="C10" s="17" t="s">
        <v>108</v>
      </c>
      <c r="D10" s="18" t="n">
        <v>2100</v>
      </c>
      <c r="E10" s="19" t="n">
        <v>0.25</v>
      </c>
      <c r="F10" s="20" t="n">
        <v>14</v>
      </c>
      <c r="G10" s="21" t="n">
        <f aca="false">ROUNDUP(D10*(1+E10),-2)</f>
        <v>2700</v>
      </c>
      <c r="H10" s="21" t="n">
        <f aca="false">G10-D10</f>
        <v>600</v>
      </c>
      <c r="I10" s="22" t="n">
        <f aca="false">H10/D10</f>
        <v>0.285714285714286</v>
      </c>
      <c r="J10" s="21" t="n">
        <f aca="false">D10*F10</f>
        <v>29400</v>
      </c>
      <c r="K10" s="23" t="str">
        <f aca="false">IF(G10&gt;=$N$3,"Mahal",IF(G10&gt;=$N$2,"Sedang","Murah"))</f>
        <v>Murah</v>
      </c>
    </row>
    <row r="11" customFormat="false" ht="15" hidden="false" customHeight="false" outlineLevel="0" collapsed="false">
      <c r="A11" s="17" t="s">
        <v>109</v>
      </c>
      <c r="B11" s="17" t="s">
        <v>110</v>
      </c>
      <c r="C11" s="17" t="s">
        <v>108</v>
      </c>
      <c r="D11" s="18" t="n">
        <v>4050</v>
      </c>
      <c r="E11" s="19" t="n">
        <v>0.35</v>
      </c>
      <c r="F11" s="20" t="n">
        <v>77</v>
      </c>
      <c r="G11" s="21" t="n">
        <f aca="false">ROUNDUP(D11*(1+E11),-2)</f>
        <v>5500</v>
      </c>
      <c r="H11" s="21" t="n">
        <f aca="false">G11-D11</f>
        <v>1450</v>
      </c>
      <c r="I11" s="22" t="n">
        <f aca="false">H11/D11</f>
        <v>0.358024691358025</v>
      </c>
      <c r="J11" s="21" t="n">
        <f aca="false">D11*F11</f>
        <v>311850</v>
      </c>
      <c r="K11" s="23" t="str">
        <f aca="false">IF(G11&gt;=$N$3,"Mahal",IF(G11&gt;=$N$2,"Sedang","Murah"))</f>
        <v>Murah</v>
      </c>
    </row>
    <row r="12" customFormat="false" ht="15" hidden="false" customHeight="false" outlineLevel="0" collapsed="false">
      <c r="A12" s="17" t="s">
        <v>111</v>
      </c>
      <c r="B12" s="17" t="s">
        <v>112</v>
      </c>
      <c r="C12" s="17" t="s">
        <v>108</v>
      </c>
      <c r="D12" s="18" t="n">
        <v>13300</v>
      </c>
      <c r="E12" s="19" t="n">
        <v>0.15</v>
      </c>
      <c r="F12" s="20" t="n">
        <v>13</v>
      </c>
      <c r="G12" s="21" t="n">
        <f aca="false">ROUNDUP(D12*(1+E12),-2)</f>
        <v>15300</v>
      </c>
      <c r="H12" s="21" t="n">
        <f aca="false">G12-D12</f>
        <v>2000</v>
      </c>
      <c r="I12" s="22" t="n">
        <f aca="false">H12/D12</f>
        <v>0.150375939849624</v>
      </c>
      <c r="J12" s="21" t="n">
        <f aca="false">D12*F12</f>
        <v>172900</v>
      </c>
      <c r="K12" s="23" t="str">
        <f aca="false">IF(G12&gt;=$N$3,"Mahal",IF(G12&gt;=$N$2,"Sedang","Murah"))</f>
        <v>Sedang</v>
      </c>
    </row>
    <row r="13" customFormat="false" ht="15" hidden="false" customHeight="false" outlineLevel="0" collapsed="false">
      <c r="A13" s="17" t="s">
        <v>113</v>
      </c>
      <c r="B13" s="17" t="s">
        <v>114</v>
      </c>
      <c r="C13" s="17" t="s">
        <v>108</v>
      </c>
      <c r="D13" s="18" t="n">
        <v>16700</v>
      </c>
      <c r="E13" s="19" t="n">
        <v>0.35</v>
      </c>
      <c r="F13" s="20" t="n">
        <v>40</v>
      </c>
      <c r="G13" s="21" t="n">
        <f aca="false">ROUNDUP(D13*(1+E13),-2)</f>
        <v>22600</v>
      </c>
      <c r="H13" s="21" t="n">
        <f aca="false">G13-D13</f>
        <v>5900</v>
      </c>
      <c r="I13" s="22" t="n">
        <f aca="false">H13/D13</f>
        <v>0.353293413173653</v>
      </c>
      <c r="J13" s="21" t="n">
        <f aca="false">D13*F13</f>
        <v>668000</v>
      </c>
      <c r="K13" s="23" t="str">
        <f aca="false">IF(G13&gt;=$N$3,"Mahal",IF(G13&gt;=$N$2,"Sedang","Murah"))</f>
        <v>Sedang</v>
      </c>
    </row>
    <row r="14" customFormat="false" ht="15" hidden="false" customHeight="false" outlineLevel="0" collapsed="false">
      <c r="A14" s="17" t="s">
        <v>115</v>
      </c>
      <c r="B14" s="17" t="s">
        <v>116</v>
      </c>
      <c r="C14" s="17" t="s">
        <v>108</v>
      </c>
      <c r="D14" s="18" t="n">
        <v>4700</v>
      </c>
      <c r="E14" s="19" t="n">
        <v>0.25</v>
      </c>
      <c r="F14" s="20" t="n">
        <v>24</v>
      </c>
      <c r="G14" s="21" t="n">
        <f aca="false">ROUNDUP(D14*(1+E14),-2)</f>
        <v>5900</v>
      </c>
      <c r="H14" s="21" t="n">
        <f aca="false">G14-D14</f>
        <v>1200</v>
      </c>
      <c r="I14" s="22" t="n">
        <f aca="false">H14/D14</f>
        <v>0.25531914893617</v>
      </c>
      <c r="J14" s="21" t="n">
        <f aca="false">D14*F14</f>
        <v>112800</v>
      </c>
      <c r="K14" s="23" t="str">
        <f aca="false">IF(G14&gt;=$N$3,"Mahal",IF(G14&gt;=$N$2,"Sedang","Murah"))</f>
        <v>Murah</v>
      </c>
    </row>
    <row r="15" customFormat="false" ht="15" hidden="false" customHeight="false" outlineLevel="0" collapsed="false">
      <c r="A15" s="17" t="s">
        <v>117</v>
      </c>
      <c r="B15" s="17" t="s">
        <v>118</v>
      </c>
      <c r="C15" s="17" t="s">
        <v>108</v>
      </c>
      <c r="D15" s="18" t="n">
        <v>18600</v>
      </c>
      <c r="E15" s="19" t="n">
        <v>0.15</v>
      </c>
      <c r="F15" s="20" t="n">
        <v>30</v>
      </c>
      <c r="G15" s="21" t="n">
        <f aca="false">ROUNDUP(D15*(1+E15),-2)</f>
        <v>21400</v>
      </c>
      <c r="H15" s="21" t="n">
        <f aca="false">G15-D15</f>
        <v>2800</v>
      </c>
      <c r="I15" s="22" t="n">
        <f aca="false">H15/D15</f>
        <v>0.150537634408602</v>
      </c>
      <c r="J15" s="21" t="n">
        <f aca="false">D15*F15</f>
        <v>558000</v>
      </c>
      <c r="K15" s="23" t="str">
        <f aca="false">IF(G15&gt;=$N$3,"Mahal",IF(G15&gt;=$N$2,"Sedang","Murah"))</f>
        <v>Sedang</v>
      </c>
    </row>
    <row r="16" customFormat="false" ht="15" hidden="false" customHeight="false" outlineLevel="0" collapsed="false">
      <c r="A16" s="17" t="s">
        <v>119</v>
      </c>
      <c r="B16" s="17" t="s">
        <v>120</v>
      </c>
      <c r="C16" s="17" t="s">
        <v>108</v>
      </c>
      <c r="D16" s="18" t="n">
        <v>5600</v>
      </c>
      <c r="E16" s="19" t="n">
        <v>0.2</v>
      </c>
      <c r="F16" s="20" t="n">
        <v>40</v>
      </c>
      <c r="G16" s="21" t="n">
        <f aca="false">ROUNDUP(D16*(1+E16),-2)</f>
        <v>6800</v>
      </c>
      <c r="H16" s="21" t="n">
        <f aca="false">G16-D16</f>
        <v>1200</v>
      </c>
      <c r="I16" s="22" t="n">
        <f aca="false">H16/D16</f>
        <v>0.214285714285714</v>
      </c>
      <c r="J16" s="21" t="n">
        <f aca="false">D16*F16</f>
        <v>224000</v>
      </c>
      <c r="K16" s="23" t="str">
        <f aca="false">IF(G16&gt;=$N$3,"Mahal",IF(G16&gt;=$N$2,"Sedang","Murah"))</f>
        <v>Murah</v>
      </c>
    </row>
    <row r="17" customFormat="false" ht="15" hidden="false" customHeight="false" outlineLevel="0" collapsed="false">
      <c r="A17" s="17" t="s">
        <v>121</v>
      </c>
      <c r="B17" s="17" t="s">
        <v>122</v>
      </c>
      <c r="C17" s="17" t="s">
        <v>123</v>
      </c>
      <c r="D17" s="18" t="n">
        <v>14100</v>
      </c>
      <c r="E17" s="19" t="n">
        <v>0.25</v>
      </c>
      <c r="F17" s="20" t="n">
        <v>72</v>
      </c>
      <c r="G17" s="21" t="n">
        <f aca="false">ROUNDUP(D17*(1+E17),-2)</f>
        <v>17700</v>
      </c>
      <c r="H17" s="21" t="n">
        <f aca="false">G17-D17</f>
        <v>3600</v>
      </c>
      <c r="I17" s="22" t="n">
        <f aca="false">H17/D17</f>
        <v>0.25531914893617</v>
      </c>
      <c r="J17" s="21" t="n">
        <f aca="false">D17*F17</f>
        <v>1015200</v>
      </c>
      <c r="K17" s="23" t="str">
        <f aca="false">IF(G17&gt;=$N$3,"Mahal",IF(G17&gt;=$N$2,"Sedang","Murah"))</f>
        <v>Sedang</v>
      </c>
    </row>
    <row r="18" customFormat="false" ht="15" hidden="false" customHeight="false" outlineLevel="0" collapsed="false">
      <c r="A18" s="17" t="s">
        <v>124</v>
      </c>
      <c r="B18" s="17" t="s">
        <v>125</v>
      </c>
      <c r="C18" s="17" t="s">
        <v>123</v>
      </c>
      <c r="D18" s="18" t="n">
        <v>21200</v>
      </c>
      <c r="E18" s="19" t="n">
        <v>0.3</v>
      </c>
      <c r="F18" s="20" t="n">
        <v>54</v>
      </c>
      <c r="G18" s="21" t="n">
        <f aca="false">ROUNDUP(D18*(1+E18),-2)</f>
        <v>27600</v>
      </c>
      <c r="H18" s="21" t="n">
        <f aca="false">G18-D18</f>
        <v>6400</v>
      </c>
      <c r="I18" s="22" t="n">
        <f aca="false">H18/D18</f>
        <v>0.30188679245283</v>
      </c>
      <c r="J18" s="21" t="n">
        <f aca="false">D18*F18</f>
        <v>1144800</v>
      </c>
      <c r="K18" s="23" t="str">
        <f aca="false">IF(G18&gt;=$N$3,"Mahal",IF(G18&gt;=$N$2,"Sedang","Murah"))</f>
        <v>Sedang</v>
      </c>
    </row>
    <row r="19" customFormat="false" ht="15" hidden="false" customHeight="false" outlineLevel="0" collapsed="false">
      <c r="A19" s="17" t="s">
        <v>126</v>
      </c>
      <c r="B19" s="17" t="s">
        <v>127</v>
      </c>
      <c r="C19" s="17" t="s">
        <v>123</v>
      </c>
      <c r="D19" s="18" t="n">
        <v>17500</v>
      </c>
      <c r="E19" s="19" t="n">
        <v>0.35</v>
      </c>
      <c r="F19" s="20" t="n">
        <v>60</v>
      </c>
      <c r="G19" s="21" t="n">
        <f aca="false">ROUNDUP(D19*(1+E19),-2)</f>
        <v>23700</v>
      </c>
      <c r="H19" s="21" t="n">
        <f aca="false">G19-D19</f>
        <v>6200</v>
      </c>
      <c r="I19" s="22" t="n">
        <f aca="false">H19/D19</f>
        <v>0.354285714285714</v>
      </c>
      <c r="J19" s="21" t="n">
        <f aca="false">D19*F19</f>
        <v>1050000</v>
      </c>
      <c r="K19" s="23" t="str">
        <f aca="false">IF(G19&gt;=$N$3,"Mahal",IF(G19&gt;=$N$2,"Sedang","Murah"))</f>
        <v>Sedang</v>
      </c>
    </row>
    <row r="20" customFormat="false" ht="15" hidden="false" customHeight="false" outlineLevel="0" collapsed="false">
      <c r="A20" s="17" t="s">
        <v>128</v>
      </c>
      <c r="B20" s="17" t="s">
        <v>129</v>
      </c>
      <c r="C20" s="17" t="s">
        <v>123</v>
      </c>
      <c r="D20" s="18" t="n">
        <v>12700</v>
      </c>
      <c r="E20" s="19" t="n">
        <v>0.25</v>
      </c>
      <c r="F20" s="20" t="n">
        <v>28</v>
      </c>
      <c r="G20" s="21" t="n">
        <f aca="false">ROUNDUP(D20*(1+E20),-2)</f>
        <v>15900</v>
      </c>
      <c r="H20" s="21" t="n">
        <f aca="false">G20-D20</f>
        <v>3200</v>
      </c>
      <c r="I20" s="22" t="n">
        <f aca="false">H20/D20</f>
        <v>0.251968503937008</v>
      </c>
      <c r="J20" s="21" t="n">
        <f aca="false">D20*F20</f>
        <v>355600</v>
      </c>
      <c r="K20" s="23" t="str">
        <f aca="false">IF(G20&gt;=$N$3,"Mahal",IF(G20&gt;=$N$2,"Sedang","Murah"))</f>
        <v>Sedang</v>
      </c>
    </row>
    <row r="21" customFormat="false" ht="15" hidden="false" customHeight="false" outlineLevel="0" collapsed="false">
      <c r="A21" s="17" t="s">
        <v>130</v>
      </c>
      <c r="B21" s="17" t="s">
        <v>131</v>
      </c>
      <c r="C21" s="17" t="s">
        <v>123</v>
      </c>
      <c r="D21" s="18" t="n">
        <v>23300</v>
      </c>
      <c r="E21" s="19" t="n">
        <v>0.2</v>
      </c>
      <c r="F21" s="20" t="n">
        <v>17</v>
      </c>
      <c r="G21" s="21" t="n">
        <f aca="false">ROUNDUP(D21*(1+E21),-2)</f>
        <v>28000</v>
      </c>
      <c r="H21" s="21" t="n">
        <f aca="false">G21-D21</f>
        <v>4700</v>
      </c>
      <c r="I21" s="22" t="n">
        <f aca="false">H21/D21</f>
        <v>0.201716738197425</v>
      </c>
      <c r="J21" s="21" t="n">
        <f aca="false">D21*F21</f>
        <v>396100</v>
      </c>
      <c r="K21" s="23" t="str">
        <f aca="false">IF(G21&gt;=$N$3,"Mahal",IF(G21&gt;=$N$2,"Sedang","Murah"))</f>
        <v>Sedang</v>
      </c>
    </row>
    <row r="22" customFormat="false" ht="15" hidden="false" customHeight="false" outlineLevel="0" collapsed="false">
      <c r="A22" s="17" t="s">
        <v>132</v>
      </c>
      <c r="B22" s="17" t="s">
        <v>133</v>
      </c>
      <c r="C22" s="17" t="s">
        <v>123</v>
      </c>
      <c r="D22" s="18" t="n">
        <v>19800</v>
      </c>
      <c r="E22" s="19" t="n">
        <v>0.25</v>
      </c>
      <c r="F22" s="20" t="n">
        <v>79</v>
      </c>
      <c r="G22" s="21" t="n">
        <f aca="false">ROUNDUP(D22*(1+E22),-2)</f>
        <v>24800</v>
      </c>
      <c r="H22" s="21" t="n">
        <f aca="false">G22-D22</f>
        <v>5000</v>
      </c>
      <c r="I22" s="22" t="n">
        <f aca="false">H22/D22</f>
        <v>0.252525252525253</v>
      </c>
      <c r="J22" s="21" t="n">
        <f aca="false">D22*F22</f>
        <v>1564200</v>
      </c>
      <c r="K22" s="23" t="str">
        <f aca="false">IF(G22&gt;=$N$3,"Mahal",IF(G22&gt;=$N$2,"Sedang","Murah"))</f>
        <v>Sedang</v>
      </c>
    </row>
    <row r="23" customFormat="false" ht="15" hidden="false" customHeight="false" outlineLevel="0" collapsed="false">
      <c r="A23" s="17" t="s">
        <v>134</v>
      </c>
      <c r="B23" s="17" t="s">
        <v>135</v>
      </c>
      <c r="C23" s="17" t="s">
        <v>123</v>
      </c>
      <c r="D23" s="18" t="n">
        <v>7400</v>
      </c>
      <c r="E23" s="19" t="n">
        <v>0.25</v>
      </c>
      <c r="F23" s="20" t="n">
        <v>79</v>
      </c>
      <c r="G23" s="21" t="n">
        <f aca="false">ROUNDUP(D23*(1+E23),-2)</f>
        <v>9300</v>
      </c>
      <c r="H23" s="21" t="n">
        <f aca="false">G23-D23</f>
        <v>1900</v>
      </c>
      <c r="I23" s="22" t="n">
        <f aca="false">H23/D23</f>
        <v>0.256756756756757</v>
      </c>
      <c r="J23" s="21" t="n">
        <f aca="false">D23*F23</f>
        <v>584600</v>
      </c>
      <c r="K23" s="23" t="str">
        <f aca="false">IF(G23&gt;=$N$3,"Mahal",IF(G23&gt;=$N$2,"Sedang","Murah"))</f>
        <v>Murah</v>
      </c>
    </row>
    <row r="24" customFormat="false" ht="15" hidden="false" customHeight="false" outlineLevel="0" collapsed="false">
      <c r="A24" s="17" t="s">
        <v>136</v>
      </c>
      <c r="B24" s="17" t="s">
        <v>137</v>
      </c>
      <c r="C24" s="17" t="s">
        <v>138</v>
      </c>
      <c r="D24" s="18" t="n">
        <v>18900</v>
      </c>
      <c r="E24" s="19" t="n">
        <v>0.3</v>
      </c>
      <c r="F24" s="20" t="n">
        <v>51</v>
      </c>
      <c r="G24" s="21" t="n">
        <f aca="false">ROUNDUP(D24*(1+E24),-2)</f>
        <v>24600</v>
      </c>
      <c r="H24" s="21" t="n">
        <f aca="false">G24-D24</f>
        <v>5700</v>
      </c>
      <c r="I24" s="22" t="n">
        <f aca="false">H24/D24</f>
        <v>0.301587301587302</v>
      </c>
      <c r="J24" s="21" t="n">
        <f aca="false">D24*F24</f>
        <v>963900</v>
      </c>
      <c r="K24" s="23" t="str">
        <f aca="false">IF(G24&gt;=$N$3,"Mahal",IF(G24&gt;=$N$2,"Sedang","Murah"))</f>
        <v>Sedang</v>
      </c>
    </row>
    <row r="25" customFormat="false" ht="15" hidden="false" customHeight="false" outlineLevel="0" collapsed="false">
      <c r="A25" s="17" t="s">
        <v>139</v>
      </c>
      <c r="B25" s="17" t="s">
        <v>140</v>
      </c>
      <c r="C25" s="17" t="s">
        <v>138</v>
      </c>
      <c r="D25" s="18" t="n">
        <v>3950</v>
      </c>
      <c r="E25" s="19" t="n">
        <v>0.2</v>
      </c>
      <c r="F25" s="20" t="n">
        <v>43</v>
      </c>
      <c r="G25" s="21" t="n">
        <f aca="false">ROUNDUP(D25*(1+E25),-2)</f>
        <v>4800</v>
      </c>
      <c r="H25" s="21" t="n">
        <f aca="false">G25-D25</f>
        <v>850</v>
      </c>
      <c r="I25" s="22" t="n">
        <f aca="false">H25/D25</f>
        <v>0.215189873417722</v>
      </c>
      <c r="J25" s="21" t="n">
        <f aca="false">D25*F25</f>
        <v>169850</v>
      </c>
      <c r="K25" s="23" t="str">
        <f aca="false">IF(G25&gt;=$N$3,"Mahal",IF(G25&gt;=$N$2,"Sedang","Murah"))</f>
        <v>Murah</v>
      </c>
    </row>
    <row r="26" customFormat="false" ht="15" hidden="false" customHeight="false" outlineLevel="0" collapsed="false">
      <c r="A26" s="17" t="s">
        <v>141</v>
      </c>
      <c r="B26" s="17" t="s">
        <v>142</v>
      </c>
      <c r="C26" s="17" t="s">
        <v>138</v>
      </c>
      <c r="D26" s="18" t="n">
        <v>48900</v>
      </c>
      <c r="E26" s="19" t="n">
        <v>0.35</v>
      </c>
      <c r="F26" s="20" t="n">
        <v>18</v>
      </c>
      <c r="G26" s="21" t="n">
        <f aca="false">ROUNDUP(D26*(1+E26),-2)</f>
        <v>66100</v>
      </c>
      <c r="H26" s="21" t="n">
        <f aca="false">G26-D26</f>
        <v>17200</v>
      </c>
      <c r="I26" s="22" t="n">
        <f aca="false">H26/D26</f>
        <v>0.351738241308793</v>
      </c>
      <c r="J26" s="21" t="n">
        <f aca="false">D26*F26</f>
        <v>880200</v>
      </c>
      <c r="K26" s="23" t="str">
        <f aca="false">IF(G26&gt;=$N$3,"Mahal",IF(G26&gt;=$N$2,"Sedang","Murah"))</f>
        <v>Mahal</v>
      </c>
    </row>
    <row r="27" customFormat="false" ht="15" hidden="false" customHeight="false" outlineLevel="0" collapsed="false">
      <c r="A27" s="17" t="s">
        <v>143</v>
      </c>
      <c r="B27" s="17" t="s">
        <v>144</v>
      </c>
      <c r="C27" s="17" t="s">
        <v>138</v>
      </c>
      <c r="D27" s="18" t="n">
        <v>8850</v>
      </c>
      <c r="E27" s="19" t="n">
        <v>0.3</v>
      </c>
      <c r="F27" s="20" t="n">
        <v>35</v>
      </c>
      <c r="G27" s="21" t="n">
        <f aca="false">ROUNDUP(D27*(1+E27),-2)</f>
        <v>11600</v>
      </c>
      <c r="H27" s="21" t="n">
        <f aca="false">G27-D27</f>
        <v>2750</v>
      </c>
      <c r="I27" s="22" t="n">
        <f aca="false">H27/D27</f>
        <v>0.310734463276836</v>
      </c>
      <c r="J27" s="21" t="n">
        <f aca="false">D27*F27</f>
        <v>309750</v>
      </c>
      <c r="K27" s="23" t="str">
        <f aca="false">IF(G27&gt;=$N$3,"Mahal",IF(G27&gt;=$N$2,"Sedang","Murah"))</f>
        <v>Sedang</v>
      </c>
    </row>
    <row r="28" customFormat="false" ht="15" hidden="false" customHeight="false" outlineLevel="0" collapsed="false">
      <c r="A28" s="17" t="s">
        <v>145</v>
      </c>
      <c r="B28" s="17" t="s">
        <v>146</v>
      </c>
      <c r="C28" s="17" t="s">
        <v>138</v>
      </c>
      <c r="D28" s="18" t="n">
        <v>2300</v>
      </c>
      <c r="E28" s="19" t="n">
        <v>0.2</v>
      </c>
      <c r="F28" s="20" t="n">
        <v>68</v>
      </c>
      <c r="G28" s="21" t="n">
        <f aca="false">ROUNDUP(D28*(1+E28),-2)</f>
        <v>2800</v>
      </c>
      <c r="H28" s="21" t="n">
        <f aca="false">G28-D28</f>
        <v>500</v>
      </c>
      <c r="I28" s="22" t="n">
        <f aca="false">H28/D28</f>
        <v>0.217391304347826</v>
      </c>
      <c r="J28" s="21" t="n">
        <f aca="false">D28*F28</f>
        <v>156400</v>
      </c>
      <c r="K28" s="23" t="str">
        <f aca="false">IF(G28&gt;=$N$3,"Mahal",IF(G28&gt;=$N$2,"Sedang","Murah"))</f>
        <v>Murah</v>
      </c>
    </row>
    <row r="29" customFormat="false" ht="15" hidden="false" customHeight="false" outlineLevel="0" collapsed="false">
      <c r="A29" s="17" t="s">
        <v>147</v>
      </c>
      <c r="B29" s="17" t="s">
        <v>148</v>
      </c>
      <c r="C29" s="17" t="s">
        <v>149</v>
      </c>
      <c r="D29" s="18" t="n">
        <v>22900</v>
      </c>
      <c r="E29" s="19" t="n">
        <v>0.3</v>
      </c>
      <c r="F29" s="20" t="n">
        <v>60</v>
      </c>
      <c r="G29" s="21" t="n">
        <f aca="false">ROUNDUP(D29*(1+E29),-2)</f>
        <v>29800</v>
      </c>
      <c r="H29" s="21" t="n">
        <f aca="false">G29-D29</f>
        <v>6900</v>
      </c>
      <c r="I29" s="22" t="n">
        <f aca="false">H29/D29</f>
        <v>0.301310043668122</v>
      </c>
      <c r="J29" s="21" t="n">
        <f aca="false">D29*F29</f>
        <v>1374000</v>
      </c>
      <c r="K29" s="23" t="str">
        <f aca="false">IF(G29&gt;=$N$3,"Mahal",IF(G29&gt;=$N$2,"Sedang","Murah"))</f>
        <v>Sedang</v>
      </c>
    </row>
    <row r="30" customFormat="false" ht="15" hidden="false" customHeight="false" outlineLevel="0" collapsed="false">
      <c r="A30" s="17" t="s">
        <v>150</v>
      </c>
      <c r="B30" s="17" t="s">
        <v>151</v>
      </c>
      <c r="C30" s="17" t="s">
        <v>149</v>
      </c>
      <c r="D30" s="18" t="n">
        <v>63900</v>
      </c>
      <c r="E30" s="19" t="n">
        <v>0.3</v>
      </c>
      <c r="F30" s="20" t="n">
        <v>40</v>
      </c>
      <c r="G30" s="21" t="n">
        <f aca="false">ROUNDUP(D30*(1+E30),-2)</f>
        <v>83100</v>
      </c>
      <c r="H30" s="21" t="n">
        <f aca="false">G30-D30</f>
        <v>19200</v>
      </c>
      <c r="I30" s="22" t="n">
        <f aca="false">H30/D30</f>
        <v>0.300469483568075</v>
      </c>
      <c r="J30" s="21" t="n">
        <f aca="false">D30*F30</f>
        <v>2556000</v>
      </c>
      <c r="K30" s="23" t="str">
        <f aca="false">IF(G30&gt;=$N$3,"Mahal",IF(G30&gt;=$N$2,"Sedang","Murah"))</f>
        <v>Mahal</v>
      </c>
    </row>
    <row r="31" customFormat="false" ht="15" hidden="false" customHeight="false" outlineLevel="0" collapsed="false">
      <c r="A31" s="17" t="s">
        <v>152</v>
      </c>
      <c r="B31" s="17" t="s">
        <v>153</v>
      </c>
      <c r="C31" s="17" t="s">
        <v>149</v>
      </c>
      <c r="D31" s="18" t="n">
        <v>14600</v>
      </c>
      <c r="E31" s="19" t="n">
        <v>0.2</v>
      </c>
      <c r="F31" s="20" t="n">
        <v>29</v>
      </c>
      <c r="G31" s="21" t="n">
        <f aca="false">ROUNDUP(D31*(1+E31),-2)</f>
        <v>17600</v>
      </c>
      <c r="H31" s="21" t="n">
        <f aca="false">G31-D31</f>
        <v>3000</v>
      </c>
      <c r="I31" s="22" t="n">
        <f aca="false">H31/D31</f>
        <v>0.205479452054795</v>
      </c>
      <c r="J31" s="21" t="n">
        <f aca="false">D31*F31</f>
        <v>423400</v>
      </c>
      <c r="K31" s="23" t="str">
        <f aca="false">IF(G31&gt;=$N$3,"Mahal",IF(G31&gt;=$N$2,"Sedang","Murah"))</f>
        <v>Sedang</v>
      </c>
    </row>
    <row r="32" customFormat="false" ht="15" hidden="false" customHeight="false" outlineLevel="0" collapsed="false">
      <c r="A32" s="17" t="s">
        <v>154</v>
      </c>
      <c r="B32" s="17" t="s">
        <v>155</v>
      </c>
      <c r="C32" s="17" t="s">
        <v>149</v>
      </c>
      <c r="D32" s="18" t="n">
        <v>17800</v>
      </c>
      <c r="E32" s="19" t="n">
        <v>0.35</v>
      </c>
      <c r="F32" s="20" t="n">
        <v>43</v>
      </c>
      <c r="G32" s="21" t="n">
        <f aca="false">ROUNDUP(D32*(1+E32),-2)</f>
        <v>24100</v>
      </c>
      <c r="H32" s="21" t="n">
        <f aca="false">G32-D32</f>
        <v>6300</v>
      </c>
      <c r="I32" s="22" t="n">
        <f aca="false">H32/D32</f>
        <v>0.353932584269663</v>
      </c>
      <c r="J32" s="21" t="n">
        <f aca="false">D32*F32</f>
        <v>765400</v>
      </c>
      <c r="K32" s="23" t="str">
        <f aca="false">IF(G32&gt;=$N$3,"Mahal",IF(G32&gt;=$N$2,"Sedang","Murah"))</f>
        <v>Sedang</v>
      </c>
    </row>
    <row r="33" customFormat="false" ht="15" hidden="false" customHeight="false" outlineLevel="0" collapsed="false">
      <c r="A33" s="17" t="s">
        <v>156</v>
      </c>
      <c r="B33" s="17" t="s">
        <v>157</v>
      </c>
      <c r="C33" s="17" t="s">
        <v>149</v>
      </c>
      <c r="D33" s="18" t="n">
        <v>48500</v>
      </c>
      <c r="E33" s="19" t="n">
        <v>0.2</v>
      </c>
      <c r="F33" s="20" t="n">
        <v>50</v>
      </c>
      <c r="G33" s="21" t="n">
        <f aca="false">ROUNDUP(D33*(1+E33),-2)</f>
        <v>58200</v>
      </c>
      <c r="H33" s="21" t="n">
        <f aca="false">G33-D33</f>
        <v>9700</v>
      </c>
      <c r="I33" s="22" t="n">
        <f aca="false">H33/D33</f>
        <v>0.2</v>
      </c>
      <c r="J33" s="21" t="n">
        <f aca="false">D33*F33</f>
        <v>2425000</v>
      </c>
      <c r="K33" s="23" t="str">
        <f aca="false">IF(G33&gt;=$N$3,"Mahal",IF(G33&gt;=$N$2,"Sedang","Murah"))</f>
        <v>Mahal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33.75" hidden="false" customHeight="true" outlineLevel="0" collapsed="false">
      <c r="A1" s="11" t="s">
        <v>73</v>
      </c>
      <c r="B1" s="15" t="s">
        <v>158</v>
      </c>
      <c r="C1" s="15" t="s">
        <v>159</v>
      </c>
      <c r="D1" s="15" t="s">
        <v>160</v>
      </c>
    </row>
    <row r="2" customFormat="false" ht="15" hidden="false" customHeight="false" outlineLevel="0" collapsed="false">
      <c r="A2" s="17" t="s">
        <v>87</v>
      </c>
      <c r="B2" s="26" t="n">
        <f aca="false">COUNTIF(Data!$C$2:$C$33,A2)</f>
        <v>8</v>
      </c>
      <c r="C2" s="21" t="n">
        <f aca="false">SUMIF(Data!$C$2:$C$33,A2,Data!$J$2:$J$33)</f>
        <v>5860700</v>
      </c>
      <c r="D2" s="22" t="n">
        <f aca="false">AVERAGEIF(Data!$C$2:$C$33,A2,Data!$I$2:$I$33)</f>
        <v>0.235638208305251</v>
      </c>
    </row>
    <row r="3" customFormat="false" ht="15" hidden="false" customHeight="false" outlineLevel="0" collapsed="false">
      <c r="A3" s="17" t="s">
        <v>108</v>
      </c>
      <c r="B3" s="26" t="n">
        <f aca="false">COUNTIF(Data!$C$2:$C$33,A3)</f>
        <v>7</v>
      </c>
      <c r="C3" s="21" t="n">
        <f aca="false">SUMIF(Data!$C$2:$C$33,A3,Data!$J$2:$J$33)</f>
        <v>2076950</v>
      </c>
      <c r="D3" s="22" t="n">
        <f aca="false">AVERAGEIF(Data!$C$2:$C$33,A3,Data!$I$2:$I$33)</f>
        <v>0.252507261103725</v>
      </c>
    </row>
    <row r="4" customFormat="false" ht="15" hidden="false" customHeight="false" outlineLevel="0" collapsed="false">
      <c r="A4" s="17" t="s">
        <v>123</v>
      </c>
      <c r="B4" s="26" t="n">
        <f aca="false">COUNTIF(Data!$C$2:$C$33,A4)</f>
        <v>7</v>
      </c>
      <c r="C4" s="21" t="n">
        <f aca="false">SUMIF(Data!$C$2:$C$33,A4,Data!$J$2:$J$33)</f>
        <v>6110500</v>
      </c>
      <c r="D4" s="22" t="n">
        <f aca="false">AVERAGEIF(Data!$C$2:$C$33,A4,Data!$I$2:$I$33)</f>
        <v>0.267779843870165</v>
      </c>
    </row>
    <row r="5" customFormat="false" ht="15" hidden="false" customHeight="false" outlineLevel="0" collapsed="false">
      <c r="A5" s="17" t="s">
        <v>138</v>
      </c>
      <c r="B5" s="26" t="n">
        <f aca="false">COUNTIF(Data!$C$2:$C$33,A5)</f>
        <v>5</v>
      </c>
      <c r="C5" s="21" t="n">
        <f aca="false">SUMIF(Data!$C$2:$C$33,A5,Data!$J$2:$J$33)</f>
        <v>2480100</v>
      </c>
      <c r="D5" s="22" t="n">
        <f aca="false">AVERAGEIF(Data!$C$2:$C$33,A5,Data!$I$2:$I$33)</f>
        <v>0.279328236787696</v>
      </c>
    </row>
    <row r="6" customFormat="false" ht="15" hidden="false" customHeight="false" outlineLevel="0" collapsed="false">
      <c r="A6" s="17" t="s">
        <v>149</v>
      </c>
      <c r="B6" s="26" t="n">
        <f aca="false">COUNTIF(Data!$C$2:$C$33,A6)</f>
        <v>5</v>
      </c>
      <c r="C6" s="21" t="n">
        <f aca="false">SUMIF(Data!$C$2:$C$33,A6,Data!$J$2:$J$33)</f>
        <v>7543800</v>
      </c>
      <c r="D6" s="22" t="n">
        <f aca="false">AVERAGEIF(Data!$C$2:$C$33,A6,Data!$I$2:$I$33)</f>
        <v>0.272238312712131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27" t="s">
        <v>161</v>
      </c>
      <c r="B1" s="27"/>
      <c r="C1" s="27"/>
      <c r="D1" s="27"/>
    </row>
    <row r="2" customFormat="false" ht="15" hidden="false" customHeight="false" outlineLevel="0" collapsed="false">
      <c r="A2" s="28" t="s">
        <v>162</v>
      </c>
      <c r="B2" s="28"/>
      <c r="C2" s="28"/>
      <c r="D2" s="28"/>
    </row>
    <row r="3" customFormat="false" ht="15" hidden="false" customHeight="false" outlineLevel="0" collapsed="false">
      <c r="A3" s="11" t="s">
        <v>19</v>
      </c>
      <c r="B3" s="11" t="s">
        <v>163</v>
      </c>
      <c r="C3" s="11" t="s">
        <v>164</v>
      </c>
      <c r="D3" s="11" t="s">
        <v>165</v>
      </c>
    </row>
    <row r="4" customFormat="false" ht="15" hidden="false" customHeight="false" outlineLevel="0" collapsed="false">
      <c r="A4" s="29" t="s">
        <v>166</v>
      </c>
      <c r="B4" s="30" t="s">
        <v>167</v>
      </c>
      <c r="C4" s="21" t="n">
        <f aca="false">SUM(Data!$J$2:$J$33)</f>
        <v>24072050</v>
      </c>
      <c r="D4" s="31" t="s">
        <v>168</v>
      </c>
    </row>
    <row r="5" customFormat="false" ht="15" hidden="false" customHeight="false" outlineLevel="0" collapsed="false">
      <c r="A5" s="29" t="s">
        <v>169</v>
      </c>
      <c r="B5" s="30" t="s">
        <v>170</v>
      </c>
      <c r="C5" s="21" t="n">
        <f aca="false">SUMPRODUCT(Data!$H$2:$H$33,Data!$F$2:$F$33)</f>
        <v>6231150</v>
      </c>
      <c r="D5" s="31" t="s">
        <v>171</v>
      </c>
    </row>
    <row r="6" customFormat="false" ht="15" hidden="false" customHeight="false" outlineLevel="0" collapsed="false">
      <c r="A6" s="29" t="s">
        <v>172</v>
      </c>
      <c r="B6" s="30" t="s">
        <v>173</v>
      </c>
      <c r="C6" s="26" t="n">
        <f aca="false">COUNTIF(Data!$K$2:$K$33,"Murah")</f>
        <v>9</v>
      </c>
      <c r="D6" s="31" t="s">
        <v>174</v>
      </c>
    </row>
    <row r="7" customFormat="false" ht="15" hidden="false" customHeight="false" outlineLevel="0" collapsed="false">
      <c r="A7" s="29" t="s">
        <v>175</v>
      </c>
      <c r="B7" s="30" t="s">
        <v>176</v>
      </c>
      <c r="C7" s="26" t="n">
        <f aca="false">COUNTIF(Data!$K$2:$K$33,"Sedang")</f>
        <v>19</v>
      </c>
      <c r="D7" s="31" t="s">
        <v>177</v>
      </c>
    </row>
    <row r="8" customFormat="false" ht="15" hidden="false" customHeight="false" outlineLevel="0" collapsed="false">
      <c r="A8" s="29" t="s">
        <v>178</v>
      </c>
      <c r="B8" s="30" t="s">
        <v>179</v>
      </c>
      <c r="C8" s="26" t="n">
        <f aca="false">COUNTIF(Data!$K$2:$K$33,"Mahal")</f>
        <v>4</v>
      </c>
      <c r="D8" s="31" t="s">
        <v>180</v>
      </c>
    </row>
    <row r="9" customFormat="false" ht="15" hidden="false" customHeight="false" outlineLevel="0" collapsed="false">
      <c r="A9" s="29" t="s">
        <v>181</v>
      </c>
      <c r="B9" s="30" t="s">
        <v>182</v>
      </c>
      <c r="C9" s="23" t="str">
        <f aca="false">INDEX(Data!$B$2:$B$33,MATCH(MAX(Data!$H$2:$H$33),Data!$H$2:$H$33,0))</f>
        <v>Kabel Roll 5 m</v>
      </c>
      <c r="D9" s="31" t="s">
        <v>183</v>
      </c>
    </row>
    <row r="10" customFormat="false" ht="15" hidden="false" customHeight="false" outlineLevel="0" collapsed="false">
      <c r="A10" s="29" t="s">
        <v>184</v>
      </c>
      <c r="B10" s="30" t="s">
        <v>185</v>
      </c>
      <c r="C10" s="23" t="str">
        <f aca="false">INDEX(Data!$B$2:$B$33,MATCH(MIN(Data!$I$2:$I$33),Data!$I$2:$I$33,0))</f>
        <v>Beras Pandan 5 kg</v>
      </c>
      <c r="D10" s="31" t="s">
        <v>183</v>
      </c>
    </row>
    <row r="11" customFormat="false" ht="15" hidden="false" customHeight="false" outlineLevel="0" collapsed="false">
      <c r="A11" s="29" t="s">
        <v>186</v>
      </c>
      <c r="B11" s="30" t="s">
        <v>187</v>
      </c>
      <c r="C11" s="23" t="str">
        <f aca="false">INDEX(Acuan!$A$2:$A$6,MATCH(MAX(Acuan!$C$2:$C$6),Acuan!$C$2:$C$6,0))</f>
        <v>Elektronik</v>
      </c>
      <c r="D11" s="31" t="s">
        <v>188</v>
      </c>
    </row>
    <row r="12" customFormat="false" ht="15" hidden="false" customHeight="false" outlineLevel="0" collapsed="false">
      <c r="A12" s="29" t="s">
        <v>189</v>
      </c>
      <c r="B12" s="30" t="s">
        <v>190</v>
      </c>
      <c r="C12" s="26" t="n">
        <f aca="false">COUNTIF(Data!$F$2:$F$33,"&lt;15")</f>
        <v>3</v>
      </c>
      <c r="D12" s="31" t="s">
        <v>191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2026-10-14T23:33:51Z</dcterms:created>
  <dc:creator>PushExcel</dc:creator>
  <dc:description/>
  <dc:language>en-US</dc:language>
  <cp:lastModifiedBy/>
  <dcterms:modified xsi:type="dcterms:W3CDTF">2026-10-14T23:33:51Z</dcterms:modified>
  <cp:revision>0</cp:revision>
  <dc:subject/>
  <dc:title>Daftar Harga Jual dan Margin Produk Toko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